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icsdeceder-my.sharepoint.com/personal/s_bezemer_ceder_nl/Documents/ShareAndrew/"/>
    </mc:Choice>
  </mc:AlternateContent>
  <xr:revisionPtr revIDLastSave="575" documentId="8_{CF66F76F-2306-FB44-AD2D-0BC487FBFC58}" xr6:coauthVersionLast="47" xr6:coauthVersionMax="47" xr10:uidLastSave="{D60F3212-C962-9343-A467-193E23D9DCCC}"/>
  <bookViews>
    <workbookView xWindow="0" yWindow="660" windowWidth="34560" windowHeight="21680" xr2:uid="{5CC6CB6C-4B10-4D53-8736-9680115F6501}"/>
  </bookViews>
  <sheets>
    <sheet name="TODO" sheetId="16" r:id="rId1"/>
    <sheet name="2025-2026" sheetId="15" r:id="rId2"/>
    <sheet name="CourseContents" sheetId="5" r:id="rId3"/>
    <sheet name="Enrolment" sheetId="4" r:id="rId4"/>
    <sheet name="SPC" sheetId="2" r:id="rId5"/>
    <sheet name="Subject" sheetId="12" r:id="rId6"/>
    <sheet name="Course" sheetId="8" r:id="rId7"/>
    <sheet name="PACEs" sheetId="6" r:id="rId8"/>
    <sheet name="PACE" sheetId="10" r:id="rId9"/>
    <sheet name="PaceCourse" sheetId="9" r:id="rId10"/>
    <sheet name="Student" sheetId="13" r:id="rId11"/>
    <sheet name="Date" sheetId="17" r:id="rId12"/>
  </sheets>
  <externalReferences>
    <externalReference r:id="rId13"/>
  </externalReferences>
  <definedNames>
    <definedName name="_xlnm._FilterDatabase" localSheetId="6" hidden="1">Course!$A$1:$U$165</definedName>
    <definedName name="_xlnm._FilterDatabase" localSheetId="11" hidden="1">Date!$A$1:$K$1623</definedName>
    <definedName name="_xlnm._FilterDatabase" localSheetId="8" hidden="1">PACE!$A$1:$N$1358</definedName>
    <definedName name="_xlnm._FilterDatabase" localSheetId="9" hidden="1">PaceCourse!$A$1:$J$1397</definedName>
    <definedName name="_xlnm._FilterDatabase" localSheetId="7" hidden="1">PACEs!$A$1:$G$28</definedName>
    <definedName name="_xlnm._FilterDatabase" localSheetId="10" hidden="1">Student!$A$1:$F$23</definedName>
    <definedName name="_xlnm._FilterDatabase" localSheetId="5" hidden="1">Subject!$A$1:$D$10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 l="1" a="1"/>
  <c r="M6" i="2" s="1"/>
  <c r="L6" i="2" a="1"/>
  <c r="L6" i="2" s="1"/>
  <c r="K6" i="2" a="1"/>
  <c r="K6" i="2" s="1"/>
  <c r="J6" i="2" a="1"/>
  <c r="J6" i="2" s="1"/>
  <c r="I6" i="2" a="1"/>
  <c r="I6" i="2" s="1"/>
  <c r="H6" i="2" a="1"/>
  <c r="H6" i="2" s="1"/>
  <c r="G6" i="2" a="1"/>
  <c r="G6" i="2" s="1"/>
  <c r="F6" i="2" a="1"/>
  <c r="F6" i="2" s="1"/>
  <c r="E6" i="2" a="1"/>
  <c r="E6" i="2" s="1"/>
  <c r="D6" i="2" a="1"/>
  <c r="D6" i="2" s="1"/>
  <c r="C6" i="2" a="1"/>
  <c r="C6" i="2" s="1"/>
  <c r="B6" i="2" a="1"/>
  <c r="B6" i="2" s="1"/>
  <c r="M11" i="2" a="1"/>
  <c r="M11" i="2" s="1"/>
  <c r="L11" i="2" a="1"/>
  <c r="L11" i="2" s="1"/>
  <c r="K11" i="2" a="1"/>
  <c r="K11" i="2" s="1"/>
  <c r="J11" i="2" a="1"/>
  <c r="J11" i="2" s="1"/>
  <c r="I11" i="2" a="1"/>
  <c r="I11" i="2" s="1"/>
  <c r="H11" i="2" a="1"/>
  <c r="H11" i="2" s="1"/>
  <c r="G11" i="2" a="1"/>
  <c r="G11" i="2" s="1"/>
  <c r="F11" i="2" a="1"/>
  <c r="F11" i="2" s="1"/>
  <c r="E11" i="2" a="1"/>
  <c r="E11" i="2" s="1"/>
  <c r="D11" i="2" a="1"/>
  <c r="D11" i="2" s="1"/>
  <c r="C11" i="2" a="1"/>
  <c r="C11" i="2" s="1"/>
  <c r="B11" i="2" a="1"/>
  <c r="B11" i="2" s="1"/>
  <c r="M16" i="2" a="1"/>
  <c r="M16" i="2" s="1"/>
  <c r="L16" i="2" a="1"/>
  <c r="L16" i="2" s="1"/>
  <c r="K16" i="2" a="1"/>
  <c r="K16" i="2" s="1"/>
  <c r="J16" i="2" a="1"/>
  <c r="J16" i="2" s="1"/>
  <c r="I16" i="2" a="1"/>
  <c r="I16" i="2" s="1"/>
  <c r="H16" i="2" a="1"/>
  <c r="H16" i="2" s="1"/>
  <c r="G16" i="2" a="1"/>
  <c r="G16" i="2" s="1"/>
  <c r="F16" i="2" a="1"/>
  <c r="F16" i="2" s="1"/>
  <c r="E16" i="2" a="1"/>
  <c r="E16" i="2" s="1"/>
  <c r="D16" i="2" a="1"/>
  <c r="D16" i="2" s="1"/>
  <c r="C16" i="2" a="1"/>
  <c r="C16" i="2" s="1"/>
  <c r="B16" i="2" a="1"/>
  <c r="B16" i="2" s="1"/>
  <c r="M21" i="2" a="1"/>
  <c r="M21" i="2" s="1"/>
  <c r="L21" i="2" a="1"/>
  <c r="L21" i="2" s="1"/>
  <c r="K21" i="2" a="1"/>
  <c r="K21" i="2" s="1"/>
  <c r="J21" i="2" a="1"/>
  <c r="J21" i="2" s="1"/>
  <c r="I21" i="2" a="1"/>
  <c r="I21" i="2" s="1"/>
  <c r="H21" i="2" a="1"/>
  <c r="H21" i="2" s="1"/>
  <c r="G21" i="2" a="1"/>
  <c r="G21" i="2" s="1"/>
  <c r="F21" i="2" a="1"/>
  <c r="F21" i="2" s="1"/>
  <c r="E21" i="2" a="1"/>
  <c r="E21" i="2" s="1"/>
  <c r="D21" i="2" a="1"/>
  <c r="D21" i="2" s="1"/>
  <c r="C21" i="2" a="1"/>
  <c r="C21" i="2" s="1"/>
  <c r="B21" i="2" a="1"/>
  <c r="B21" i="2" s="1"/>
  <c r="M26" i="2" a="1"/>
  <c r="M26" i="2" s="1"/>
  <c r="L26" i="2" a="1"/>
  <c r="L26" i="2" s="1"/>
  <c r="K26" i="2" a="1"/>
  <c r="K26" i="2" s="1"/>
  <c r="J26" i="2" a="1"/>
  <c r="J26" i="2" s="1"/>
  <c r="I26" i="2" a="1"/>
  <c r="I26" i="2" s="1"/>
  <c r="H26" i="2" a="1"/>
  <c r="H26" i="2" s="1"/>
  <c r="G26" i="2" a="1"/>
  <c r="G26" i="2" s="1"/>
  <c r="F26" i="2" a="1"/>
  <c r="F26" i="2" s="1"/>
  <c r="E26" i="2" a="1"/>
  <c r="E26" i="2" s="1"/>
  <c r="D26" i="2" a="1"/>
  <c r="D26" i="2" s="1"/>
  <c r="C26" i="2" a="1"/>
  <c r="C26" i="2" s="1"/>
  <c r="B26" i="2" a="1"/>
  <c r="B26" i="2" s="1"/>
  <c r="M31" i="2" a="1"/>
  <c r="M31" i="2" s="1"/>
  <c r="L31" i="2" a="1"/>
  <c r="L31" i="2" s="1"/>
  <c r="K31" i="2" a="1"/>
  <c r="K31" i="2" s="1"/>
  <c r="J31" i="2" a="1"/>
  <c r="J31" i="2" s="1"/>
  <c r="I31" i="2" a="1"/>
  <c r="I31" i="2" s="1"/>
  <c r="H31" i="2" a="1"/>
  <c r="H31" i="2" s="1"/>
  <c r="G31" i="2" a="1"/>
  <c r="G31" i="2" s="1"/>
  <c r="F31" i="2" a="1"/>
  <c r="F31" i="2" s="1"/>
  <c r="E31" i="2" a="1"/>
  <c r="E31" i="2" s="1"/>
  <c r="D31" i="2" a="1"/>
  <c r="D31" i="2" s="1"/>
  <c r="C31" i="2" a="1"/>
  <c r="C31" i="2" s="1"/>
  <c r="B31" i="2" a="1"/>
  <c r="B31" i="2" s="1"/>
  <c r="M36" i="2" a="1"/>
  <c r="M36" i="2" s="1"/>
  <c r="L36" i="2" a="1"/>
  <c r="L36" i="2" s="1"/>
  <c r="K36" i="2" a="1"/>
  <c r="K36" i="2" s="1"/>
  <c r="J36" i="2" a="1"/>
  <c r="J36" i="2" s="1"/>
  <c r="I36" i="2" a="1"/>
  <c r="I36" i="2" s="1"/>
  <c r="H36" i="2" a="1"/>
  <c r="H36" i="2" s="1"/>
  <c r="G36" i="2" a="1"/>
  <c r="G36" i="2" s="1"/>
  <c r="F36" i="2" a="1"/>
  <c r="F36" i="2" s="1"/>
  <c r="E36" i="2" a="1"/>
  <c r="E36" i="2" s="1"/>
  <c r="D36" i="2" a="1"/>
  <c r="D36" i="2" s="1"/>
  <c r="C36" i="2" a="1"/>
  <c r="C36" i="2" s="1"/>
  <c r="B36" i="2" a="1"/>
  <c r="B36" i="2" s="1"/>
  <c r="M41" i="2" a="1"/>
  <c r="M41" i="2" s="1"/>
  <c r="L41" i="2" a="1"/>
  <c r="L41" i="2" s="1"/>
  <c r="K41" i="2" a="1"/>
  <c r="K41" i="2" s="1"/>
  <c r="J41" i="2" a="1"/>
  <c r="J41" i="2" s="1"/>
  <c r="I41" i="2" a="1"/>
  <c r="I41" i="2" s="1"/>
  <c r="H41" i="2" a="1"/>
  <c r="H41" i="2" s="1"/>
  <c r="G41" i="2" a="1"/>
  <c r="G41" i="2" s="1"/>
  <c r="F41" i="2" a="1"/>
  <c r="F41" i="2" s="1"/>
  <c r="E41" i="2" a="1"/>
  <c r="E41" i="2" s="1"/>
  <c r="D41" i="2" a="1"/>
  <c r="D41" i="2" s="1"/>
  <c r="C41" i="2" a="1"/>
  <c r="C41" i="2" s="1"/>
  <c r="B41" i="2" a="1"/>
  <c r="B41" i="2" s="1"/>
  <c r="M51" i="2" a="1"/>
  <c r="M51" i="2" s="1"/>
  <c r="L51" i="2" a="1"/>
  <c r="L51" i="2" s="1"/>
  <c r="K51" i="2" a="1"/>
  <c r="K51" i="2" s="1"/>
  <c r="J51" i="2" a="1"/>
  <c r="J51" i="2" s="1"/>
  <c r="I51" i="2" a="1"/>
  <c r="I51" i="2" s="1"/>
  <c r="H51" i="2" a="1"/>
  <c r="H51" i="2" s="1"/>
  <c r="G51" i="2" a="1"/>
  <c r="G51" i="2" s="1"/>
  <c r="F51" i="2" a="1"/>
  <c r="F51" i="2" s="1"/>
  <c r="D51" i="2" a="1"/>
  <c r="D51" i="2" s="1"/>
  <c r="C51" i="2" a="1"/>
  <c r="C51" i="2" s="1"/>
  <c r="B51" i="2" a="1"/>
  <c r="B51" i="2" s="1"/>
  <c r="E51" i="2" a="1"/>
  <c r="E51" i="2" s="1"/>
  <c r="M5" i="2" a="1"/>
  <c r="M5" i="2" s="1"/>
  <c r="C48" i="2"/>
  <c r="D48" i="2"/>
  <c r="E48" i="2"/>
  <c r="F48" i="2"/>
  <c r="G48" i="2"/>
  <c r="H48" i="2"/>
  <c r="I48" i="2"/>
  <c r="J48" i="2"/>
  <c r="K48" i="2"/>
  <c r="L48" i="2"/>
  <c r="M48" i="2"/>
  <c r="B48" i="2"/>
  <c r="M40" i="2" a="1"/>
  <c r="M40" i="2" s="1"/>
  <c r="L40" i="2" a="1"/>
  <c r="L40" i="2" s="1"/>
  <c r="K40" i="2" a="1"/>
  <c r="K40" i="2" s="1"/>
  <c r="J40" i="2" a="1"/>
  <c r="J40" i="2" s="1"/>
  <c r="I40" i="2" a="1"/>
  <c r="I40" i="2" s="1"/>
  <c r="H40" i="2" a="1"/>
  <c r="H40" i="2" s="1"/>
  <c r="G40" i="2" a="1"/>
  <c r="G40" i="2" s="1"/>
  <c r="F40" i="2" a="1"/>
  <c r="F40" i="2" s="1"/>
  <c r="E40" i="2" a="1"/>
  <c r="E40" i="2" s="1"/>
  <c r="D40" i="2" a="1"/>
  <c r="D40" i="2" s="1"/>
  <c r="C40" i="2" a="1"/>
  <c r="C40" i="2" s="1"/>
  <c r="B40" i="2" a="1"/>
  <c r="B40" i="2" s="1"/>
  <c r="B5" i="2" a="1"/>
  <c r="B5" i="2" s="1"/>
  <c r="G22" i="6"/>
  <c r="G21" i="6"/>
  <c r="G20" i="6"/>
  <c r="G19" i="6"/>
  <c r="G18" i="6"/>
  <c r="G17" i="6"/>
  <c r="G16" i="6"/>
  <c r="G15" i="6"/>
  <c r="G14" i="6"/>
  <c r="G13" i="6"/>
  <c r="G12" i="6"/>
  <c r="G11" i="6"/>
  <c r="G10" i="6"/>
  <c r="G9" i="6"/>
  <c r="G8" i="6"/>
  <c r="G7" i="6"/>
  <c r="G6" i="6"/>
  <c r="G5" i="6"/>
  <c r="G4" i="6"/>
  <c r="G3" i="6"/>
  <c r="G2" i="6"/>
  <c r="G24" i="6"/>
  <c r="G25" i="6"/>
  <c r="G26" i="6"/>
  <c r="G27" i="6"/>
  <c r="G23" i="6"/>
  <c r="C1002" i="17"/>
  <c r="E1002" i="17" s="1"/>
  <c r="F1002" i="17"/>
  <c r="J1002" i="17"/>
  <c r="I1002" i="17" s="1"/>
  <c r="C1003" i="17"/>
  <c r="E1003" i="17"/>
  <c r="F1003" i="17"/>
  <c r="J1003" i="17"/>
  <c r="I1003" i="17" s="1"/>
  <c r="C1004" i="17"/>
  <c r="E1004" i="17"/>
  <c r="F1004" i="17"/>
  <c r="J1004" i="17"/>
  <c r="I1004" i="17" s="1"/>
  <c r="C1005" i="17"/>
  <c r="E1005" i="17"/>
  <c r="F1005" i="17"/>
  <c r="J1005" i="17"/>
  <c r="C1006" i="17"/>
  <c r="E1006" i="17"/>
  <c r="F1006" i="17"/>
  <c r="J1006" i="17"/>
  <c r="C1007" i="17"/>
  <c r="E1007" i="17" s="1"/>
  <c r="F1007" i="17"/>
  <c r="J1007" i="17"/>
  <c r="C1008" i="17"/>
  <c r="E1008" i="17" s="1"/>
  <c r="F1008" i="17"/>
  <c r="J1008" i="17"/>
  <c r="C1009" i="17"/>
  <c r="E1009" i="17" s="1"/>
  <c r="F1009" i="17"/>
  <c r="J1009" i="17"/>
  <c r="C1010" i="17"/>
  <c r="E1010" i="17" s="1"/>
  <c r="F1010" i="17"/>
  <c r="J1010" i="17"/>
  <c r="C1011" i="17"/>
  <c r="E1011" i="17" s="1"/>
  <c r="F1011" i="17"/>
  <c r="J1011" i="17"/>
  <c r="C1012" i="17"/>
  <c r="E1012" i="17" s="1"/>
  <c r="F1012" i="17"/>
  <c r="J1012" i="17"/>
  <c r="C1013" i="17"/>
  <c r="E1013" i="17" s="1"/>
  <c r="F1013" i="17"/>
  <c r="J1013" i="17"/>
  <c r="C1014" i="17"/>
  <c r="E1014" i="17" s="1"/>
  <c r="F1014" i="17"/>
  <c r="J1014" i="17"/>
  <c r="C1015" i="17"/>
  <c r="E1015" i="17" s="1"/>
  <c r="F1015" i="17"/>
  <c r="J1015" i="17"/>
  <c r="C1016" i="17"/>
  <c r="E1016" i="17" s="1"/>
  <c r="F1016" i="17"/>
  <c r="J1016" i="17"/>
  <c r="C1017" i="17"/>
  <c r="E1017" i="17"/>
  <c r="F1017" i="17"/>
  <c r="J1017" i="17"/>
  <c r="C1018" i="17"/>
  <c r="E1018" i="17" s="1"/>
  <c r="F1018" i="17"/>
  <c r="J1018" i="17"/>
  <c r="C1019" i="17"/>
  <c r="E1019" i="17" s="1"/>
  <c r="F1019" i="17"/>
  <c r="J1019" i="17"/>
  <c r="C1020" i="17"/>
  <c r="E1020" i="17" s="1"/>
  <c r="F1020" i="17"/>
  <c r="J1020" i="17"/>
  <c r="C1021" i="17"/>
  <c r="E1021" i="17" s="1"/>
  <c r="F1021" i="17"/>
  <c r="J1021" i="17"/>
  <c r="C1022" i="17"/>
  <c r="E1022" i="17" s="1"/>
  <c r="F1022" i="17"/>
  <c r="J1022" i="17"/>
  <c r="C1023" i="17"/>
  <c r="E1023" i="17" s="1"/>
  <c r="F1023" i="17"/>
  <c r="J1023" i="17"/>
  <c r="C1024" i="17"/>
  <c r="E1024" i="17" s="1"/>
  <c r="F1024" i="17"/>
  <c r="J1024" i="17"/>
  <c r="C1025" i="17"/>
  <c r="E1025" i="17" s="1"/>
  <c r="F1025" i="17"/>
  <c r="J1025" i="17"/>
  <c r="C1026" i="17"/>
  <c r="E1026" i="17" s="1"/>
  <c r="F1026" i="17"/>
  <c r="J1026" i="17"/>
  <c r="C1027" i="17"/>
  <c r="E1027" i="17"/>
  <c r="F1027" i="17"/>
  <c r="J1027" i="17"/>
  <c r="C1028" i="17"/>
  <c r="E1028" i="17" s="1"/>
  <c r="F1028" i="17"/>
  <c r="J1028" i="17"/>
  <c r="C1029" i="17"/>
  <c r="E1029" i="17" s="1"/>
  <c r="F1029" i="17"/>
  <c r="J1029" i="17"/>
  <c r="C1030" i="17"/>
  <c r="E1030" i="17" s="1"/>
  <c r="F1030" i="17"/>
  <c r="J1030" i="17"/>
  <c r="C1031" i="17"/>
  <c r="E1031" i="17" s="1"/>
  <c r="F1031" i="17"/>
  <c r="J1031" i="17"/>
  <c r="C1032" i="17"/>
  <c r="E1032" i="17" s="1"/>
  <c r="F1032" i="17"/>
  <c r="J1032" i="17"/>
  <c r="C1033" i="17"/>
  <c r="E1033" i="17" s="1"/>
  <c r="F1033" i="17"/>
  <c r="J1033" i="17"/>
  <c r="C1034" i="17"/>
  <c r="E1034" i="17" s="1"/>
  <c r="F1034" i="17"/>
  <c r="J1034" i="17"/>
  <c r="C1035" i="17"/>
  <c r="E1035" i="17"/>
  <c r="F1035" i="17"/>
  <c r="J1035" i="17"/>
  <c r="C1036" i="17"/>
  <c r="E1036" i="17" s="1"/>
  <c r="F1036" i="17"/>
  <c r="J1036" i="17"/>
  <c r="C1037" i="17"/>
  <c r="E1037" i="17" s="1"/>
  <c r="F1037" i="17"/>
  <c r="J1037" i="17"/>
  <c r="C1038" i="17"/>
  <c r="E1038" i="17" s="1"/>
  <c r="F1038" i="17"/>
  <c r="J1038" i="17"/>
  <c r="C1039" i="17"/>
  <c r="E1039" i="17" s="1"/>
  <c r="F1039" i="17"/>
  <c r="J1039" i="17"/>
  <c r="C1040" i="17"/>
  <c r="E1040" i="17" s="1"/>
  <c r="F1040" i="17"/>
  <c r="J1040" i="17"/>
  <c r="C1041" i="17"/>
  <c r="E1041" i="17" s="1"/>
  <c r="F1041" i="17"/>
  <c r="J1041" i="17"/>
  <c r="C1042" i="17"/>
  <c r="E1042" i="17" s="1"/>
  <c r="F1042" i="17"/>
  <c r="J1042" i="17"/>
  <c r="C1043" i="17"/>
  <c r="E1043" i="17" s="1"/>
  <c r="F1043" i="17"/>
  <c r="J1043" i="17"/>
  <c r="C1044" i="17"/>
  <c r="E1044" i="17" s="1"/>
  <c r="F1044" i="17"/>
  <c r="J1044" i="17"/>
  <c r="C1045" i="17"/>
  <c r="E1045" i="17" s="1"/>
  <c r="F1045" i="17"/>
  <c r="J1045" i="17"/>
  <c r="C1046" i="17"/>
  <c r="E1046" i="17" s="1"/>
  <c r="F1046" i="17"/>
  <c r="J1046" i="17"/>
  <c r="C1047" i="17"/>
  <c r="E1047" i="17" s="1"/>
  <c r="F1047" i="17"/>
  <c r="J1047" i="17"/>
  <c r="C1048" i="17"/>
  <c r="E1048" i="17" s="1"/>
  <c r="F1048" i="17"/>
  <c r="J1048" i="17"/>
  <c r="C1049" i="17"/>
  <c r="E1049" i="17" s="1"/>
  <c r="F1049" i="17"/>
  <c r="J1049" i="17"/>
  <c r="C1050" i="17"/>
  <c r="E1050" i="17" s="1"/>
  <c r="F1050" i="17"/>
  <c r="J1050" i="17"/>
  <c r="C1051" i="17"/>
  <c r="E1051" i="17" s="1"/>
  <c r="F1051" i="17"/>
  <c r="J1051" i="17"/>
  <c r="C1052" i="17"/>
  <c r="E1052" i="17" s="1"/>
  <c r="F1052" i="17"/>
  <c r="J1052" i="17"/>
  <c r="C1053" i="17"/>
  <c r="E1053" i="17" s="1"/>
  <c r="F1053" i="17"/>
  <c r="J1053" i="17"/>
  <c r="C1054" i="17"/>
  <c r="E1054" i="17" s="1"/>
  <c r="F1054" i="17"/>
  <c r="J1054" i="17"/>
  <c r="C1055" i="17"/>
  <c r="E1055" i="17" s="1"/>
  <c r="F1055" i="17"/>
  <c r="J1055" i="17"/>
  <c r="C1056" i="17"/>
  <c r="E1056" i="17" s="1"/>
  <c r="F1056" i="17"/>
  <c r="J1056" i="17"/>
  <c r="C1057" i="17"/>
  <c r="E1057" i="17" s="1"/>
  <c r="F1057" i="17"/>
  <c r="J1057" i="17"/>
  <c r="C1058" i="17"/>
  <c r="E1058" i="17" s="1"/>
  <c r="F1058" i="17"/>
  <c r="J1058" i="17"/>
  <c r="C1059" i="17"/>
  <c r="E1059" i="17" s="1"/>
  <c r="F1059" i="17"/>
  <c r="J1059" i="17"/>
  <c r="C1060" i="17"/>
  <c r="E1060" i="17" s="1"/>
  <c r="F1060" i="17"/>
  <c r="J1060" i="17"/>
  <c r="C1061" i="17"/>
  <c r="E1061" i="17" s="1"/>
  <c r="F1061" i="17"/>
  <c r="J1061" i="17"/>
  <c r="C1062" i="17"/>
  <c r="E1062" i="17" s="1"/>
  <c r="F1062" i="17"/>
  <c r="J1062" i="17"/>
  <c r="C1063" i="17"/>
  <c r="E1063" i="17" s="1"/>
  <c r="F1063" i="17"/>
  <c r="J1063" i="17"/>
  <c r="C1064" i="17"/>
  <c r="E1064" i="17" s="1"/>
  <c r="F1064" i="17"/>
  <c r="J1064" i="17"/>
  <c r="C1065" i="17"/>
  <c r="E1065" i="17" s="1"/>
  <c r="F1065" i="17"/>
  <c r="J1065" i="17"/>
  <c r="C1066" i="17"/>
  <c r="E1066" i="17" s="1"/>
  <c r="F1066" i="17"/>
  <c r="J1066" i="17"/>
  <c r="C1067" i="17"/>
  <c r="E1067" i="17" s="1"/>
  <c r="F1067" i="17"/>
  <c r="J1067" i="17"/>
  <c r="C1068" i="17"/>
  <c r="E1068" i="17" s="1"/>
  <c r="F1068" i="17"/>
  <c r="J1068" i="17"/>
  <c r="C1069" i="17"/>
  <c r="E1069" i="17" s="1"/>
  <c r="F1069" i="17"/>
  <c r="J1069" i="17"/>
  <c r="C1070" i="17"/>
  <c r="E1070" i="17" s="1"/>
  <c r="F1070" i="17"/>
  <c r="J1070" i="17"/>
  <c r="C1071" i="17"/>
  <c r="E1071" i="17" s="1"/>
  <c r="F1071" i="17"/>
  <c r="J1071" i="17"/>
  <c r="C1072" i="17"/>
  <c r="E1072" i="17" s="1"/>
  <c r="F1072" i="17"/>
  <c r="J1072" i="17"/>
  <c r="C1073" i="17"/>
  <c r="E1073" i="17" s="1"/>
  <c r="F1073" i="17"/>
  <c r="J1073" i="17"/>
  <c r="C1074" i="17"/>
  <c r="E1074" i="17" s="1"/>
  <c r="F1074" i="17"/>
  <c r="J1074" i="17"/>
  <c r="C1075" i="17"/>
  <c r="E1075" i="17" s="1"/>
  <c r="F1075" i="17"/>
  <c r="J1075" i="17"/>
  <c r="C1076" i="17"/>
  <c r="E1076" i="17" s="1"/>
  <c r="F1076" i="17"/>
  <c r="J1076" i="17"/>
  <c r="C1077" i="17"/>
  <c r="E1077" i="17" s="1"/>
  <c r="F1077" i="17"/>
  <c r="J1077" i="17"/>
  <c r="C1078" i="17"/>
  <c r="E1078" i="17" s="1"/>
  <c r="F1078" i="17"/>
  <c r="J1078" i="17"/>
  <c r="C1079" i="17"/>
  <c r="E1079" i="17" s="1"/>
  <c r="F1079" i="17"/>
  <c r="J1079" i="17"/>
  <c r="C1080" i="17"/>
  <c r="E1080" i="17" s="1"/>
  <c r="F1080" i="17"/>
  <c r="J1080" i="17"/>
  <c r="C1081" i="17"/>
  <c r="E1081" i="17" s="1"/>
  <c r="F1081" i="17"/>
  <c r="J1081" i="17"/>
  <c r="C1082" i="17"/>
  <c r="E1082" i="17" s="1"/>
  <c r="F1082" i="17"/>
  <c r="J1082" i="17"/>
  <c r="C1083" i="17"/>
  <c r="E1083" i="17" s="1"/>
  <c r="F1083" i="17"/>
  <c r="J1083" i="17"/>
  <c r="C1084" i="17"/>
  <c r="E1084" i="17" s="1"/>
  <c r="F1084" i="17"/>
  <c r="J1084" i="17"/>
  <c r="C1085" i="17"/>
  <c r="E1085" i="17" s="1"/>
  <c r="F1085" i="17"/>
  <c r="J1085" i="17"/>
  <c r="C1086" i="17"/>
  <c r="E1086" i="17" s="1"/>
  <c r="F1086" i="17"/>
  <c r="J1086" i="17"/>
  <c r="C1087" i="17"/>
  <c r="E1087" i="17" s="1"/>
  <c r="F1087" i="17"/>
  <c r="J1087" i="17"/>
  <c r="C1088" i="17"/>
  <c r="E1088" i="17" s="1"/>
  <c r="F1088" i="17"/>
  <c r="J1088" i="17"/>
  <c r="C1089" i="17"/>
  <c r="E1089" i="17" s="1"/>
  <c r="F1089" i="17"/>
  <c r="J1089" i="17"/>
  <c r="C1090" i="17"/>
  <c r="E1090" i="17" s="1"/>
  <c r="F1090" i="17"/>
  <c r="J1090" i="17"/>
  <c r="C1091" i="17"/>
  <c r="E1091" i="17" s="1"/>
  <c r="F1091" i="17"/>
  <c r="J1091" i="17"/>
  <c r="C1092" i="17"/>
  <c r="E1092" i="17" s="1"/>
  <c r="F1092" i="17"/>
  <c r="J1092" i="17"/>
  <c r="C1093" i="17"/>
  <c r="E1093" i="17" s="1"/>
  <c r="F1093" i="17"/>
  <c r="J1093" i="17"/>
  <c r="C1094" i="17"/>
  <c r="E1094" i="17" s="1"/>
  <c r="F1094" i="17"/>
  <c r="J1094" i="17"/>
  <c r="C1095" i="17"/>
  <c r="E1095" i="17" s="1"/>
  <c r="F1095" i="17"/>
  <c r="J1095" i="17"/>
  <c r="C1096" i="17"/>
  <c r="E1096" i="17" s="1"/>
  <c r="F1096" i="17"/>
  <c r="J1096" i="17"/>
  <c r="C1097" i="17"/>
  <c r="E1097" i="17" s="1"/>
  <c r="F1097" i="17"/>
  <c r="J1097" i="17"/>
  <c r="C1098" i="17"/>
  <c r="E1098" i="17" s="1"/>
  <c r="F1098" i="17"/>
  <c r="J1098" i="17"/>
  <c r="C1099" i="17"/>
  <c r="E1099" i="17" s="1"/>
  <c r="F1099" i="17"/>
  <c r="J1099" i="17"/>
  <c r="C1100" i="17"/>
  <c r="E1100" i="17" s="1"/>
  <c r="F1100" i="17"/>
  <c r="J1100" i="17"/>
  <c r="C1101" i="17"/>
  <c r="E1101" i="17" s="1"/>
  <c r="F1101" i="17"/>
  <c r="J1101" i="17"/>
  <c r="C1102" i="17"/>
  <c r="E1102" i="17" s="1"/>
  <c r="F1102" i="17"/>
  <c r="J1102" i="17"/>
  <c r="C1103" i="17"/>
  <c r="E1103" i="17" s="1"/>
  <c r="F1103" i="17"/>
  <c r="J1103" i="17"/>
  <c r="C1104" i="17"/>
  <c r="E1104" i="17" s="1"/>
  <c r="F1104" i="17"/>
  <c r="J1104" i="17"/>
  <c r="C1105" i="17"/>
  <c r="E1105" i="17" s="1"/>
  <c r="F1105" i="17"/>
  <c r="J1105" i="17"/>
  <c r="C1106" i="17"/>
  <c r="E1106" i="17" s="1"/>
  <c r="F1106" i="17"/>
  <c r="J1106" i="17"/>
  <c r="C1107" i="17"/>
  <c r="E1107" i="17" s="1"/>
  <c r="F1107" i="17"/>
  <c r="J1107" i="17"/>
  <c r="C1108" i="17"/>
  <c r="E1108" i="17" s="1"/>
  <c r="F1108" i="17"/>
  <c r="J1108" i="17"/>
  <c r="C1109" i="17"/>
  <c r="E1109" i="17" s="1"/>
  <c r="F1109" i="17"/>
  <c r="J1109" i="17"/>
  <c r="C1110" i="17"/>
  <c r="E1110" i="17" s="1"/>
  <c r="F1110" i="17"/>
  <c r="J1110" i="17"/>
  <c r="C1111" i="17"/>
  <c r="E1111" i="17" s="1"/>
  <c r="F1111" i="17"/>
  <c r="J1111" i="17"/>
  <c r="C1112" i="17"/>
  <c r="E1112" i="17" s="1"/>
  <c r="F1112" i="17"/>
  <c r="J1112" i="17"/>
  <c r="C1113" i="17"/>
  <c r="E1113" i="17" s="1"/>
  <c r="F1113" i="17"/>
  <c r="J1113" i="17"/>
  <c r="C1114" i="17"/>
  <c r="E1114" i="17" s="1"/>
  <c r="F1114" i="17"/>
  <c r="J1114" i="17"/>
  <c r="C1115" i="17"/>
  <c r="E1115" i="17" s="1"/>
  <c r="F1115" i="17"/>
  <c r="J1115" i="17"/>
  <c r="C1116" i="17"/>
  <c r="E1116" i="17" s="1"/>
  <c r="F1116" i="17"/>
  <c r="J1116" i="17"/>
  <c r="C1117" i="17"/>
  <c r="E1117" i="17" s="1"/>
  <c r="F1117" i="17"/>
  <c r="J1117" i="17"/>
  <c r="C1118" i="17"/>
  <c r="E1118" i="17" s="1"/>
  <c r="F1118" i="17"/>
  <c r="J1118" i="17"/>
  <c r="C1119" i="17"/>
  <c r="E1119" i="17" s="1"/>
  <c r="F1119" i="17"/>
  <c r="J1119" i="17"/>
  <c r="C1120" i="17"/>
  <c r="E1120" i="17" s="1"/>
  <c r="F1120" i="17"/>
  <c r="J1120" i="17"/>
  <c r="C1121" i="17"/>
  <c r="E1121" i="17" s="1"/>
  <c r="F1121" i="17"/>
  <c r="J1121" i="17"/>
  <c r="C1122" i="17"/>
  <c r="E1122" i="17" s="1"/>
  <c r="F1122" i="17"/>
  <c r="J1122" i="17"/>
  <c r="C1123" i="17"/>
  <c r="E1123" i="17" s="1"/>
  <c r="F1123" i="17"/>
  <c r="J1123" i="17"/>
  <c r="C1124" i="17"/>
  <c r="E1124" i="17" s="1"/>
  <c r="F1124" i="17"/>
  <c r="J1124" i="17"/>
  <c r="C1125" i="17"/>
  <c r="E1125" i="17" s="1"/>
  <c r="F1125" i="17"/>
  <c r="J1125" i="17"/>
  <c r="C1126" i="17"/>
  <c r="E1126" i="17" s="1"/>
  <c r="F1126" i="17"/>
  <c r="J1126" i="17"/>
  <c r="C1127" i="17"/>
  <c r="E1127" i="17" s="1"/>
  <c r="F1127" i="17"/>
  <c r="J1127" i="17"/>
  <c r="C1128" i="17"/>
  <c r="E1128" i="17" s="1"/>
  <c r="F1128" i="17"/>
  <c r="J1128" i="17"/>
  <c r="C1129" i="17"/>
  <c r="E1129" i="17" s="1"/>
  <c r="F1129" i="17"/>
  <c r="J1129" i="17"/>
  <c r="C1130" i="17"/>
  <c r="E1130" i="17" s="1"/>
  <c r="F1130" i="17"/>
  <c r="J1130" i="17"/>
  <c r="C1131" i="17"/>
  <c r="E1131" i="17" s="1"/>
  <c r="F1131" i="17"/>
  <c r="J1131" i="17"/>
  <c r="C1132" i="17"/>
  <c r="E1132" i="17" s="1"/>
  <c r="F1132" i="17"/>
  <c r="J1132" i="17"/>
  <c r="C1133" i="17"/>
  <c r="E1133" i="17" s="1"/>
  <c r="F1133" i="17"/>
  <c r="J1133" i="17"/>
  <c r="C1134" i="17"/>
  <c r="E1134" i="17" s="1"/>
  <c r="F1134" i="17"/>
  <c r="J1134" i="17"/>
  <c r="C1135" i="17"/>
  <c r="E1135" i="17" s="1"/>
  <c r="F1135" i="17"/>
  <c r="J1135" i="17"/>
  <c r="C1136" i="17"/>
  <c r="E1136" i="17" s="1"/>
  <c r="F1136" i="17"/>
  <c r="J1136" i="17"/>
  <c r="C1137" i="17"/>
  <c r="E1137" i="17" s="1"/>
  <c r="F1137" i="17"/>
  <c r="J1137" i="17"/>
  <c r="C1138" i="17"/>
  <c r="E1138" i="17" s="1"/>
  <c r="F1138" i="17"/>
  <c r="J1138" i="17"/>
  <c r="C1139" i="17"/>
  <c r="E1139" i="17" s="1"/>
  <c r="F1139" i="17"/>
  <c r="J1139" i="17"/>
  <c r="C1140" i="17"/>
  <c r="E1140" i="17" s="1"/>
  <c r="F1140" i="17"/>
  <c r="J1140" i="17"/>
  <c r="C1141" i="17"/>
  <c r="E1141" i="17" s="1"/>
  <c r="F1141" i="17"/>
  <c r="J1141" i="17"/>
  <c r="C1142" i="17"/>
  <c r="E1142" i="17" s="1"/>
  <c r="F1142" i="17"/>
  <c r="J1142" i="17"/>
  <c r="C1143" i="17"/>
  <c r="E1143" i="17" s="1"/>
  <c r="F1143" i="17"/>
  <c r="J1143" i="17"/>
  <c r="C1144" i="17"/>
  <c r="E1144" i="17" s="1"/>
  <c r="F1144" i="17"/>
  <c r="J1144" i="17"/>
  <c r="C1145" i="17"/>
  <c r="E1145" i="17" s="1"/>
  <c r="F1145" i="17"/>
  <c r="J1145" i="17"/>
  <c r="C1146" i="17"/>
  <c r="E1146" i="17" s="1"/>
  <c r="F1146" i="17"/>
  <c r="J1146" i="17"/>
  <c r="C1147" i="17"/>
  <c r="E1147" i="17" s="1"/>
  <c r="F1147" i="17"/>
  <c r="J1147" i="17"/>
  <c r="C1148" i="17"/>
  <c r="E1148" i="17" s="1"/>
  <c r="F1148" i="17"/>
  <c r="J1148" i="17"/>
  <c r="C1149" i="17"/>
  <c r="E1149" i="17"/>
  <c r="F1149" i="17"/>
  <c r="J1149" i="17"/>
  <c r="C1150" i="17"/>
  <c r="E1150" i="17"/>
  <c r="F1150" i="17"/>
  <c r="J1150" i="17"/>
  <c r="C1151" i="17"/>
  <c r="E1151" i="17"/>
  <c r="F1151" i="17"/>
  <c r="J1151" i="17"/>
  <c r="C1152" i="17"/>
  <c r="E1152" i="17"/>
  <c r="F1152" i="17"/>
  <c r="J1152" i="17"/>
  <c r="C1153" i="17"/>
  <c r="E1153" i="17"/>
  <c r="F1153" i="17"/>
  <c r="J1153" i="17"/>
  <c r="C1154" i="17"/>
  <c r="E1154" i="17"/>
  <c r="F1154" i="17"/>
  <c r="J1154" i="17"/>
  <c r="C1155" i="17"/>
  <c r="E1155" i="17"/>
  <c r="F1155" i="17"/>
  <c r="J1155" i="17"/>
  <c r="C1156" i="17"/>
  <c r="E1156" i="17"/>
  <c r="F1156" i="17"/>
  <c r="J1156" i="17"/>
  <c r="C1157" i="17"/>
  <c r="E1157" i="17"/>
  <c r="F1157" i="17"/>
  <c r="J1157" i="17"/>
  <c r="C1158" i="17"/>
  <c r="E1158" i="17"/>
  <c r="F1158" i="17"/>
  <c r="J1158" i="17"/>
  <c r="C1159" i="17"/>
  <c r="E1159" i="17"/>
  <c r="F1159" i="17"/>
  <c r="J1159" i="17"/>
  <c r="C1160" i="17"/>
  <c r="E1160" i="17"/>
  <c r="F1160" i="17"/>
  <c r="J1160" i="17"/>
  <c r="C1161" i="17"/>
  <c r="E1161" i="17"/>
  <c r="F1161" i="17"/>
  <c r="J1161" i="17"/>
  <c r="C1162" i="17"/>
  <c r="E1162" i="17"/>
  <c r="F1162" i="17"/>
  <c r="J1162" i="17"/>
  <c r="C1163" i="17"/>
  <c r="E1163" i="17"/>
  <c r="F1163" i="17"/>
  <c r="J1163" i="17"/>
  <c r="C1164" i="17"/>
  <c r="E1164" i="17"/>
  <c r="F1164" i="17"/>
  <c r="J1164" i="17"/>
  <c r="C1165" i="17"/>
  <c r="E1165" i="17"/>
  <c r="F1165" i="17"/>
  <c r="J1165" i="17"/>
  <c r="C1166" i="17"/>
  <c r="E1166" i="17"/>
  <c r="F1166" i="17"/>
  <c r="J1166" i="17"/>
  <c r="C1167" i="17"/>
  <c r="E1167" i="17"/>
  <c r="F1167" i="17"/>
  <c r="J1167" i="17"/>
  <c r="C1168" i="17"/>
  <c r="E1168" i="17"/>
  <c r="F1168" i="17"/>
  <c r="J1168" i="17"/>
  <c r="C1169" i="17"/>
  <c r="E1169" i="17"/>
  <c r="F1169" i="17"/>
  <c r="J1169" i="17"/>
  <c r="C1170" i="17"/>
  <c r="E1170" i="17"/>
  <c r="F1170" i="17"/>
  <c r="J1170" i="17"/>
  <c r="C1171" i="17"/>
  <c r="E1171" i="17"/>
  <c r="F1171" i="17"/>
  <c r="J1171" i="17"/>
  <c r="C1172" i="17"/>
  <c r="E1172" i="17"/>
  <c r="F1172" i="17"/>
  <c r="J1172" i="17"/>
  <c r="C1173" i="17"/>
  <c r="E1173" i="17"/>
  <c r="F1173" i="17"/>
  <c r="J1173" i="17"/>
  <c r="C1174" i="17"/>
  <c r="E1174" i="17"/>
  <c r="F1174" i="17"/>
  <c r="J1174" i="17"/>
  <c r="C1175" i="17"/>
  <c r="E1175" i="17"/>
  <c r="F1175" i="17"/>
  <c r="J1175" i="17"/>
  <c r="C1176" i="17"/>
  <c r="E1176" i="17"/>
  <c r="F1176" i="17"/>
  <c r="J1176" i="17"/>
  <c r="C1177" i="17"/>
  <c r="E1177" i="17"/>
  <c r="F1177" i="17"/>
  <c r="J1177" i="17"/>
  <c r="C1178" i="17"/>
  <c r="E1178" i="17"/>
  <c r="F1178" i="17"/>
  <c r="J1178" i="17"/>
  <c r="C1179" i="17"/>
  <c r="E1179" i="17"/>
  <c r="F1179" i="17"/>
  <c r="J1179" i="17"/>
  <c r="C1180" i="17"/>
  <c r="E1180" i="17"/>
  <c r="F1180" i="17"/>
  <c r="J1180" i="17"/>
  <c r="C1181" i="17"/>
  <c r="E1181" i="17"/>
  <c r="F1181" i="17"/>
  <c r="J1181" i="17"/>
  <c r="C1182" i="17"/>
  <c r="E1182" i="17"/>
  <c r="F1182" i="17"/>
  <c r="J1182" i="17"/>
  <c r="C1183" i="17"/>
  <c r="E1183" i="17"/>
  <c r="F1183" i="17"/>
  <c r="J1183" i="17"/>
  <c r="C1184" i="17"/>
  <c r="E1184" i="17"/>
  <c r="F1184" i="17"/>
  <c r="J1184" i="17"/>
  <c r="C1185" i="17"/>
  <c r="E1185" i="17"/>
  <c r="F1185" i="17"/>
  <c r="J1185" i="17"/>
  <c r="C1186" i="17"/>
  <c r="E1186" i="17"/>
  <c r="F1186" i="17"/>
  <c r="J1186" i="17"/>
  <c r="C1187" i="17"/>
  <c r="E1187" i="17"/>
  <c r="F1187" i="17"/>
  <c r="J1187" i="17"/>
  <c r="C1188" i="17"/>
  <c r="E1188" i="17"/>
  <c r="F1188" i="17"/>
  <c r="J1188" i="17"/>
  <c r="C1189" i="17"/>
  <c r="E1189" i="17"/>
  <c r="F1189" i="17"/>
  <c r="J1189" i="17"/>
  <c r="C1190" i="17"/>
  <c r="E1190" i="17"/>
  <c r="F1190" i="17"/>
  <c r="J1190" i="17"/>
  <c r="C1191" i="17"/>
  <c r="E1191" i="17"/>
  <c r="F1191" i="17"/>
  <c r="J1191" i="17"/>
  <c r="C1192" i="17"/>
  <c r="E1192" i="17"/>
  <c r="F1192" i="17"/>
  <c r="J1192" i="17"/>
  <c r="C1193" i="17"/>
  <c r="E1193" i="17"/>
  <c r="F1193" i="17"/>
  <c r="J1193" i="17"/>
  <c r="C1194" i="17"/>
  <c r="E1194" i="17"/>
  <c r="F1194" i="17"/>
  <c r="J1194" i="17"/>
  <c r="C1195" i="17"/>
  <c r="E1195" i="17"/>
  <c r="F1195" i="17"/>
  <c r="J1195" i="17"/>
  <c r="C1196" i="17"/>
  <c r="E1196" i="17"/>
  <c r="F1196" i="17"/>
  <c r="J1196" i="17"/>
  <c r="C1197" i="17"/>
  <c r="E1197" i="17"/>
  <c r="F1197" i="17"/>
  <c r="J1197" i="17"/>
  <c r="C1198" i="17"/>
  <c r="E1198" i="17"/>
  <c r="F1198" i="17"/>
  <c r="J1198" i="17"/>
  <c r="C1199" i="17"/>
  <c r="E1199" i="17"/>
  <c r="F1199" i="17"/>
  <c r="J1199" i="17"/>
  <c r="C1200" i="17"/>
  <c r="E1200" i="17"/>
  <c r="F1200" i="17"/>
  <c r="J1200" i="17"/>
  <c r="C1201" i="17"/>
  <c r="E1201" i="17"/>
  <c r="F1201" i="17"/>
  <c r="J1201" i="17"/>
  <c r="C1202" i="17"/>
  <c r="E1202" i="17"/>
  <c r="F1202" i="17"/>
  <c r="J1202" i="17"/>
  <c r="C1203" i="17"/>
  <c r="E1203" i="17"/>
  <c r="F1203" i="17"/>
  <c r="J1203" i="17"/>
  <c r="C1204" i="17"/>
  <c r="E1204" i="17"/>
  <c r="F1204" i="17"/>
  <c r="J1204" i="17"/>
  <c r="C1205" i="17"/>
  <c r="E1205" i="17"/>
  <c r="F1205" i="17"/>
  <c r="J1205" i="17"/>
  <c r="C1206" i="17"/>
  <c r="E1206" i="17"/>
  <c r="F1206" i="17"/>
  <c r="J1206" i="17"/>
  <c r="C1207" i="17"/>
  <c r="E1207" i="17"/>
  <c r="F1207" i="17"/>
  <c r="J1207" i="17"/>
  <c r="C1208" i="17"/>
  <c r="E1208" i="17"/>
  <c r="F1208" i="17"/>
  <c r="J1208" i="17"/>
  <c r="C1209" i="17"/>
  <c r="E1209" i="17"/>
  <c r="F1209" i="17"/>
  <c r="J1209" i="17"/>
  <c r="C1210" i="17"/>
  <c r="E1210" i="17"/>
  <c r="F1210" i="17"/>
  <c r="J1210" i="17"/>
  <c r="C1211" i="17"/>
  <c r="E1211" i="17"/>
  <c r="F1211" i="17"/>
  <c r="J1211" i="17"/>
  <c r="C1212" i="17"/>
  <c r="E1212" i="17"/>
  <c r="F1212" i="17"/>
  <c r="J1212" i="17"/>
  <c r="C1213" i="17"/>
  <c r="E1213" i="17"/>
  <c r="F1213" i="17"/>
  <c r="J1213" i="17"/>
  <c r="C1214" i="17"/>
  <c r="E1214" i="17"/>
  <c r="F1214" i="17"/>
  <c r="J1214" i="17"/>
  <c r="C1215" i="17"/>
  <c r="E1215" i="17"/>
  <c r="F1215" i="17"/>
  <c r="J1215" i="17"/>
  <c r="C1216" i="17"/>
  <c r="E1216" i="17"/>
  <c r="F1216" i="17"/>
  <c r="J1216" i="17"/>
  <c r="C1217" i="17"/>
  <c r="E1217" i="17"/>
  <c r="F1217" i="17"/>
  <c r="J1217" i="17"/>
  <c r="C1218" i="17"/>
  <c r="E1218" i="17" s="1"/>
  <c r="F1218" i="17"/>
  <c r="J1218" i="17"/>
  <c r="C1219" i="17"/>
  <c r="E1219" i="17" s="1"/>
  <c r="F1219" i="17"/>
  <c r="J1219" i="17"/>
  <c r="C1220" i="17"/>
  <c r="E1220" i="17" s="1"/>
  <c r="F1220" i="17"/>
  <c r="J1220" i="17"/>
  <c r="C1221" i="17"/>
  <c r="E1221" i="17" s="1"/>
  <c r="F1221" i="17"/>
  <c r="J1221" i="17"/>
  <c r="C1222" i="17"/>
  <c r="E1222" i="17" s="1"/>
  <c r="F1222" i="17"/>
  <c r="J1222" i="17"/>
  <c r="C1223" i="17"/>
  <c r="E1223" i="17" s="1"/>
  <c r="F1223" i="17"/>
  <c r="J1223" i="17"/>
  <c r="C1224" i="17"/>
  <c r="E1224" i="17" s="1"/>
  <c r="F1224" i="17"/>
  <c r="J1224" i="17"/>
  <c r="C1225" i="17"/>
  <c r="E1225" i="17" s="1"/>
  <c r="F1225" i="17"/>
  <c r="J1225" i="17"/>
  <c r="C1226" i="17"/>
  <c r="E1226" i="17" s="1"/>
  <c r="F1226" i="17"/>
  <c r="J1226" i="17"/>
  <c r="C1227" i="17"/>
  <c r="E1227" i="17" s="1"/>
  <c r="F1227" i="17"/>
  <c r="J1227" i="17"/>
  <c r="C1228" i="17"/>
  <c r="E1228" i="17" s="1"/>
  <c r="F1228" i="17"/>
  <c r="J1228" i="17"/>
  <c r="C1229" i="17"/>
  <c r="E1229" i="17" s="1"/>
  <c r="F1229" i="17"/>
  <c r="J1229" i="17"/>
  <c r="C1230" i="17"/>
  <c r="E1230" i="17" s="1"/>
  <c r="F1230" i="17"/>
  <c r="J1230" i="17"/>
  <c r="C1231" i="17"/>
  <c r="E1231" i="17" s="1"/>
  <c r="F1231" i="17"/>
  <c r="J1231" i="17"/>
  <c r="C1232" i="17"/>
  <c r="E1232" i="17" s="1"/>
  <c r="F1232" i="17"/>
  <c r="J1232" i="17"/>
  <c r="C1233" i="17"/>
  <c r="E1233" i="17" s="1"/>
  <c r="F1233" i="17"/>
  <c r="J1233" i="17"/>
  <c r="C1234" i="17"/>
  <c r="E1234" i="17" s="1"/>
  <c r="F1234" i="17"/>
  <c r="J1234" i="17"/>
  <c r="C1235" i="17"/>
  <c r="E1235" i="17" s="1"/>
  <c r="F1235" i="17"/>
  <c r="J1235" i="17"/>
  <c r="C1236" i="17"/>
  <c r="E1236" i="17" s="1"/>
  <c r="F1236" i="17"/>
  <c r="J1236" i="17"/>
  <c r="C1237" i="17"/>
  <c r="E1237" i="17" s="1"/>
  <c r="F1237" i="17"/>
  <c r="J1237" i="17"/>
  <c r="C1238" i="17"/>
  <c r="E1238" i="17" s="1"/>
  <c r="F1238" i="17"/>
  <c r="J1238" i="17"/>
  <c r="C1239" i="17"/>
  <c r="E1239" i="17" s="1"/>
  <c r="F1239" i="17"/>
  <c r="J1239" i="17"/>
  <c r="C1240" i="17"/>
  <c r="E1240" i="17" s="1"/>
  <c r="F1240" i="17"/>
  <c r="J1240" i="17"/>
  <c r="C1241" i="17"/>
  <c r="E1241" i="17" s="1"/>
  <c r="F1241" i="17"/>
  <c r="J1241" i="17"/>
  <c r="C1242" i="17"/>
  <c r="E1242" i="17" s="1"/>
  <c r="F1242" i="17"/>
  <c r="J1242" i="17"/>
  <c r="C1243" i="17"/>
  <c r="E1243" i="17" s="1"/>
  <c r="F1243" i="17"/>
  <c r="J1243" i="17"/>
  <c r="C1244" i="17"/>
  <c r="E1244" i="17" s="1"/>
  <c r="F1244" i="17"/>
  <c r="J1244" i="17"/>
  <c r="C1245" i="17"/>
  <c r="E1245" i="17" s="1"/>
  <c r="F1245" i="17"/>
  <c r="J1245" i="17"/>
  <c r="C1246" i="17"/>
  <c r="E1246" i="17" s="1"/>
  <c r="F1246" i="17"/>
  <c r="J1246" i="17"/>
  <c r="C1247" i="17"/>
  <c r="E1247" i="17" s="1"/>
  <c r="F1247" i="17"/>
  <c r="J1247" i="17"/>
  <c r="C1248" i="17"/>
  <c r="E1248" i="17" s="1"/>
  <c r="F1248" i="17"/>
  <c r="J1248" i="17"/>
  <c r="C1249" i="17"/>
  <c r="E1249" i="17" s="1"/>
  <c r="F1249" i="17"/>
  <c r="J1249" i="17"/>
  <c r="C1250" i="17"/>
  <c r="E1250" i="17" s="1"/>
  <c r="F1250" i="17"/>
  <c r="J1250" i="17"/>
  <c r="C1251" i="17"/>
  <c r="E1251" i="17"/>
  <c r="F1251" i="17"/>
  <c r="J1251" i="17"/>
  <c r="C1252" i="17"/>
  <c r="E1252" i="17" s="1"/>
  <c r="F1252" i="17"/>
  <c r="J1252" i="17"/>
  <c r="C1253" i="17"/>
  <c r="E1253" i="17" s="1"/>
  <c r="F1253" i="17"/>
  <c r="J1253" i="17"/>
  <c r="C1254" i="17"/>
  <c r="E1254" i="17" s="1"/>
  <c r="F1254" i="17"/>
  <c r="J1254" i="17"/>
  <c r="C1255" i="17"/>
  <c r="E1255" i="17" s="1"/>
  <c r="F1255" i="17"/>
  <c r="J1255" i="17"/>
  <c r="C1256" i="17"/>
  <c r="E1256" i="17" s="1"/>
  <c r="F1256" i="17"/>
  <c r="J1256" i="17"/>
  <c r="C1257" i="17"/>
  <c r="E1257" i="17" s="1"/>
  <c r="F1257" i="17"/>
  <c r="J1257" i="17"/>
  <c r="C1258" i="17"/>
  <c r="E1258" i="17" s="1"/>
  <c r="F1258" i="17"/>
  <c r="J1258" i="17"/>
  <c r="C1259" i="17"/>
  <c r="E1259" i="17" s="1"/>
  <c r="F1259" i="17"/>
  <c r="J1259" i="17"/>
  <c r="C1260" i="17"/>
  <c r="E1260" i="17" s="1"/>
  <c r="F1260" i="17"/>
  <c r="J1260" i="17"/>
  <c r="C1261" i="17"/>
  <c r="E1261" i="17" s="1"/>
  <c r="F1261" i="17"/>
  <c r="J1261" i="17"/>
  <c r="C1262" i="17"/>
  <c r="E1262" i="17"/>
  <c r="F1262" i="17"/>
  <c r="J1262" i="17"/>
  <c r="C1263" i="17"/>
  <c r="E1263" i="17" s="1"/>
  <c r="F1263" i="17"/>
  <c r="J1263" i="17"/>
  <c r="C1264" i="17"/>
  <c r="E1264" i="17" s="1"/>
  <c r="F1264" i="17"/>
  <c r="J1264" i="17"/>
  <c r="C1265" i="17"/>
  <c r="E1265" i="17" s="1"/>
  <c r="F1265" i="17"/>
  <c r="J1265" i="17"/>
  <c r="C1266" i="17"/>
  <c r="E1266" i="17" s="1"/>
  <c r="F1266" i="17"/>
  <c r="J1266" i="17"/>
  <c r="C1267" i="17"/>
  <c r="E1267" i="17" s="1"/>
  <c r="F1267" i="17"/>
  <c r="J1267" i="17"/>
  <c r="C1268" i="17"/>
  <c r="E1268" i="17" s="1"/>
  <c r="F1268" i="17"/>
  <c r="J1268" i="17"/>
  <c r="C1269" i="17"/>
  <c r="E1269" i="17" s="1"/>
  <c r="F1269" i="17"/>
  <c r="J1269" i="17"/>
  <c r="C1270" i="17"/>
  <c r="E1270" i="17" s="1"/>
  <c r="F1270" i="17"/>
  <c r="J1270" i="17"/>
  <c r="C1271" i="17"/>
  <c r="E1271" i="17" s="1"/>
  <c r="F1271" i="17"/>
  <c r="J1271" i="17"/>
  <c r="C1272" i="17"/>
  <c r="E1272" i="17" s="1"/>
  <c r="F1272" i="17"/>
  <c r="J1272" i="17"/>
  <c r="C1273" i="17"/>
  <c r="E1273" i="17" s="1"/>
  <c r="F1273" i="17"/>
  <c r="J1273" i="17"/>
  <c r="C1274" i="17"/>
  <c r="E1274" i="17" s="1"/>
  <c r="F1274" i="17"/>
  <c r="J1274" i="17"/>
  <c r="C1275" i="17"/>
  <c r="E1275" i="17" s="1"/>
  <c r="F1275" i="17"/>
  <c r="J1275" i="17"/>
  <c r="C1276" i="17"/>
  <c r="E1276" i="17" s="1"/>
  <c r="F1276" i="17"/>
  <c r="J1276" i="17"/>
  <c r="C1277" i="17"/>
  <c r="E1277" i="17" s="1"/>
  <c r="F1277" i="17"/>
  <c r="J1277" i="17"/>
  <c r="C1278" i="17"/>
  <c r="E1278" i="17" s="1"/>
  <c r="F1278" i="17"/>
  <c r="J1278" i="17"/>
  <c r="C1279" i="17"/>
  <c r="E1279" i="17" s="1"/>
  <c r="F1279" i="17"/>
  <c r="J1279" i="17"/>
  <c r="C1280" i="17"/>
  <c r="E1280" i="17" s="1"/>
  <c r="F1280" i="17"/>
  <c r="J1280" i="17"/>
  <c r="C1281" i="17"/>
  <c r="E1281" i="17" s="1"/>
  <c r="F1281" i="17"/>
  <c r="J1281" i="17"/>
  <c r="C1282" i="17"/>
  <c r="E1282" i="17" s="1"/>
  <c r="F1282" i="17"/>
  <c r="J1282" i="17"/>
  <c r="C1283" i="17"/>
  <c r="E1283" i="17" s="1"/>
  <c r="F1283" i="17"/>
  <c r="J1283" i="17"/>
  <c r="C1284" i="17"/>
  <c r="E1284" i="17" s="1"/>
  <c r="F1284" i="17"/>
  <c r="J1284" i="17"/>
  <c r="C1285" i="17"/>
  <c r="E1285" i="17" s="1"/>
  <c r="F1285" i="17"/>
  <c r="J1285" i="17"/>
  <c r="C1286" i="17"/>
  <c r="E1286" i="17" s="1"/>
  <c r="F1286" i="17"/>
  <c r="J1286" i="17"/>
  <c r="C1287" i="17"/>
  <c r="E1287" i="17" s="1"/>
  <c r="F1287" i="17"/>
  <c r="J1287" i="17"/>
  <c r="C1288" i="17"/>
  <c r="E1288" i="17" s="1"/>
  <c r="F1288" i="17"/>
  <c r="J1288" i="17"/>
  <c r="C1289" i="17"/>
  <c r="E1289" i="17"/>
  <c r="F1289" i="17"/>
  <c r="J1289" i="17"/>
  <c r="C1290" i="17"/>
  <c r="E1290" i="17" s="1"/>
  <c r="F1290" i="17"/>
  <c r="J1290" i="17"/>
  <c r="C1291" i="17"/>
  <c r="E1291" i="17" s="1"/>
  <c r="F1291" i="17"/>
  <c r="J1291" i="17"/>
  <c r="C1292" i="17"/>
  <c r="E1292" i="17" s="1"/>
  <c r="F1292" i="17"/>
  <c r="J1292" i="17"/>
  <c r="C1293" i="17"/>
  <c r="E1293" i="17" s="1"/>
  <c r="F1293" i="17"/>
  <c r="J1293" i="17"/>
  <c r="C1294" i="17"/>
  <c r="E1294" i="17" s="1"/>
  <c r="F1294" i="17"/>
  <c r="J1294" i="17"/>
  <c r="C1295" i="17"/>
  <c r="E1295" i="17" s="1"/>
  <c r="F1295" i="17"/>
  <c r="J1295" i="17"/>
  <c r="C1296" i="17"/>
  <c r="E1296" i="17"/>
  <c r="F1296" i="17"/>
  <c r="J1296" i="17"/>
  <c r="C1297" i="17"/>
  <c r="E1297" i="17"/>
  <c r="F1297" i="17"/>
  <c r="J1297" i="17"/>
  <c r="C1298" i="17"/>
  <c r="E1298" i="17"/>
  <c r="F1298" i="17"/>
  <c r="J1298" i="17"/>
  <c r="C1299" i="17"/>
  <c r="E1299" i="17"/>
  <c r="F1299" i="17"/>
  <c r="J1299" i="17"/>
  <c r="C1300" i="17"/>
  <c r="E1300" i="17"/>
  <c r="F1300" i="17"/>
  <c r="J1300" i="17"/>
  <c r="C1301" i="17"/>
  <c r="E1301" i="17"/>
  <c r="F1301" i="17"/>
  <c r="J1301" i="17"/>
  <c r="C1302" i="17"/>
  <c r="E1302" i="17"/>
  <c r="F1302" i="17"/>
  <c r="J1302" i="17"/>
  <c r="C1303" i="17"/>
  <c r="E1303" i="17"/>
  <c r="F1303" i="17"/>
  <c r="J1303" i="17"/>
  <c r="C1304" i="17"/>
  <c r="E1304" i="17"/>
  <c r="F1304" i="17"/>
  <c r="J1304" i="17"/>
  <c r="C1305" i="17"/>
  <c r="E1305" i="17"/>
  <c r="F1305" i="17"/>
  <c r="J1305" i="17"/>
  <c r="C1306" i="17"/>
  <c r="E1306" i="17"/>
  <c r="F1306" i="17"/>
  <c r="J1306" i="17"/>
  <c r="C1307" i="17"/>
  <c r="E1307" i="17"/>
  <c r="F1307" i="17"/>
  <c r="J1307" i="17"/>
  <c r="C1308" i="17"/>
  <c r="E1308" i="17"/>
  <c r="F1308" i="17"/>
  <c r="J1308" i="17"/>
  <c r="C1309" i="17"/>
  <c r="E1309" i="17"/>
  <c r="F1309" i="17"/>
  <c r="J1309" i="17"/>
  <c r="C1310" i="17"/>
  <c r="E1310" i="17"/>
  <c r="F1310" i="17"/>
  <c r="J1310" i="17"/>
  <c r="C1311" i="17"/>
  <c r="E1311" i="17"/>
  <c r="F1311" i="17"/>
  <c r="J1311" i="17"/>
  <c r="C1312" i="17"/>
  <c r="E1312" i="17"/>
  <c r="F1312" i="17"/>
  <c r="J1312" i="17"/>
  <c r="C1313" i="17"/>
  <c r="E1313" i="17"/>
  <c r="F1313" i="17"/>
  <c r="J1313" i="17"/>
  <c r="C1314" i="17"/>
  <c r="E1314" i="17"/>
  <c r="F1314" i="17"/>
  <c r="J1314" i="17"/>
  <c r="C1315" i="17"/>
  <c r="E1315" i="17"/>
  <c r="F1315" i="17"/>
  <c r="J1315" i="17"/>
  <c r="C1316" i="17"/>
  <c r="E1316" i="17"/>
  <c r="F1316" i="17"/>
  <c r="J1316" i="17"/>
  <c r="C1317" i="17"/>
  <c r="E1317" i="17"/>
  <c r="F1317" i="17"/>
  <c r="J1317" i="17"/>
  <c r="C1318" i="17"/>
  <c r="E1318" i="17"/>
  <c r="F1318" i="17"/>
  <c r="J1318" i="17"/>
  <c r="C1319" i="17"/>
  <c r="E1319" i="17"/>
  <c r="F1319" i="17"/>
  <c r="J1319" i="17"/>
  <c r="C1320" i="17"/>
  <c r="E1320" i="17"/>
  <c r="F1320" i="17"/>
  <c r="J1320" i="17"/>
  <c r="C1321" i="17"/>
  <c r="E1321" i="17"/>
  <c r="F1321" i="17"/>
  <c r="J1321" i="17"/>
  <c r="C1322" i="17"/>
  <c r="E1322" i="17"/>
  <c r="F1322" i="17"/>
  <c r="J1322" i="17"/>
  <c r="C1323" i="17"/>
  <c r="E1323" i="17"/>
  <c r="F1323" i="17"/>
  <c r="J1323" i="17"/>
  <c r="C1324" i="17"/>
  <c r="E1324" i="17"/>
  <c r="F1324" i="17"/>
  <c r="J1324" i="17"/>
  <c r="C1325" i="17"/>
  <c r="E1325" i="17"/>
  <c r="F1325" i="17"/>
  <c r="J1325" i="17"/>
  <c r="C1326" i="17"/>
  <c r="E1326" i="17"/>
  <c r="F1326" i="17"/>
  <c r="J1326" i="17"/>
  <c r="C1327" i="17"/>
  <c r="E1327" i="17"/>
  <c r="F1327" i="17"/>
  <c r="J1327" i="17"/>
  <c r="C1328" i="17"/>
  <c r="E1328" i="17"/>
  <c r="F1328" i="17"/>
  <c r="J1328" i="17"/>
  <c r="C1329" i="17"/>
  <c r="E1329" i="17"/>
  <c r="F1329" i="17"/>
  <c r="J1329" i="17"/>
  <c r="C1330" i="17"/>
  <c r="E1330" i="17"/>
  <c r="F1330" i="17"/>
  <c r="J1330" i="17"/>
  <c r="C1331" i="17"/>
  <c r="E1331" i="17"/>
  <c r="F1331" i="17"/>
  <c r="J1331" i="17"/>
  <c r="C1332" i="17"/>
  <c r="E1332" i="17"/>
  <c r="F1332" i="17"/>
  <c r="J1332" i="17"/>
  <c r="C1333" i="17"/>
  <c r="E1333" i="17" s="1"/>
  <c r="F1333" i="17"/>
  <c r="J1333" i="17"/>
  <c r="C1334" i="17"/>
  <c r="E1334" i="17" s="1"/>
  <c r="F1334" i="17"/>
  <c r="J1334" i="17"/>
  <c r="C1335" i="17"/>
  <c r="E1335" i="17" s="1"/>
  <c r="F1335" i="17"/>
  <c r="J1335" i="17"/>
  <c r="C1336" i="17"/>
  <c r="E1336" i="17" s="1"/>
  <c r="F1336" i="17"/>
  <c r="J1336" i="17"/>
  <c r="C1337" i="17"/>
  <c r="E1337" i="17" s="1"/>
  <c r="F1337" i="17"/>
  <c r="J1337" i="17"/>
  <c r="C1338" i="17"/>
  <c r="E1338" i="17" s="1"/>
  <c r="F1338" i="17"/>
  <c r="J1338" i="17"/>
  <c r="C1339" i="17"/>
  <c r="E1339" i="17" s="1"/>
  <c r="F1339" i="17"/>
  <c r="J1339" i="17"/>
  <c r="C1340" i="17"/>
  <c r="E1340" i="17" s="1"/>
  <c r="F1340" i="17"/>
  <c r="J1340" i="17"/>
  <c r="C1341" i="17"/>
  <c r="E1341" i="17" s="1"/>
  <c r="F1341" i="17"/>
  <c r="J1341" i="17"/>
  <c r="C1342" i="17"/>
  <c r="E1342" i="17" s="1"/>
  <c r="F1342" i="17"/>
  <c r="J1342" i="17"/>
  <c r="C1343" i="17"/>
  <c r="E1343" i="17" s="1"/>
  <c r="F1343" i="17"/>
  <c r="J1343" i="17"/>
  <c r="C1344" i="17"/>
  <c r="E1344" i="17" s="1"/>
  <c r="F1344" i="17"/>
  <c r="J1344" i="17"/>
  <c r="C1345" i="17"/>
  <c r="E1345" i="17" s="1"/>
  <c r="F1345" i="17"/>
  <c r="J1345" i="17"/>
  <c r="C1346" i="17"/>
  <c r="E1346" i="17" s="1"/>
  <c r="F1346" i="17"/>
  <c r="J1346" i="17"/>
  <c r="C1347" i="17"/>
  <c r="E1347" i="17" s="1"/>
  <c r="F1347" i="17"/>
  <c r="J1347" i="17"/>
  <c r="C1348" i="17"/>
  <c r="E1348" i="17" s="1"/>
  <c r="F1348" i="17"/>
  <c r="J1348" i="17"/>
  <c r="C1349" i="17"/>
  <c r="E1349" i="17" s="1"/>
  <c r="F1349" i="17"/>
  <c r="J1349" i="17"/>
  <c r="C1350" i="17"/>
  <c r="E1350" i="17" s="1"/>
  <c r="F1350" i="17"/>
  <c r="J1350" i="17"/>
  <c r="C1351" i="17"/>
  <c r="E1351" i="17" s="1"/>
  <c r="F1351" i="17"/>
  <c r="J1351" i="17"/>
  <c r="C1352" i="17"/>
  <c r="E1352" i="17" s="1"/>
  <c r="F1352" i="17"/>
  <c r="J1352" i="17"/>
  <c r="C1353" i="17"/>
  <c r="E1353" i="17" s="1"/>
  <c r="F1353" i="17"/>
  <c r="J1353" i="17"/>
  <c r="C1354" i="17"/>
  <c r="E1354" i="17" s="1"/>
  <c r="F1354" i="17"/>
  <c r="J1354" i="17"/>
  <c r="C1355" i="17"/>
  <c r="E1355" i="17" s="1"/>
  <c r="F1355" i="17"/>
  <c r="J1355" i="17"/>
  <c r="C1356" i="17"/>
  <c r="E1356" i="17" s="1"/>
  <c r="F1356" i="17"/>
  <c r="J1356" i="17"/>
  <c r="C1357" i="17"/>
  <c r="E1357" i="17" s="1"/>
  <c r="F1357" i="17"/>
  <c r="J1357" i="17"/>
  <c r="C1358" i="17"/>
  <c r="E1358" i="17" s="1"/>
  <c r="F1358" i="17"/>
  <c r="J1358" i="17"/>
  <c r="C1359" i="17"/>
  <c r="E1359" i="17" s="1"/>
  <c r="F1359" i="17"/>
  <c r="J1359" i="17"/>
  <c r="C1360" i="17"/>
  <c r="E1360" i="17" s="1"/>
  <c r="F1360" i="17"/>
  <c r="J1360" i="17"/>
  <c r="C1361" i="17"/>
  <c r="E1361" i="17" s="1"/>
  <c r="F1361" i="17"/>
  <c r="J1361" i="17"/>
  <c r="C1362" i="17"/>
  <c r="E1362" i="17" s="1"/>
  <c r="F1362" i="17"/>
  <c r="J1362" i="17"/>
  <c r="C1363" i="17"/>
  <c r="E1363" i="17" s="1"/>
  <c r="F1363" i="17"/>
  <c r="J1363" i="17"/>
  <c r="C1364" i="17"/>
  <c r="E1364" i="17"/>
  <c r="F1364" i="17"/>
  <c r="J1364" i="17"/>
  <c r="C1365" i="17"/>
  <c r="E1365" i="17" s="1"/>
  <c r="F1365" i="17"/>
  <c r="J1365" i="17"/>
  <c r="C1366" i="17"/>
  <c r="E1366" i="17" s="1"/>
  <c r="F1366" i="17"/>
  <c r="J1366" i="17"/>
  <c r="C1367" i="17"/>
  <c r="E1367" i="17" s="1"/>
  <c r="F1367" i="17"/>
  <c r="J1367" i="17"/>
  <c r="C1368" i="17"/>
  <c r="E1368" i="17" s="1"/>
  <c r="F1368" i="17"/>
  <c r="J1368" i="17"/>
  <c r="C1369" i="17"/>
  <c r="E1369" i="17" s="1"/>
  <c r="F1369" i="17"/>
  <c r="J1369" i="17"/>
  <c r="C1370" i="17"/>
  <c r="E1370" i="17" s="1"/>
  <c r="F1370" i="17"/>
  <c r="J1370" i="17"/>
  <c r="C1371" i="17"/>
  <c r="E1371" i="17" s="1"/>
  <c r="F1371" i="17"/>
  <c r="J1371" i="17"/>
  <c r="C1372" i="17"/>
  <c r="E1372" i="17" s="1"/>
  <c r="F1372" i="17"/>
  <c r="J1372" i="17"/>
  <c r="C1373" i="17"/>
  <c r="E1373" i="17" s="1"/>
  <c r="F1373" i="17"/>
  <c r="J1373" i="17"/>
  <c r="C1374" i="17"/>
  <c r="E1374" i="17" s="1"/>
  <c r="F1374" i="17"/>
  <c r="J1374" i="17"/>
  <c r="C1375" i="17"/>
  <c r="E1375" i="17" s="1"/>
  <c r="F1375" i="17"/>
  <c r="J1375" i="17"/>
  <c r="C1376" i="17"/>
  <c r="E1376" i="17" s="1"/>
  <c r="F1376" i="17"/>
  <c r="J1376" i="17"/>
  <c r="C1377" i="17"/>
  <c r="E1377" i="17" s="1"/>
  <c r="F1377" i="17"/>
  <c r="J1377" i="17"/>
  <c r="C1378" i="17"/>
  <c r="E1378" i="17" s="1"/>
  <c r="F1378" i="17"/>
  <c r="J1378" i="17"/>
  <c r="C1379" i="17"/>
  <c r="E1379" i="17"/>
  <c r="F1379" i="17"/>
  <c r="J1379" i="17"/>
  <c r="C1380" i="17"/>
  <c r="E1380" i="17" s="1"/>
  <c r="F1380" i="17"/>
  <c r="J1380" i="17"/>
  <c r="C1381" i="17"/>
  <c r="E1381" i="17" s="1"/>
  <c r="F1381" i="17"/>
  <c r="J1381" i="17"/>
  <c r="C1382" i="17"/>
  <c r="E1382" i="17" s="1"/>
  <c r="F1382" i="17"/>
  <c r="J1382" i="17"/>
  <c r="C1383" i="17"/>
  <c r="E1383" i="17" s="1"/>
  <c r="F1383" i="17"/>
  <c r="J1383" i="17"/>
  <c r="C1384" i="17"/>
  <c r="E1384" i="17" s="1"/>
  <c r="F1384" i="17"/>
  <c r="J1384" i="17"/>
  <c r="C1385" i="17"/>
  <c r="E1385" i="17" s="1"/>
  <c r="F1385" i="17"/>
  <c r="J1385" i="17"/>
  <c r="C1386" i="17"/>
  <c r="E1386" i="17" s="1"/>
  <c r="F1386" i="17"/>
  <c r="J1386" i="17"/>
  <c r="C1387" i="17"/>
  <c r="E1387" i="17" s="1"/>
  <c r="F1387" i="17"/>
  <c r="J1387" i="17"/>
  <c r="C1388" i="17"/>
  <c r="E1388" i="17" s="1"/>
  <c r="F1388" i="17"/>
  <c r="J1388" i="17"/>
  <c r="C1389" i="17"/>
  <c r="E1389" i="17" s="1"/>
  <c r="F1389" i="17"/>
  <c r="J1389" i="17"/>
  <c r="C1390" i="17"/>
  <c r="E1390" i="17" s="1"/>
  <c r="F1390" i="17"/>
  <c r="J1390" i="17"/>
  <c r="C1391" i="17"/>
  <c r="E1391" i="17" s="1"/>
  <c r="F1391" i="17"/>
  <c r="J1391" i="17"/>
  <c r="C1392" i="17"/>
  <c r="E1392" i="17" s="1"/>
  <c r="F1392" i="17"/>
  <c r="J1392" i="17"/>
  <c r="C1393" i="17"/>
  <c r="E1393" i="17" s="1"/>
  <c r="F1393" i="17"/>
  <c r="J1393" i="17"/>
  <c r="C1394" i="17"/>
  <c r="E1394" i="17" s="1"/>
  <c r="F1394" i="17"/>
  <c r="J1394" i="17"/>
  <c r="C1395" i="17"/>
  <c r="E1395" i="17" s="1"/>
  <c r="F1395" i="17"/>
  <c r="J1395" i="17"/>
  <c r="C1396" i="17"/>
  <c r="E1396" i="17" s="1"/>
  <c r="F1396" i="17"/>
  <c r="J1396" i="17"/>
  <c r="C1397" i="17"/>
  <c r="E1397" i="17" s="1"/>
  <c r="F1397" i="17"/>
  <c r="J1397" i="17"/>
  <c r="C1398" i="17"/>
  <c r="E1398" i="17" s="1"/>
  <c r="F1398" i="17"/>
  <c r="J1398" i="17"/>
  <c r="C1399" i="17"/>
  <c r="E1399" i="17" s="1"/>
  <c r="F1399" i="17"/>
  <c r="J1399" i="17"/>
  <c r="C1400" i="17"/>
  <c r="E1400" i="17" s="1"/>
  <c r="F1400" i="17"/>
  <c r="J1400" i="17"/>
  <c r="C1401" i="17"/>
  <c r="E1401" i="17" s="1"/>
  <c r="F1401" i="17"/>
  <c r="J1401" i="17"/>
  <c r="C1402" i="17"/>
  <c r="E1402" i="17" s="1"/>
  <c r="F1402" i="17"/>
  <c r="J1402" i="17"/>
  <c r="C1403" i="17"/>
  <c r="E1403" i="17" s="1"/>
  <c r="F1403" i="17"/>
  <c r="J1403" i="17"/>
  <c r="C1404" i="17"/>
  <c r="E1404" i="17" s="1"/>
  <c r="F1404" i="17"/>
  <c r="J1404" i="17"/>
  <c r="C1405" i="17"/>
  <c r="E1405" i="17" s="1"/>
  <c r="F1405" i="17"/>
  <c r="J1405" i="17"/>
  <c r="C1406" i="17"/>
  <c r="E1406" i="17" s="1"/>
  <c r="F1406" i="17"/>
  <c r="J1406" i="17"/>
  <c r="C1407" i="17"/>
  <c r="E1407" i="17" s="1"/>
  <c r="F1407" i="17"/>
  <c r="J1407" i="17"/>
  <c r="C1408" i="17"/>
  <c r="E1408" i="17" s="1"/>
  <c r="F1408" i="17"/>
  <c r="J1408" i="17"/>
  <c r="C1409" i="17"/>
  <c r="E1409" i="17" s="1"/>
  <c r="F1409" i="17"/>
  <c r="J1409" i="17"/>
  <c r="C1410" i="17"/>
  <c r="E1410" i="17" s="1"/>
  <c r="F1410" i="17"/>
  <c r="J1410" i="17"/>
  <c r="C1411" i="17"/>
  <c r="E1411" i="17" s="1"/>
  <c r="F1411" i="17"/>
  <c r="J1411" i="17"/>
  <c r="C1412" i="17"/>
  <c r="E1412" i="17" s="1"/>
  <c r="F1412" i="17"/>
  <c r="J1412" i="17"/>
  <c r="C1413" i="17"/>
  <c r="E1413" i="17" s="1"/>
  <c r="F1413" i="17"/>
  <c r="J1413" i="17"/>
  <c r="C1414" i="17"/>
  <c r="E1414" i="17" s="1"/>
  <c r="F1414" i="17"/>
  <c r="J1414" i="17"/>
  <c r="C1415" i="17"/>
  <c r="E1415" i="17" s="1"/>
  <c r="F1415" i="17"/>
  <c r="J1415" i="17"/>
  <c r="C1416" i="17"/>
  <c r="E1416" i="17" s="1"/>
  <c r="F1416" i="17"/>
  <c r="J1416" i="17"/>
  <c r="C1417" i="17"/>
  <c r="E1417" i="17" s="1"/>
  <c r="F1417" i="17"/>
  <c r="J1417" i="17"/>
  <c r="C1418" i="17"/>
  <c r="E1418" i="17" s="1"/>
  <c r="F1418" i="17"/>
  <c r="J1418" i="17"/>
  <c r="C1419" i="17"/>
  <c r="E1419" i="17" s="1"/>
  <c r="F1419" i="17"/>
  <c r="J1419" i="17"/>
  <c r="C1420" i="17"/>
  <c r="E1420" i="17"/>
  <c r="F1420" i="17"/>
  <c r="J1420" i="17"/>
  <c r="C1421" i="17"/>
  <c r="E1421" i="17" s="1"/>
  <c r="F1421" i="17"/>
  <c r="J1421" i="17"/>
  <c r="C1422" i="17"/>
  <c r="E1422" i="17" s="1"/>
  <c r="F1422" i="17"/>
  <c r="J1422" i="17"/>
  <c r="C1423" i="17"/>
  <c r="E1423" i="17" s="1"/>
  <c r="F1423" i="17"/>
  <c r="J1423" i="17"/>
  <c r="C1424" i="17"/>
  <c r="E1424" i="17" s="1"/>
  <c r="F1424" i="17"/>
  <c r="J1424" i="17"/>
  <c r="C1425" i="17"/>
  <c r="E1425" i="17" s="1"/>
  <c r="F1425" i="17"/>
  <c r="J1425" i="17"/>
  <c r="C1426" i="17"/>
  <c r="E1426" i="17" s="1"/>
  <c r="F1426" i="17"/>
  <c r="J1426" i="17"/>
  <c r="C1427" i="17"/>
  <c r="E1427" i="17" s="1"/>
  <c r="F1427" i="17"/>
  <c r="J1427" i="17"/>
  <c r="C1428" i="17"/>
  <c r="E1428" i="17" s="1"/>
  <c r="F1428" i="17"/>
  <c r="J1428" i="17"/>
  <c r="C1429" i="17"/>
  <c r="E1429" i="17" s="1"/>
  <c r="F1429" i="17"/>
  <c r="J1429" i="17"/>
  <c r="C1430" i="17"/>
  <c r="E1430" i="17" s="1"/>
  <c r="F1430" i="17"/>
  <c r="J1430" i="17"/>
  <c r="C1431" i="17"/>
  <c r="E1431" i="17"/>
  <c r="F1431" i="17"/>
  <c r="J1431" i="17"/>
  <c r="C1432" i="17"/>
  <c r="E1432" i="17" s="1"/>
  <c r="F1432" i="17"/>
  <c r="J1432" i="17"/>
  <c r="C1433" i="17"/>
  <c r="E1433" i="17" s="1"/>
  <c r="F1433" i="17"/>
  <c r="J1433" i="17"/>
  <c r="C1434" i="17"/>
  <c r="E1434" i="17"/>
  <c r="F1434" i="17"/>
  <c r="J1434" i="17"/>
  <c r="C1435" i="17"/>
  <c r="E1435" i="17" s="1"/>
  <c r="F1435" i="17"/>
  <c r="J1435" i="17"/>
  <c r="C1436" i="17"/>
  <c r="E1436" i="17" s="1"/>
  <c r="F1436" i="17"/>
  <c r="J1436" i="17"/>
  <c r="C1437" i="17"/>
  <c r="E1437" i="17" s="1"/>
  <c r="F1437" i="17"/>
  <c r="J1437" i="17"/>
  <c r="C1438" i="17"/>
  <c r="E1438" i="17" s="1"/>
  <c r="F1438" i="17"/>
  <c r="J1438" i="17"/>
  <c r="C1439" i="17"/>
  <c r="E1439" i="17" s="1"/>
  <c r="F1439" i="17"/>
  <c r="J1439" i="17"/>
  <c r="C1440" i="17"/>
  <c r="E1440" i="17" s="1"/>
  <c r="F1440" i="17"/>
  <c r="J1440" i="17"/>
  <c r="C1441" i="17"/>
  <c r="E1441" i="17" s="1"/>
  <c r="F1441" i="17"/>
  <c r="J1441" i="17"/>
  <c r="C1442" i="17"/>
  <c r="E1442" i="17" s="1"/>
  <c r="F1442" i="17"/>
  <c r="J1442" i="17"/>
  <c r="C1443" i="17"/>
  <c r="E1443" i="17"/>
  <c r="F1443" i="17"/>
  <c r="J1443" i="17"/>
  <c r="C1444" i="17"/>
  <c r="E1444" i="17"/>
  <c r="F1444" i="17"/>
  <c r="J1444" i="17"/>
  <c r="C1445" i="17"/>
  <c r="E1445" i="17"/>
  <c r="F1445" i="17"/>
  <c r="J1445" i="17"/>
  <c r="C1446" i="17"/>
  <c r="E1446" i="17"/>
  <c r="F1446" i="17"/>
  <c r="J1446" i="17"/>
  <c r="C1447" i="17"/>
  <c r="E1447" i="17"/>
  <c r="F1447" i="17"/>
  <c r="J1447" i="17"/>
  <c r="C1448" i="17"/>
  <c r="E1448" i="17"/>
  <c r="F1448" i="17"/>
  <c r="J1448" i="17"/>
  <c r="C1449" i="17"/>
  <c r="E1449" i="17"/>
  <c r="F1449" i="17"/>
  <c r="J1449" i="17"/>
  <c r="C1450" i="17"/>
  <c r="E1450" i="17"/>
  <c r="F1450" i="17"/>
  <c r="J1450" i="17"/>
  <c r="C1451" i="17"/>
  <c r="E1451" i="17"/>
  <c r="F1451" i="17"/>
  <c r="J1451" i="17"/>
  <c r="C1452" i="17"/>
  <c r="E1452" i="17"/>
  <c r="F1452" i="17"/>
  <c r="J1452" i="17"/>
  <c r="C1453" i="17"/>
  <c r="E1453" i="17"/>
  <c r="F1453" i="17"/>
  <c r="J1453" i="17"/>
  <c r="C1454" i="17"/>
  <c r="E1454" i="17"/>
  <c r="F1454" i="17"/>
  <c r="J1454" i="17"/>
  <c r="C1455" i="17"/>
  <c r="E1455" i="17"/>
  <c r="F1455" i="17"/>
  <c r="J1455" i="17"/>
  <c r="C1456" i="17"/>
  <c r="E1456" i="17"/>
  <c r="F1456" i="17"/>
  <c r="J1456" i="17"/>
  <c r="C1457" i="17"/>
  <c r="E1457" i="17"/>
  <c r="F1457" i="17"/>
  <c r="J1457" i="17"/>
  <c r="C1458" i="17"/>
  <c r="E1458" i="17"/>
  <c r="F1458" i="17"/>
  <c r="J1458" i="17"/>
  <c r="C1459" i="17"/>
  <c r="E1459" i="17"/>
  <c r="F1459" i="17"/>
  <c r="J1459" i="17"/>
  <c r="C1460" i="17"/>
  <c r="E1460" i="17"/>
  <c r="F1460" i="17"/>
  <c r="J1460" i="17"/>
  <c r="C1461" i="17"/>
  <c r="E1461" i="17"/>
  <c r="F1461" i="17"/>
  <c r="J1461" i="17"/>
  <c r="C1462" i="17"/>
  <c r="E1462" i="17"/>
  <c r="F1462" i="17"/>
  <c r="J1462" i="17"/>
  <c r="C1463" i="17"/>
  <c r="E1463" i="17"/>
  <c r="F1463" i="17"/>
  <c r="J1463" i="17"/>
  <c r="C1464" i="17"/>
  <c r="E1464" i="17"/>
  <c r="F1464" i="17"/>
  <c r="J1464" i="17"/>
  <c r="C1465" i="17"/>
  <c r="E1465" i="17"/>
  <c r="F1465" i="17"/>
  <c r="J1465" i="17"/>
  <c r="C1466" i="17"/>
  <c r="E1466" i="17"/>
  <c r="F1466" i="17"/>
  <c r="J1466" i="17"/>
  <c r="C1467" i="17"/>
  <c r="E1467" i="17"/>
  <c r="F1467" i="17"/>
  <c r="J1467" i="17"/>
  <c r="C1468" i="17"/>
  <c r="E1468" i="17"/>
  <c r="F1468" i="17"/>
  <c r="J1468" i="17"/>
  <c r="C1469" i="17"/>
  <c r="E1469" i="17"/>
  <c r="F1469" i="17"/>
  <c r="J1469" i="17"/>
  <c r="C1470" i="17"/>
  <c r="E1470" i="17"/>
  <c r="F1470" i="17"/>
  <c r="J1470" i="17"/>
  <c r="C1471" i="17"/>
  <c r="E1471" i="17"/>
  <c r="F1471" i="17"/>
  <c r="J1471" i="17"/>
  <c r="C1472" i="17"/>
  <c r="E1472" i="17"/>
  <c r="F1472" i="17"/>
  <c r="J1472" i="17"/>
  <c r="C1473" i="17"/>
  <c r="E1473" i="17"/>
  <c r="F1473" i="17"/>
  <c r="J1473" i="17"/>
  <c r="C1474" i="17"/>
  <c r="E1474" i="17"/>
  <c r="F1474" i="17"/>
  <c r="J1474" i="17"/>
  <c r="C1475" i="17"/>
  <c r="E1475" i="17"/>
  <c r="F1475" i="17"/>
  <c r="J1475" i="17"/>
  <c r="C1476" i="17"/>
  <c r="E1476" i="17"/>
  <c r="F1476" i="17"/>
  <c r="J1476" i="17"/>
  <c r="C1477" i="17"/>
  <c r="E1477" i="17"/>
  <c r="F1477" i="17"/>
  <c r="J1477" i="17"/>
  <c r="C1478" i="17"/>
  <c r="E1478" i="17"/>
  <c r="F1478" i="17"/>
  <c r="J1478" i="17"/>
  <c r="C1479" i="17"/>
  <c r="E1479" i="17"/>
  <c r="F1479" i="17"/>
  <c r="J1479" i="17"/>
  <c r="C1480" i="17"/>
  <c r="E1480" i="17"/>
  <c r="F1480" i="17"/>
  <c r="J1480" i="17"/>
  <c r="C1481" i="17"/>
  <c r="E1481" i="17"/>
  <c r="F1481" i="17"/>
  <c r="J1481" i="17"/>
  <c r="C1482" i="17"/>
  <c r="E1482" i="17"/>
  <c r="F1482" i="17"/>
  <c r="J1482" i="17"/>
  <c r="C1483" i="17"/>
  <c r="E1483" i="17"/>
  <c r="F1483" i="17"/>
  <c r="J1483" i="17"/>
  <c r="C1484" i="17"/>
  <c r="E1484" i="17"/>
  <c r="F1484" i="17"/>
  <c r="J1484" i="17"/>
  <c r="C1485" i="17"/>
  <c r="E1485" i="17"/>
  <c r="F1485" i="17"/>
  <c r="J1485" i="17"/>
  <c r="C1486" i="17"/>
  <c r="E1486" i="17"/>
  <c r="F1486" i="17"/>
  <c r="J1486" i="17"/>
  <c r="C1487" i="17"/>
  <c r="E1487" i="17"/>
  <c r="F1487" i="17"/>
  <c r="J1487" i="17"/>
  <c r="C1488" i="17"/>
  <c r="E1488" i="17"/>
  <c r="F1488" i="17"/>
  <c r="J1488" i="17"/>
  <c r="C1489" i="17"/>
  <c r="E1489" i="17"/>
  <c r="F1489" i="17"/>
  <c r="J1489" i="17"/>
  <c r="C1490" i="17"/>
  <c r="E1490" i="17"/>
  <c r="F1490" i="17"/>
  <c r="J1490" i="17"/>
  <c r="C1491" i="17"/>
  <c r="E1491" i="17"/>
  <c r="F1491" i="17"/>
  <c r="J1491" i="17"/>
  <c r="C1492" i="17"/>
  <c r="E1492" i="17"/>
  <c r="F1492" i="17"/>
  <c r="J1492" i="17"/>
  <c r="C1493" i="17"/>
  <c r="E1493" i="17"/>
  <c r="F1493" i="17"/>
  <c r="J1493" i="17"/>
  <c r="C1494" i="17"/>
  <c r="E1494" i="17"/>
  <c r="F1494" i="17"/>
  <c r="J1494" i="17"/>
  <c r="C1495" i="17"/>
  <c r="E1495" i="17"/>
  <c r="F1495" i="17"/>
  <c r="J1495" i="17"/>
  <c r="C1496" i="17"/>
  <c r="E1496" i="17"/>
  <c r="F1496" i="17"/>
  <c r="J1496" i="17"/>
  <c r="C1497" i="17"/>
  <c r="E1497" i="17"/>
  <c r="F1497" i="17"/>
  <c r="J1497" i="17"/>
  <c r="C1498" i="17"/>
  <c r="E1498" i="17"/>
  <c r="F1498" i="17"/>
  <c r="J1498" i="17"/>
  <c r="C1499" i="17"/>
  <c r="E1499" i="17"/>
  <c r="F1499" i="17"/>
  <c r="J1499" i="17"/>
  <c r="C1500" i="17"/>
  <c r="E1500" i="17"/>
  <c r="F1500" i="17"/>
  <c r="J1500" i="17"/>
  <c r="C1501" i="17"/>
  <c r="E1501" i="17"/>
  <c r="F1501" i="17"/>
  <c r="J1501" i="17"/>
  <c r="C1502" i="17"/>
  <c r="E1502" i="17"/>
  <c r="F1502" i="17"/>
  <c r="J1502" i="17"/>
  <c r="C1503" i="17"/>
  <c r="E1503" i="17"/>
  <c r="F1503" i="17"/>
  <c r="J1503" i="17"/>
  <c r="C1504" i="17"/>
  <c r="E1504" i="17"/>
  <c r="F1504" i="17"/>
  <c r="J1504" i="17"/>
  <c r="C1505" i="17"/>
  <c r="E1505" i="17"/>
  <c r="F1505" i="17"/>
  <c r="J1505" i="17"/>
  <c r="C1506" i="17"/>
  <c r="E1506" i="17"/>
  <c r="F1506" i="17"/>
  <c r="J1506" i="17"/>
  <c r="C1507" i="17"/>
  <c r="E1507" i="17"/>
  <c r="F1507" i="17"/>
  <c r="J1507" i="17"/>
  <c r="C1508" i="17"/>
  <c r="E1508" i="17"/>
  <c r="F1508" i="17"/>
  <c r="J1508" i="17"/>
  <c r="C1509" i="17"/>
  <c r="E1509" i="17"/>
  <c r="F1509" i="17"/>
  <c r="J1509" i="17"/>
  <c r="C1510" i="17"/>
  <c r="E1510" i="17"/>
  <c r="F1510" i="17"/>
  <c r="J1510" i="17"/>
  <c r="C1511" i="17"/>
  <c r="E1511" i="17"/>
  <c r="F1511" i="17"/>
  <c r="J1511" i="17"/>
  <c r="C1512" i="17"/>
  <c r="E1512" i="17"/>
  <c r="F1512" i="17"/>
  <c r="J1512" i="17"/>
  <c r="C1513" i="17"/>
  <c r="E1513" i="17"/>
  <c r="F1513" i="17"/>
  <c r="J1513" i="17"/>
  <c r="C1514" i="17"/>
  <c r="E1514" i="17"/>
  <c r="F1514" i="17"/>
  <c r="J1514" i="17"/>
  <c r="C1515" i="17"/>
  <c r="E1515" i="17"/>
  <c r="F1515" i="17"/>
  <c r="J1515" i="17"/>
  <c r="C1516" i="17"/>
  <c r="E1516" i="17"/>
  <c r="F1516" i="17"/>
  <c r="J1516" i="17"/>
  <c r="C1517" i="17"/>
  <c r="E1517" i="17"/>
  <c r="F1517" i="17"/>
  <c r="J1517" i="17"/>
  <c r="C1518" i="17"/>
  <c r="E1518" i="17"/>
  <c r="F1518" i="17"/>
  <c r="J1518" i="17"/>
  <c r="C1519" i="17"/>
  <c r="E1519" i="17"/>
  <c r="F1519" i="17"/>
  <c r="J1519" i="17"/>
  <c r="C1520" i="17"/>
  <c r="E1520" i="17"/>
  <c r="F1520" i="17"/>
  <c r="J1520" i="17"/>
  <c r="C1521" i="17"/>
  <c r="E1521" i="17"/>
  <c r="F1521" i="17"/>
  <c r="J1521" i="17"/>
  <c r="C1522" i="17"/>
  <c r="E1522" i="17"/>
  <c r="F1522" i="17"/>
  <c r="J1522" i="17"/>
  <c r="C1523" i="17"/>
  <c r="E1523" i="17"/>
  <c r="F1523" i="17"/>
  <c r="J1523" i="17"/>
  <c r="C1524" i="17"/>
  <c r="E1524" i="17"/>
  <c r="F1524" i="17"/>
  <c r="J1524" i="17"/>
  <c r="C1525" i="17"/>
  <c r="E1525" i="17"/>
  <c r="F1525" i="17"/>
  <c r="J1525" i="17"/>
  <c r="C1526" i="17"/>
  <c r="E1526" i="17"/>
  <c r="F1526" i="17"/>
  <c r="J1526" i="17"/>
  <c r="C1527" i="17"/>
  <c r="E1527" i="17"/>
  <c r="F1527" i="17"/>
  <c r="J1527" i="17"/>
  <c r="C1528" i="17"/>
  <c r="E1528" i="17"/>
  <c r="F1528" i="17"/>
  <c r="J1528" i="17"/>
  <c r="C1529" i="17"/>
  <c r="E1529" i="17"/>
  <c r="F1529" i="17"/>
  <c r="J1529" i="17"/>
  <c r="C1530" i="17"/>
  <c r="E1530" i="17"/>
  <c r="F1530" i="17"/>
  <c r="J1530" i="17"/>
  <c r="C1531" i="17"/>
  <c r="E1531" i="17"/>
  <c r="F1531" i="17"/>
  <c r="J1531" i="17"/>
  <c r="C1532" i="17"/>
  <c r="E1532" i="17"/>
  <c r="F1532" i="17"/>
  <c r="J1532" i="17"/>
  <c r="C1533" i="17"/>
  <c r="E1533" i="17"/>
  <c r="F1533" i="17"/>
  <c r="J1533" i="17"/>
  <c r="C1534" i="17"/>
  <c r="E1534" i="17"/>
  <c r="F1534" i="17"/>
  <c r="J1534" i="17"/>
  <c r="C1535" i="17"/>
  <c r="E1535" i="17"/>
  <c r="F1535" i="17"/>
  <c r="J1535" i="17"/>
  <c r="C1536" i="17"/>
  <c r="E1536" i="17"/>
  <c r="F1536" i="17"/>
  <c r="J1536" i="17"/>
  <c r="C1537" i="17"/>
  <c r="E1537" i="17"/>
  <c r="F1537" i="17"/>
  <c r="J1537" i="17"/>
  <c r="C1538" i="17"/>
  <c r="E1538" i="17"/>
  <c r="F1538" i="17"/>
  <c r="J1538" i="17"/>
  <c r="C1539" i="17"/>
  <c r="E1539" i="17"/>
  <c r="F1539" i="17"/>
  <c r="J1539" i="17"/>
  <c r="C1540" i="17"/>
  <c r="E1540" i="17"/>
  <c r="F1540" i="17"/>
  <c r="J1540" i="17"/>
  <c r="C1541" i="17"/>
  <c r="E1541" i="17"/>
  <c r="F1541" i="17"/>
  <c r="J1541" i="17"/>
  <c r="C1542" i="17"/>
  <c r="E1542" i="17"/>
  <c r="F1542" i="17"/>
  <c r="J1542" i="17"/>
  <c r="C1543" i="17"/>
  <c r="E1543" i="17"/>
  <c r="F1543" i="17"/>
  <c r="J1543" i="17"/>
  <c r="C1544" i="17"/>
  <c r="E1544" i="17"/>
  <c r="F1544" i="17"/>
  <c r="J1544" i="17"/>
  <c r="C1545" i="17"/>
  <c r="E1545" i="17"/>
  <c r="F1545" i="17"/>
  <c r="J1545" i="17"/>
  <c r="C1546" i="17"/>
  <c r="E1546" i="17"/>
  <c r="F1546" i="17"/>
  <c r="J1546" i="17"/>
  <c r="C1547" i="17"/>
  <c r="E1547" i="17"/>
  <c r="F1547" i="17"/>
  <c r="J1547" i="17"/>
  <c r="C1548" i="17"/>
  <c r="E1548" i="17"/>
  <c r="F1548" i="17"/>
  <c r="J1548" i="17"/>
  <c r="C1549" i="17"/>
  <c r="E1549" i="17"/>
  <c r="F1549" i="17"/>
  <c r="J1549" i="17"/>
  <c r="C1550" i="17"/>
  <c r="E1550" i="17"/>
  <c r="F1550" i="17"/>
  <c r="J1550" i="17"/>
  <c r="C1551" i="17"/>
  <c r="E1551" i="17"/>
  <c r="F1551" i="17"/>
  <c r="J1551" i="17"/>
  <c r="C1552" i="17"/>
  <c r="E1552" i="17"/>
  <c r="F1552" i="17"/>
  <c r="J1552" i="17"/>
  <c r="C1553" i="17"/>
  <c r="E1553" i="17"/>
  <c r="F1553" i="17"/>
  <c r="J1553" i="17"/>
  <c r="C1554" i="17"/>
  <c r="E1554" i="17"/>
  <c r="F1554" i="17"/>
  <c r="J1554" i="17"/>
  <c r="C1555" i="17"/>
  <c r="E1555" i="17"/>
  <c r="F1555" i="17"/>
  <c r="J1555" i="17"/>
  <c r="C1556" i="17"/>
  <c r="E1556" i="17"/>
  <c r="F1556" i="17"/>
  <c r="J1556" i="17"/>
  <c r="C1557" i="17"/>
  <c r="E1557" i="17"/>
  <c r="F1557" i="17"/>
  <c r="J1557" i="17"/>
  <c r="C1558" i="17"/>
  <c r="E1558" i="17"/>
  <c r="F1558" i="17"/>
  <c r="J1558" i="17"/>
  <c r="C1559" i="17"/>
  <c r="E1559" i="17"/>
  <c r="F1559" i="17"/>
  <c r="J1559" i="17"/>
  <c r="C1560" i="17"/>
  <c r="E1560" i="17"/>
  <c r="F1560" i="17"/>
  <c r="J1560" i="17"/>
  <c r="C1561" i="17"/>
  <c r="E1561" i="17"/>
  <c r="F1561" i="17"/>
  <c r="J1561" i="17"/>
  <c r="C1562" i="17"/>
  <c r="E1562" i="17"/>
  <c r="F1562" i="17"/>
  <c r="J1562" i="17"/>
  <c r="C1563" i="17"/>
  <c r="E1563" i="17"/>
  <c r="F1563" i="17"/>
  <c r="J1563" i="17"/>
  <c r="C1564" i="17"/>
  <c r="E1564" i="17"/>
  <c r="F1564" i="17"/>
  <c r="J1564" i="17"/>
  <c r="C1565" i="17"/>
  <c r="E1565" i="17"/>
  <c r="F1565" i="17"/>
  <c r="J1565" i="17"/>
  <c r="C1566" i="17"/>
  <c r="E1566" i="17"/>
  <c r="F1566" i="17"/>
  <c r="J1566" i="17"/>
  <c r="C1567" i="17"/>
  <c r="E1567" i="17"/>
  <c r="F1567" i="17"/>
  <c r="J1567" i="17"/>
  <c r="C1568" i="17"/>
  <c r="E1568" i="17"/>
  <c r="F1568" i="17"/>
  <c r="J1568" i="17"/>
  <c r="C1569" i="17"/>
  <c r="E1569" i="17"/>
  <c r="F1569" i="17"/>
  <c r="J1569" i="17"/>
  <c r="C1570" i="17"/>
  <c r="E1570" i="17" s="1"/>
  <c r="F1570" i="17"/>
  <c r="J1570" i="17"/>
  <c r="C1571" i="17"/>
  <c r="E1571" i="17" s="1"/>
  <c r="F1571" i="17"/>
  <c r="J1571" i="17"/>
  <c r="C1572" i="17"/>
  <c r="E1572" i="17" s="1"/>
  <c r="F1572" i="17"/>
  <c r="J1572" i="17"/>
  <c r="C1573" i="17"/>
  <c r="E1573" i="17" s="1"/>
  <c r="F1573" i="17"/>
  <c r="J1573" i="17"/>
  <c r="C1574" i="17"/>
  <c r="E1574" i="17" s="1"/>
  <c r="F1574" i="17"/>
  <c r="J1574" i="17"/>
  <c r="C1575" i="17"/>
  <c r="E1575" i="17" s="1"/>
  <c r="F1575" i="17"/>
  <c r="J1575" i="17"/>
  <c r="C1576" i="17"/>
  <c r="E1576" i="17" s="1"/>
  <c r="F1576" i="17"/>
  <c r="J1576" i="17"/>
  <c r="C1577" i="17"/>
  <c r="E1577" i="17" s="1"/>
  <c r="F1577" i="17"/>
  <c r="J1577" i="17"/>
  <c r="C1578" i="17"/>
  <c r="E1578" i="17"/>
  <c r="F1578" i="17"/>
  <c r="J1578" i="17"/>
  <c r="C1579" i="17"/>
  <c r="E1579" i="17" s="1"/>
  <c r="F1579" i="17"/>
  <c r="J1579" i="17"/>
  <c r="C1580" i="17"/>
  <c r="E1580" i="17" s="1"/>
  <c r="F1580" i="17"/>
  <c r="J1580" i="17"/>
  <c r="C1581" i="17"/>
  <c r="E1581" i="17" s="1"/>
  <c r="F1581" i="17"/>
  <c r="J1581" i="17"/>
  <c r="C1582" i="17"/>
  <c r="E1582" i="17" s="1"/>
  <c r="F1582" i="17"/>
  <c r="J1582" i="17"/>
  <c r="C1583" i="17"/>
  <c r="E1583" i="17" s="1"/>
  <c r="F1583" i="17"/>
  <c r="J1583" i="17"/>
  <c r="C1584" i="17"/>
  <c r="E1584" i="17" s="1"/>
  <c r="F1584" i="17"/>
  <c r="J1584" i="17"/>
  <c r="C1585" i="17"/>
  <c r="E1585" i="17" s="1"/>
  <c r="F1585" i="17"/>
  <c r="J1585" i="17"/>
  <c r="C1586" i="17"/>
  <c r="E1586" i="17" s="1"/>
  <c r="F1586" i="17"/>
  <c r="J1586" i="17"/>
  <c r="C1587" i="17"/>
  <c r="E1587" i="17" s="1"/>
  <c r="F1587" i="17"/>
  <c r="J1587" i="17"/>
  <c r="C1588" i="17"/>
  <c r="E1588" i="17" s="1"/>
  <c r="F1588" i="17"/>
  <c r="J1588" i="17"/>
  <c r="C1589" i="17"/>
  <c r="E1589" i="17" s="1"/>
  <c r="F1589" i="17"/>
  <c r="J1589" i="17"/>
  <c r="C1590" i="17"/>
  <c r="E1590" i="17" s="1"/>
  <c r="F1590" i="17"/>
  <c r="J1590" i="17"/>
  <c r="C1591" i="17"/>
  <c r="E1591" i="17" s="1"/>
  <c r="F1591" i="17"/>
  <c r="J1591" i="17"/>
  <c r="C1592" i="17"/>
  <c r="E1592" i="17" s="1"/>
  <c r="F1592" i="17"/>
  <c r="J1592" i="17"/>
  <c r="C1593" i="17"/>
  <c r="E1593" i="17" s="1"/>
  <c r="F1593" i="17"/>
  <c r="J1593" i="17"/>
  <c r="C1594" i="17"/>
  <c r="E1594" i="17" s="1"/>
  <c r="F1594" i="17"/>
  <c r="J1594" i="17"/>
  <c r="C1595" i="17"/>
  <c r="E1595" i="17" s="1"/>
  <c r="F1595" i="17"/>
  <c r="J1595" i="17"/>
  <c r="C1596" i="17"/>
  <c r="E1596" i="17" s="1"/>
  <c r="F1596" i="17"/>
  <c r="J1596" i="17"/>
  <c r="C1597" i="17"/>
  <c r="E1597" i="17" s="1"/>
  <c r="F1597" i="17"/>
  <c r="J1597" i="17"/>
  <c r="C1598" i="17"/>
  <c r="E1598" i="17" s="1"/>
  <c r="F1598" i="17"/>
  <c r="J1598" i="17"/>
  <c r="C1599" i="17"/>
  <c r="E1599" i="17" s="1"/>
  <c r="F1599" i="17"/>
  <c r="J1599" i="17"/>
  <c r="C1600" i="17"/>
  <c r="E1600" i="17" s="1"/>
  <c r="F1600" i="17"/>
  <c r="J1600" i="17"/>
  <c r="C1601" i="17"/>
  <c r="E1601" i="17" s="1"/>
  <c r="F1601" i="17"/>
  <c r="J1601" i="17"/>
  <c r="C1602" i="17"/>
  <c r="E1602" i="17" s="1"/>
  <c r="F1602" i="17"/>
  <c r="J1602" i="17"/>
  <c r="C1603" i="17"/>
  <c r="E1603" i="17"/>
  <c r="F1603" i="17"/>
  <c r="J1603" i="17"/>
  <c r="C1604" i="17"/>
  <c r="E1604" i="17"/>
  <c r="F1604" i="17"/>
  <c r="J1604" i="17"/>
  <c r="C1605" i="17"/>
  <c r="E1605" i="17" s="1"/>
  <c r="F1605" i="17"/>
  <c r="J1605" i="17"/>
  <c r="C1606" i="17"/>
  <c r="E1606" i="17" s="1"/>
  <c r="F1606" i="17"/>
  <c r="J1606" i="17"/>
  <c r="C1607" i="17"/>
  <c r="E1607" i="17" s="1"/>
  <c r="F1607" i="17"/>
  <c r="J1607" i="17"/>
  <c r="C1608" i="17"/>
  <c r="E1608" i="17" s="1"/>
  <c r="F1608" i="17"/>
  <c r="J1608" i="17"/>
  <c r="C1609" i="17"/>
  <c r="E1609" i="17" s="1"/>
  <c r="F1609" i="17"/>
  <c r="J1609" i="17"/>
  <c r="C1610" i="17"/>
  <c r="E1610" i="17" s="1"/>
  <c r="F1610" i="17"/>
  <c r="J1610" i="17"/>
  <c r="C1611" i="17"/>
  <c r="E1611" i="17" s="1"/>
  <c r="F1611" i="17"/>
  <c r="J1611" i="17"/>
  <c r="C1612" i="17"/>
  <c r="E1612" i="17" s="1"/>
  <c r="F1612" i="17"/>
  <c r="J1612" i="17"/>
  <c r="C1613" i="17"/>
  <c r="E1613" i="17" s="1"/>
  <c r="F1613" i="17"/>
  <c r="J1613" i="17"/>
  <c r="C1614" i="17"/>
  <c r="E1614" i="17" s="1"/>
  <c r="F1614" i="17"/>
  <c r="J1614" i="17"/>
  <c r="C1615" i="17"/>
  <c r="E1615" i="17" s="1"/>
  <c r="F1615" i="17"/>
  <c r="J1615" i="17"/>
  <c r="C1616" i="17"/>
  <c r="E1616" i="17" s="1"/>
  <c r="F1616" i="17"/>
  <c r="J1616" i="17"/>
  <c r="C1617" i="17"/>
  <c r="E1617" i="17"/>
  <c r="F1617" i="17"/>
  <c r="J1617" i="17"/>
  <c r="C1618" i="17"/>
  <c r="E1618" i="17" s="1"/>
  <c r="F1618" i="17"/>
  <c r="J1618" i="17"/>
  <c r="C1619" i="17"/>
  <c r="E1619" i="17" s="1"/>
  <c r="F1619" i="17"/>
  <c r="J1619" i="17"/>
  <c r="C1620" i="17"/>
  <c r="E1620" i="17" s="1"/>
  <c r="F1620" i="17"/>
  <c r="J1620" i="17"/>
  <c r="C1621" i="17"/>
  <c r="E1621" i="17" s="1"/>
  <c r="F1621" i="17"/>
  <c r="J1621" i="17"/>
  <c r="C1622" i="17"/>
  <c r="E1622" i="17" s="1"/>
  <c r="F1622" i="17"/>
  <c r="J1622" i="17"/>
  <c r="C1623" i="17"/>
  <c r="E1623" i="17" s="1"/>
  <c r="F1623" i="17"/>
  <c r="J1623"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I75" i="17" s="1"/>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I628" i="17" s="1"/>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B3" i="2"/>
  <c r="F1001" i="17"/>
  <c r="C1001" i="17"/>
  <c r="E1001" i="17" s="1"/>
  <c r="F1000" i="17"/>
  <c r="C1000" i="17"/>
  <c r="E1000" i="17" s="1"/>
  <c r="F999" i="17"/>
  <c r="C999" i="17"/>
  <c r="E999" i="17" s="1"/>
  <c r="F998" i="17"/>
  <c r="C998" i="17"/>
  <c r="E998" i="17" s="1"/>
  <c r="F997" i="17"/>
  <c r="C997" i="17"/>
  <c r="E997" i="17" s="1"/>
  <c r="F996" i="17"/>
  <c r="C996" i="17"/>
  <c r="E996" i="17" s="1"/>
  <c r="F995" i="17"/>
  <c r="C995" i="17"/>
  <c r="E995" i="17" s="1"/>
  <c r="F994" i="17"/>
  <c r="C994" i="17"/>
  <c r="E994" i="17" s="1"/>
  <c r="F993" i="17"/>
  <c r="C993" i="17"/>
  <c r="E993" i="17" s="1"/>
  <c r="F992" i="17"/>
  <c r="C992" i="17"/>
  <c r="E992" i="17" s="1"/>
  <c r="F991" i="17"/>
  <c r="C991" i="17"/>
  <c r="E991" i="17" s="1"/>
  <c r="F990" i="17"/>
  <c r="C990" i="17"/>
  <c r="E990" i="17" s="1"/>
  <c r="F989" i="17"/>
  <c r="C989" i="17"/>
  <c r="E989" i="17" s="1"/>
  <c r="F988" i="17"/>
  <c r="C988" i="17"/>
  <c r="E988" i="17" s="1"/>
  <c r="F987" i="17"/>
  <c r="C987" i="17"/>
  <c r="E987" i="17" s="1"/>
  <c r="F986" i="17"/>
  <c r="C986" i="17"/>
  <c r="E986" i="17" s="1"/>
  <c r="F985" i="17"/>
  <c r="C985" i="17"/>
  <c r="E985" i="17" s="1"/>
  <c r="F984" i="17"/>
  <c r="C984" i="17"/>
  <c r="E984" i="17" s="1"/>
  <c r="F983" i="17"/>
  <c r="C983" i="17"/>
  <c r="E983" i="17" s="1"/>
  <c r="F982" i="17"/>
  <c r="C982" i="17"/>
  <c r="E982" i="17" s="1"/>
  <c r="F981" i="17"/>
  <c r="C981" i="17"/>
  <c r="E981" i="17" s="1"/>
  <c r="F980" i="17"/>
  <c r="C980" i="17"/>
  <c r="E980" i="17" s="1"/>
  <c r="F979" i="17"/>
  <c r="C979" i="17"/>
  <c r="E979" i="17" s="1"/>
  <c r="F978" i="17"/>
  <c r="C978" i="17"/>
  <c r="E978" i="17" s="1"/>
  <c r="F977" i="17"/>
  <c r="C977" i="17"/>
  <c r="E977" i="17" s="1"/>
  <c r="F976" i="17"/>
  <c r="C976" i="17"/>
  <c r="E976" i="17" s="1"/>
  <c r="F975" i="17"/>
  <c r="C975" i="17"/>
  <c r="E975" i="17" s="1"/>
  <c r="F974" i="17"/>
  <c r="C974" i="17"/>
  <c r="E974" i="17" s="1"/>
  <c r="F973" i="17"/>
  <c r="C973" i="17"/>
  <c r="E973" i="17" s="1"/>
  <c r="F972" i="17"/>
  <c r="C972" i="17"/>
  <c r="E972" i="17" s="1"/>
  <c r="F971" i="17"/>
  <c r="C971" i="17"/>
  <c r="E971" i="17" s="1"/>
  <c r="F970" i="17"/>
  <c r="C970" i="17"/>
  <c r="E970" i="17" s="1"/>
  <c r="F969" i="17"/>
  <c r="C969" i="17"/>
  <c r="E969" i="17" s="1"/>
  <c r="F968" i="17"/>
  <c r="C968" i="17"/>
  <c r="E968" i="17" s="1"/>
  <c r="F967" i="17"/>
  <c r="C967" i="17"/>
  <c r="E967" i="17" s="1"/>
  <c r="F966" i="17"/>
  <c r="C966" i="17"/>
  <c r="E966" i="17" s="1"/>
  <c r="F965" i="17"/>
  <c r="C965" i="17"/>
  <c r="E965" i="17" s="1"/>
  <c r="F964" i="17"/>
  <c r="C964" i="17"/>
  <c r="E964" i="17" s="1"/>
  <c r="F963" i="17"/>
  <c r="C963" i="17"/>
  <c r="E963" i="17" s="1"/>
  <c r="F962" i="17"/>
  <c r="C962" i="17"/>
  <c r="E962" i="17" s="1"/>
  <c r="F961" i="17"/>
  <c r="C961" i="17"/>
  <c r="E961" i="17" s="1"/>
  <c r="F960" i="17"/>
  <c r="C960" i="17"/>
  <c r="E960" i="17" s="1"/>
  <c r="F959" i="17"/>
  <c r="C959" i="17"/>
  <c r="E959" i="17" s="1"/>
  <c r="F958" i="17"/>
  <c r="C958" i="17"/>
  <c r="E958" i="17" s="1"/>
  <c r="F957" i="17"/>
  <c r="C957" i="17"/>
  <c r="E957" i="17" s="1"/>
  <c r="F956" i="17"/>
  <c r="C956" i="17"/>
  <c r="E956" i="17" s="1"/>
  <c r="F955" i="17"/>
  <c r="C955" i="17"/>
  <c r="E955" i="17" s="1"/>
  <c r="F954" i="17"/>
  <c r="C954" i="17"/>
  <c r="E954" i="17" s="1"/>
  <c r="F953" i="17"/>
  <c r="C953" i="17"/>
  <c r="E953" i="17" s="1"/>
  <c r="F952" i="17"/>
  <c r="C952" i="17"/>
  <c r="E952" i="17" s="1"/>
  <c r="F951" i="17"/>
  <c r="C951" i="17"/>
  <c r="E951" i="17" s="1"/>
  <c r="F950" i="17"/>
  <c r="C950" i="17"/>
  <c r="E950" i="17" s="1"/>
  <c r="F949" i="17"/>
  <c r="C949" i="17"/>
  <c r="E949" i="17" s="1"/>
  <c r="F948" i="17"/>
  <c r="C948" i="17"/>
  <c r="E948" i="17" s="1"/>
  <c r="F947" i="17"/>
  <c r="C947" i="17"/>
  <c r="E947" i="17" s="1"/>
  <c r="F946" i="17"/>
  <c r="C946" i="17"/>
  <c r="E946" i="17" s="1"/>
  <c r="F945" i="17"/>
  <c r="C945" i="17"/>
  <c r="E945" i="17" s="1"/>
  <c r="F944" i="17"/>
  <c r="C944" i="17"/>
  <c r="E944" i="17" s="1"/>
  <c r="F943" i="17"/>
  <c r="C943" i="17"/>
  <c r="E943" i="17" s="1"/>
  <c r="F942" i="17"/>
  <c r="C942" i="17"/>
  <c r="E942" i="17" s="1"/>
  <c r="F941" i="17"/>
  <c r="C941" i="17"/>
  <c r="E941" i="17" s="1"/>
  <c r="F940" i="17"/>
  <c r="C940" i="17"/>
  <c r="E940" i="17" s="1"/>
  <c r="F939" i="17"/>
  <c r="C939" i="17"/>
  <c r="E939" i="17" s="1"/>
  <c r="F938" i="17"/>
  <c r="C938" i="17"/>
  <c r="E938" i="17" s="1"/>
  <c r="F937" i="17"/>
  <c r="C937" i="17"/>
  <c r="E937" i="17" s="1"/>
  <c r="F936" i="17"/>
  <c r="C936" i="17"/>
  <c r="E936" i="17" s="1"/>
  <c r="F935" i="17"/>
  <c r="C935" i="17"/>
  <c r="E935" i="17" s="1"/>
  <c r="F934" i="17"/>
  <c r="C934" i="17"/>
  <c r="E934" i="17" s="1"/>
  <c r="F933" i="17"/>
  <c r="C933" i="17"/>
  <c r="E933" i="17" s="1"/>
  <c r="F932" i="17"/>
  <c r="C932" i="17"/>
  <c r="E932" i="17" s="1"/>
  <c r="F931" i="17"/>
  <c r="C931" i="17"/>
  <c r="E931" i="17" s="1"/>
  <c r="F930" i="17"/>
  <c r="C930" i="17"/>
  <c r="E930" i="17" s="1"/>
  <c r="F929" i="17"/>
  <c r="C929" i="17"/>
  <c r="E929" i="17" s="1"/>
  <c r="F928" i="17"/>
  <c r="C928" i="17"/>
  <c r="E928" i="17" s="1"/>
  <c r="F927" i="17"/>
  <c r="C927" i="17"/>
  <c r="E927" i="17" s="1"/>
  <c r="F926" i="17"/>
  <c r="C926" i="17"/>
  <c r="E926" i="17" s="1"/>
  <c r="F925" i="17"/>
  <c r="C925" i="17"/>
  <c r="E925" i="17" s="1"/>
  <c r="F924" i="17"/>
  <c r="C924" i="17"/>
  <c r="E924" i="17" s="1"/>
  <c r="F923" i="17"/>
  <c r="C923" i="17"/>
  <c r="E923" i="17" s="1"/>
  <c r="F922" i="17"/>
  <c r="C922" i="17"/>
  <c r="E922" i="17" s="1"/>
  <c r="F921" i="17"/>
  <c r="C921" i="17"/>
  <c r="E921" i="17" s="1"/>
  <c r="F920" i="17"/>
  <c r="C920" i="17"/>
  <c r="E920" i="17" s="1"/>
  <c r="F919" i="17"/>
  <c r="C919" i="17"/>
  <c r="E919" i="17" s="1"/>
  <c r="F918" i="17"/>
  <c r="C918" i="17"/>
  <c r="E918" i="17" s="1"/>
  <c r="F917" i="17"/>
  <c r="C917" i="17"/>
  <c r="E917" i="17" s="1"/>
  <c r="F916" i="17"/>
  <c r="C916" i="17"/>
  <c r="E916" i="17" s="1"/>
  <c r="F915" i="17"/>
  <c r="C915" i="17"/>
  <c r="E915" i="17" s="1"/>
  <c r="F914" i="17"/>
  <c r="C914" i="17"/>
  <c r="E914" i="17" s="1"/>
  <c r="F913" i="17"/>
  <c r="C913" i="17"/>
  <c r="E913" i="17" s="1"/>
  <c r="F912" i="17"/>
  <c r="C912" i="17"/>
  <c r="E912" i="17" s="1"/>
  <c r="F911" i="17"/>
  <c r="C911" i="17"/>
  <c r="E911" i="17" s="1"/>
  <c r="F910" i="17"/>
  <c r="C910" i="17"/>
  <c r="E910" i="17" s="1"/>
  <c r="F909" i="17"/>
  <c r="C909" i="17"/>
  <c r="E909" i="17" s="1"/>
  <c r="F908" i="17"/>
  <c r="C908" i="17"/>
  <c r="E908" i="17" s="1"/>
  <c r="F907" i="17"/>
  <c r="C907" i="17"/>
  <c r="E907" i="17" s="1"/>
  <c r="F906" i="17"/>
  <c r="C906" i="17"/>
  <c r="E906" i="17" s="1"/>
  <c r="F905" i="17"/>
  <c r="C905" i="17"/>
  <c r="E905" i="17" s="1"/>
  <c r="F904" i="17"/>
  <c r="C904" i="17"/>
  <c r="E904" i="17" s="1"/>
  <c r="F903" i="17"/>
  <c r="C903" i="17"/>
  <c r="E903" i="17" s="1"/>
  <c r="F902" i="17"/>
  <c r="C902" i="17"/>
  <c r="E902" i="17" s="1"/>
  <c r="F901" i="17"/>
  <c r="C901" i="17"/>
  <c r="E901" i="17" s="1"/>
  <c r="F900" i="17"/>
  <c r="C900" i="17"/>
  <c r="E900" i="17" s="1"/>
  <c r="F899" i="17"/>
  <c r="C899" i="17"/>
  <c r="E899" i="17" s="1"/>
  <c r="F898" i="17"/>
  <c r="C898" i="17"/>
  <c r="E898" i="17" s="1"/>
  <c r="F897" i="17"/>
  <c r="C897" i="17"/>
  <c r="E897" i="17" s="1"/>
  <c r="F896" i="17"/>
  <c r="C896" i="17"/>
  <c r="E896" i="17" s="1"/>
  <c r="F895" i="17"/>
  <c r="C895" i="17"/>
  <c r="E895" i="17" s="1"/>
  <c r="F894" i="17"/>
  <c r="C894" i="17"/>
  <c r="E894" i="17" s="1"/>
  <c r="F893" i="17"/>
  <c r="C893" i="17"/>
  <c r="E893" i="17" s="1"/>
  <c r="F892" i="17"/>
  <c r="C892" i="17"/>
  <c r="E892" i="17" s="1"/>
  <c r="F891" i="17"/>
  <c r="C891" i="17"/>
  <c r="E891" i="17" s="1"/>
  <c r="F890" i="17"/>
  <c r="C890" i="17"/>
  <c r="E890" i="17" s="1"/>
  <c r="F889" i="17"/>
  <c r="C889" i="17"/>
  <c r="E889" i="17" s="1"/>
  <c r="F888" i="17"/>
  <c r="C888" i="17"/>
  <c r="E888" i="17" s="1"/>
  <c r="F887" i="17"/>
  <c r="C887" i="17"/>
  <c r="E887" i="17" s="1"/>
  <c r="F886" i="17"/>
  <c r="C886" i="17"/>
  <c r="E886" i="17" s="1"/>
  <c r="F885" i="17"/>
  <c r="C885" i="17"/>
  <c r="E885" i="17" s="1"/>
  <c r="F884" i="17"/>
  <c r="C884" i="17"/>
  <c r="E884" i="17" s="1"/>
  <c r="F883" i="17"/>
  <c r="C883" i="17"/>
  <c r="E883" i="17" s="1"/>
  <c r="F882" i="17"/>
  <c r="C882" i="17"/>
  <c r="E882" i="17" s="1"/>
  <c r="F881" i="17"/>
  <c r="C881" i="17"/>
  <c r="E881" i="17" s="1"/>
  <c r="F880" i="17"/>
  <c r="C880" i="17"/>
  <c r="E880" i="17" s="1"/>
  <c r="F879" i="17"/>
  <c r="C879" i="17"/>
  <c r="E879" i="17" s="1"/>
  <c r="F878" i="17"/>
  <c r="C878" i="17"/>
  <c r="E878" i="17" s="1"/>
  <c r="F877" i="17"/>
  <c r="C877" i="17"/>
  <c r="E877" i="17" s="1"/>
  <c r="F876" i="17"/>
  <c r="C876" i="17"/>
  <c r="E876" i="17" s="1"/>
  <c r="F875" i="17"/>
  <c r="C875" i="17"/>
  <c r="E875" i="17" s="1"/>
  <c r="F874" i="17"/>
  <c r="C874" i="17"/>
  <c r="E874" i="17" s="1"/>
  <c r="F873" i="17"/>
  <c r="C873" i="17"/>
  <c r="E873" i="17" s="1"/>
  <c r="F872" i="17"/>
  <c r="C872" i="17"/>
  <c r="E872" i="17" s="1"/>
  <c r="F871" i="17"/>
  <c r="C871" i="17"/>
  <c r="E871" i="17" s="1"/>
  <c r="F870" i="17"/>
  <c r="C870" i="17"/>
  <c r="E870" i="17" s="1"/>
  <c r="F869" i="17"/>
  <c r="C869" i="17"/>
  <c r="E869" i="17" s="1"/>
  <c r="F868" i="17"/>
  <c r="C868" i="17"/>
  <c r="E868" i="17" s="1"/>
  <c r="F867" i="17"/>
  <c r="C867" i="17"/>
  <c r="E867" i="17" s="1"/>
  <c r="F866" i="17"/>
  <c r="C866" i="17"/>
  <c r="E866" i="17" s="1"/>
  <c r="F865" i="17"/>
  <c r="C865" i="17"/>
  <c r="E865" i="17" s="1"/>
  <c r="F864" i="17"/>
  <c r="C864" i="17"/>
  <c r="E864" i="17" s="1"/>
  <c r="F863" i="17"/>
  <c r="C863" i="17"/>
  <c r="E863" i="17" s="1"/>
  <c r="F862" i="17"/>
  <c r="C862" i="17"/>
  <c r="E862" i="17" s="1"/>
  <c r="F861" i="17"/>
  <c r="C861" i="17"/>
  <c r="E861" i="17" s="1"/>
  <c r="F860" i="17"/>
  <c r="C860" i="17"/>
  <c r="E860" i="17" s="1"/>
  <c r="F859" i="17"/>
  <c r="C859" i="17"/>
  <c r="E859" i="17" s="1"/>
  <c r="F858" i="17"/>
  <c r="C858" i="17"/>
  <c r="E858" i="17" s="1"/>
  <c r="F857" i="17"/>
  <c r="C857" i="17"/>
  <c r="E857" i="17" s="1"/>
  <c r="F856" i="17"/>
  <c r="C856" i="17"/>
  <c r="E856" i="17" s="1"/>
  <c r="F855" i="17"/>
  <c r="C855" i="17"/>
  <c r="E855" i="17" s="1"/>
  <c r="F854" i="17"/>
  <c r="C854" i="17"/>
  <c r="E854" i="17" s="1"/>
  <c r="F853" i="17"/>
  <c r="C853" i="17"/>
  <c r="E853" i="17" s="1"/>
  <c r="F852" i="17"/>
  <c r="C852" i="17"/>
  <c r="E852" i="17" s="1"/>
  <c r="F851" i="17"/>
  <c r="C851" i="17"/>
  <c r="E851" i="17" s="1"/>
  <c r="F850" i="17"/>
  <c r="C850" i="17"/>
  <c r="E850" i="17" s="1"/>
  <c r="F849" i="17"/>
  <c r="C849" i="17"/>
  <c r="E849" i="17" s="1"/>
  <c r="F848" i="17"/>
  <c r="C848" i="17"/>
  <c r="E848" i="17" s="1"/>
  <c r="F847" i="17"/>
  <c r="C847" i="17"/>
  <c r="E847" i="17" s="1"/>
  <c r="F846" i="17"/>
  <c r="C846" i="17"/>
  <c r="E846" i="17" s="1"/>
  <c r="F845" i="17"/>
  <c r="C845" i="17"/>
  <c r="E845" i="17" s="1"/>
  <c r="F844" i="17"/>
  <c r="C844" i="17"/>
  <c r="E844" i="17" s="1"/>
  <c r="F843" i="17"/>
  <c r="C843" i="17"/>
  <c r="E843" i="17" s="1"/>
  <c r="F842" i="17"/>
  <c r="C842" i="17"/>
  <c r="E842" i="17" s="1"/>
  <c r="F841" i="17"/>
  <c r="E841" i="17"/>
  <c r="C841" i="17"/>
  <c r="F840" i="17"/>
  <c r="C840" i="17"/>
  <c r="E840" i="17" s="1"/>
  <c r="F839" i="17"/>
  <c r="C839" i="17"/>
  <c r="E839" i="17" s="1"/>
  <c r="F838" i="17"/>
  <c r="C838" i="17"/>
  <c r="E838" i="17" s="1"/>
  <c r="F837" i="17"/>
  <c r="C837" i="17"/>
  <c r="E837" i="17" s="1"/>
  <c r="F836" i="17"/>
  <c r="C836" i="17"/>
  <c r="E836" i="17" s="1"/>
  <c r="F835" i="17"/>
  <c r="C835" i="17"/>
  <c r="E835" i="17" s="1"/>
  <c r="F834" i="17"/>
  <c r="C834" i="17"/>
  <c r="E834" i="17" s="1"/>
  <c r="F833" i="17"/>
  <c r="C833" i="17"/>
  <c r="E833" i="17" s="1"/>
  <c r="F832" i="17"/>
  <c r="C832" i="17"/>
  <c r="E832" i="17" s="1"/>
  <c r="F831" i="17"/>
  <c r="C831" i="17"/>
  <c r="E831" i="17" s="1"/>
  <c r="F830" i="17"/>
  <c r="C830" i="17"/>
  <c r="E830" i="17" s="1"/>
  <c r="F829" i="17"/>
  <c r="C829" i="17"/>
  <c r="E829" i="17" s="1"/>
  <c r="F828" i="17"/>
  <c r="C828" i="17"/>
  <c r="E828" i="17" s="1"/>
  <c r="F827" i="17"/>
  <c r="C827" i="17"/>
  <c r="E827" i="17" s="1"/>
  <c r="F826" i="17"/>
  <c r="C826" i="17"/>
  <c r="E826" i="17" s="1"/>
  <c r="F825" i="17"/>
  <c r="C825" i="17"/>
  <c r="E825" i="17" s="1"/>
  <c r="F824" i="17"/>
  <c r="C824" i="17"/>
  <c r="E824" i="17" s="1"/>
  <c r="F823" i="17"/>
  <c r="C823" i="17"/>
  <c r="E823" i="17" s="1"/>
  <c r="F822" i="17"/>
  <c r="C822" i="17"/>
  <c r="E822" i="17" s="1"/>
  <c r="F821" i="17"/>
  <c r="C821" i="17"/>
  <c r="E821" i="17" s="1"/>
  <c r="F820" i="17"/>
  <c r="C820" i="17"/>
  <c r="E820" i="17" s="1"/>
  <c r="F819" i="17"/>
  <c r="C819" i="17"/>
  <c r="E819" i="17" s="1"/>
  <c r="F818" i="17"/>
  <c r="C818" i="17"/>
  <c r="E818" i="17" s="1"/>
  <c r="F817" i="17"/>
  <c r="C817" i="17"/>
  <c r="E817" i="17" s="1"/>
  <c r="F816" i="17"/>
  <c r="C816" i="17"/>
  <c r="E816" i="17" s="1"/>
  <c r="F815" i="17"/>
  <c r="C815" i="17"/>
  <c r="E815" i="17" s="1"/>
  <c r="F814" i="17"/>
  <c r="C814" i="17"/>
  <c r="E814" i="17" s="1"/>
  <c r="F813" i="17"/>
  <c r="C813" i="17"/>
  <c r="E813" i="17" s="1"/>
  <c r="F812" i="17"/>
  <c r="C812" i="17"/>
  <c r="E812" i="17" s="1"/>
  <c r="F811" i="17"/>
  <c r="C811" i="17"/>
  <c r="E811" i="17" s="1"/>
  <c r="F810" i="17"/>
  <c r="C810" i="17"/>
  <c r="E810" i="17" s="1"/>
  <c r="F809" i="17"/>
  <c r="C809" i="17"/>
  <c r="E809" i="17" s="1"/>
  <c r="F808" i="17"/>
  <c r="C808" i="17"/>
  <c r="E808" i="17" s="1"/>
  <c r="F807" i="17"/>
  <c r="C807" i="17"/>
  <c r="E807" i="17" s="1"/>
  <c r="F806" i="17"/>
  <c r="C806" i="17"/>
  <c r="E806" i="17" s="1"/>
  <c r="F805" i="17"/>
  <c r="C805" i="17"/>
  <c r="E805" i="17" s="1"/>
  <c r="F804" i="17"/>
  <c r="C804" i="17"/>
  <c r="E804" i="17" s="1"/>
  <c r="F803" i="17"/>
  <c r="C803" i="17"/>
  <c r="E803" i="17" s="1"/>
  <c r="F802" i="17"/>
  <c r="C802" i="17"/>
  <c r="E802" i="17" s="1"/>
  <c r="F801" i="17"/>
  <c r="C801" i="17"/>
  <c r="E801" i="17" s="1"/>
  <c r="F800" i="17"/>
  <c r="C800" i="17"/>
  <c r="E800" i="17" s="1"/>
  <c r="F799" i="17"/>
  <c r="C799" i="17"/>
  <c r="E799" i="17" s="1"/>
  <c r="F798" i="17"/>
  <c r="C798" i="17"/>
  <c r="E798" i="17" s="1"/>
  <c r="F797" i="17"/>
  <c r="C797" i="17"/>
  <c r="E797" i="17" s="1"/>
  <c r="F796" i="17"/>
  <c r="C796" i="17"/>
  <c r="E796" i="17" s="1"/>
  <c r="F795" i="17"/>
  <c r="C795" i="17"/>
  <c r="E795" i="17" s="1"/>
  <c r="F794" i="17"/>
  <c r="C794" i="17"/>
  <c r="E794" i="17" s="1"/>
  <c r="F793" i="17"/>
  <c r="C793" i="17"/>
  <c r="E793" i="17" s="1"/>
  <c r="F792" i="17"/>
  <c r="C792" i="17"/>
  <c r="E792" i="17" s="1"/>
  <c r="F791" i="17"/>
  <c r="C791" i="17"/>
  <c r="E791" i="17" s="1"/>
  <c r="F790" i="17"/>
  <c r="C790" i="17"/>
  <c r="E790" i="17" s="1"/>
  <c r="F789" i="17"/>
  <c r="C789" i="17"/>
  <c r="E789" i="17" s="1"/>
  <c r="F788" i="17"/>
  <c r="C788" i="17"/>
  <c r="E788" i="17" s="1"/>
  <c r="F787" i="17"/>
  <c r="C787" i="17"/>
  <c r="E787" i="17" s="1"/>
  <c r="F786" i="17"/>
  <c r="C786" i="17"/>
  <c r="E786" i="17" s="1"/>
  <c r="F785" i="17"/>
  <c r="C785" i="17"/>
  <c r="E785" i="17" s="1"/>
  <c r="F784" i="17"/>
  <c r="C784" i="17"/>
  <c r="E784" i="17" s="1"/>
  <c r="F783" i="17"/>
  <c r="C783" i="17"/>
  <c r="E783" i="17" s="1"/>
  <c r="F782" i="17"/>
  <c r="C782" i="17"/>
  <c r="E782" i="17" s="1"/>
  <c r="F781" i="17"/>
  <c r="C781" i="17"/>
  <c r="E781" i="17" s="1"/>
  <c r="F780" i="17"/>
  <c r="C780" i="17"/>
  <c r="E780" i="17" s="1"/>
  <c r="F779" i="17"/>
  <c r="C779" i="17"/>
  <c r="E779" i="17" s="1"/>
  <c r="F778" i="17"/>
  <c r="C778" i="17"/>
  <c r="E778" i="17" s="1"/>
  <c r="F777" i="17"/>
  <c r="C777" i="17"/>
  <c r="E777" i="17" s="1"/>
  <c r="F776" i="17"/>
  <c r="C776" i="17"/>
  <c r="E776" i="17" s="1"/>
  <c r="F775" i="17"/>
  <c r="C775" i="17"/>
  <c r="E775" i="17" s="1"/>
  <c r="F774" i="17"/>
  <c r="C774" i="17"/>
  <c r="E774" i="17" s="1"/>
  <c r="F773" i="17"/>
  <c r="C773" i="17"/>
  <c r="E773" i="17" s="1"/>
  <c r="F772" i="17"/>
  <c r="C772" i="17"/>
  <c r="E772" i="17" s="1"/>
  <c r="F771" i="17"/>
  <c r="C771" i="17"/>
  <c r="E771" i="17" s="1"/>
  <c r="F770" i="17"/>
  <c r="C770" i="17"/>
  <c r="E770" i="17" s="1"/>
  <c r="F769" i="17"/>
  <c r="C769" i="17"/>
  <c r="E769" i="17" s="1"/>
  <c r="F768" i="17"/>
  <c r="C768" i="17"/>
  <c r="E768" i="17" s="1"/>
  <c r="F767" i="17"/>
  <c r="C767" i="17"/>
  <c r="E767" i="17" s="1"/>
  <c r="F766" i="17"/>
  <c r="C766" i="17"/>
  <c r="E766" i="17" s="1"/>
  <c r="F765" i="17"/>
  <c r="C765" i="17"/>
  <c r="E765" i="17" s="1"/>
  <c r="F764" i="17"/>
  <c r="C764" i="17"/>
  <c r="E764" i="17" s="1"/>
  <c r="F763" i="17"/>
  <c r="C763" i="17"/>
  <c r="E763" i="17" s="1"/>
  <c r="F762" i="17"/>
  <c r="C762" i="17"/>
  <c r="E762" i="17" s="1"/>
  <c r="F761" i="17"/>
  <c r="C761" i="17"/>
  <c r="E761" i="17" s="1"/>
  <c r="F760" i="17"/>
  <c r="C760" i="17"/>
  <c r="E760" i="17" s="1"/>
  <c r="F759" i="17"/>
  <c r="C759" i="17"/>
  <c r="E759" i="17" s="1"/>
  <c r="F758" i="17"/>
  <c r="C758" i="17"/>
  <c r="E758" i="17" s="1"/>
  <c r="F757" i="17"/>
  <c r="C757" i="17"/>
  <c r="E757" i="17" s="1"/>
  <c r="F756" i="17"/>
  <c r="C756" i="17"/>
  <c r="E756" i="17" s="1"/>
  <c r="F755" i="17"/>
  <c r="C755" i="17"/>
  <c r="E755" i="17" s="1"/>
  <c r="F754" i="17"/>
  <c r="C754" i="17"/>
  <c r="E754" i="17" s="1"/>
  <c r="F753" i="17"/>
  <c r="C753" i="17"/>
  <c r="E753" i="17" s="1"/>
  <c r="F752" i="17"/>
  <c r="C752" i="17"/>
  <c r="E752" i="17" s="1"/>
  <c r="F751" i="17"/>
  <c r="C751" i="17"/>
  <c r="E751" i="17" s="1"/>
  <c r="F750" i="17"/>
  <c r="C750" i="17"/>
  <c r="E750" i="17" s="1"/>
  <c r="F749" i="17"/>
  <c r="C749" i="17"/>
  <c r="E749" i="17" s="1"/>
  <c r="F748" i="17"/>
  <c r="C748" i="17"/>
  <c r="E748" i="17" s="1"/>
  <c r="F747" i="17"/>
  <c r="C747" i="17"/>
  <c r="E747" i="17" s="1"/>
  <c r="F746" i="17"/>
  <c r="C746" i="17"/>
  <c r="E746" i="17" s="1"/>
  <c r="F745" i="17"/>
  <c r="C745" i="17"/>
  <c r="E745" i="17" s="1"/>
  <c r="F744" i="17"/>
  <c r="C744" i="17"/>
  <c r="E744" i="17" s="1"/>
  <c r="F743" i="17"/>
  <c r="C743" i="17"/>
  <c r="E743" i="17" s="1"/>
  <c r="F742" i="17"/>
  <c r="C742" i="17"/>
  <c r="E742" i="17" s="1"/>
  <c r="F741" i="17"/>
  <c r="C741" i="17"/>
  <c r="E741" i="17" s="1"/>
  <c r="F740" i="17"/>
  <c r="C740" i="17"/>
  <c r="E740" i="17" s="1"/>
  <c r="F739" i="17"/>
  <c r="C739" i="17"/>
  <c r="E739" i="17" s="1"/>
  <c r="F738" i="17"/>
  <c r="C738" i="17"/>
  <c r="E738" i="17" s="1"/>
  <c r="F737" i="17"/>
  <c r="C737" i="17"/>
  <c r="E737" i="17" s="1"/>
  <c r="F736" i="17"/>
  <c r="C736" i="17"/>
  <c r="E736" i="17" s="1"/>
  <c r="F735" i="17"/>
  <c r="C735" i="17"/>
  <c r="E735" i="17" s="1"/>
  <c r="F734" i="17"/>
  <c r="C734" i="17"/>
  <c r="E734" i="17" s="1"/>
  <c r="F733" i="17"/>
  <c r="C733" i="17"/>
  <c r="E733" i="17" s="1"/>
  <c r="F732" i="17"/>
  <c r="C732" i="17"/>
  <c r="E732" i="17" s="1"/>
  <c r="F731" i="17"/>
  <c r="C731" i="17"/>
  <c r="E731" i="17" s="1"/>
  <c r="F730" i="17"/>
  <c r="C730" i="17"/>
  <c r="E730" i="17" s="1"/>
  <c r="F729" i="17"/>
  <c r="C729" i="17"/>
  <c r="E729" i="17" s="1"/>
  <c r="F728" i="17"/>
  <c r="C728" i="17"/>
  <c r="E728" i="17" s="1"/>
  <c r="F727" i="17"/>
  <c r="C727" i="17"/>
  <c r="E727" i="17" s="1"/>
  <c r="F726" i="17"/>
  <c r="C726" i="17"/>
  <c r="E726" i="17" s="1"/>
  <c r="F725" i="17"/>
  <c r="C725" i="17"/>
  <c r="E725" i="17" s="1"/>
  <c r="F724" i="17"/>
  <c r="C724" i="17"/>
  <c r="E724" i="17" s="1"/>
  <c r="F723" i="17"/>
  <c r="C723" i="17"/>
  <c r="E723" i="17" s="1"/>
  <c r="F722" i="17"/>
  <c r="C722" i="17"/>
  <c r="E722" i="17" s="1"/>
  <c r="F721" i="17"/>
  <c r="C721" i="17"/>
  <c r="E721" i="17" s="1"/>
  <c r="F720" i="17"/>
  <c r="C720" i="17"/>
  <c r="E720" i="17" s="1"/>
  <c r="F719" i="17"/>
  <c r="C719" i="17"/>
  <c r="E719" i="17" s="1"/>
  <c r="F718" i="17"/>
  <c r="C718" i="17"/>
  <c r="E718" i="17" s="1"/>
  <c r="F717" i="17"/>
  <c r="C717" i="17"/>
  <c r="E717" i="17" s="1"/>
  <c r="F716" i="17"/>
  <c r="C716" i="17"/>
  <c r="E716" i="17" s="1"/>
  <c r="F715" i="17"/>
  <c r="C715" i="17"/>
  <c r="E715" i="17" s="1"/>
  <c r="F714" i="17"/>
  <c r="C714" i="17"/>
  <c r="E714" i="17" s="1"/>
  <c r="F713" i="17"/>
  <c r="C713" i="17"/>
  <c r="E713" i="17" s="1"/>
  <c r="F712" i="17"/>
  <c r="C712" i="17"/>
  <c r="E712" i="17" s="1"/>
  <c r="F711" i="17"/>
  <c r="C711" i="17"/>
  <c r="E711" i="17" s="1"/>
  <c r="F710" i="17"/>
  <c r="C710" i="17"/>
  <c r="E710" i="17" s="1"/>
  <c r="F709" i="17"/>
  <c r="C709" i="17"/>
  <c r="E709" i="17" s="1"/>
  <c r="F708" i="17"/>
  <c r="C708" i="17"/>
  <c r="E708" i="17" s="1"/>
  <c r="F707" i="17"/>
  <c r="C707" i="17"/>
  <c r="E707" i="17" s="1"/>
  <c r="F706" i="17"/>
  <c r="C706" i="17"/>
  <c r="E706" i="17" s="1"/>
  <c r="F705" i="17"/>
  <c r="C705" i="17"/>
  <c r="E705" i="17" s="1"/>
  <c r="F704" i="17"/>
  <c r="C704" i="17"/>
  <c r="E704" i="17" s="1"/>
  <c r="F703" i="17"/>
  <c r="C703" i="17"/>
  <c r="E703" i="17" s="1"/>
  <c r="F702" i="17"/>
  <c r="C702" i="17"/>
  <c r="E702" i="17" s="1"/>
  <c r="F701" i="17"/>
  <c r="C701" i="17"/>
  <c r="E701" i="17" s="1"/>
  <c r="F700" i="17"/>
  <c r="C700" i="17"/>
  <c r="E700" i="17" s="1"/>
  <c r="F699" i="17"/>
  <c r="C699" i="17"/>
  <c r="E699" i="17" s="1"/>
  <c r="F698" i="17"/>
  <c r="C698" i="17"/>
  <c r="E698" i="17" s="1"/>
  <c r="F697" i="17"/>
  <c r="C697" i="17"/>
  <c r="E697" i="17" s="1"/>
  <c r="F696" i="17"/>
  <c r="C696" i="17"/>
  <c r="E696" i="17" s="1"/>
  <c r="F695" i="17"/>
  <c r="C695" i="17"/>
  <c r="E695" i="17" s="1"/>
  <c r="F694" i="17"/>
  <c r="C694" i="17"/>
  <c r="E694" i="17" s="1"/>
  <c r="F693" i="17"/>
  <c r="C693" i="17"/>
  <c r="E693" i="17" s="1"/>
  <c r="F692" i="17"/>
  <c r="C692" i="17"/>
  <c r="E692" i="17" s="1"/>
  <c r="F691" i="17"/>
  <c r="C691" i="17"/>
  <c r="E691" i="17" s="1"/>
  <c r="F690" i="17"/>
  <c r="C690" i="17"/>
  <c r="E690" i="17" s="1"/>
  <c r="F689" i="17"/>
  <c r="C689" i="17"/>
  <c r="E689" i="17" s="1"/>
  <c r="F688" i="17"/>
  <c r="C688" i="17"/>
  <c r="E688" i="17" s="1"/>
  <c r="F687" i="17"/>
  <c r="C687" i="17"/>
  <c r="E687" i="17" s="1"/>
  <c r="F686" i="17"/>
  <c r="C686" i="17"/>
  <c r="E686" i="17" s="1"/>
  <c r="F685" i="17"/>
  <c r="C685" i="17"/>
  <c r="E685" i="17" s="1"/>
  <c r="F684" i="17"/>
  <c r="C684" i="17"/>
  <c r="E684" i="17" s="1"/>
  <c r="F683" i="17"/>
  <c r="C683" i="17"/>
  <c r="E683" i="17" s="1"/>
  <c r="F682" i="17"/>
  <c r="C682" i="17"/>
  <c r="E682" i="17" s="1"/>
  <c r="F681" i="17"/>
  <c r="C681" i="17"/>
  <c r="E681" i="17" s="1"/>
  <c r="F680" i="17"/>
  <c r="C680" i="17"/>
  <c r="E680" i="17" s="1"/>
  <c r="F679" i="17"/>
  <c r="C679" i="17"/>
  <c r="E679" i="17" s="1"/>
  <c r="F678" i="17"/>
  <c r="C678" i="17"/>
  <c r="E678" i="17" s="1"/>
  <c r="F677" i="17"/>
  <c r="C677" i="17"/>
  <c r="E677" i="17" s="1"/>
  <c r="F676" i="17"/>
  <c r="C676" i="17"/>
  <c r="E676" i="17" s="1"/>
  <c r="F675" i="17"/>
  <c r="C675" i="17"/>
  <c r="E675" i="17" s="1"/>
  <c r="F674" i="17"/>
  <c r="C674" i="17"/>
  <c r="E674" i="17" s="1"/>
  <c r="F673" i="17"/>
  <c r="C673" i="17"/>
  <c r="E673" i="17" s="1"/>
  <c r="F672" i="17"/>
  <c r="C672" i="17"/>
  <c r="E672" i="17" s="1"/>
  <c r="F671" i="17"/>
  <c r="C671" i="17"/>
  <c r="E671" i="17" s="1"/>
  <c r="F670" i="17"/>
  <c r="C670" i="17"/>
  <c r="E670" i="17" s="1"/>
  <c r="F669" i="17"/>
  <c r="C669" i="17"/>
  <c r="E669" i="17" s="1"/>
  <c r="F668" i="17"/>
  <c r="C668" i="17"/>
  <c r="E668" i="17" s="1"/>
  <c r="F667" i="17"/>
  <c r="C667" i="17"/>
  <c r="E667" i="17" s="1"/>
  <c r="F666" i="17"/>
  <c r="C666" i="17"/>
  <c r="E666" i="17" s="1"/>
  <c r="F665" i="17"/>
  <c r="C665" i="17"/>
  <c r="E665" i="17" s="1"/>
  <c r="F664" i="17"/>
  <c r="C664" i="17"/>
  <c r="E664" i="17" s="1"/>
  <c r="F663" i="17"/>
  <c r="C663" i="17"/>
  <c r="E663" i="17" s="1"/>
  <c r="F662" i="17"/>
  <c r="C662" i="17"/>
  <c r="E662" i="17" s="1"/>
  <c r="F661" i="17"/>
  <c r="C661" i="17"/>
  <c r="E661" i="17" s="1"/>
  <c r="F660" i="17"/>
  <c r="C660" i="17"/>
  <c r="E660" i="17" s="1"/>
  <c r="F659" i="17"/>
  <c r="C659" i="17"/>
  <c r="E659" i="17" s="1"/>
  <c r="F658" i="17"/>
  <c r="C658" i="17"/>
  <c r="E658" i="17" s="1"/>
  <c r="F657" i="17"/>
  <c r="C657" i="17"/>
  <c r="E657" i="17" s="1"/>
  <c r="F656" i="17"/>
  <c r="C656" i="17"/>
  <c r="E656" i="17" s="1"/>
  <c r="F655" i="17"/>
  <c r="C655" i="17"/>
  <c r="E655" i="17" s="1"/>
  <c r="F654" i="17"/>
  <c r="C654" i="17"/>
  <c r="E654" i="17" s="1"/>
  <c r="F653" i="17"/>
  <c r="C653" i="17"/>
  <c r="E653" i="17" s="1"/>
  <c r="F652" i="17"/>
  <c r="C652" i="17"/>
  <c r="E652" i="17" s="1"/>
  <c r="F651" i="17"/>
  <c r="C651" i="17"/>
  <c r="E651" i="17" s="1"/>
  <c r="F650" i="17"/>
  <c r="C650" i="17"/>
  <c r="E650" i="17" s="1"/>
  <c r="F649" i="17"/>
  <c r="C649" i="17"/>
  <c r="E649" i="17" s="1"/>
  <c r="F648" i="17"/>
  <c r="C648" i="17"/>
  <c r="E648" i="17" s="1"/>
  <c r="F647" i="17"/>
  <c r="C647" i="17"/>
  <c r="E647" i="17" s="1"/>
  <c r="F646" i="17"/>
  <c r="C646" i="17"/>
  <c r="E646" i="17" s="1"/>
  <c r="F645" i="17"/>
  <c r="C645" i="17"/>
  <c r="E645" i="17" s="1"/>
  <c r="F644" i="17"/>
  <c r="C644" i="17"/>
  <c r="E644" i="17" s="1"/>
  <c r="F643" i="17"/>
  <c r="C643" i="17"/>
  <c r="E643" i="17" s="1"/>
  <c r="F642" i="17"/>
  <c r="C642" i="17"/>
  <c r="E642" i="17" s="1"/>
  <c r="F641" i="17"/>
  <c r="C641" i="17"/>
  <c r="E641" i="17" s="1"/>
  <c r="F640" i="17"/>
  <c r="C640" i="17"/>
  <c r="E640" i="17" s="1"/>
  <c r="F639" i="17"/>
  <c r="C639" i="17"/>
  <c r="E639" i="17" s="1"/>
  <c r="F638" i="17"/>
  <c r="C638" i="17"/>
  <c r="E638" i="17" s="1"/>
  <c r="F637" i="17"/>
  <c r="C637" i="17"/>
  <c r="E637" i="17" s="1"/>
  <c r="F636" i="17"/>
  <c r="C636" i="17"/>
  <c r="E636" i="17" s="1"/>
  <c r="F635" i="17"/>
  <c r="C635" i="17"/>
  <c r="E635" i="17" s="1"/>
  <c r="F634" i="17"/>
  <c r="C634" i="17"/>
  <c r="E634" i="17" s="1"/>
  <c r="F633" i="17"/>
  <c r="C633" i="17"/>
  <c r="E633" i="17" s="1"/>
  <c r="F632" i="17"/>
  <c r="C632" i="17"/>
  <c r="E632" i="17" s="1"/>
  <c r="F631" i="17"/>
  <c r="C631" i="17"/>
  <c r="E631" i="17" s="1"/>
  <c r="F630" i="17"/>
  <c r="C630" i="17"/>
  <c r="E630" i="17" s="1"/>
  <c r="F629" i="17"/>
  <c r="C629" i="17"/>
  <c r="E629" i="17" s="1"/>
  <c r="F628" i="17"/>
  <c r="C628" i="17"/>
  <c r="E628" i="17" s="1"/>
  <c r="F627" i="17"/>
  <c r="C627" i="17"/>
  <c r="E627" i="17" s="1"/>
  <c r="F626" i="17"/>
  <c r="C626" i="17"/>
  <c r="E626" i="17" s="1"/>
  <c r="F625" i="17"/>
  <c r="C625" i="17"/>
  <c r="E625" i="17" s="1"/>
  <c r="F624" i="17"/>
  <c r="C624" i="17"/>
  <c r="E624" i="17" s="1"/>
  <c r="F623" i="17"/>
  <c r="C623" i="17"/>
  <c r="E623" i="17" s="1"/>
  <c r="F622" i="17"/>
  <c r="C622" i="17"/>
  <c r="E622" i="17" s="1"/>
  <c r="F621" i="17"/>
  <c r="C621" i="17"/>
  <c r="E621" i="17" s="1"/>
  <c r="F620" i="17"/>
  <c r="C620" i="17"/>
  <c r="E620" i="17" s="1"/>
  <c r="F619" i="17"/>
  <c r="C619" i="17"/>
  <c r="E619" i="17" s="1"/>
  <c r="F618" i="17"/>
  <c r="C618" i="17"/>
  <c r="E618" i="17" s="1"/>
  <c r="F617" i="17"/>
  <c r="C617" i="17"/>
  <c r="E617" i="17" s="1"/>
  <c r="F616" i="17"/>
  <c r="C616" i="17"/>
  <c r="E616" i="17" s="1"/>
  <c r="F615" i="17"/>
  <c r="C615" i="17"/>
  <c r="E615" i="17" s="1"/>
  <c r="F614" i="17"/>
  <c r="C614" i="17"/>
  <c r="E614" i="17" s="1"/>
  <c r="F613" i="17"/>
  <c r="C613" i="17"/>
  <c r="E613" i="17" s="1"/>
  <c r="F612" i="17"/>
  <c r="C612" i="17"/>
  <c r="E612" i="17" s="1"/>
  <c r="F611" i="17"/>
  <c r="C611" i="17"/>
  <c r="E611" i="17" s="1"/>
  <c r="F610" i="17"/>
  <c r="C610" i="17"/>
  <c r="E610" i="17" s="1"/>
  <c r="F609" i="17"/>
  <c r="C609" i="17"/>
  <c r="E609" i="17" s="1"/>
  <c r="F608" i="17"/>
  <c r="C608" i="17"/>
  <c r="E608" i="17" s="1"/>
  <c r="F607" i="17"/>
  <c r="C607" i="17"/>
  <c r="E607" i="17" s="1"/>
  <c r="F606" i="17"/>
  <c r="C606" i="17"/>
  <c r="E606" i="17" s="1"/>
  <c r="F605" i="17"/>
  <c r="C605" i="17"/>
  <c r="E605" i="17" s="1"/>
  <c r="F604" i="17"/>
  <c r="C604" i="17"/>
  <c r="E604" i="17" s="1"/>
  <c r="F603" i="17"/>
  <c r="C603" i="17"/>
  <c r="E603" i="17" s="1"/>
  <c r="F602" i="17"/>
  <c r="C602" i="17"/>
  <c r="E602" i="17" s="1"/>
  <c r="F601" i="17"/>
  <c r="C601" i="17"/>
  <c r="E601" i="17" s="1"/>
  <c r="F600" i="17"/>
  <c r="C600" i="17"/>
  <c r="E600" i="17" s="1"/>
  <c r="F599" i="17"/>
  <c r="C599" i="17"/>
  <c r="E599" i="17" s="1"/>
  <c r="F598" i="17"/>
  <c r="C598" i="17"/>
  <c r="E598" i="17" s="1"/>
  <c r="F597" i="17"/>
  <c r="C597" i="17"/>
  <c r="E597" i="17" s="1"/>
  <c r="F596" i="17"/>
  <c r="C596" i="17"/>
  <c r="E596" i="17" s="1"/>
  <c r="F595" i="17"/>
  <c r="C595" i="17"/>
  <c r="E595" i="17" s="1"/>
  <c r="F594" i="17"/>
  <c r="C594" i="17"/>
  <c r="E594" i="17" s="1"/>
  <c r="F593" i="17"/>
  <c r="C593" i="17"/>
  <c r="E593" i="17" s="1"/>
  <c r="F592" i="17"/>
  <c r="C592" i="17"/>
  <c r="E592" i="17" s="1"/>
  <c r="F591" i="17"/>
  <c r="C591" i="17"/>
  <c r="E591" i="17" s="1"/>
  <c r="F590" i="17"/>
  <c r="C590" i="17"/>
  <c r="E590" i="17" s="1"/>
  <c r="F589" i="17"/>
  <c r="C589" i="17"/>
  <c r="E589" i="17" s="1"/>
  <c r="F588" i="17"/>
  <c r="C588" i="17"/>
  <c r="E588" i="17" s="1"/>
  <c r="F587" i="17"/>
  <c r="C587" i="17"/>
  <c r="E587" i="17" s="1"/>
  <c r="F586" i="17"/>
  <c r="C586" i="17"/>
  <c r="E586" i="17" s="1"/>
  <c r="F585" i="17"/>
  <c r="C585" i="17"/>
  <c r="E585" i="17" s="1"/>
  <c r="F584" i="17"/>
  <c r="C584" i="17"/>
  <c r="E584" i="17" s="1"/>
  <c r="F583" i="17"/>
  <c r="C583" i="17"/>
  <c r="E583" i="17" s="1"/>
  <c r="F582" i="17"/>
  <c r="C582" i="17"/>
  <c r="E582" i="17" s="1"/>
  <c r="F581" i="17"/>
  <c r="C581" i="17"/>
  <c r="E581" i="17" s="1"/>
  <c r="F580" i="17"/>
  <c r="C580" i="17"/>
  <c r="E580" i="17" s="1"/>
  <c r="F579" i="17"/>
  <c r="C579" i="17"/>
  <c r="E579" i="17" s="1"/>
  <c r="F578" i="17"/>
  <c r="C578" i="17"/>
  <c r="E578" i="17" s="1"/>
  <c r="F577" i="17"/>
  <c r="C577" i="17"/>
  <c r="E577" i="17" s="1"/>
  <c r="F576" i="17"/>
  <c r="C576" i="17"/>
  <c r="E576" i="17" s="1"/>
  <c r="F575" i="17"/>
  <c r="C575" i="17"/>
  <c r="E575" i="17" s="1"/>
  <c r="F574" i="17"/>
  <c r="C574" i="17"/>
  <c r="E574" i="17" s="1"/>
  <c r="F573" i="17"/>
  <c r="C573" i="17"/>
  <c r="E573" i="17" s="1"/>
  <c r="F572" i="17"/>
  <c r="C572" i="17"/>
  <c r="E572" i="17" s="1"/>
  <c r="F571" i="17"/>
  <c r="C571" i="17"/>
  <c r="E571" i="17" s="1"/>
  <c r="F570" i="17"/>
  <c r="C570" i="17"/>
  <c r="E570" i="17" s="1"/>
  <c r="F569" i="17"/>
  <c r="C569" i="17"/>
  <c r="E569" i="17" s="1"/>
  <c r="F568" i="17"/>
  <c r="C568" i="17"/>
  <c r="E568" i="17" s="1"/>
  <c r="F567" i="17"/>
  <c r="C567" i="17"/>
  <c r="E567" i="17" s="1"/>
  <c r="F566" i="17"/>
  <c r="C566" i="17"/>
  <c r="E566" i="17" s="1"/>
  <c r="F565" i="17"/>
  <c r="C565" i="17"/>
  <c r="E565" i="17" s="1"/>
  <c r="F564" i="17"/>
  <c r="C564" i="17"/>
  <c r="E564" i="17" s="1"/>
  <c r="F563" i="17"/>
  <c r="C563" i="17"/>
  <c r="E563" i="17" s="1"/>
  <c r="F562" i="17"/>
  <c r="C562" i="17"/>
  <c r="E562" i="17" s="1"/>
  <c r="F561" i="17"/>
  <c r="C561" i="17"/>
  <c r="E561" i="17" s="1"/>
  <c r="F560" i="17"/>
  <c r="C560" i="17"/>
  <c r="E560" i="17" s="1"/>
  <c r="F559" i="17"/>
  <c r="C559" i="17"/>
  <c r="E559" i="17" s="1"/>
  <c r="F558" i="17"/>
  <c r="C558" i="17"/>
  <c r="E558" i="17" s="1"/>
  <c r="F557" i="17"/>
  <c r="C557" i="17"/>
  <c r="E557" i="17" s="1"/>
  <c r="F556" i="17"/>
  <c r="C556" i="17"/>
  <c r="E556" i="17" s="1"/>
  <c r="F555" i="17"/>
  <c r="C555" i="17"/>
  <c r="E555" i="17" s="1"/>
  <c r="F554" i="17"/>
  <c r="C554" i="17"/>
  <c r="E554" i="17" s="1"/>
  <c r="F553" i="17"/>
  <c r="C553" i="17"/>
  <c r="E553" i="17" s="1"/>
  <c r="F552" i="17"/>
  <c r="C552" i="17"/>
  <c r="E552" i="17" s="1"/>
  <c r="F551" i="17"/>
  <c r="C551" i="17"/>
  <c r="E551" i="17" s="1"/>
  <c r="F550" i="17"/>
  <c r="C550" i="17"/>
  <c r="E550" i="17" s="1"/>
  <c r="F549" i="17"/>
  <c r="C549" i="17"/>
  <c r="E549" i="17" s="1"/>
  <c r="F548" i="17"/>
  <c r="C548" i="17"/>
  <c r="E548" i="17" s="1"/>
  <c r="F547" i="17"/>
  <c r="C547" i="17"/>
  <c r="E547" i="17" s="1"/>
  <c r="F546" i="17"/>
  <c r="C546" i="17"/>
  <c r="E546" i="17" s="1"/>
  <c r="F545" i="17"/>
  <c r="C545" i="17"/>
  <c r="E545" i="17" s="1"/>
  <c r="F544" i="17"/>
  <c r="C544" i="17"/>
  <c r="E544" i="17" s="1"/>
  <c r="F543" i="17"/>
  <c r="C543" i="17"/>
  <c r="E543" i="17" s="1"/>
  <c r="F542" i="17"/>
  <c r="C542" i="17"/>
  <c r="E542" i="17" s="1"/>
  <c r="F541" i="17"/>
  <c r="C541" i="17"/>
  <c r="E541" i="17" s="1"/>
  <c r="F540" i="17"/>
  <c r="C540" i="17"/>
  <c r="E540" i="17" s="1"/>
  <c r="F539" i="17"/>
  <c r="C539" i="17"/>
  <c r="E539" i="17" s="1"/>
  <c r="F538" i="17"/>
  <c r="C538" i="17"/>
  <c r="E538" i="17" s="1"/>
  <c r="F537" i="17"/>
  <c r="C537" i="17"/>
  <c r="E537" i="17" s="1"/>
  <c r="F536" i="17"/>
  <c r="C536" i="17"/>
  <c r="E536" i="17" s="1"/>
  <c r="F535" i="17"/>
  <c r="C535" i="17"/>
  <c r="E535" i="17" s="1"/>
  <c r="F534" i="17"/>
  <c r="C534" i="17"/>
  <c r="E534" i="17" s="1"/>
  <c r="F533" i="17"/>
  <c r="C533" i="17"/>
  <c r="E533" i="17" s="1"/>
  <c r="F532" i="17"/>
  <c r="C532" i="17"/>
  <c r="E532" i="17" s="1"/>
  <c r="F531" i="17"/>
  <c r="C531" i="17"/>
  <c r="E531" i="17" s="1"/>
  <c r="F530" i="17"/>
  <c r="C530" i="17"/>
  <c r="E530" i="17" s="1"/>
  <c r="F529" i="17"/>
  <c r="C529" i="17"/>
  <c r="E529" i="17" s="1"/>
  <c r="F528" i="17"/>
  <c r="C528" i="17"/>
  <c r="E528" i="17" s="1"/>
  <c r="F527" i="17"/>
  <c r="C527" i="17"/>
  <c r="E527" i="17" s="1"/>
  <c r="F526" i="17"/>
  <c r="C526" i="17"/>
  <c r="E526" i="17" s="1"/>
  <c r="F525" i="17"/>
  <c r="C525" i="17"/>
  <c r="E525" i="17" s="1"/>
  <c r="F524" i="17"/>
  <c r="C524" i="17"/>
  <c r="E524" i="17" s="1"/>
  <c r="F523" i="17"/>
  <c r="C523" i="17"/>
  <c r="E523" i="17" s="1"/>
  <c r="F522" i="17"/>
  <c r="C522" i="17"/>
  <c r="E522" i="17" s="1"/>
  <c r="F521" i="17"/>
  <c r="C521" i="17"/>
  <c r="E521" i="17" s="1"/>
  <c r="F520" i="17"/>
  <c r="C520" i="17"/>
  <c r="E520" i="17" s="1"/>
  <c r="F519" i="17"/>
  <c r="C519" i="17"/>
  <c r="E519" i="17" s="1"/>
  <c r="F518" i="17"/>
  <c r="C518" i="17"/>
  <c r="E518" i="17" s="1"/>
  <c r="F517" i="17"/>
  <c r="C517" i="17"/>
  <c r="E517" i="17" s="1"/>
  <c r="F516" i="17"/>
  <c r="C516" i="17"/>
  <c r="E516" i="17" s="1"/>
  <c r="F515" i="17"/>
  <c r="C515" i="17"/>
  <c r="E515" i="17" s="1"/>
  <c r="F514" i="17"/>
  <c r="C514" i="17"/>
  <c r="E514" i="17" s="1"/>
  <c r="F513" i="17"/>
  <c r="C513" i="17"/>
  <c r="E513" i="17" s="1"/>
  <c r="F512" i="17"/>
  <c r="C512" i="17"/>
  <c r="E512" i="17" s="1"/>
  <c r="F511" i="17"/>
  <c r="C511" i="17"/>
  <c r="E511" i="17" s="1"/>
  <c r="F510" i="17"/>
  <c r="C510" i="17"/>
  <c r="E510" i="17" s="1"/>
  <c r="F509" i="17"/>
  <c r="C509" i="17"/>
  <c r="E509" i="17" s="1"/>
  <c r="F508" i="17"/>
  <c r="C508" i="17"/>
  <c r="E508" i="17" s="1"/>
  <c r="F507" i="17"/>
  <c r="C507" i="17"/>
  <c r="E507" i="17" s="1"/>
  <c r="F506" i="17"/>
  <c r="C506" i="17"/>
  <c r="E506" i="17" s="1"/>
  <c r="F505" i="17"/>
  <c r="C505" i="17"/>
  <c r="E505" i="17" s="1"/>
  <c r="F504" i="17"/>
  <c r="C504" i="17"/>
  <c r="E504" i="17" s="1"/>
  <c r="F503" i="17"/>
  <c r="C503" i="17"/>
  <c r="E503" i="17" s="1"/>
  <c r="F502" i="17"/>
  <c r="C502" i="17"/>
  <c r="E502" i="17" s="1"/>
  <c r="F501" i="17"/>
  <c r="C501" i="17"/>
  <c r="E501" i="17" s="1"/>
  <c r="F500" i="17"/>
  <c r="C500" i="17"/>
  <c r="E500" i="17" s="1"/>
  <c r="F499" i="17"/>
  <c r="C499" i="17"/>
  <c r="E499" i="17" s="1"/>
  <c r="F498" i="17"/>
  <c r="C498" i="17"/>
  <c r="E498" i="17" s="1"/>
  <c r="F497" i="17"/>
  <c r="C497" i="17"/>
  <c r="E497" i="17" s="1"/>
  <c r="F496" i="17"/>
  <c r="C496" i="17"/>
  <c r="E496" i="17" s="1"/>
  <c r="F495" i="17"/>
  <c r="C495" i="17"/>
  <c r="E495" i="17" s="1"/>
  <c r="F494" i="17"/>
  <c r="C494" i="17"/>
  <c r="E494" i="17" s="1"/>
  <c r="F493" i="17"/>
  <c r="C493" i="17"/>
  <c r="E493" i="17" s="1"/>
  <c r="F492" i="17"/>
  <c r="C492" i="17"/>
  <c r="E492" i="17" s="1"/>
  <c r="F491" i="17"/>
  <c r="C491" i="17"/>
  <c r="E491" i="17" s="1"/>
  <c r="F490" i="17"/>
  <c r="C490" i="17"/>
  <c r="E490" i="17" s="1"/>
  <c r="F489" i="17"/>
  <c r="C489" i="17"/>
  <c r="E489" i="17" s="1"/>
  <c r="F488" i="17"/>
  <c r="C488" i="17"/>
  <c r="E488" i="17" s="1"/>
  <c r="F487" i="17"/>
  <c r="C487" i="17"/>
  <c r="E487" i="17" s="1"/>
  <c r="F486" i="17"/>
  <c r="C486" i="17"/>
  <c r="E486" i="17" s="1"/>
  <c r="F485" i="17"/>
  <c r="C485" i="17"/>
  <c r="E485" i="17" s="1"/>
  <c r="F484" i="17"/>
  <c r="C484" i="17"/>
  <c r="E484" i="17" s="1"/>
  <c r="F483" i="17"/>
  <c r="C483" i="17"/>
  <c r="E483" i="17" s="1"/>
  <c r="F482" i="17"/>
  <c r="C482" i="17"/>
  <c r="E482" i="17" s="1"/>
  <c r="F481" i="17"/>
  <c r="C481" i="17"/>
  <c r="E481" i="17" s="1"/>
  <c r="F480" i="17"/>
  <c r="C480" i="17"/>
  <c r="E480" i="17" s="1"/>
  <c r="F479" i="17"/>
  <c r="C479" i="17"/>
  <c r="E479" i="17" s="1"/>
  <c r="F478" i="17"/>
  <c r="C478" i="17"/>
  <c r="E478" i="17" s="1"/>
  <c r="F477" i="17"/>
  <c r="C477" i="17"/>
  <c r="E477" i="17" s="1"/>
  <c r="F476" i="17"/>
  <c r="C476" i="17"/>
  <c r="E476" i="17" s="1"/>
  <c r="F475" i="17"/>
  <c r="C475" i="17"/>
  <c r="E475" i="17" s="1"/>
  <c r="F474" i="17"/>
  <c r="C474" i="17"/>
  <c r="E474" i="17" s="1"/>
  <c r="F473" i="17"/>
  <c r="C473" i="17"/>
  <c r="E473" i="17" s="1"/>
  <c r="F472" i="17"/>
  <c r="C472" i="17"/>
  <c r="E472" i="17" s="1"/>
  <c r="F471" i="17"/>
  <c r="C471" i="17"/>
  <c r="E471" i="17" s="1"/>
  <c r="F470" i="17"/>
  <c r="C470" i="17"/>
  <c r="E470" i="17" s="1"/>
  <c r="F469" i="17"/>
  <c r="C469" i="17"/>
  <c r="E469" i="17" s="1"/>
  <c r="F468" i="17"/>
  <c r="C468" i="17"/>
  <c r="E468" i="17" s="1"/>
  <c r="F467" i="17"/>
  <c r="C467" i="17"/>
  <c r="E467" i="17" s="1"/>
  <c r="F466" i="17"/>
  <c r="C466" i="17"/>
  <c r="E466" i="17" s="1"/>
  <c r="F465" i="17"/>
  <c r="C465" i="17"/>
  <c r="E465" i="17" s="1"/>
  <c r="F464" i="17"/>
  <c r="C464" i="17"/>
  <c r="E464" i="17" s="1"/>
  <c r="F463" i="17"/>
  <c r="C463" i="17"/>
  <c r="E463" i="17" s="1"/>
  <c r="F462" i="17"/>
  <c r="C462" i="17"/>
  <c r="E462" i="17" s="1"/>
  <c r="F461" i="17"/>
  <c r="C461" i="17"/>
  <c r="E461" i="17" s="1"/>
  <c r="F460" i="17"/>
  <c r="C460" i="17"/>
  <c r="E460" i="17" s="1"/>
  <c r="F459" i="17"/>
  <c r="C459" i="17"/>
  <c r="E459" i="17" s="1"/>
  <c r="F458" i="17"/>
  <c r="C458" i="17"/>
  <c r="E458" i="17" s="1"/>
  <c r="F457" i="17"/>
  <c r="C457" i="17"/>
  <c r="E457" i="17" s="1"/>
  <c r="F456" i="17"/>
  <c r="C456" i="17"/>
  <c r="E456" i="17" s="1"/>
  <c r="F455" i="17"/>
  <c r="C455" i="17"/>
  <c r="E455" i="17" s="1"/>
  <c r="F454" i="17"/>
  <c r="C454" i="17"/>
  <c r="E454" i="17" s="1"/>
  <c r="F453" i="17"/>
  <c r="C453" i="17"/>
  <c r="E453" i="17" s="1"/>
  <c r="F452" i="17"/>
  <c r="C452" i="17"/>
  <c r="E452" i="17" s="1"/>
  <c r="F451" i="17"/>
  <c r="C451" i="17"/>
  <c r="E451" i="17" s="1"/>
  <c r="F450" i="17"/>
  <c r="C450" i="17"/>
  <c r="E450" i="17" s="1"/>
  <c r="F449" i="17"/>
  <c r="C449" i="17"/>
  <c r="E449" i="17" s="1"/>
  <c r="F448" i="17"/>
  <c r="C448" i="17"/>
  <c r="E448" i="17" s="1"/>
  <c r="F447" i="17"/>
  <c r="C447" i="17"/>
  <c r="E447" i="17" s="1"/>
  <c r="F446" i="17"/>
  <c r="C446" i="17"/>
  <c r="E446" i="17" s="1"/>
  <c r="F445" i="17"/>
  <c r="C445" i="17"/>
  <c r="E445" i="17" s="1"/>
  <c r="F444" i="17"/>
  <c r="C444" i="17"/>
  <c r="E444" i="17" s="1"/>
  <c r="F443" i="17"/>
  <c r="C443" i="17"/>
  <c r="E443" i="17" s="1"/>
  <c r="F442" i="17"/>
  <c r="C442" i="17"/>
  <c r="E442" i="17" s="1"/>
  <c r="F441" i="17"/>
  <c r="C441" i="17"/>
  <c r="E441" i="17" s="1"/>
  <c r="F440" i="17"/>
  <c r="C440" i="17"/>
  <c r="E440" i="17" s="1"/>
  <c r="F439" i="17"/>
  <c r="C439" i="17"/>
  <c r="E439" i="17" s="1"/>
  <c r="F438" i="17"/>
  <c r="C438" i="17"/>
  <c r="E438" i="17" s="1"/>
  <c r="F437" i="17"/>
  <c r="C437" i="17"/>
  <c r="E437" i="17" s="1"/>
  <c r="F436" i="17"/>
  <c r="C436" i="17"/>
  <c r="E436" i="17" s="1"/>
  <c r="F435" i="17"/>
  <c r="C435" i="17"/>
  <c r="E435" i="17" s="1"/>
  <c r="F434" i="17"/>
  <c r="C434" i="17"/>
  <c r="E434" i="17" s="1"/>
  <c r="F433" i="17"/>
  <c r="C433" i="17"/>
  <c r="E433" i="17" s="1"/>
  <c r="F432" i="17"/>
  <c r="C432" i="17"/>
  <c r="E432" i="17" s="1"/>
  <c r="F431" i="17"/>
  <c r="C431" i="17"/>
  <c r="E431" i="17" s="1"/>
  <c r="F430" i="17"/>
  <c r="C430" i="17"/>
  <c r="E430" i="17" s="1"/>
  <c r="F429" i="17"/>
  <c r="C429" i="17"/>
  <c r="E429" i="17" s="1"/>
  <c r="F428" i="17"/>
  <c r="C428" i="17"/>
  <c r="E428" i="17" s="1"/>
  <c r="F427" i="17"/>
  <c r="C427" i="17"/>
  <c r="E427" i="17" s="1"/>
  <c r="F426" i="17"/>
  <c r="C426" i="17"/>
  <c r="E426" i="17" s="1"/>
  <c r="F425" i="17"/>
  <c r="C425" i="17"/>
  <c r="E425" i="17" s="1"/>
  <c r="F424" i="17"/>
  <c r="C424" i="17"/>
  <c r="E424" i="17" s="1"/>
  <c r="F423" i="17"/>
  <c r="C423" i="17"/>
  <c r="E423" i="17" s="1"/>
  <c r="F422" i="17"/>
  <c r="C422" i="17"/>
  <c r="E422" i="17" s="1"/>
  <c r="F421" i="17"/>
  <c r="C421" i="17"/>
  <c r="E421" i="17" s="1"/>
  <c r="F420" i="17"/>
  <c r="C420" i="17"/>
  <c r="E420" i="17" s="1"/>
  <c r="F419" i="17"/>
  <c r="C419" i="17"/>
  <c r="E419" i="17" s="1"/>
  <c r="F418" i="17"/>
  <c r="C418" i="17"/>
  <c r="E418" i="17" s="1"/>
  <c r="F417" i="17"/>
  <c r="C417" i="17"/>
  <c r="E417" i="17" s="1"/>
  <c r="F416" i="17"/>
  <c r="C416" i="17"/>
  <c r="E416" i="17" s="1"/>
  <c r="F415" i="17"/>
  <c r="C415" i="17"/>
  <c r="E415" i="17" s="1"/>
  <c r="F414" i="17"/>
  <c r="C414" i="17"/>
  <c r="E414" i="17" s="1"/>
  <c r="F413" i="17"/>
  <c r="C413" i="17"/>
  <c r="E413" i="17" s="1"/>
  <c r="F412" i="17"/>
  <c r="C412" i="17"/>
  <c r="E412" i="17" s="1"/>
  <c r="F411" i="17"/>
  <c r="C411" i="17"/>
  <c r="E411" i="17" s="1"/>
  <c r="F410" i="17"/>
  <c r="C410" i="17"/>
  <c r="E410" i="17" s="1"/>
  <c r="F409" i="17"/>
  <c r="C409" i="17"/>
  <c r="E409" i="17" s="1"/>
  <c r="F408" i="17"/>
  <c r="C408" i="17"/>
  <c r="E408" i="17" s="1"/>
  <c r="F407" i="17"/>
  <c r="C407" i="17"/>
  <c r="E407" i="17" s="1"/>
  <c r="F406" i="17"/>
  <c r="C406" i="17"/>
  <c r="E406" i="17" s="1"/>
  <c r="F405" i="17"/>
  <c r="C405" i="17"/>
  <c r="E405" i="17" s="1"/>
  <c r="F404" i="17"/>
  <c r="C404" i="17"/>
  <c r="E404" i="17" s="1"/>
  <c r="F403" i="17"/>
  <c r="C403" i="17"/>
  <c r="E403" i="17" s="1"/>
  <c r="F402" i="17"/>
  <c r="C402" i="17"/>
  <c r="E402" i="17" s="1"/>
  <c r="F401" i="17"/>
  <c r="C401" i="17"/>
  <c r="E401" i="17" s="1"/>
  <c r="F400" i="17"/>
  <c r="C400" i="17"/>
  <c r="E400" i="17" s="1"/>
  <c r="F399" i="17"/>
  <c r="C399" i="17"/>
  <c r="E399" i="17" s="1"/>
  <c r="F398" i="17"/>
  <c r="C398" i="17"/>
  <c r="E398" i="17" s="1"/>
  <c r="F397" i="17"/>
  <c r="C397" i="17"/>
  <c r="E397" i="17" s="1"/>
  <c r="F396" i="17"/>
  <c r="C396" i="17"/>
  <c r="E396" i="17" s="1"/>
  <c r="F395" i="17"/>
  <c r="C395" i="17"/>
  <c r="E395" i="17" s="1"/>
  <c r="F394" i="17"/>
  <c r="C394" i="17"/>
  <c r="E394" i="17" s="1"/>
  <c r="F393" i="17"/>
  <c r="C393" i="17"/>
  <c r="E393" i="17" s="1"/>
  <c r="F392" i="17"/>
  <c r="C392" i="17"/>
  <c r="E392" i="17" s="1"/>
  <c r="F391" i="17"/>
  <c r="C391" i="17"/>
  <c r="E391" i="17" s="1"/>
  <c r="F390" i="17"/>
  <c r="C390" i="17"/>
  <c r="E390" i="17" s="1"/>
  <c r="F389" i="17"/>
  <c r="C389" i="17"/>
  <c r="E389" i="17" s="1"/>
  <c r="F388" i="17"/>
  <c r="C388" i="17"/>
  <c r="E388" i="17" s="1"/>
  <c r="F387" i="17"/>
  <c r="C387" i="17"/>
  <c r="E387" i="17" s="1"/>
  <c r="F386" i="17"/>
  <c r="C386" i="17"/>
  <c r="E386" i="17" s="1"/>
  <c r="F385" i="17"/>
  <c r="C385" i="17"/>
  <c r="E385" i="17" s="1"/>
  <c r="F384" i="17"/>
  <c r="C384" i="17"/>
  <c r="E384" i="17" s="1"/>
  <c r="F383" i="17"/>
  <c r="C383" i="17"/>
  <c r="E383" i="17" s="1"/>
  <c r="F382" i="17"/>
  <c r="C382" i="17"/>
  <c r="E382" i="17" s="1"/>
  <c r="F381" i="17"/>
  <c r="C381" i="17"/>
  <c r="E381" i="17" s="1"/>
  <c r="F380" i="17"/>
  <c r="C380" i="17"/>
  <c r="E380" i="17" s="1"/>
  <c r="F379" i="17"/>
  <c r="C379" i="17"/>
  <c r="E379" i="17" s="1"/>
  <c r="F378" i="17"/>
  <c r="C378" i="17"/>
  <c r="E378" i="17" s="1"/>
  <c r="F377" i="17"/>
  <c r="C377" i="17"/>
  <c r="E377" i="17" s="1"/>
  <c r="F376" i="17"/>
  <c r="C376" i="17"/>
  <c r="E376" i="17" s="1"/>
  <c r="F375" i="17"/>
  <c r="C375" i="17"/>
  <c r="E375" i="17" s="1"/>
  <c r="F374" i="17"/>
  <c r="C374" i="17"/>
  <c r="E374" i="17" s="1"/>
  <c r="F373" i="17"/>
  <c r="C373" i="17"/>
  <c r="E373" i="17" s="1"/>
  <c r="F372" i="17"/>
  <c r="C372" i="17"/>
  <c r="E372" i="17" s="1"/>
  <c r="F371" i="17"/>
  <c r="C371" i="17"/>
  <c r="E371" i="17" s="1"/>
  <c r="F370" i="17"/>
  <c r="C370" i="17"/>
  <c r="E370" i="17" s="1"/>
  <c r="F369" i="17"/>
  <c r="C369" i="17"/>
  <c r="E369" i="17" s="1"/>
  <c r="F368" i="17"/>
  <c r="C368" i="17"/>
  <c r="E368" i="17" s="1"/>
  <c r="F367" i="17"/>
  <c r="C367" i="17"/>
  <c r="E367" i="17" s="1"/>
  <c r="F366" i="17"/>
  <c r="C366" i="17"/>
  <c r="E366" i="17" s="1"/>
  <c r="F365" i="17"/>
  <c r="C365" i="17"/>
  <c r="E365" i="17" s="1"/>
  <c r="F364" i="17"/>
  <c r="C364" i="17"/>
  <c r="E364" i="17" s="1"/>
  <c r="F363" i="17"/>
  <c r="C363" i="17"/>
  <c r="E363" i="17" s="1"/>
  <c r="F362" i="17"/>
  <c r="C362" i="17"/>
  <c r="E362" i="17" s="1"/>
  <c r="F361" i="17"/>
  <c r="C361" i="17"/>
  <c r="E361" i="17" s="1"/>
  <c r="F360" i="17"/>
  <c r="C360" i="17"/>
  <c r="E360" i="17" s="1"/>
  <c r="F359" i="17"/>
  <c r="C359" i="17"/>
  <c r="E359" i="17" s="1"/>
  <c r="F358" i="17"/>
  <c r="C358" i="17"/>
  <c r="E358" i="17" s="1"/>
  <c r="F357" i="17"/>
  <c r="C357" i="17"/>
  <c r="E357" i="17" s="1"/>
  <c r="F356" i="17"/>
  <c r="C356" i="17"/>
  <c r="E356" i="17" s="1"/>
  <c r="F355" i="17"/>
  <c r="C355" i="17"/>
  <c r="E355" i="17" s="1"/>
  <c r="F354" i="17"/>
  <c r="C354" i="17"/>
  <c r="E354" i="17" s="1"/>
  <c r="F353" i="17"/>
  <c r="C353" i="17"/>
  <c r="E353" i="17" s="1"/>
  <c r="F352" i="17"/>
  <c r="C352" i="17"/>
  <c r="E352" i="17" s="1"/>
  <c r="F351" i="17"/>
  <c r="C351" i="17"/>
  <c r="E351" i="17" s="1"/>
  <c r="F350" i="17"/>
  <c r="C350" i="17"/>
  <c r="E350" i="17" s="1"/>
  <c r="F349" i="17"/>
  <c r="C349" i="17"/>
  <c r="E349" i="17" s="1"/>
  <c r="F348" i="17"/>
  <c r="C348" i="17"/>
  <c r="E348" i="17" s="1"/>
  <c r="F347" i="17"/>
  <c r="C347" i="17"/>
  <c r="E347" i="17" s="1"/>
  <c r="F346" i="17"/>
  <c r="C346" i="17"/>
  <c r="E346" i="17" s="1"/>
  <c r="F345" i="17"/>
  <c r="C345" i="17"/>
  <c r="E345" i="17" s="1"/>
  <c r="F344" i="17"/>
  <c r="C344" i="17"/>
  <c r="E344" i="17" s="1"/>
  <c r="F343" i="17"/>
  <c r="C343" i="17"/>
  <c r="E343" i="17" s="1"/>
  <c r="F342" i="17"/>
  <c r="C342" i="17"/>
  <c r="E342" i="17" s="1"/>
  <c r="F341" i="17"/>
  <c r="C341" i="17"/>
  <c r="E341" i="17" s="1"/>
  <c r="F340" i="17"/>
  <c r="C340" i="17"/>
  <c r="E340" i="17" s="1"/>
  <c r="F339" i="17"/>
  <c r="C339" i="17"/>
  <c r="E339" i="17" s="1"/>
  <c r="F338" i="17"/>
  <c r="C338" i="17"/>
  <c r="E338" i="17" s="1"/>
  <c r="F337" i="17"/>
  <c r="C337" i="17"/>
  <c r="E337" i="17" s="1"/>
  <c r="F336" i="17"/>
  <c r="C336" i="17"/>
  <c r="E336" i="17" s="1"/>
  <c r="F335" i="17"/>
  <c r="C335" i="17"/>
  <c r="E335" i="17" s="1"/>
  <c r="F334" i="17"/>
  <c r="C334" i="17"/>
  <c r="E334" i="17" s="1"/>
  <c r="F333" i="17"/>
  <c r="C333" i="17"/>
  <c r="E333" i="17" s="1"/>
  <c r="F332" i="17"/>
  <c r="C332" i="17"/>
  <c r="E332" i="17" s="1"/>
  <c r="F331" i="17"/>
  <c r="C331" i="17"/>
  <c r="E331" i="17" s="1"/>
  <c r="F330" i="17"/>
  <c r="C330" i="17"/>
  <c r="E330" i="17" s="1"/>
  <c r="F329" i="17"/>
  <c r="C329" i="17"/>
  <c r="E329" i="17" s="1"/>
  <c r="F328" i="17"/>
  <c r="C328" i="17"/>
  <c r="E328" i="17" s="1"/>
  <c r="F327" i="17"/>
  <c r="C327" i="17"/>
  <c r="E327" i="17" s="1"/>
  <c r="F326" i="17"/>
  <c r="C326" i="17"/>
  <c r="E326" i="17" s="1"/>
  <c r="F325" i="17"/>
  <c r="C325" i="17"/>
  <c r="E325" i="17" s="1"/>
  <c r="F324" i="17"/>
  <c r="C324" i="17"/>
  <c r="E324" i="17" s="1"/>
  <c r="F323" i="17"/>
  <c r="C323" i="17"/>
  <c r="E323" i="17" s="1"/>
  <c r="F322" i="17"/>
  <c r="C322" i="17"/>
  <c r="E322" i="17" s="1"/>
  <c r="F321" i="17"/>
  <c r="C321" i="17"/>
  <c r="E321" i="17" s="1"/>
  <c r="F320" i="17"/>
  <c r="C320" i="17"/>
  <c r="E320" i="17" s="1"/>
  <c r="F319" i="17"/>
  <c r="C319" i="17"/>
  <c r="E319" i="17" s="1"/>
  <c r="F318" i="17"/>
  <c r="C318" i="17"/>
  <c r="E318" i="17" s="1"/>
  <c r="F317" i="17"/>
  <c r="C317" i="17"/>
  <c r="E317" i="17" s="1"/>
  <c r="F316" i="17"/>
  <c r="C316" i="17"/>
  <c r="E316" i="17" s="1"/>
  <c r="F315" i="17"/>
  <c r="C315" i="17"/>
  <c r="E315" i="17" s="1"/>
  <c r="F314" i="17"/>
  <c r="C314" i="17"/>
  <c r="E314" i="17" s="1"/>
  <c r="F313" i="17"/>
  <c r="C313" i="17"/>
  <c r="E313" i="17" s="1"/>
  <c r="F312" i="17"/>
  <c r="C312" i="17"/>
  <c r="E312" i="17" s="1"/>
  <c r="F311" i="17"/>
  <c r="C311" i="17"/>
  <c r="E311" i="17" s="1"/>
  <c r="F310" i="17"/>
  <c r="C310" i="17"/>
  <c r="E310" i="17" s="1"/>
  <c r="F309" i="17"/>
  <c r="C309" i="17"/>
  <c r="E309" i="17" s="1"/>
  <c r="F308" i="17"/>
  <c r="C308" i="17"/>
  <c r="E308" i="17" s="1"/>
  <c r="F307" i="17"/>
  <c r="C307" i="17"/>
  <c r="E307" i="17" s="1"/>
  <c r="F306" i="17"/>
  <c r="C306" i="17"/>
  <c r="E306" i="17" s="1"/>
  <c r="F305" i="17"/>
  <c r="C305" i="17"/>
  <c r="E305" i="17" s="1"/>
  <c r="F304" i="17"/>
  <c r="C304" i="17"/>
  <c r="E304" i="17" s="1"/>
  <c r="F303" i="17"/>
  <c r="C303" i="17"/>
  <c r="E303" i="17" s="1"/>
  <c r="F302" i="17"/>
  <c r="C302" i="17"/>
  <c r="E302" i="17" s="1"/>
  <c r="F301" i="17"/>
  <c r="C301" i="17"/>
  <c r="E301" i="17" s="1"/>
  <c r="F300" i="17"/>
  <c r="C300" i="17"/>
  <c r="E300" i="17" s="1"/>
  <c r="F299" i="17"/>
  <c r="C299" i="17"/>
  <c r="E299" i="17" s="1"/>
  <c r="F298" i="17"/>
  <c r="C298" i="17"/>
  <c r="E298" i="17" s="1"/>
  <c r="F297" i="17"/>
  <c r="C297" i="17"/>
  <c r="E297" i="17" s="1"/>
  <c r="F296" i="17"/>
  <c r="C296" i="17"/>
  <c r="E296" i="17" s="1"/>
  <c r="F295" i="17"/>
  <c r="C295" i="17"/>
  <c r="E295" i="17" s="1"/>
  <c r="F294" i="17"/>
  <c r="C294" i="17"/>
  <c r="E294" i="17" s="1"/>
  <c r="F293" i="17"/>
  <c r="C293" i="17"/>
  <c r="E293" i="17" s="1"/>
  <c r="F292" i="17"/>
  <c r="C292" i="17"/>
  <c r="E292" i="17" s="1"/>
  <c r="F291" i="17"/>
  <c r="C291" i="17"/>
  <c r="E291" i="17" s="1"/>
  <c r="F290" i="17"/>
  <c r="C290" i="17"/>
  <c r="E290" i="17" s="1"/>
  <c r="F289" i="17"/>
  <c r="C289" i="17"/>
  <c r="E289" i="17" s="1"/>
  <c r="F288" i="17"/>
  <c r="C288" i="17"/>
  <c r="E288" i="17" s="1"/>
  <c r="F287" i="17"/>
  <c r="C287" i="17"/>
  <c r="E287" i="17" s="1"/>
  <c r="F286" i="17"/>
  <c r="C286" i="17"/>
  <c r="E286" i="17" s="1"/>
  <c r="F285" i="17"/>
  <c r="C285" i="17"/>
  <c r="E285" i="17" s="1"/>
  <c r="F284" i="17"/>
  <c r="C284" i="17"/>
  <c r="E284" i="17" s="1"/>
  <c r="F283" i="17"/>
  <c r="E283" i="17"/>
  <c r="C283" i="17"/>
  <c r="F282" i="17"/>
  <c r="C282" i="17"/>
  <c r="E282" i="17" s="1"/>
  <c r="F281" i="17"/>
  <c r="C281" i="17"/>
  <c r="E281" i="17" s="1"/>
  <c r="F280" i="17"/>
  <c r="C280" i="17"/>
  <c r="E280" i="17" s="1"/>
  <c r="F279" i="17"/>
  <c r="C279" i="17"/>
  <c r="E279" i="17" s="1"/>
  <c r="F278" i="17"/>
  <c r="C278" i="17"/>
  <c r="E278" i="17" s="1"/>
  <c r="F277" i="17"/>
  <c r="C277" i="17"/>
  <c r="E277" i="17" s="1"/>
  <c r="F276" i="17"/>
  <c r="C276" i="17"/>
  <c r="E276" i="17" s="1"/>
  <c r="F275" i="17"/>
  <c r="C275" i="17"/>
  <c r="E275" i="17" s="1"/>
  <c r="F274" i="17"/>
  <c r="C274" i="17"/>
  <c r="E274" i="17" s="1"/>
  <c r="F273" i="17"/>
  <c r="C273" i="17"/>
  <c r="E273" i="17" s="1"/>
  <c r="F272" i="17"/>
  <c r="C272" i="17"/>
  <c r="E272" i="17" s="1"/>
  <c r="F271" i="17"/>
  <c r="C271" i="17"/>
  <c r="E271" i="17" s="1"/>
  <c r="F270" i="17"/>
  <c r="C270" i="17"/>
  <c r="E270" i="17" s="1"/>
  <c r="F269" i="17"/>
  <c r="C269" i="17"/>
  <c r="E269" i="17" s="1"/>
  <c r="F268" i="17"/>
  <c r="C268" i="17"/>
  <c r="E268" i="17" s="1"/>
  <c r="F267" i="17"/>
  <c r="C267" i="17"/>
  <c r="E267" i="17" s="1"/>
  <c r="F266" i="17"/>
  <c r="C266" i="17"/>
  <c r="E266" i="17" s="1"/>
  <c r="F265" i="17"/>
  <c r="C265" i="17"/>
  <c r="E265" i="17" s="1"/>
  <c r="F264" i="17"/>
  <c r="C264" i="17"/>
  <c r="E264" i="17" s="1"/>
  <c r="F263" i="17"/>
  <c r="C263" i="17"/>
  <c r="E263" i="17" s="1"/>
  <c r="F262" i="17"/>
  <c r="C262" i="17"/>
  <c r="E262" i="17" s="1"/>
  <c r="F261" i="17"/>
  <c r="C261" i="17"/>
  <c r="E261" i="17" s="1"/>
  <c r="F260" i="17"/>
  <c r="C260" i="17"/>
  <c r="E260" i="17" s="1"/>
  <c r="F259" i="17"/>
  <c r="C259" i="17"/>
  <c r="E259" i="17" s="1"/>
  <c r="F258" i="17"/>
  <c r="C258" i="17"/>
  <c r="E258" i="17" s="1"/>
  <c r="F257" i="17"/>
  <c r="C257" i="17"/>
  <c r="E257" i="17" s="1"/>
  <c r="F256" i="17"/>
  <c r="C256" i="17"/>
  <c r="E256" i="17" s="1"/>
  <c r="F255" i="17"/>
  <c r="C255" i="17"/>
  <c r="E255" i="17" s="1"/>
  <c r="F254" i="17"/>
  <c r="C254" i="17"/>
  <c r="E254" i="17" s="1"/>
  <c r="F253" i="17"/>
  <c r="C253" i="17"/>
  <c r="E253" i="17" s="1"/>
  <c r="F252" i="17"/>
  <c r="C252" i="17"/>
  <c r="E252" i="17" s="1"/>
  <c r="F251" i="17"/>
  <c r="C251" i="17"/>
  <c r="E251" i="17" s="1"/>
  <c r="F250" i="17"/>
  <c r="C250" i="17"/>
  <c r="E250" i="17" s="1"/>
  <c r="F249" i="17"/>
  <c r="C249" i="17"/>
  <c r="E249" i="17" s="1"/>
  <c r="F248" i="17"/>
  <c r="C248" i="17"/>
  <c r="E248" i="17" s="1"/>
  <c r="F247" i="17"/>
  <c r="E247" i="17"/>
  <c r="C247" i="17"/>
  <c r="F246" i="17"/>
  <c r="C246" i="17"/>
  <c r="E246" i="17" s="1"/>
  <c r="F245" i="17"/>
  <c r="C245" i="17"/>
  <c r="E245" i="17" s="1"/>
  <c r="F244" i="17"/>
  <c r="C244" i="17"/>
  <c r="E244" i="17" s="1"/>
  <c r="F243" i="17"/>
  <c r="C243" i="17"/>
  <c r="E243" i="17" s="1"/>
  <c r="F242" i="17"/>
  <c r="C242" i="17"/>
  <c r="E242" i="17" s="1"/>
  <c r="F241" i="17"/>
  <c r="C241" i="17"/>
  <c r="E241" i="17" s="1"/>
  <c r="F240" i="17"/>
  <c r="C240" i="17"/>
  <c r="E240" i="17" s="1"/>
  <c r="F239" i="17"/>
  <c r="C239" i="17"/>
  <c r="E239" i="17" s="1"/>
  <c r="F238" i="17"/>
  <c r="C238" i="17"/>
  <c r="E238" i="17" s="1"/>
  <c r="F237" i="17"/>
  <c r="C237" i="17"/>
  <c r="E237" i="17" s="1"/>
  <c r="F236" i="17"/>
  <c r="C236" i="17"/>
  <c r="E236" i="17" s="1"/>
  <c r="F235" i="17"/>
  <c r="C235" i="17"/>
  <c r="E235" i="17" s="1"/>
  <c r="F234" i="17"/>
  <c r="C234" i="17"/>
  <c r="E234" i="17" s="1"/>
  <c r="F233" i="17"/>
  <c r="C233" i="17"/>
  <c r="E233" i="17" s="1"/>
  <c r="F232" i="17"/>
  <c r="C232" i="17"/>
  <c r="E232" i="17" s="1"/>
  <c r="F231" i="17"/>
  <c r="C231" i="17"/>
  <c r="E231" i="17" s="1"/>
  <c r="F230" i="17"/>
  <c r="C230" i="17"/>
  <c r="E230" i="17" s="1"/>
  <c r="F229" i="17"/>
  <c r="C229" i="17"/>
  <c r="E229" i="17" s="1"/>
  <c r="F228" i="17"/>
  <c r="C228" i="17"/>
  <c r="E228" i="17" s="1"/>
  <c r="F227" i="17"/>
  <c r="C227" i="17"/>
  <c r="E227" i="17" s="1"/>
  <c r="F226" i="17"/>
  <c r="C226" i="17"/>
  <c r="E226" i="17" s="1"/>
  <c r="F225" i="17"/>
  <c r="C225" i="17"/>
  <c r="E225" i="17" s="1"/>
  <c r="F224" i="17"/>
  <c r="C224" i="17"/>
  <c r="E224" i="17" s="1"/>
  <c r="F223" i="17"/>
  <c r="C223" i="17"/>
  <c r="E223" i="17" s="1"/>
  <c r="F222" i="17"/>
  <c r="C222" i="17"/>
  <c r="E222" i="17" s="1"/>
  <c r="F221" i="17"/>
  <c r="C221" i="17"/>
  <c r="E221" i="17" s="1"/>
  <c r="F220" i="17"/>
  <c r="C220" i="17"/>
  <c r="E220" i="17" s="1"/>
  <c r="F219" i="17"/>
  <c r="C219" i="17"/>
  <c r="E219" i="17" s="1"/>
  <c r="F218" i="17"/>
  <c r="C218" i="17"/>
  <c r="E218" i="17" s="1"/>
  <c r="F217" i="17"/>
  <c r="C217" i="17"/>
  <c r="E217" i="17" s="1"/>
  <c r="F216" i="17"/>
  <c r="C216" i="17"/>
  <c r="E216" i="17" s="1"/>
  <c r="F215" i="17"/>
  <c r="C215" i="17"/>
  <c r="E215" i="17" s="1"/>
  <c r="F214" i="17"/>
  <c r="C214" i="17"/>
  <c r="E214" i="17" s="1"/>
  <c r="F213" i="17"/>
  <c r="C213" i="17"/>
  <c r="E213" i="17" s="1"/>
  <c r="F212" i="17"/>
  <c r="C212" i="17"/>
  <c r="E212" i="17" s="1"/>
  <c r="F211" i="17"/>
  <c r="C211" i="17"/>
  <c r="E211" i="17" s="1"/>
  <c r="F210" i="17"/>
  <c r="C210" i="17"/>
  <c r="E210" i="17" s="1"/>
  <c r="F209" i="17"/>
  <c r="C209" i="17"/>
  <c r="E209" i="17" s="1"/>
  <c r="F208" i="17"/>
  <c r="C208" i="17"/>
  <c r="E208" i="17" s="1"/>
  <c r="F207" i="17"/>
  <c r="C207" i="17"/>
  <c r="E207" i="17" s="1"/>
  <c r="F206" i="17"/>
  <c r="C206" i="17"/>
  <c r="E206" i="17" s="1"/>
  <c r="F205" i="17"/>
  <c r="C205" i="17"/>
  <c r="E205" i="17" s="1"/>
  <c r="F204" i="17"/>
  <c r="C204" i="17"/>
  <c r="E204" i="17" s="1"/>
  <c r="F203" i="17"/>
  <c r="C203" i="17"/>
  <c r="E203" i="17" s="1"/>
  <c r="F202" i="17"/>
  <c r="C202" i="17"/>
  <c r="E202" i="17" s="1"/>
  <c r="F201" i="17"/>
  <c r="C201" i="17"/>
  <c r="E201" i="17" s="1"/>
  <c r="F200" i="17"/>
  <c r="C200" i="17"/>
  <c r="E200" i="17" s="1"/>
  <c r="F199" i="17"/>
  <c r="C199" i="17"/>
  <c r="E199" i="17" s="1"/>
  <c r="F198" i="17"/>
  <c r="C198" i="17"/>
  <c r="E198" i="17" s="1"/>
  <c r="F197" i="17"/>
  <c r="C197" i="17"/>
  <c r="E197" i="17" s="1"/>
  <c r="F196" i="17"/>
  <c r="C196" i="17"/>
  <c r="E196" i="17" s="1"/>
  <c r="F195" i="17"/>
  <c r="C195" i="17"/>
  <c r="E195" i="17" s="1"/>
  <c r="F194" i="17"/>
  <c r="C194" i="17"/>
  <c r="E194" i="17" s="1"/>
  <c r="F193" i="17"/>
  <c r="C193" i="17"/>
  <c r="E193" i="17" s="1"/>
  <c r="F192" i="17"/>
  <c r="C192" i="17"/>
  <c r="E192" i="17" s="1"/>
  <c r="F191" i="17"/>
  <c r="C191" i="17"/>
  <c r="E191" i="17" s="1"/>
  <c r="F190" i="17"/>
  <c r="C190" i="17"/>
  <c r="E190" i="17" s="1"/>
  <c r="F189" i="17"/>
  <c r="C189" i="17"/>
  <c r="E189" i="17" s="1"/>
  <c r="F188" i="17"/>
  <c r="C188" i="17"/>
  <c r="E188" i="17" s="1"/>
  <c r="F187" i="17"/>
  <c r="C187" i="17"/>
  <c r="E187" i="17" s="1"/>
  <c r="F186" i="17"/>
  <c r="C186" i="17"/>
  <c r="E186" i="17" s="1"/>
  <c r="F185" i="17"/>
  <c r="C185" i="17"/>
  <c r="E185" i="17" s="1"/>
  <c r="F184" i="17"/>
  <c r="C184" i="17"/>
  <c r="E184" i="17" s="1"/>
  <c r="F183" i="17"/>
  <c r="C183" i="17"/>
  <c r="E183" i="17" s="1"/>
  <c r="F182" i="17"/>
  <c r="C182" i="17"/>
  <c r="E182" i="17" s="1"/>
  <c r="F181" i="17"/>
  <c r="C181" i="17"/>
  <c r="E181" i="17" s="1"/>
  <c r="F180" i="17"/>
  <c r="C180" i="17"/>
  <c r="E180" i="17" s="1"/>
  <c r="F179" i="17"/>
  <c r="C179" i="17"/>
  <c r="E179" i="17" s="1"/>
  <c r="F178" i="17"/>
  <c r="C178" i="17"/>
  <c r="E178" i="17" s="1"/>
  <c r="F177" i="17"/>
  <c r="C177" i="17"/>
  <c r="E177" i="17" s="1"/>
  <c r="F176" i="17"/>
  <c r="C176" i="17"/>
  <c r="E176" i="17" s="1"/>
  <c r="F175" i="17"/>
  <c r="C175" i="17"/>
  <c r="E175" i="17" s="1"/>
  <c r="F174" i="17"/>
  <c r="C174" i="17"/>
  <c r="E174" i="17" s="1"/>
  <c r="F173" i="17"/>
  <c r="C173" i="17"/>
  <c r="E173" i="17" s="1"/>
  <c r="F172" i="17"/>
  <c r="C172" i="17"/>
  <c r="E172" i="17" s="1"/>
  <c r="F171" i="17"/>
  <c r="C171" i="17"/>
  <c r="E171" i="17" s="1"/>
  <c r="F170" i="17"/>
  <c r="C170" i="17"/>
  <c r="E170" i="17" s="1"/>
  <c r="F169" i="17"/>
  <c r="C169" i="17"/>
  <c r="E169" i="17" s="1"/>
  <c r="F168" i="17"/>
  <c r="C168" i="17"/>
  <c r="E168" i="17" s="1"/>
  <c r="F167" i="17"/>
  <c r="C167" i="17"/>
  <c r="E167" i="17" s="1"/>
  <c r="F166" i="17"/>
  <c r="C166" i="17"/>
  <c r="E166" i="17" s="1"/>
  <c r="F165" i="17"/>
  <c r="C165" i="17"/>
  <c r="E165" i="17" s="1"/>
  <c r="F164" i="17"/>
  <c r="C164" i="17"/>
  <c r="E164" i="17" s="1"/>
  <c r="F163" i="17"/>
  <c r="C163" i="17"/>
  <c r="E163" i="17" s="1"/>
  <c r="F162" i="17"/>
  <c r="C162" i="17"/>
  <c r="E162" i="17" s="1"/>
  <c r="F161" i="17"/>
  <c r="C161" i="17"/>
  <c r="E161" i="17" s="1"/>
  <c r="F160" i="17"/>
  <c r="C160" i="17"/>
  <c r="E160" i="17" s="1"/>
  <c r="F159" i="17"/>
  <c r="C159" i="17"/>
  <c r="E159" i="17" s="1"/>
  <c r="F158" i="17"/>
  <c r="C158" i="17"/>
  <c r="E158" i="17" s="1"/>
  <c r="F157" i="17"/>
  <c r="C157" i="17"/>
  <c r="E157" i="17" s="1"/>
  <c r="F156" i="17"/>
  <c r="C156" i="17"/>
  <c r="E156" i="17" s="1"/>
  <c r="F155" i="17"/>
  <c r="C155" i="17"/>
  <c r="E155" i="17" s="1"/>
  <c r="F154" i="17"/>
  <c r="C154" i="17"/>
  <c r="E154" i="17" s="1"/>
  <c r="F153" i="17"/>
  <c r="C153" i="17"/>
  <c r="E153" i="17" s="1"/>
  <c r="F152" i="17"/>
  <c r="C152" i="17"/>
  <c r="E152" i="17" s="1"/>
  <c r="F151" i="17"/>
  <c r="C151" i="17"/>
  <c r="E151" i="17" s="1"/>
  <c r="F150" i="17"/>
  <c r="C150" i="17"/>
  <c r="E150" i="17" s="1"/>
  <c r="F149" i="17"/>
  <c r="C149" i="17"/>
  <c r="E149" i="17" s="1"/>
  <c r="F148" i="17"/>
  <c r="C148" i="17"/>
  <c r="E148" i="17" s="1"/>
  <c r="F147" i="17"/>
  <c r="C147" i="17"/>
  <c r="E147" i="17" s="1"/>
  <c r="F146" i="17"/>
  <c r="C146" i="17"/>
  <c r="E146" i="17" s="1"/>
  <c r="F145" i="17"/>
  <c r="C145" i="17"/>
  <c r="E145" i="17" s="1"/>
  <c r="F144" i="17"/>
  <c r="C144" i="17"/>
  <c r="E144" i="17" s="1"/>
  <c r="F143" i="17"/>
  <c r="C143" i="17"/>
  <c r="E143" i="17" s="1"/>
  <c r="F142" i="17"/>
  <c r="C142" i="17"/>
  <c r="E142" i="17" s="1"/>
  <c r="F141" i="17"/>
  <c r="C141" i="17"/>
  <c r="E141" i="17" s="1"/>
  <c r="F140" i="17"/>
  <c r="C140" i="17"/>
  <c r="E140" i="17" s="1"/>
  <c r="F139" i="17"/>
  <c r="C139" i="17"/>
  <c r="E139" i="17" s="1"/>
  <c r="F138" i="17"/>
  <c r="C138" i="17"/>
  <c r="E138" i="17" s="1"/>
  <c r="F137" i="17"/>
  <c r="C137" i="17"/>
  <c r="E137" i="17" s="1"/>
  <c r="F136" i="17"/>
  <c r="C136" i="17"/>
  <c r="E136" i="17" s="1"/>
  <c r="F135" i="17"/>
  <c r="C135" i="17"/>
  <c r="E135" i="17" s="1"/>
  <c r="F134" i="17"/>
  <c r="C134" i="17"/>
  <c r="E134" i="17" s="1"/>
  <c r="F133" i="17"/>
  <c r="C133" i="17"/>
  <c r="E133" i="17" s="1"/>
  <c r="F132" i="17"/>
  <c r="C132" i="17"/>
  <c r="E132" i="17" s="1"/>
  <c r="F131" i="17"/>
  <c r="C131" i="17"/>
  <c r="E131" i="17" s="1"/>
  <c r="F130" i="17"/>
  <c r="C130" i="17"/>
  <c r="E130" i="17" s="1"/>
  <c r="F129" i="17"/>
  <c r="C129" i="17"/>
  <c r="E129" i="17" s="1"/>
  <c r="F128" i="17"/>
  <c r="C128" i="17"/>
  <c r="E128" i="17" s="1"/>
  <c r="F127" i="17"/>
  <c r="C127" i="17"/>
  <c r="E127" i="17" s="1"/>
  <c r="F126" i="17"/>
  <c r="C126" i="17"/>
  <c r="E126" i="17" s="1"/>
  <c r="F125" i="17"/>
  <c r="C125" i="17"/>
  <c r="E125" i="17" s="1"/>
  <c r="F124" i="17"/>
  <c r="C124" i="17"/>
  <c r="E124" i="17" s="1"/>
  <c r="F123" i="17"/>
  <c r="C123" i="17"/>
  <c r="E123" i="17" s="1"/>
  <c r="F122" i="17"/>
  <c r="C122" i="17"/>
  <c r="E122" i="17" s="1"/>
  <c r="F121" i="17"/>
  <c r="C121" i="17"/>
  <c r="E121" i="17" s="1"/>
  <c r="F120" i="17"/>
  <c r="C120" i="17"/>
  <c r="E120" i="17" s="1"/>
  <c r="F119" i="17"/>
  <c r="C119" i="17"/>
  <c r="E119" i="17" s="1"/>
  <c r="F118" i="17"/>
  <c r="C118" i="17"/>
  <c r="E118" i="17" s="1"/>
  <c r="F117" i="17"/>
  <c r="C117" i="17"/>
  <c r="E117" i="17" s="1"/>
  <c r="F116" i="17"/>
  <c r="C116" i="17"/>
  <c r="E116" i="17" s="1"/>
  <c r="F115" i="17"/>
  <c r="C115" i="17"/>
  <c r="E115" i="17" s="1"/>
  <c r="F114" i="17"/>
  <c r="C114" i="17"/>
  <c r="E114" i="17" s="1"/>
  <c r="F113" i="17"/>
  <c r="C113" i="17"/>
  <c r="E113" i="17" s="1"/>
  <c r="F112" i="17"/>
  <c r="C112" i="17"/>
  <c r="E112" i="17" s="1"/>
  <c r="F111" i="17"/>
  <c r="C111" i="17"/>
  <c r="E111" i="17" s="1"/>
  <c r="F110" i="17"/>
  <c r="C110" i="17"/>
  <c r="E110" i="17" s="1"/>
  <c r="F109" i="17"/>
  <c r="C109" i="17"/>
  <c r="E109" i="17" s="1"/>
  <c r="F108" i="17"/>
  <c r="C108" i="17"/>
  <c r="E108" i="17" s="1"/>
  <c r="F107" i="17"/>
  <c r="C107" i="17"/>
  <c r="E107" i="17" s="1"/>
  <c r="F106" i="17"/>
  <c r="C106" i="17"/>
  <c r="E106" i="17" s="1"/>
  <c r="F105" i="17"/>
  <c r="C105" i="17"/>
  <c r="E105" i="17" s="1"/>
  <c r="F104" i="17"/>
  <c r="C104" i="17"/>
  <c r="E104" i="17" s="1"/>
  <c r="F103" i="17"/>
  <c r="C103" i="17"/>
  <c r="E103" i="17" s="1"/>
  <c r="F102" i="17"/>
  <c r="C102" i="17"/>
  <c r="E102" i="17" s="1"/>
  <c r="F101" i="17"/>
  <c r="C101" i="17"/>
  <c r="E101" i="17" s="1"/>
  <c r="F100" i="17"/>
  <c r="C100" i="17"/>
  <c r="E100" i="17" s="1"/>
  <c r="F99" i="17"/>
  <c r="C99" i="17"/>
  <c r="E99" i="17" s="1"/>
  <c r="F98" i="17"/>
  <c r="C98" i="17"/>
  <c r="E98" i="17" s="1"/>
  <c r="F97" i="17"/>
  <c r="C97" i="17"/>
  <c r="E97" i="17" s="1"/>
  <c r="F96" i="17"/>
  <c r="C96" i="17"/>
  <c r="E96" i="17" s="1"/>
  <c r="F95" i="17"/>
  <c r="C95" i="17"/>
  <c r="E95" i="17" s="1"/>
  <c r="F94" i="17"/>
  <c r="C94" i="17"/>
  <c r="E94" i="17" s="1"/>
  <c r="F93" i="17"/>
  <c r="C93" i="17"/>
  <c r="E93" i="17" s="1"/>
  <c r="F92" i="17"/>
  <c r="C92" i="17"/>
  <c r="E92" i="17" s="1"/>
  <c r="F91" i="17"/>
  <c r="C91" i="17"/>
  <c r="E91" i="17" s="1"/>
  <c r="F90" i="17"/>
  <c r="C90" i="17"/>
  <c r="E90" i="17" s="1"/>
  <c r="F89" i="17"/>
  <c r="C89" i="17"/>
  <c r="E89" i="17" s="1"/>
  <c r="F88" i="17"/>
  <c r="C88" i="17"/>
  <c r="E88" i="17" s="1"/>
  <c r="F87" i="17"/>
  <c r="C87" i="17"/>
  <c r="E87" i="17" s="1"/>
  <c r="F86" i="17"/>
  <c r="C86" i="17"/>
  <c r="E86" i="17" s="1"/>
  <c r="F85" i="17"/>
  <c r="C85" i="17"/>
  <c r="E85" i="17" s="1"/>
  <c r="F84" i="17"/>
  <c r="C84" i="17"/>
  <c r="E84" i="17" s="1"/>
  <c r="F83" i="17"/>
  <c r="C83" i="17"/>
  <c r="E83" i="17" s="1"/>
  <c r="F82" i="17"/>
  <c r="C82" i="17"/>
  <c r="E82" i="17" s="1"/>
  <c r="F81" i="17"/>
  <c r="C81" i="17"/>
  <c r="E81" i="17" s="1"/>
  <c r="F80" i="17"/>
  <c r="C80" i="17"/>
  <c r="E80" i="17" s="1"/>
  <c r="F79" i="17"/>
  <c r="C79" i="17"/>
  <c r="E79" i="17" s="1"/>
  <c r="F78" i="17"/>
  <c r="C78" i="17"/>
  <c r="E78" i="17" s="1"/>
  <c r="F77" i="17"/>
  <c r="C77" i="17"/>
  <c r="E77" i="17" s="1"/>
  <c r="F76" i="17"/>
  <c r="C76" i="17"/>
  <c r="E76" i="17" s="1"/>
  <c r="F75" i="17"/>
  <c r="C75" i="17"/>
  <c r="E75" i="17" s="1"/>
  <c r="F74" i="17"/>
  <c r="C74" i="17"/>
  <c r="E74" i="17" s="1"/>
  <c r="F73" i="17"/>
  <c r="C73" i="17"/>
  <c r="E73" i="17" s="1"/>
  <c r="F72" i="17"/>
  <c r="C72" i="17"/>
  <c r="E72" i="17" s="1"/>
  <c r="F71" i="17"/>
  <c r="C71" i="17"/>
  <c r="E71" i="17" s="1"/>
  <c r="F70" i="17"/>
  <c r="C70" i="17"/>
  <c r="E70" i="17" s="1"/>
  <c r="F69" i="17"/>
  <c r="C69" i="17"/>
  <c r="E69" i="17" s="1"/>
  <c r="F68" i="17"/>
  <c r="C68" i="17"/>
  <c r="E68" i="17" s="1"/>
  <c r="F67" i="17"/>
  <c r="C67" i="17"/>
  <c r="E67" i="17" s="1"/>
  <c r="F66" i="17"/>
  <c r="C66" i="17"/>
  <c r="E66" i="17" s="1"/>
  <c r="F65" i="17"/>
  <c r="C65" i="17"/>
  <c r="E65" i="17" s="1"/>
  <c r="F64" i="17"/>
  <c r="C64" i="17"/>
  <c r="E64" i="17" s="1"/>
  <c r="F63" i="17"/>
  <c r="C63" i="17"/>
  <c r="E63" i="17" s="1"/>
  <c r="F62" i="17"/>
  <c r="C62" i="17"/>
  <c r="E62" i="17" s="1"/>
  <c r="F61" i="17"/>
  <c r="C61" i="17"/>
  <c r="E61" i="17" s="1"/>
  <c r="F60" i="17"/>
  <c r="C60" i="17"/>
  <c r="E60" i="17" s="1"/>
  <c r="F59" i="17"/>
  <c r="C59" i="17"/>
  <c r="E59" i="17" s="1"/>
  <c r="F58" i="17"/>
  <c r="C58" i="17"/>
  <c r="E58" i="17" s="1"/>
  <c r="F57" i="17"/>
  <c r="C57" i="17"/>
  <c r="E57" i="17" s="1"/>
  <c r="F56" i="17"/>
  <c r="C56" i="17"/>
  <c r="E56" i="17" s="1"/>
  <c r="F55" i="17"/>
  <c r="C55" i="17"/>
  <c r="E55" i="17" s="1"/>
  <c r="F54" i="17"/>
  <c r="C54" i="17"/>
  <c r="E54" i="17" s="1"/>
  <c r="F53" i="17"/>
  <c r="C53" i="17"/>
  <c r="E53" i="17" s="1"/>
  <c r="F52" i="17"/>
  <c r="C52" i="17"/>
  <c r="E52" i="17" s="1"/>
  <c r="F51" i="17"/>
  <c r="C51" i="17"/>
  <c r="E51" i="17" s="1"/>
  <c r="F50" i="17"/>
  <c r="C50" i="17"/>
  <c r="E50" i="17" s="1"/>
  <c r="F49" i="17"/>
  <c r="C49" i="17"/>
  <c r="E49" i="17" s="1"/>
  <c r="F48" i="17"/>
  <c r="C48" i="17"/>
  <c r="E48" i="17" s="1"/>
  <c r="F47" i="17"/>
  <c r="C47" i="17"/>
  <c r="E47" i="17" s="1"/>
  <c r="F46" i="17"/>
  <c r="C46" i="17"/>
  <c r="E46" i="17" s="1"/>
  <c r="F45" i="17"/>
  <c r="C45" i="17"/>
  <c r="E45" i="17" s="1"/>
  <c r="F44" i="17"/>
  <c r="C44" i="17"/>
  <c r="E44" i="17" s="1"/>
  <c r="F43" i="17"/>
  <c r="C43" i="17"/>
  <c r="E43" i="17" s="1"/>
  <c r="F42" i="17"/>
  <c r="C42" i="17"/>
  <c r="E42" i="17" s="1"/>
  <c r="F41" i="17"/>
  <c r="C41" i="17"/>
  <c r="E41" i="17" s="1"/>
  <c r="F40" i="17"/>
  <c r="C40" i="17"/>
  <c r="E40" i="17" s="1"/>
  <c r="F39" i="17"/>
  <c r="C39" i="17"/>
  <c r="E39" i="17" s="1"/>
  <c r="F38" i="17"/>
  <c r="C38" i="17"/>
  <c r="E38" i="17" s="1"/>
  <c r="F37" i="17"/>
  <c r="C37" i="17"/>
  <c r="E37" i="17" s="1"/>
  <c r="F36" i="17"/>
  <c r="C36" i="17"/>
  <c r="E36" i="17" s="1"/>
  <c r="F35" i="17"/>
  <c r="C35" i="17"/>
  <c r="E35" i="17" s="1"/>
  <c r="F34" i="17"/>
  <c r="C34" i="17"/>
  <c r="E34" i="17" s="1"/>
  <c r="F33" i="17"/>
  <c r="C33" i="17"/>
  <c r="E33" i="17" s="1"/>
  <c r="F32" i="17"/>
  <c r="C32" i="17"/>
  <c r="E32" i="17" s="1"/>
  <c r="F31" i="17"/>
  <c r="C31" i="17"/>
  <c r="E31" i="17" s="1"/>
  <c r="F30" i="17"/>
  <c r="C30" i="17"/>
  <c r="E30" i="17" s="1"/>
  <c r="F29" i="17"/>
  <c r="C29" i="17"/>
  <c r="E29" i="17" s="1"/>
  <c r="F28" i="17"/>
  <c r="C28" i="17"/>
  <c r="E28" i="17" s="1"/>
  <c r="F27" i="17"/>
  <c r="C27" i="17"/>
  <c r="E27" i="17" s="1"/>
  <c r="F26" i="17"/>
  <c r="C26" i="17"/>
  <c r="E26" i="17" s="1"/>
  <c r="F25" i="17"/>
  <c r="C25" i="17"/>
  <c r="E25" i="17" s="1"/>
  <c r="F24" i="17"/>
  <c r="C24" i="17"/>
  <c r="E24" i="17" s="1"/>
  <c r="F23" i="17"/>
  <c r="C23" i="17"/>
  <c r="E23" i="17" s="1"/>
  <c r="F22" i="17"/>
  <c r="C22" i="17"/>
  <c r="E22" i="17" s="1"/>
  <c r="F21" i="17"/>
  <c r="C21" i="17"/>
  <c r="E21" i="17" s="1"/>
  <c r="F20" i="17"/>
  <c r="C20" i="17"/>
  <c r="E20" i="17" s="1"/>
  <c r="F19" i="17"/>
  <c r="C19" i="17"/>
  <c r="E19" i="17" s="1"/>
  <c r="F18" i="17"/>
  <c r="C18" i="17"/>
  <c r="E18" i="17" s="1"/>
  <c r="F17" i="17"/>
  <c r="C17" i="17"/>
  <c r="E17" i="17" s="1"/>
  <c r="F16" i="17"/>
  <c r="C16" i="17"/>
  <c r="E16" i="17" s="1"/>
  <c r="F15" i="17"/>
  <c r="C15" i="17"/>
  <c r="E15" i="17" s="1"/>
  <c r="F14" i="17"/>
  <c r="C14" i="17"/>
  <c r="E14" i="17" s="1"/>
  <c r="F13" i="17"/>
  <c r="C13" i="17"/>
  <c r="E13" i="17" s="1"/>
  <c r="F12" i="17"/>
  <c r="C12" i="17"/>
  <c r="E12" i="17" s="1"/>
  <c r="F11" i="17"/>
  <c r="C11" i="17"/>
  <c r="E11" i="17" s="1"/>
  <c r="F10" i="17"/>
  <c r="C10" i="17"/>
  <c r="E10" i="17" s="1"/>
  <c r="F9" i="17"/>
  <c r="C9" i="17"/>
  <c r="E9" i="17" s="1"/>
  <c r="F8" i="17"/>
  <c r="C8" i="17"/>
  <c r="E8" i="17" s="1"/>
  <c r="F7" i="17"/>
  <c r="C7" i="17"/>
  <c r="E7" i="17" s="1"/>
  <c r="F6" i="17"/>
  <c r="C6" i="17"/>
  <c r="E6" i="17" s="1"/>
  <c r="F5" i="17"/>
  <c r="C5" i="17"/>
  <c r="E5" i="17" s="1"/>
  <c r="I5" i="17"/>
  <c r="F4" i="17"/>
  <c r="C4" i="17"/>
  <c r="E4" i="17" s="1"/>
  <c r="F3" i="17"/>
  <c r="C3" i="17"/>
  <c r="E3" i="17" s="1"/>
  <c r="F2" i="17"/>
  <c r="C2" i="17"/>
  <c r="E2" i="17" s="1"/>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2" i="8"/>
  <c r="G38" i="2"/>
  <c r="F38" i="2"/>
  <c r="E38" i="2"/>
  <c r="D38" i="2"/>
  <c r="C38" i="2"/>
  <c r="B38" i="2"/>
  <c r="I38" i="2"/>
  <c r="J38" i="2"/>
  <c r="K38" i="2"/>
  <c r="L38" i="2"/>
  <c r="M38" i="2"/>
  <c r="H38" i="2"/>
  <c r="F3" i="13"/>
  <c r="F4" i="13"/>
  <c r="F5" i="13"/>
  <c r="F6" i="13"/>
  <c r="F7" i="13"/>
  <c r="F8" i="13"/>
  <c r="F9" i="13"/>
  <c r="F10" i="13"/>
  <c r="F11" i="13"/>
  <c r="F12" i="13"/>
  <c r="F13" i="13"/>
  <c r="F14" i="13"/>
  <c r="F15" i="13"/>
  <c r="F16" i="13"/>
  <c r="F17" i="13"/>
  <c r="F18" i="13"/>
  <c r="F19" i="13"/>
  <c r="F20" i="13"/>
  <c r="F21" i="13"/>
  <c r="F22" i="13"/>
  <c r="F23" i="13"/>
  <c r="F2" i="13"/>
  <c r="L47" i="2"/>
  <c r="L42" i="2"/>
  <c r="L37" i="2"/>
  <c r="L32" i="2"/>
  <c r="L27" i="2"/>
  <c r="L22" i="2"/>
  <c r="L17" i="2"/>
  <c r="L2" i="2"/>
  <c r="L7" i="2"/>
  <c r="L12" i="2"/>
  <c r="B37" i="2"/>
  <c r="B32" i="2"/>
  <c r="B27" i="2"/>
  <c r="B22" i="2"/>
  <c r="B17" i="2"/>
  <c r="B2" i="2"/>
  <c r="B7" i="2"/>
  <c r="B12" i="2"/>
  <c r="AJ34" i="15"/>
  <c r="AJ26" i="15"/>
  <c r="AJ23" i="15"/>
  <c r="O23" i="15"/>
  <c r="K23" i="15"/>
  <c r="AN21" i="15"/>
  <c r="AJ21" i="15"/>
  <c r="AN20" i="15"/>
  <c r="AJ20" i="15"/>
  <c r="AN19" i="15"/>
  <c r="AJ19" i="15"/>
  <c r="AN18" i="15"/>
  <c r="AJ18" i="15"/>
  <c r="AN17" i="15"/>
  <c r="AJ17" i="15"/>
  <c r="AN16" i="15"/>
  <c r="AJ16" i="15"/>
  <c r="AN14" i="15"/>
  <c r="AJ14" i="15"/>
  <c r="AN13" i="15"/>
  <c r="AJ13" i="15"/>
  <c r="AN12" i="15"/>
  <c r="AJ12" i="15"/>
  <c r="AN10" i="15"/>
  <c r="AN23" i="15" s="1"/>
  <c r="AJ10" i="15"/>
  <c r="I1005" i="17" l="1"/>
  <c r="I1006" i="17" s="1"/>
  <c r="I1007" i="17" s="1"/>
  <c r="I1008" i="17"/>
  <c r="I1009" i="17" s="1"/>
  <c r="I1010" i="17"/>
  <c r="I1011" i="17" s="1"/>
  <c r="I1012" i="17" s="1"/>
  <c r="I1013" i="17"/>
  <c r="I1014" i="17" s="1"/>
  <c r="I1015" i="17" s="1"/>
  <c r="I1016" i="17" s="1"/>
  <c r="I1017" i="17" s="1"/>
  <c r="I1018" i="17" s="1"/>
  <c r="I1019" i="17" s="1"/>
  <c r="I1020" i="17" s="1"/>
  <c r="I1021" i="17" s="1"/>
  <c r="I1022" i="17" s="1"/>
  <c r="I1023" i="17" s="1"/>
  <c r="I1024" i="17" s="1"/>
  <c r="I1025" i="17" s="1"/>
  <c r="I1026" i="17" s="1"/>
  <c r="I1027" i="17" s="1"/>
  <c r="I1028" i="17"/>
  <c r="I1029" i="17" s="1"/>
  <c r="I1030" i="17" s="1"/>
  <c r="I1031" i="17" s="1"/>
  <c r="I1032" i="17" s="1"/>
  <c r="I1033" i="17" s="1"/>
  <c r="I1034" i="17" s="1"/>
  <c r="I1035" i="17" s="1"/>
  <c r="I1036" i="17" s="1"/>
  <c r="I1037" i="17" s="1"/>
  <c r="I1038" i="17" s="1"/>
  <c r="I1039" i="17" s="1"/>
  <c r="I1040" i="17" s="1"/>
  <c r="I1041" i="17" s="1"/>
  <c r="I1042" i="17" s="1"/>
  <c r="I1043" i="17" s="1"/>
  <c r="I1044" i="17" s="1"/>
  <c r="I1045" i="17" s="1"/>
  <c r="I1046" i="17" s="1"/>
  <c r="I1047" i="17" s="1"/>
  <c r="I1048" i="17" s="1"/>
  <c r="I1049" i="17" s="1"/>
  <c r="I1050" i="17" s="1"/>
  <c r="I1051" i="17" s="1"/>
  <c r="I1052" i="17" s="1"/>
  <c r="I1053" i="17" s="1"/>
  <c r="I1054" i="17" s="1"/>
  <c r="I1055" i="17" s="1"/>
  <c r="I1056" i="17" s="1"/>
  <c r="I1057" i="17" s="1"/>
  <c r="I1058" i="17" s="1"/>
  <c r="I1059" i="17" s="1"/>
  <c r="I1060" i="17" s="1"/>
  <c r="I1061" i="17" s="1"/>
  <c r="I1062" i="17" s="1"/>
  <c r="I1063" i="17" s="1"/>
  <c r="I1064" i="17" s="1"/>
  <c r="I1065" i="17" s="1"/>
  <c r="I1066" i="17" s="1"/>
  <c r="I1067" i="17" s="1"/>
  <c r="I1068" i="17" s="1"/>
  <c r="I1069" i="17" s="1"/>
  <c r="I1070" i="17" s="1"/>
  <c r="I1071" i="17" s="1"/>
  <c r="I1072" i="17" s="1"/>
  <c r="I1073" i="17" s="1"/>
  <c r="I1074" i="17" s="1"/>
  <c r="I1075" i="17" s="1"/>
  <c r="I1076" i="17" s="1"/>
  <c r="I1077" i="17" s="1"/>
  <c r="I1078" i="17" s="1"/>
  <c r="I1079" i="17" s="1"/>
  <c r="I1080" i="17" s="1"/>
  <c r="I1081" i="17" s="1"/>
  <c r="I1082" i="17" s="1"/>
  <c r="I1083" i="17" s="1"/>
  <c r="I1084" i="17" s="1"/>
  <c r="I1085" i="17" s="1"/>
  <c r="I1086" i="17" s="1"/>
  <c r="I1087" i="17" s="1"/>
  <c r="I1088" i="17" s="1"/>
  <c r="I1089" i="17" s="1"/>
  <c r="I1090" i="17" s="1"/>
  <c r="I1091" i="17" s="1"/>
  <c r="I1092" i="17" s="1"/>
  <c r="I1093" i="17" s="1"/>
  <c r="I1094" i="17" s="1"/>
  <c r="I1095" i="17" s="1"/>
  <c r="I1096" i="17" s="1"/>
  <c r="I1097" i="17" s="1"/>
  <c r="I1098" i="17" s="1"/>
  <c r="I1099" i="17" s="1"/>
  <c r="I1100" i="17" s="1"/>
  <c r="I1101" i="17" s="1"/>
  <c r="I1102" i="17" s="1"/>
  <c r="I1103" i="17" s="1"/>
  <c r="I1104" i="17" s="1"/>
  <c r="I1105" i="17" s="1"/>
  <c r="I1106" i="17" s="1"/>
  <c r="I1107" i="17" s="1"/>
  <c r="I1108" i="17" s="1"/>
  <c r="I1109" i="17" s="1"/>
  <c r="I1110" i="17" s="1"/>
  <c r="I1111" i="17" s="1"/>
  <c r="I1112" i="17" s="1"/>
  <c r="I1113" i="17" s="1"/>
  <c r="I1114" i="17" s="1"/>
  <c r="I1115" i="17" s="1"/>
  <c r="I1116" i="17" s="1"/>
  <c r="I1117" i="17" s="1"/>
  <c r="I1118" i="17" s="1"/>
  <c r="I1119" i="17" s="1"/>
  <c r="I1120" i="17" s="1"/>
  <c r="I1121" i="17" s="1"/>
  <c r="I1122" i="17" s="1"/>
  <c r="I1123" i="17" s="1"/>
  <c r="I1124" i="17" s="1"/>
  <c r="I1125" i="17" s="1"/>
  <c r="I1126" i="17" s="1"/>
  <c r="I1127" i="17" s="1"/>
  <c r="I1128" i="17" s="1"/>
  <c r="I1129" i="17" s="1"/>
  <c r="I1130" i="17" s="1"/>
  <c r="I1131" i="17" s="1"/>
  <c r="I1132" i="17" s="1"/>
  <c r="I1133" i="17" s="1"/>
  <c r="I1134" i="17" s="1"/>
  <c r="I1135" i="17" s="1"/>
  <c r="I1136" i="17" s="1"/>
  <c r="I1137" i="17" s="1"/>
  <c r="I1138" i="17" s="1"/>
  <c r="I1139" i="17" s="1"/>
  <c r="I1140" i="17" s="1"/>
  <c r="I1141" i="17" s="1"/>
  <c r="I1142" i="17" s="1"/>
  <c r="I1143" i="17" s="1"/>
  <c r="I1144" i="17" s="1"/>
  <c r="I1145" i="17" s="1"/>
  <c r="I1146" i="17" s="1"/>
  <c r="I1147" i="17" s="1"/>
  <c r="I1148" i="17" s="1"/>
  <c r="I1149" i="17" s="1"/>
  <c r="I1150" i="17" s="1"/>
  <c r="I1151" i="17" s="1"/>
  <c r="I1152" i="17" s="1"/>
  <c r="I1153" i="17" s="1"/>
  <c r="I1154" i="17" s="1"/>
  <c r="I1155" i="17" s="1"/>
  <c r="I1156" i="17" s="1"/>
  <c r="I1157" i="17" s="1"/>
  <c r="I1158" i="17" s="1"/>
  <c r="I1159" i="17" s="1"/>
  <c r="I1160" i="17" s="1"/>
  <c r="I1161" i="17" s="1"/>
  <c r="I1162" i="17" s="1"/>
  <c r="I1163" i="17" s="1"/>
  <c r="I1164" i="17" s="1"/>
  <c r="I1165" i="17" s="1"/>
  <c r="I1166" i="17" s="1"/>
  <c r="I1167" i="17" s="1"/>
  <c r="I1168" i="17" s="1"/>
  <c r="I1169" i="17" s="1"/>
  <c r="I1170" i="17" s="1"/>
  <c r="I1171" i="17" s="1"/>
  <c r="I1172" i="17" s="1"/>
  <c r="I1173" i="17" s="1"/>
  <c r="I1174" i="17" s="1"/>
  <c r="I1175" i="17" s="1"/>
  <c r="I1176" i="17" s="1"/>
  <c r="I1177" i="17" s="1"/>
  <c r="I1178" i="17" s="1"/>
  <c r="I1179" i="17" s="1"/>
  <c r="I1180" i="17" s="1"/>
  <c r="I1181" i="17" s="1"/>
  <c r="I1182" i="17" s="1"/>
  <c r="I1183" i="17" s="1"/>
  <c r="I1184" i="17" s="1"/>
  <c r="I1185" i="17" s="1"/>
  <c r="I1186" i="17" s="1"/>
  <c r="I1187" i="17" s="1"/>
  <c r="I1188" i="17" s="1"/>
  <c r="I1189" i="17" s="1"/>
  <c r="I1190" i="17" s="1"/>
  <c r="I1191" i="17" s="1"/>
  <c r="I1192" i="17" s="1"/>
  <c r="I1193" i="17" s="1"/>
  <c r="I1194" i="17" s="1"/>
  <c r="I1195" i="17" s="1"/>
  <c r="I1196" i="17" s="1"/>
  <c r="I1197" i="17" s="1"/>
  <c r="I1198" i="17" s="1"/>
  <c r="I1199" i="17" s="1"/>
  <c r="I1200" i="17" s="1"/>
  <c r="I1201" i="17" s="1"/>
  <c r="I1202" i="17" s="1"/>
  <c r="I1203" i="17" s="1"/>
  <c r="I1204" i="17" s="1"/>
  <c r="I1205" i="17" s="1"/>
  <c r="I1206" i="17" s="1"/>
  <c r="I1207" i="17" s="1"/>
  <c r="I1208" i="17" s="1"/>
  <c r="I1209" i="17" s="1"/>
  <c r="I1210" i="17" s="1"/>
  <c r="I1211" i="17" s="1"/>
  <c r="I1212" i="17" s="1"/>
  <c r="I1213" i="17" s="1"/>
  <c r="I1214" i="17" s="1"/>
  <c r="I1215" i="17" s="1"/>
  <c r="I1216" i="17" s="1"/>
  <c r="I1217" i="17" s="1"/>
  <c r="I1218" i="17" s="1"/>
  <c r="I1219" i="17" s="1"/>
  <c r="I1220" i="17" s="1"/>
  <c r="I1221" i="17" s="1"/>
  <c r="I1222" i="17" s="1"/>
  <c r="I1223" i="17" s="1"/>
  <c r="I1224" i="17" s="1"/>
  <c r="I1225" i="17" s="1"/>
  <c r="I1226" i="17" s="1"/>
  <c r="I1227" i="17" s="1"/>
  <c r="I1228" i="17" s="1"/>
  <c r="I1229" i="17" s="1"/>
  <c r="I1230" i="17" s="1"/>
  <c r="I1231" i="17" s="1"/>
  <c r="I1232" i="17" s="1"/>
  <c r="I1233" i="17" s="1"/>
  <c r="I1234" i="17" s="1"/>
  <c r="I1235" i="17" s="1"/>
  <c r="I1236" i="17" s="1"/>
  <c r="I1237" i="17" s="1"/>
  <c r="I1238" i="17" s="1"/>
  <c r="I1239" i="17" s="1"/>
  <c r="I1240" i="17" s="1"/>
  <c r="I1241" i="17" s="1"/>
  <c r="I1242" i="17" s="1"/>
  <c r="I1243" i="17" s="1"/>
  <c r="I1244" i="17" s="1"/>
  <c r="I1245" i="17" s="1"/>
  <c r="I1246" i="17" s="1"/>
  <c r="I1247" i="17" s="1"/>
  <c r="I1248" i="17" s="1"/>
  <c r="I1249" i="17" s="1"/>
  <c r="I1250" i="17" s="1"/>
  <c r="I1251" i="17" s="1"/>
  <c r="I1252" i="17" s="1"/>
  <c r="I1253" i="17" s="1"/>
  <c r="I1254" i="17" s="1"/>
  <c r="I1255" i="17" s="1"/>
  <c r="I1256" i="17" s="1"/>
  <c r="I1257" i="17" s="1"/>
  <c r="I1258" i="17" s="1"/>
  <c r="I1259" i="17" s="1"/>
  <c r="I1260" i="17" s="1"/>
  <c r="I1261" i="17" s="1"/>
  <c r="I1262" i="17" s="1"/>
  <c r="I1263" i="17" s="1"/>
  <c r="I1264" i="17" s="1"/>
  <c r="I1265" i="17" s="1"/>
  <c r="I1266" i="17" s="1"/>
  <c r="I1267" i="17" s="1"/>
  <c r="I1268" i="17" s="1"/>
  <c r="I1269" i="17" s="1"/>
  <c r="I1270" i="17" s="1"/>
  <c r="I1271" i="17" s="1"/>
  <c r="I1272" i="17" s="1"/>
  <c r="I1273" i="17" s="1"/>
  <c r="I1274" i="17" s="1"/>
  <c r="I1275" i="17" s="1"/>
  <c r="I1276" i="17" s="1"/>
  <c r="I1277" i="17" s="1"/>
  <c r="I1278" i="17" s="1"/>
  <c r="I1279" i="17" s="1"/>
  <c r="I1280" i="17" s="1"/>
  <c r="I1281" i="17" s="1"/>
  <c r="I1282" i="17" s="1"/>
  <c r="I1283" i="17" s="1"/>
  <c r="I1284" i="17" s="1"/>
  <c r="I1285" i="17" s="1"/>
  <c r="I1286" i="17" s="1"/>
  <c r="I1287" i="17" s="1"/>
  <c r="I1288" i="17" s="1"/>
  <c r="I1289" i="17" s="1"/>
  <c r="I1290" i="17" s="1"/>
  <c r="I1291" i="17" s="1"/>
  <c r="I1292" i="17" s="1"/>
  <c r="I1293" i="17" s="1"/>
  <c r="I1294" i="17" s="1"/>
  <c r="I1295" i="17" s="1"/>
  <c r="I1296" i="17" s="1"/>
  <c r="I1297" i="17" s="1"/>
  <c r="I1298" i="17" s="1"/>
  <c r="I1299" i="17" s="1"/>
  <c r="I1300" i="17" s="1"/>
  <c r="I1301" i="17" s="1"/>
  <c r="I1302" i="17" s="1"/>
  <c r="I1303" i="17" s="1"/>
  <c r="I1304" i="17" s="1"/>
  <c r="I1305" i="17" s="1"/>
  <c r="I1306" i="17" s="1"/>
  <c r="I1307" i="17" s="1"/>
  <c r="I1308" i="17" s="1"/>
  <c r="I1309" i="17" s="1"/>
  <c r="I1310" i="17" s="1"/>
  <c r="I1311" i="17" s="1"/>
  <c r="I1312" i="17" s="1"/>
  <c r="I1313" i="17" s="1"/>
  <c r="I1314" i="17" s="1"/>
  <c r="I1315" i="17" s="1"/>
  <c r="I1316" i="17" s="1"/>
  <c r="I1317" i="17" s="1"/>
  <c r="I1318" i="17" s="1"/>
  <c r="I1319" i="17" s="1"/>
  <c r="I1320" i="17" s="1"/>
  <c r="I1321" i="17" s="1"/>
  <c r="I1322" i="17" s="1"/>
  <c r="I1323" i="17" s="1"/>
  <c r="I1324" i="17" s="1"/>
  <c r="I1325" i="17" s="1"/>
  <c r="I1326" i="17" s="1"/>
  <c r="I1327" i="17" s="1"/>
  <c r="I1328" i="17" s="1"/>
  <c r="I1329" i="17" s="1"/>
  <c r="I1330" i="17" s="1"/>
  <c r="I1331" i="17" s="1"/>
  <c r="I1332" i="17" s="1"/>
  <c r="I1333" i="17" s="1"/>
  <c r="I1334" i="17" s="1"/>
  <c r="I1335" i="17" s="1"/>
  <c r="I1336" i="17" s="1"/>
  <c r="I1337" i="17" s="1"/>
  <c r="I1338" i="17" s="1"/>
  <c r="I1339" i="17" s="1"/>
  <c r="I1340" i="17" s="1"/>
  <c r="I1341" i="17" s="1"/>
  <c r="I1342" i="17" s="1"/>
  <c r="I1343" i="17" s="1"/>
  <c r="I1344" i="17" s="1"/>
  <c r="I1345" i="17" s="1"/>
  <c r="I1346" i="17" s="1"/>
  <c r="I1347" i="17" s="1"/>
  <c r="I1348" i="17" s="1"/>
  <c r="I1349" i="17" s="1"/>
  <c r="I1350" i="17" s="1"/>
  <c r="I1351" i="17" s="1"/>
  <c r="I1352" i="17" s="1"/>
  <c r="I1353" i="17" s="1"/>
  <c r="I1354" i="17" s="1"/>
  <c r="I1355" i="17" s="1"/>
  <c r="I1356" i="17" s="1"/>
  <c r="I1357" i="17" s="1"/>
  <c r="I1358" i="17" s="1"/>
  <c r="I1359" i="17" s="1"/>
  <c r="I1360" i="17" s="1"/>
  <c r="I1361" i="17" s="1"/>
  <c r="I1362" i="17" s="1"/>
  <c r="I1363" i="17" s="1"/>
  <c r="I1364" i="17" s="1"/>
  <c r="I1365" i="17" s="1"/>
  <c r="I1366" i="17" s="1"/>
  <c r="I1367" i="17" s="1"/>
  <c r="I1368" i="17" s="1"/>
  <c r="I1369" i="17" s="1"/>
  <c r="I1370" i="17" s="1"/>
  <c r="I1371" i="17" s="1"/>
  <c r="I1372" i="17" s="1"/>
  <c r="I1373" i="17" s="1"/>
  <c r="I1374" i="17" s="1"/>
  <c r="I1375" i="17" s="1"/>
  <c r="I1376" i="17" s="1"/>
  <c r="I1377" i="17" s="1"/>
  <c r="I1378" i="17" s="1"/>
  <c r="I1379" i="17" s="1"/>
  <c r="I1380" i="17" s="1"/>
  <c r="I1381" i="17" s="1"/>
  <c r="I1382" i="17" s="1"/>
  <c r="I1383" i="17" s="1"/>
  <c r="I1384" i="17" s="1"/>
  <c r="I1385" i="17" s="1"/>
  <c r="I1386" i="17" s="1"/>
  <c r="I1387" i="17" s="1"/>
  <c r="I1388" i="17" s="1"/>
  <c r="I1389" i="17" s="1"/>
  <c r="I1390" i="17" s="1"/>
  <c r="I1391" i="17" s="1"/>
  <c r="I1392" i="17" s="1"/>
  <c r="I1393" i="17" s="1"/>
  <c r="I1394" i="17" s="1"/>
  <c r="I1395" i="17" s="1"/>
  <c r="I1396" i="17" s="1"/>
  <c r="I1397" i="17" s="1"/>
  <c r="I1398" i="17" s="1"/>
  <c r="I1399" i="17" s="1"/>
  <c r="I1400" i="17" s="1"/>
  <c r="I1401" i="17" s="1"/>
  <c r="I1402" i="17" s="1"/>
  <c r="I1403" i="17" s="1"/>
  <c r="I1404" i="17" s="1"/>
  <c r="I1405" i="17" s="1"/>
  <c r="I1406" i="17" s="1"/>
  <c r="I1407" i="17" s="1"/>
  <c r="I1408" i="17" s="1"/>
  <c r="I1409" i="17" s="1"/>
  <c r="I1410" i="17" s="1"/>
  <c r="I1411" i="17" s="1"/>
  <c r="I1412" i="17" s="1"/>
  <c r="I1413" i="17" s="1"/>
  <c r="I1414" i="17" s="1"/>
  <c r="I1415" i="17" s="1"/>
  <c r="I1416" i="17" s="1"/>
  <c r="I1417" i="17" s="1"/>
  <c r="I1418" i="17" s="1"/>
  <c r="I1419" i="17" s="1"/>
  <c r="I1420" i="17" s="1"/>
  <c r="I1421" i="17" s="1"/>
  <c r="I1422" i="17" s="1"/>
  <c r="I1423" i="17" s="1"/>
  <c r="I1424" i="17" s="1"/>
  <c r="I1425" i="17" s="1"/>
  <c r="I1426" i="17" s="1"/>
  <c r="I1427" i="17" s="1"/>
  <c r="I1428" i="17" s="1"/>
  <c r="I1429" i="17" s="1"/>
  <c r="I1430" i="17" s="1"/>
  <c r="I1431" i="17" s="1"/>
  <c r="I1432" i="17" s="1"/>
  <c r="I1433" i="17" s="1"/>
  <c r="I1434" i="17" s="1"/>
  <c r="I1435" i="17" s="1"/>
  <c r="I1436" i="17" s="1"/>
  <c r="I1437" i="17" s="1"/>
  <c r="I1438" i="17" s="1"/>
  <c r="I1439" i="17" s="1"/>
  <c r="I1440" i="17" s="1"/>
  <c r="I1441" i="17" s="1"/>
  <c r="I1442" i="17" s="1"/>
  <c r="I1443" i="17" s="1"/>
  <c r="I1444" i="17" s="1"/>
  <c r="I1445" i="17" s="1"/>
  <c r="I1446" i="17" s="1"/>
  <c r="I1447" i="17" s="1"/>
  <c r="I1448" i="17" s="1"/>
  <c r="I1449" i="17" s="1"/>
  <c r="I1450" i="17" s="1"/>
  <c r="I1451" i="17" s="1"/>
  <c r="I1452" i="17" s="1"/>
  <c r="I1453" i="17" s="1"/>
  <c r="I1454" i="17" s="1"/>
  <c r="I1455" i="17" s="1"/>
  <c r="I1456" i="17" s="1"/>
  <c r="I1457" i="17" s="1"/>
  <c r="I1458" i="17" s="1"/>
  <c r="I1459" i="17" s="1"/>
  <c r="I1460" i="17" s="1"/>
  <c r="I1461" i="17" s="1"/>
  <c r="I1462" i="17" s="1"/>
  <c r="I1463" i="17" s="1"/>
  <c r="I1464" i="17" s="1"/>
  <c r="I1465" i="17" s="1"/>
  <c r="I1466" i="17" s="1"/>
  <c r="I1467" i="17" s="1"/>
  <c r="I1468" i="17" s="1"/>
  <c r="I1469" i="17" s="1"/>
  <c r="I1470" i="17" s="1"/>
  <c r="I1471" i="17" s="1"/>
  <c r="I1472" i="17" s="1"/>
  <c r="I1473" i="17" s="1"/>
  <c r="I1474" i="17" s="1"/>
  <c r="I1475" i="17" s="1"/>
  <c r="I1476" i="17" s="1"/>
  <c r="I1477" i="17" s="1"/>
  <c r="I1478" i="17" s="1"/>
  <c r="I1479" i="17" s="1"/>
  <c r="I1480" i="17" s="1"/>
  <c r="I1481" i="17" s="1"/>
  <c r="I1482" i="17" s="1"/>
  <c r="I1483" i="17" s="1"/>
  <c r="I1484" i="17" s="1"/>
  <c r="I1485" i="17" s="1"/>
  <c r="I1486" i="17" s="1"/>
  <c r="I1487" i="17" s="1"/>
  <c r="I1488" i="17" s="1"/>
  <c r="I1489" i="17" s="1"/>
  <c r="I1490" i="17" s="1"/>
  <c r="I1491" i="17" s="1"/>
  <c r="I1492" i="17" s="1"/>
  <c r="I1493" i="17" s="1"/>
  <c r="I1494" i="17" s="1"/>
  <c r="I1495" i="17" s="1"/>
  <c r="I1496" i="17" s="1"/>
  <c r="I1497" i="17" s="1"/>
  <c r="I1498" i="17" s="1"/>
  <c r="I1499" i="17" s="1"/>
  <c r="I1500" i="17" s="1"/>
  <c r="I1501" i="17" s="1"/>
  <c r="I1502" i="17" s="1"/>
  <c r="I1503" i="17" s="1"/>
  <c r="I1504" i="17" s="1"/>
  <c r="I1505" i="17" s="1"/>
  <c r="I1506" i="17" s="1"/>
  <c r="I1507" i="17" s="1"/>
  <c r="I1508" i="17" s="1"/>
  <c r="I1509" i="17" s="1"/>
  <c r="I1510" i="17" s="1"/>
  <c r="I1511" i="17" s="1"/>
  <c r="I1512" i="17" s="1"/>
  <c r="I1513" i="17" s="1"/>
  <c r="I1514" i="17" s="1"/>
  <c r="I1515" i="17" s="1"/>
  <c r="I1516" i="17" s="1"/>
  <c r="I1517" i="17" s="1"/>
  <c r="I1518" i="17" s="1"/>
  <c r="I1519" i="17" s="1"/>
  <c r="I1520" i="17" s="1"/>
  <c r="I1521" i="17" s="1"/>
  <c r="I1522" i="17" s="1"/>
  <c r="I1523" i="17" s="1"/>
  <c r="I1524" i="17" s="1"/>
  <c r="I1525" i="17" s="1"/>
  <c r="I1526" i="17" s="1"/>
  <c r="I1527" i="17" s="1"/>
  <c r="I1528" i="17" s="1"/>
  <c r="I1529" i="17" s="1"/>
  <c r="I1530" i="17" s="1"/>
  <c r="I1531" i="17" s="1"/>
  <c r="I1532" i="17" s="1"/>
  <c r="I1533" i="17" s="1"/>
  <c r="I1534" i="17" s="1"/>
  <c r="I1535" i="17" s="1"/>
  <c r="I1536" i="17" s="1"/>
  <c r="I1537" i="17" s="1"/>
  <c r="I1538" i="17" s="1"/>
  <c r="I1539" i="17" s="1"/>
  <c r="I1540" i="17" s="1"/>
  <c r="I1541" i="17" s="1"/>
  <c r="I1542" i="17" s="1"/>
  <c r="I1543" i="17" s="1"/>
  <c r="I1544" i="17" s="1"/>
  <c r="I1545" i="17" s="1"/>
  <c r="I1546" i="17" s="1"/>
  <c r="I1547" i="17" s="1"/>
  <c r="I1548" i="17" s="1"/>
  <c r="I1549" i="17" s="1"/>
  <c r="I1550" i="17" s="1"/>
  <c r="I1551" i="17" s="1"/>
  <c r="I1552" i="17" s="1"/>
  <c r="I1553" i="17" s="1"/>
  <c r="I1554" i="17" s="1"/>
  <c r="I1555" i="17" s="1"/>
  <c r="I1556" i="17" s="1"/>
  <c r="I1557" i="17" s="1"/>
  <c r="I1558" i="17" s="1"/>
  <c r="I1559" i="17" s="1"/>
  <c r="I1560" i="17" s="1"/>
  <c r="I1561" i="17" s="1"/>
  <c r="I1562" i="17" s="1"/>
  <c r="I1563" i="17" s="1"/>
  <c r="I1564" i="17" s="1"/>
  <c r="I1565" i="17" s="1"/>
  <c r="I1566" i="17" s="1"/>
  <c r="I1567" i="17" s="1"/>
  <c r="I1568" i="17" s="1"/>
  <c r="I1569" i="17" s="1"/>
  <c r="I1570" i="17" s="1"/>
  <c r="I1571" i="17" s="1"/>
  <c r="I1572" i="17" s="1"/>
  <c r="I1573" i="17" s="1"/>
  <c r="I1574" i="17" s="1"/>
  <c r="I1575" i="17" s="1"/>
  <c r="I1576" i="17" s="1"/>
  <c r="I1577" i="17" s="1"/>
  <c r="I1578" i="17" s="1"/>
  <c r="I1579" i="17" s="1"/>
  <c r="I1580" i="17" s="1"/>
  <c r="I1581" i="17" s="1"/>
  <c r="I1582" i="17" s="1"/>
  <c r="I1583" i="17" s="1"/>
  <c r="I1584" i="17" s="1"/>
  <c r="I1585" i="17" s="1"/>
  <c r="I1586" i="17" s="1"/>
  <c r="I1587" i="17" s="1"/>
  <c r="I1588" i="17" s="1"/>
  <c r="I1589" i="17" s="1"/>
  <c r="I1590" i="17" s="1"/>
  <c r="I1591" i="17" s="1"/>
  <c r="I1592" i="17" s="1"/>
  <c r="I1593" i="17" s="1"/>
  <c r="I1594" i="17" s="1"/>
  <c r="I1595" i="17" s="1"/>
  <c r="I1596" i="17" s="1"/>
  <c r="I1597" i="17" s="1"/>
  <c r="I1598" i="17" s="1"/>
  <c r="I1599" i="17" s="1"/>
  <c r="I1600" i="17" s="1"/>
  <c r="I1601" i="17" s="1"/>
  <c r="I1602" i="17" s="1"/>
  <c r="I1603" i="17" s="1"/>
  <c r="I1604" i="17" s="1"/>
  <c r="I1605" i="17" s="1"/>
  <c r="I1606" i="17" s="1"/>
  <c r="I1607" i="17" s="1"/>
  <c r="I1608" i="17" s="1"/>
  <c r="I1609" i="17" s="1"/>
  <c r="I1610" i="17" s="1"/>
  <c r="I1611" i="17" s="1"/>
  <c r="I1612" i="17" s="1"/>
  <c r="I1613" i="17" s="1"/>
  <c r="I1614" i="17" s="1"/>
  <c r="I1615" i="17" s="1"/>
  <c r="I1616" i="17" s="1"/>
  <c r="I1617" i="17" s="1"/>
  <c r="I1618" i="17" s="1"/>
  <c r="I1619" i="17" s="1"/>
  <c r="I1620" i="17" s="1"/>
  <c r="I1621" i="17" s="1"/>
  <c r="I1622" i="17" s="1"/>
  <c r="I1623" i="17" s="1"/>
  <c r="I76" i="17"/>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6" i="17"/>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558" i="17"/>
  <c r="I873" i="17"/>
  <c r="I874" i="17" s="1"/>
  <c r="I875" i="17" s="1"/>
  <c r="I876" i="17" s="1"/>
  <c r="I877" i="17" s="1"/>
  <c r="I878" i="17" s="1"/>
  <c r="I879" i="17" s="1"/>
  <c r="I880" i="17" s="1"/>
  <c r="I881" i="17" s="1"/>
  <c r="I882" i="17" s="1"/>
  <c r="I883" i="17" s="1"/>
  <c r="I884" i="17" s="1"/>
  <c r="I885" i="17" s="1"/>
  <c r="I886" i="17" s="1"/>
  <c r="I887" i="17" s="1"/>
  <c r="I888" i="17" s="1"/>
  <c r="I889" i="17" s="1"/>
  <c r="I890" i="17" s="1"/>
  <c r="I891" i="17" s="1"/>
  <c r="I892" i="17" s="1"/>
  <c r="I893" i="17" s="1"/>
  <c r="I894" i="17" s="1"/>
  <c r="I895" i="17" s="1"/>
  <c r="I896" i="17" s="1"/>
  <c r="I897" i="17" s="1"/>
  <c r="I898" i="17" s="1"/>
  <c r="I899" i="17" s="1"/>
  <c r="I900" i="17" s="1"/>
  <c r="I901" i="17" s="1"/>
  <c r="I902" i="17" s="1"/>
  <c r="I903" i="17" s="1"/>
  <c r="I904" i="17" s="1"/>
  <c r="I905" i="17" s="1"/>
  <c r="I906" i="17" s="1"/>
  <c r="I907" i="17" s="1"/>
  <c r="I908" i="17" s="1"/>
  <c r="I909" i="17" s="1"/>
  <c r="I910" i="17" s="1"/>
  <c r="I911" i="17" s="1"/>
  <c r="I912" i="17" s="1"/>
  <c r="I913" i="17" s="1"/>
  <c r="I914" i="17" s="1"/>
  <c r="I915" i="17" s="1"/>
  <c r="I916" i="17" s="1"/>
  <c r="I917" i="17" s="1"/>
  <c r="I918" i="17" s="1"/>
  <c r="I919" i="17" s="1"/>
  <c r="I920" i="17" s="1"/>
  <c r="I921" i="17" s="1"/>
  <c r="I922" i="17" s="1"/>
  <c r="I923" i="17" s="1"/>
  <c r="I924" i="17" s="1"/>
  <c r="I925" i="17" s="1"/>
  <c r="I926" i="17" s="1"/>
  <c r="I927" i="17" s="1"/>
  <c r="I928" i="17" s="1"/>
  <c r="I929" i="17" s="1"/>
  <c r="I930" i="17" s="1"/>
  <c r="I931" i="17" s="1"/>
  <c r="I932" i="17" s="1"/>
  <c r="I933" i="17" s="1"/>
  <c r="I934" i="17" s="1"/>
  <c r="I935" i="17" s="1"/>
  <c r="I936" i="17" s="1"/>
  <c r="I937" i="17" s="1"/>
  <c r="I938" i="17" s="1"/>
  <c r="I939" i="17" s="1"/>
  <c r="I940" i="17" s="1"/>
  <c r="I941" i="17" s="1"/>
  <c r="I942" i="17" s="1"/>
  <c r="I943" i="17" s="1"/>
  <c r="I944" i="17" s="1"/>
  <c r="I945" i="17" s="1"/>
  <c r="I946" i="17" s="1"/>
  <c r="I947" i="17" s="1"/>
  <c r="I948" i="17" s="1"/>
  <c r="I949" i="17" s="1"/>
  <c r="I950" i="17" s="1"/>
  <c r="I951" i="17" s="1"/>
  <c r="I952" i="17" s="1"/>
  <c r="I953" i="17" s="1"/>
  <c r="I954" i="17" s="1"/>
  <c r="I955" i="17" s="1"/>
  <c r="I956" i="17" s="1"/>
  <c r="I957" i="17" s="1"/>
  <c r="I958" i="17" s="1"/>
  <c r="I959" i="17" s="1"/>
  <c r="I960" i="17" s="1"/>
  <c r="I961" i="17" s="1"/>
  <c r="I962" i="17" s="1"/>
  <c r="I963" i="17" s="1"/>
  <c r="I964" i="17" s="1"/>
  <c r="I965" i="17" s="1"/>
  <c r="I966" i="17" s="1"/>
  <c r="I967" i="17" s="1"/>
  <c r="I968" i="17" s="1"/>
  <c r="I969" i="17" s="1"/>
  <c r="I970" i="17" s="1"/>
  <c r="I971" i="17" s="1"/>
  <c r="I972" i="17" s="1"/>
  <c r="I973" i="17" s="1"/>
  <c r="I974" i="17" s="1"/>
  <c r="I975" i="17" s="1"/>
  <c r="I976" i="17" s="1"/>
  <c r="I977" i="17" s="1"/>
  <c r="I978" i="17" s="1"/>
  <c r="I979" i="17" s="1"/>
  <c r="I980" i="17" s="1"/>
  <c r="I981" i="17" s="1"/>
  <c r="I982" i="17" s="1"/>
  <c r="I983" i="17" s="1"/>
  <c r="I984" i="17" s="1"/>
  <c r="I985" i="17" s="1"/>
  <c r="I986" i="17" s="1"/>
  <c r="I987" i="17" s="1"/>
  <c r="I988" i="17" s="1"/>
  <c r="I989" i="17" s="1"/>
  <c r="I990" i="17" s="1"/>
  <c r="I991" i="17" s="1"/>
  <c r="I992" i="17" s="1"/>
  <c r="I993" i="17" s="1"/>
  <c r="I994" i="17" s="1"/>
  <c r="I995" i="17" s="1"/>
  <c r="I996" i="17" s="1"/>
  <c r="I997" i="17" s="1"/>
  <c r="I998" i="17" s="1"/>
  <c r="I999" i="17" s="1"/>
  <c r="I1000" i="17" s="1"/>
  <c r="I1001" i="17" s="1"/>
  <c r="I432" i="17"/>
  <c r="I271" i="17"/>
  <c r="I272" i="17"/>
  <c r="I810" i="17"/>
  <c r="I811" i="17" s="1"/>
  <c r="I812" i="17" s="1"/>
  <c r="I813" i="17" s="1"/>
  <c r="I814" i="17" s="1"/>
  <c r="I815" i="17" s="1"/>
  <c r="I816" i="17" s="1"/>
  <c r="I817" i="17" s="1"/>
  <c r="I818" i="17" s="1"/>
  <c r="I819" i="17" s="1"/>
  <c r="I820" i="17" s="1"/>
  <c r="I821" i="17" s="1"/>
  <c r="I822" i="17" s="1"/>
  <c r="I823" i="17" s="1"/>
  <c r="I824" i="17" s="1"/>
  <c r="I825" i="17" s="1"/>
  <c r="I826" i="17" s="1"/>
  <c r="I827" i="17" s="1"/>
  <c r="I828" i="17" s="1"/>
  <c r="I829" i="17" s="1"/>
  <c r="I830" i="17" s="1"/>
  <c r="I831" i="17" s="1"/>
  <c r="I832" i="17" s="1"/>
  <c r="I833" i="17" s="1"/>
  <c r="I834" i="17" s="1"/>
  <c r="I835" i="17" s="1"/>
  <c r="I836" i="17" s="1"/>
  <c r="I837" i="17" s="1"/>
  <c r="I838" i="17" s="1"/>
  <c r="I839" i="17" s="1"/>
  <c r="I840" i="17" s="1"/>
  <c r="I841" i="17" s="1"/>
  <c r="I842" i="17" s="1"/>
  <c r="I843" i="17" s="1"/>
  <c r="I844" i="17" s="1"/>
  <c r="I845" i="17" s="1"/>
  <c r="I846" i="17" s="1"/>
  <c r="I847" i="17" s="1"/>
  <c r="I848" i="17" s="1"/>
  <c r="I849" i="17" s="1"/>
  <c r="I850" i="17" s="1"/>
  <c r="I851" i="17" s="1"/>
  <c r="I852" i="17" s="1"/>
  <c r="I853" i="17" s="1"/>
  <c r="I854" i="17" s="1"/>
  <c r="I855" i="17" s="1"/>
  <c r="I856" i="17" s="1"/>
  <c r="I857" i="17" s="1"/>
  <c r="I858" i="17" s="1"/>
  <c r="I859" i="17" s="1"/>
  <c r="I860" i="17" s="1"/>
  <c r="I861" i="17" s="1"/>
  <c r="I862" i="17" s="1"/>
  <c r="I863" i="17" s="1"/>
  <c r="I864" i="17" s="1"/>
  <c r="I865" i="17" s="1"/>
  <c r="I866" i="17" s="1"/>
  <c r="I867" i="17" s="1"/>
  <c r="I868" i="17" s="1"/>
  <c r="I869" i="17" s="1"/>
  <c r="I870" i="17" s="1"/>
  <c r="I871" i="17" s="1"/>
  <c r="I872" i="17" s="1"/>
  <c r="I740" i="17"/>
  <c r="I741" i="17" s="1"/>
  <c r="I742" i="17" s="1"/>
  <c r="I743" i="17" s="1"/>
  <c r="I744" i="17" s="1"/>
  <c r="I745" i="17" s="1"/>
  <c r="I746" i="17" s="1"/>
  <c r="I747" i="17" s="1"/>
  <c r="I748" i="17" s="1"/>
  <c r="I749" i="17" s="1"/>
  <c r="I750" i="17" s="1"/>
  <c r="I751" i="17" s="1"/>
  <c r="I752" i="17" s="1"/>
  <c r="I753" i="17" s="1"/>
  <c r="I754" i="17" s="1"/>
  <c r="I755" i="17" s="1"/>
  <c r="I756" i="17" s="1"/>
  <c r="I757" i="17" s="1"/>
  <c r="I758" i="17" s="1"/>
  <c r="I759" i="17" s="1"/>
  <c r="I760" i="17" s="1"/>
  <c r="I761" i="17" s="1"/>
  <c r="I762" i="17" s="1"/>
  <c r="I763" i="17" s="1"/>
  <c r="I764" i="17" s="1"/>
  <c r="I765" i="17" s="1"/>
  <c r="I766" i="17" s="1"/>
  <c r="I767" i="17" s="1"/>
  <c r="I768" i="17" s="1"/>
  <c r="I769" i="17" s="1"/>
  <c r="I770" i="17" s="1"/>
  <c r="I771" i="17" s="1"/>
  <c r="I772" i="17" s="1"/>
  <c r="I773" i="17" s="1"/>
  <c r="I774" i="17" s="1"/>
  <c r="I775" i="17" s="1"/>
  <c r="I776" i="17" s="1"/>
  <c r="I777" i="17" s="1"/>
  <c r="I778" i="17" s="1"/>
  <c r="I779" i="17" s="1"/>
  <c r="I780" i="17" s="1"/>
  <c r="I781" i="17" s="1"/>
  <c r="I782" i="17" s="1"/>
  <c r="I783" i="17" s="1"/>
  <c r="I784" i="17" s="1"/>
  <c r="I785" i="17" s="1"/>
  <c r="I786" i="17" s="1"/>
  <c r="I787" i="17" s="1"/>
  <c r="I788" i="17" s="1"/>
  <c r="I789" i="17" s="1"/>
  <c r="I790" i="17" s="1"/>
  <c r="I791" i="17" s="1"/>
  <c r="I792" i="17" s="1"/>
  <c r="I793" i="17" s="1"/>
  <c r="I794" i="17" s="1"/>
  <c r="I795" i="17" s="1"/>
  <c r="I796" i="17" s="1"/>
  <c r="I797" i="17" s="1"/>
  <c r="I798" i="17" s="1"/>
  <c r="I799" i="17" s="1"/>
  <c r="I800" i="17" s="1"/>
  <c r="I801" i="17" s="1"/>
  <c r="I802" i="17" s="1"/>
  <c r="I803" i="17" s="1"/>
  <c r="I804" i="17" s="1"/>
  <c r="I805" i="17" s="1"/>
  <c r="I806" i="17" s="1"/>
  <c r="I807" i="17" s="1"/>
  <c r="I808" i="17" s="1"/>
  <c r="I809" i="17" s="1"/>
  <c r="I629" i="17"/>
  <c r="I630" i="17"/>
  <c r="I631" i="17" s="1"/>
  <c r="I632" i="17" s="1"/>
  <c r="I633" i="17" s="1"/>
  <c r="I634" i="17" s="1"/>
  <c r="I635" i="17" s="1"/>
  <c r="I636" i="17" s="1"/>
  <c r="I637" i="17" s="1"/>
  <c r="I638" i="17" s="1"/>
  <c r="I639" i="17" s="1"/>
  <c r="I640" i="17" s="1"/>
  <c r="I641" i="17" s="1"/>
  <c r="I642" i="17" s="1"/>
  <c r="I643" i="17" s="1"/>
  <c r="I644" i="17" s="1"/>
  <c r="I645" i="17" s="1"/>
  <c r="I646" i="17" s="1"/>
  <c r="I647" i="17" s="1"/>
  <c r="I648" i="17" s="1"/>
  <c r="I649" i="17" s="1"/>
  <c r="I650" i="17" s="1"/>
  <c r="I651" i="17" s="1"/>
  <c r="I652" i="17" s="1"/>
  <c r="I653" i="17" s="1"/>
  <c r="I654" i="17" s="1"/>
  <c r="I655" i="17" s="1"/>
  <c r="I656" i="17" s="1"/>
  <c r="I657" i="17" s="1"/>
  <c r="I658" i="17" s="1"/>
  <c r="I659" i="17" s="1"/>
  <c r="I660" i="17" s="1"/>
  <c r="I661" i="17" s="1"/>
  <c r="I662" i="17" s="1"/>
  <c r="I663" i="17" s="1"/>
  <c r="I664" i="17" s="1"/>
  <c r="I665" i="17" s="1"/>
  <c r="I666" i="17" s="1"/>
  <c r="I667" i="17" s="1"/>
  <c r="I668" i="17" s="1"/>
  <c r="I669" i="17" s="1"/>
  <c r="I670" i="17" s="1"/>
  <c r="I671" i="17" s="1"/>
  <c r="I672" i="17" s="1"/>
  <c r="I673" i="17" s="1"/>
  <c r="I674" i="17" s="1"/>
  <c r="I675" i="17" s="1"/>
  <c r="I676" i="17" s="1"/>
  <c r="I677" i="17" s="1"/>
  <c r="I678" i="17" s="1"/>
  <c r="I679" i="17" s="1"/>
  <c r="I680" i="17" s="1"/>
  <c r="I681" i="17" s="1"/>
  <c r="I682" i="17" s="1"/>
  <c r="I683" i="17" s="1"/>
  <c r="I684" i="17" s="1"/>
  <c r="I685" i="17" s="1"/>
  <c r="I686" i="17" s="1"/>
  <c r="I687" i="17" s="1"/>
  <c r="I688" i="17" s="1"/>
  <c r="I689" i="17" s="1"/>
  <c r="I690" i="17" s="1"/>
  <c r="I691" i="17" s="1"/>
  <c r="I692" i="17" s="1"/>
  <c r="I693" i="17" s="1"/>
  <c r="I694" i="17" s="1"/>
  <c r="I695" i="17" s="1"/>
  <c r="I696" i="17" s="1"/>
  <c r="I697" i="17" s="1"/>
  <c r="I698" i="17" s="1"/>
  <c r="I699" i="17" s="1"/>
  <c r="I700" i="17" s="1"/>
  <c r="I701" i="17" s="1"/>
  <c r="I702" i="17" s="1"/>
  <c r="I703" i="17" s="1"/>
  <c r="I704" i="17" s="1"/>
  <c r="I705" i="17" s="1"/>
  <c r="I706" i="17" s="1"/>
  <c r="I707" i="17" s="1"/>
  <c r="I708" i="17" s="1"/>
  <c r="I709" i="17" s="1"/>
  <c r="I710" i="17" s="1"/>
  <c r="I711" i="17" s="1"/>
  <c r="I712" i="17" s="1"/>
  <c r="I713" i="17" s="1"/>
  <c r="I714" i="17" s="1"/>
  <c r="I715" i="17" s="1"/>
  <c r="I716" i="17" s="1"/>
  <c r="I717" i="17" s="1"/>
  <c r="I718" i="17" s="1"/>
  <c r="I719" i="17" s="1"/>
  <c r="I720" i="17" s="1"/>
  <c r="I721" i="17" s="1"/>
  <c r="I722" i="17" s="1"/>
  <c r="I723" i="17" s="1"/>
  <c r="I724" i="17" s="1"/>
  <c r="I725" i="17" s="1"/>
  <c r="I726" i="17" s="1"/>
  <c r="I727" i="17" s="1"/>
  <c r="I728" i="17" s="1"/>
  <c r="I729" i="17" s="1"/>
  <c r="I730" i="17" s="1"/>
  <c r="I731" i="17" s="1"/>
  <c r="I732" i="17" s="1"/>
  <c r="I733" i="17" s="1"/>
  <c r="I734" i="17" s="1"/>
  <c r="I735" i="17" s="1"/>
  <c r="I736" i="17" s="1"/>
  <c r="I737" i="17" s="1"/>
  <c r="I738" i="17" s="1"/>
  <c r="I739" i="17" s="1"/>
  <c r="I559" i="17"/>
  <c r="I560" i="17" s="1"/>
  <c r="I561" i="17" s="1"/>
  <c r="I562" i="17" s="1"/>
  <c r="I563" i="17" s="1"/>
  <c r="I564" i="17" s="1"/>
  <c r="I565" i="17" s="1"/>
  <c r="I566" i="17" s="1"/>
  <c r="I567" i="17" s="1"/>
  <c r="I568" i="17" s="1"/>
  <c r="I569" i="17" s="1"/>
  <c r="I570" i="17" s="1"/>
  <c r="I571" i="17" s="1"/>
  <c r="I572" i="17" s="1"/>
  <c r="I573" i="17" s="1"/>
  <c r="I574" i="17" s="1"/>
  <c r="I575" i="17" s="1"/>
  <c r="I576" i="17" s="1"/>
  <c r="I577" i="17" s="1"/>
  <c r="I578" i="17" s="1"/>
  <c r="I579" i="17" s="1"/>
  <c r="I580" i="17" s="1"/>
  <c r="I581" i="17" s="1"/>
  <c r="I582" i="17" s="1"/>
  <c r="I583" i="17" s="1"/>
  <c r="I584" i="17" s="1"/>
  <c r="I585" i="17" s="1"/>
  <c r="I586" i="17" s="1"/>
  <c r="I587" i="17" s="1"/>
  <c r="I588" i="17" s="1"/>
  <c r="I589" i="17" s="1"/>
  <c r="I590" i="17" s="1"/>
  <c r="I591" i="17" s="1"/>
  <c r="I592" i="17" s="1"/>
  <c r="I593" i="17" s="1"/>
  <c r="I594" i="17" s="1"/>
  <c r="I595" i="17" s="1"/>
  <c r="I596" i="17" s="1"/>
  <c r="I597" i="17" s="1"/>
  <c r="I598" i="17" s="1"/>
  <c r="I599" i="17" s="1"/>
  <c r="I600" i="17" s="1"/>
  <c r="I601" i="17" s="1"/>
  <c r="I602" i="17" s="1"/>
  <c r="I603" i="17" s="1"/>
  <c r="I604" i="17" s="1"/>
  <c r="I605" i="17" s="1"/>
  <c r="I606" i="17" s="1"/>
  <c r="I607" i="17" s="1"/>
  <c r="I608" i="17" s="1"/>
  <c r="I609" i="17" s="1"/>
  <c r="I610" i="17" s="1"/>
  <c r="I611" i="17" s="1"/>
  <c r="I612" i="17" s="1"/>
  <c r="I613" i="17" s="1"/>
  <c r="I614" i="17" s="1"/>
  <c r="I615" i="17" s="1"/>
  <c r="I616" i="17" s="1"/>
  <c r="I617" i="17" s="1"/>
  <c r="I618" i="17" s="1"/>
  <c r="I619" i="17" s="1"/>
  <c r="I620" i="17" s="1"/>
  <c r="I621" i="17" s="1"/>
  <c r="I622" i="17" s="1"/>
  <c r="I623" i="17" s="1"/>
  <c r="I624" i="17" s="1"/>
  <c r="I625" i="17" s="1"/>
  <c r="I626" i="17" s="1"/>
  <c r="I627" i="17" s="1"/>
  <c r="I509" i="17"/>
  <c r="I510" i="17" s="1"/>
  <c r="I511" i="17" s="1"/>
  <c r="I512" i="17" s="1"/>
  <c r="I513" i="17" s="1"/>
  <c r="I514" i="17" s="1"/>
  <c r="I515" i="17" s="1"/>
  <c r="I516" i="17" s="1"/>
  <c r="I517" i="17" s="1"/>
  <c r="I518" i="17" s="1"/>
  <c r="I519" i="17" s="1"/>
  <c r="I520" i="17" s="1"/>
  <c r="I521" i="17" s="1"/>
  <c r="I522" i="17" s="1"/>
  <c r="I523" i="17" s="1"/>
  <c r="I524" i="17" s="1"/>
  <c r="I525" i="17" s="1"/>
  <c r="I526" i="17" s="1"/>
  <c r="I527" i="17" s="1"/>
  <c r="I528" i="17" s="1"/>
  <c r="I529" i="17" s="1"/>
  <c r="I530" i="17" s="1"/>
  <c r="I531" i="17" s="1"/>
  <c r="I532" i="17" s="1"/>
  <c r="I533" i="17" s="1"/>
  <c r="I534" i="17" s="1"/>
  <c r="I535" i="17" s="1"/>
  <c r="I536" i="17" s="1"/>
  <c r="I537" i="17" s="1"/>
  <c r="I538" i="17" s="1"/>
  <c r="I539" i="17" s="1"/>
  <c r="I540" i="17" s="1"/>
  <c r="I541" i="17" s="1"/>
  <c r="I542" i="17" s="1"/>
  <c r="I543" i="17" s="1"/>
  <c r="I544" i="17" s="1"/>
  <c r="I545" i="17" s="1"/>
  <c r="I546" i="17" s="1"/>
  <c r="I547" i="17" s="1"/>
  <c r="I548" i="17" s="1"/>
  <c r="I549" i="17" s="1"/>
  <c r="I550" i="17" s="1"/>
  <c r="I551" i="17" s="1"/>
  <c r="I552" i="17" s="1"/>
  <c r="I553" i="17" s="1"/>
  <c r="I554" i="17" s="1"/>
  <c r="I555" i="17" s="1"/>
  <c r="I556" i="17" s="1"/>
  <c r="I557" i="17" s="1"/>
  <c r="I433" i="17"/>
  <c r="I434" i="17"/>
  <c r="I435" i="17" s="1"/>
  <c r="I436" i="17" s="1"/>
  <c r="I437" i="17" s="1"/>
  <c r="I438" i="17" s="1"/>
  <c r="I439" i="17" s="1"/>
  <c r="I440" i="17" s="1"/>
  <c r="I441" i="17" s="1"/>
  <c r="I442" i="17" s="1"/>
  <c r="I443" i="17" s="1"/>
  <c r="I444" i="17" s="1"/>
  <c r="I445" i="17" s="1"/>
  <c r="I446" i="17" s="1"/>
  <c r="I447" i="17" s="1"/>
  <c r="I448" i="17" s="1"/>
  <c r="I449" i="17" s="1"/>
  <c r="I450" i="17" s="1"/>
  <c r="I451" i="17" s="1"/>
  <c r="I452" i="17" s="1"/>
  <c r="I453" i="17" s="1"/>
  <c r="I454" i="17" s="1"/>
  <c r="I455" i="17" s="1"/>
  <c r="I456" i="17" s="1"/>
  <c r="I457" i="17" s="1"/>
  <c r="I458" i="17" s="1"/>
  <c r="I459" i="17" s="1"/>
  <c r="I460" i="17" s="1"/>
  <c r="I461" i="17" s="1"/>
  <c r="I462" i="17" s="1"/>
  <c r="I463" i="17" s="1"/>
  <c r="I464" i="17" s="1"/>
  <c r="I465" i="17" s="1"/>
  <c r="I466" i="17" s="1"/>
  <c r="I467" i="17" s="1"/>
  <c r="I468" i="17" s="1"/>
  <c r="I469" i="17" s="1"/>
  <c r="I470" i="17" s="1"/>
  <c r="I471" i="17" s="1"/>
  <c r="I472" i="17" s="1"/>
  <c r="I473" i="17" s="1"/>
  <c r="I474" i="17" s="1"/>
  <c r="I475" i="17" s="1"/>
  <c r="I476" i="17" s="1"/>
  <c r="I477" i="17" s="1"/>
  <c r="I478" i="17" s="1"/>
  <c r="I479" i="17" s="1"/>
  <c r="I480" i="17" s="1"/>
  <c r="I481" i="17" s="1"/>
  <c r="I482" i="17" s="1"/>
  <c r="I483" i="17" s="1"/>
  <c r="I484" i="17" s="1"/>
  <c r="I485" i="17" s="1"/>
  <c r="I486" i="17" s="1"/>
  <c r="I487" i="17" s="1"/>
  <c r="I488" i="17" s="1"/>
  <c r="I489" i="17" s="1"/>
  <c r="I490" i="17" s="1"/>
  <c r="I491" i="17" s="1"/>
  <c r="I492" i="17" s="1"/>
  <c r="I493" i="17" s="1"/>
  <c r="I494" i="17" s="1"/>
  <c r="I495" i="17" s="1"/>
  <c r="I496" i="17" s="1"/>
  <c r="I497" i="17" s="1"/>
  <c r="I498" i="17" s="1"/>
  <c r="I499" i="17" s="1"/>
  <c r="I500" i="17" s="1"/>
  <c r="I501" i="17" s="1"/>
  <c r="I502" i="17" s="1"/>
  <c r="I503" i="17" s="1"/>
  <c r="I504" i="17" s="1"/>
  <c r="I505" i="17" s="1"/>
  <c r="I506" i="17" s="1"/>
  <c r="I507" i="17" s="1"/>
  <c r="I508" i="17" s="1"/>
  <c r="I369" i="17"/>
  <c r="I370" i="17"/>
  <c r="I371" i="17" s="1"/>
  <c r="I372" i="17" s="1"/>
  <c r="I373" i="17" s="1"/>
  <c r="I374" i="17" s="1"/>
  <c r="I375" i="17" s="1"/>
  <c r="I376" i="17" s="1"/>
  <c r="I377" i="17" s="1"/>
  <c r="I378" i="17" s="1"/>
  <c r="I379" i="17" s="1"/>
  <c r="I380" i="17" s="1"/>
  <c r="I381" i="17" s="1"/>
  <c r="I382" i="17" s="1"/>
  <c r="I383" i="17" s="1"/>
  <c r="I384" i="17" s="1"/>
  <c r="I385" i="17" s="1"/>
  <c r="I386" i="17" s="1"/>
  <c r="I387" i="17" s="1"/>
  <c r="I388" i="17" s="1"/>
  <c r="I389" i="17" s="1"/>
  <c r="I390" i="17" s="1"/>
  <c r="I391" i="17" s="1"/>
  <c r="I392" i="17" s="1"/>
  <c r="I393" i="17" s="1"/>
  <c r="I394" i="17" s="1"/>
  <c r="I395" i="17" s="1"/>
  <c r="I396" i="17" s="1"/>
  <c r="I397" i="17" s="1"/>
  <c r="I398" i="17" s="1"/>
  <c r="I399" i="17" s="1"/>
  <c r="I400" i="17" s="1"/>
  <c r="I401" i="17" s="1"/>
  <c r="I402" i="17" s="1"/>
  <c r="I403" i="17" s="1"/>
  <c r="I404" i="17" s="1"/>
  <c r="I405" i="17" s="1"/>
  <c r="I406" i="17" s="1"/>
  <c r="I407" i="17" s="1"/>
  <c r="I408" i="17" s="1"/>
  <c r="I409" i="17" s="1"/>
  <c r="I410" i="17" s="1"/>
  <c r="I411" i="17" s="1"/>
  <c r="I412" i="17" s="1"/>
  <c r="I413" i="17" s="1"/>
  <c r="I414" i="17" s="1"/>
  <c r="I415" i="17" s="1"/>
  <c r="I416" i="17" s="1"/>
  <c r="I417" i="17" s="1"/>
  <c r="I418" i="17" s="1"/>
  <c r="I419" i="17" s="1"/>
  <c r="I420" i="17" s="1"/>
  <c r="I421" i="17" s="1"/>
  <c r="I422" i="17" s="1"/>
  <c r="I423" i="17" s="1"/>
  <c r="I424" i="17" s="1"/>
  <c r="I425" i="17" s="1"/>
  <c r="I426" i="17" s="1"/>
  <c r="I427" i="17" s="1"/>
  <c r="I428" i="17" s="1"/>
  <c r="I429" i="17" s="1"/>
  <c r="I430" i="17" s="1"/>
  <c r="I431" i="17" s="1"/>
  <c r="I273" i="17"/>
  <c r="I274" i="17" s="1"/>
  <c r="I275" i="17" s="1"/>
  <c r="I276" i="17" s="1"/>
  <c r="I277" i="17" s="1"/>
  <c r="I278" i="17" s="1"/>
  <c r="I279" i="17" s="1"/>
  <c r="I280" i="17" s="1"/>
  <c r="I281" i="17" s="1"/>
  <c r="I282" i="17" s="1"/>
  <c r="I283" i="17" s="1"/>
  <c r="I284" i="17" s="1"/>
  <c r="I285" i="17" s="1"/>
  <c r="I286" i="17" s="1"/>
  <c r="I287" i="17" s="1"/>
  <c r="I288" i="17" s="1"/>
  <c r="I289" i="17" s="1"/>
  <c r="I290" i="17" s="1"/>
  <c r="I291" i="17" s="1"/>
  <c r="I292" i="17" s="1"/>
  <c r="I293" i="17" s="1"/>
  <c r="I294" i="17" s="1"/>
  <c r="I295" i="17" s="1"/>
  <c r="I296" i="17" s="1"/>
  <c r="I297" i="17" s="1"/>
  <c r="I298" i="17" s="1"/>
  <c r="I299" i="17" s="1"/>
  <c r="I300" i="17" s="1"/>
  <c r="I301" i="17" s="1"/>
  <c r="I302" i="17" s="1"/>
  <c r="I303" i="17" s="1"/>
  <c r="I304" i="17" s="1"/>
  <c r="I305" i="17" s="1"/>
  <c r="I306" i="17" s="1"/>
  <c r="I307" i="17" s="1"/>
  <c r="I308" i="17" s="1"/>
  <c r="I309" i="17" s="1"/>
  <c r="I310" i="17" s="1"/>
  <c r="I311" i="17" s="1"/>
  <c r="I312" i="17" s="1"/>
  <c r="I313" i="17" s="1"/>
  <c r="I314" i="17" s="1"/>
  <c r="I315" i="17" s="1"/>
  <c r="I316" i="17" s="1"/>
  <c r="I317" i="17" s="1"/>
  <c r="I318" i="17" s="1"/>
  <c r="I319" i="17" s="1"/>
  <c r="I320" i="17" s="1"/>
  <c r="I321" i="17" s="1"/>
  <c r="I322" i="17" s="1"/>
  <c r="I323" i="17" s="1"/>
  <c r="I324" i="17" s="1"/>
  <c r="I325" i="17" s="1"/>
  <c r="I326" i="17" s="1"/>
  <c r="I327" i="17" s="1"/>
  <c r="I328" i="17" s="1"/>
  <c r="I329" i="17" s="1"/>
  <c r="I330" i="17" s="1"/>
  <c r="I331" i="17" s="1"/>
  <c r="I332" i="17" s="1"/>
  <c r="I333" i="17" s="1"/>
  <c r="I334" i="17" s="1"/>
  <c r="I335" i="17" s="1"/>
  <c r="I336" i="17" s="1"/>
  <c r="I337" i="17" s="1"/>
  <c r="I338" i="17" s="1"/>
  <c r="I339" i="17" s="1"/>
  <c r="I340" i="17" s="1"/>
  <c r="I341" i="17" s="1"/>
  <c r="I342" i="17" s="1"/>
  <c r="I343" i="17" s="1"/>
  <c r="I344" i="17" s="1"/>
  <c r="I345" i="17" s="1"/>
  <c r="I346" i="17" s="1"/>
  <c r="I347" i="17" s="1"/>
  <c r="I348" i="17" s="1"/>
  <c r="I349" i="17" s="1"/>
  <c r="I350" i="17" s="1"/>
  <c r="I351" i="17" s="1"/>
  <c r="I352" i="17" s="1"/>
  <c r="I353" i="17" s="1"/>
  <c r="I354" i="17" s="1"/>
  <c r="I355" i="17" s="1"/>
  <c r="I356" i="17" s="1"/>
  <c r="I357" i="17" s="1"/>
  <c r="I358" i="17" s="1"/>
  <c r="I359" i="17" s="1"/>
  <c r="I360" i="17" s="1"/>
  <c r="I361" i="17" s="1"/>
  <c r="I362" i="17" s="1"/>
  <c r="I363" i="17" s="1"/>
  <c r="I364" i="17" s="1"/>
  <c r="I365" i="17" s="1"/>
  <c r="I366" i="17" s="1"/>
  <c r="I367" i="17" s="1"/>
  <c r="I368" i="17" s="1"/>
  <c r="I201" i="17"/>
  <c r="I202" i="17" s="1"/>
  <c r="I203" i="17" s="1"/>
  <c r="I204" i="17" s="1"/>
  <c r="I205" i="17" s="1"/>
  <c r="I206" i="17" s="1"/>
  <c r="I207" i="17" s="1"/>
  <c r="I208" i="17" s="1"/>
  <c r="I209" i="17" s="1"/>
  <c r="I210" i="17" s="1"/>
  <c r="I211" i="17" s="1"/>
  <c r="I212" i="17" s="1"/>
  <c r="I213" i="17" s="1"/>
  <c r="I214" i="17" s="1"/>
  <c r="I215" i="17" s="1"/>
  <c r="I216" i="17" s="1"/>
  <c r="I217" i="17" s="1"/>
  <c r="I218" i="17" s="1"/>
  <c r="I219" i="17" s="1"/>
  <c r="I220" i="17" s="1"/>
  <c r="I221" i="17" s="1"/>
  <c r="I222" i="17" s="1"/>
  <c r="I223" i="17" s="1"/>
  <c r="I224" i="17" s="1"/>
  <c r="I225" i="17" s="1"/>
  <c r="I226" i="17" s="1"/>
  <c r="I227" i="17" s="1"/>
  <c r="I228" i="17" s="1"/>
  <c r="I229" i="17" s="1"/>
  <c r="I230" i="17" s="1"/>
  <c r="I231" i="17" s="1"/>
  <c r="I232" i="17" s="1"/>
  <c r="I233" i="17" s="1"/>
  <c r="I234" i="17" s="1"/>
  <c r="I235" i="17" s="1"/>
  <c r="I236" i="17" s="1"/>
  <c r="I237" i="17" s="1"/>
  <c r="I238" i="17" s="1"/>
  <c r="I239" i="17" s="1"/>
  <c r="I240" i="17" s="1"/>
  <c r="I241" i="17" s="1"/>
  <c r="I242" i="17" s="1"/>
  <c r="I243" i="17" s="1"/>
  <c r="I244" i="17" s="1"/>
  <c r="I245" i="17" s="1"/>
  <c r="I246" i="17" s="1"/>
  <c r="I247" i="17" s="1"/>
  <c r="I248" i="17" s="1"/>
  <c r="I249" i="17" s="1"/>
  <c r="I250" i="17" s="1"/>
  <c r="I251" i="17" s="1"/>
  <c r="I252" i="17" s="1"/>
  <c r="I253" i="17" s="1"/>
  <c r="I254" i="17" s="1"/>
  <c r="I255" i="17" s="1"/>
  <c r="I256" i="17" s="1"/>
  <c r="I257" i="17" s="1"/>
  <c r="I258" i="17" s="1"/>
  <c r="I259" i="17" s="1"/>
  <c r="I260" i="17" s="1"/>
  <c r="I261" i="17" s="1"/>
  <c r="I262" i="17" s="1"/>
  <c r="I263" i="17" s="1"/>
  <c r="I264" i="17" s="1"/>
  <c r="I265" i="17" s="1"/>
  <c r="I266" i="17" s="1"/>
  <c r="I267" i="17" s="1"/>
  <c r="I268" i="17" s="1"/>
  <c r="I269" i="17" s="1"/>
  <c r="I270" i="17" s="1"/>
  <c r="I145" i="17"/>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M8" i="2"/>
  <c r="L8" i="2"/>
  <c r="K8" i="2"/>
  <c r="J8" i="2"/>
  <c r="I8" i="2"/>
  <c r="H8" i="2"/>
  <c r="G8" i="2"/>
  <c r="F8" i="2"/>
  <c r="E8" i="2"/>
  <c r="D8" i="2"/>
  <c r="C8" i="2"/>
  <c r="B8" i="2"/>
  <c r="G7" i="2"/>
  <c r="G47" i="2"/>
  <c r="B47" i="2"/>
  <c r="M43" i="2"/>
  <c r="M46" i="2" s="1" a="1"/>
  <c r="M46" i="2" s="1"/>
  <c r="L43" i="2"/>
  <c r="L46" i="2" s="1" a="1"/>
  <c r="L46" i="2" s="1"/>
  <c r="K43" i="2"/>
  <c r="K46" i="2" s="1" a="1"/>
  <c r="K46" i="2" s="1"/>
  <c r="J43" i="2"/>
  <c r="J46" i="2" s="1" a="1"/>
  <c r="J46" i="2" s="1"/>
  <c r="I43" i="2"/>
  <c r="I46" i="2" s="1" a="1"/>
  <c r="I46" i="2" s="1"/>
  <c r="H43" i="2"/>
  <c r="H46" i="2" s="1" a="1"/>
  <c r="H46" i="2" s="1"/>
  <c r="G43" i="2"/>
  <c r="G46" i="2" s="1" a="1"/>
  <c r="G46" i="2" s="1"/>
  <c r="F43" i="2"/>
  <c r="F46" i="2" s="1" a="1"/>
  <c r="F46" i="2" s="1"/>
  <c r="E43" i="2"/>
  <c r="E46" i="2" s="1" a="1"/>
  <c r="E46" i="2" s="1"/>
  <c r="D43" i="2"/>
  <c r="D46" i="2" s="1" a="1"/>
  <c r="D46" i="2" s="1"/>
  <c r="C43" i="2"/>
  <c r="C46" i="2" s="1" a="1"/>
  <c r="C46" i="2" s="1"/>
  <c r="B43" i="2"/>
  <c r="B46" i="2" s="1" a="1"/>
  <c r="B46" i="2" s="1"/>
  <c r="G42" i="2"/>
  <c r="B42" i="2"/>
  <c r="G37" i="2"/>
  <c r="M33" i="2"/>
  <c r="L33" i="2"/>
  <c r="K33" i="2"/>
  <c r="J33" i="2"/>
  <c r="I33" i="2"/>
  <c r="H33" i="2"/>
  <c r="G33" i="2"/>
  <c r="F33" i="2"/>
  <c r="E33" i="2"/>
  <c r="D33" i="2"/>
  <c r="C33" i="2"/>
  <c r="B33" i="2"/>
  <c r="G32" i="2"/>
  <c r="M28" i="2"/>
  <c r="L28" i="2"/>
  <c r="K28" i="2"/>
  <c r="J28" i="2"/>
  <c r="I28" i="2"/>
  <c r="H28" i="2"/>
  <c r="G28" i="2"/>
  <c r="F28" i="2"/>
  <c r="E28" i="2"/>
  <c r="D28" i="2"/>
  <c r="C28" i="2"/>
  <c r="B28" i="2"/>
  <c r="G27" i="2"/>
  <c r="M23" i="2"/>
  <c r="L23" i="2"/>
  <c r="K23" i="2"/>
  <c r="J23" i="2"/>
  <c r="I23" i="2"/>
  <c r="H23" i="2"/>
  <c r="G23" i="2"/>
  <c r="F23" i="2"/>
  <c r="E23" i="2"/>
  <c r="D23" i="2"/>
  <c r="C23" i="2"/>
  <c r="B23" i="2"/>
  <c r="G22" i="2"/>
  <c r="M18" i="2"/>
  <c r="L18" i="2"/>
  <c r="K18" i="2"/>
  <c r="J18" i="2"/>
  <c r="I18" i="2"/>
  <c r="H18" i="2"/>
  <c r="G18" i="2"/>
  <c r="F18" i="2"/>
  <c r="E18" i="2"/>
  <c r="D18" i="2"/>
  <c r="C18" i="2"/>
  <c r="B18" i="2"/>
  <c r="G17" i="2"/>
  <c r="M13" i="2"/>
  <c r="L13" i="2"/>
  <c r="K13" i="2"/>
  <c r="J13" i="2"/>
  <c r="I13" i="2"/>
  <c r="H13" i="2"/>
  <c r="G13" i="2"/>
  <c r="F13" i="2"/>
  <c r="E13" i="2"/>
  <c r="D13" i="2"/>
  <c r="C13" i="2"/>
  <c r="B13" i="2"/>
  <c r="G12" i="2"/>
  <c r="C3" i="2"/>
  <c r="D3" i="2"/>
  <c r="E3" i="2"/>
  <c r="F3" i="2"/>
  <c r="G3" i="2"/>
  <c r="H3" i="2"/>
  <c r="I3" i="2"/>
  <c r="J3" i="2"/>
  <c r="K3" i="2"/>
  <c r="L3" i="2"/>
  <c r="M3" i="2"/>
  <c r="G2" i="2"/>
  <c r="M10" i="2" l="1" a="1"/>
  <c r="M10" i="2" s="1"/>
  <c r="L10" i="2" a="1"/>
  <c r="L10" i="2" s="1"/>
  <c r="K10" i="2" a="1"/>
  <c r="K10" i="2" s="1"/>
  <c r="J10" i="2" a="1"/>
  <c r="J10" i="2" s="1"/>
  <c r="I10" i="2" a="1"/>
  <c r="I10" i="2" s="1"/>
  <c r="H10" i="2" a="1"/>
  <c r="H10" i="2" s="1"/>
  <c r="G10" i="2" a="1"/>
  <c r="G10" i="2" s="1"/>
  <c r="F10" i="2" a="1"/>
  <c r="F10" i="2" s="1"/>
  <c r="E10" i="2" a="1"/>
  <c r="E10" i="2" s="1"/>
  <c r="D10" i="2" a="1"/>
  <c r="D10" i="2" s="1"/>
  <c r="C10" i="2" a="1"/>
  <c r="C10" i="2" s="1"/>
  <c r="B10" i="2" a="1"/>
  <c r="B10" i="2" s="1"/>
  <c r="M45" i="2" a="1"/>
  <c r="M45" i="2" s="1"/>
  <c r="L45" i="2" a="1"/>
  <c r="L45" i="2" s="1"/>
  <c r="K45" i="2" a="1"/>
  <c r="K45" i="2" s="1"/>
  <c r="J45" i="2" a="1"/>
  <c r="J45" i="2" s="1"/>
  <c r="I45" i="2" a="1"/>
  <c r="I45" i="2" s="1"/>
  <c r="H45" i="2" a="1"/>
  <c r="H45" i="2" s="1"/>
  <c r="G45" i="2" a="1"/>
  <c r="G45" i="2" s="1"/>
  <c r="F45" i="2" a="1"/>
  <c r="F45" i="2" s="1"/>
  <c r="E45" i="2" a="1"/>
  <c r="E45" i="2" s="1"/>
  <c r="D45" i="2" a="1"/>
  <c r="D45" i="2" s="1"/>
  <c r="C45" i="2" a="1"/>
  <c r="C45" i="2" s="1"/>
  <c r="B45" i="2" a="1"/>
  <c r="B45" i="2" s="1"/>
  <c r="M35" i="2" a="1"/>
  <c r="M35" i="2" s="1"/>
  <c r="L35" i="2" a="1"/>
  <c r="L35" i="2" s="1"/>
  <c r="K35" i="2" a="1"/>
  <c r="K35" i="2" s="1"/>
  <c r="J35" i="2" a="1"/>
  <c r="J35" i="2" s="1"/>
  <c r="I35" i="2" a="1"/>
  <c r="I35" i="2" s="1"/>
  <c r="H35" i="2" a="1"/>
  <c r="H35" i="2" s="1"/>
  <c r="G35" i="2" a="1"/>
  <c r="G35" i="2" s="1"/>
  <c r="F35" i="2" a="1"/>
  <c r="F35" i="2" s="1"/>
  <c r="E35" i="2" a="1"/>
  <c r="E35" i="2" s="1"/>
  <c r="D35" i="2" a="1"/>
  <c r="D35" i="2" s="1"/>
  <c r="C35" i="2" a="1"/>
  <c r="C35" i="2" s="1"/>
  <c r="B35" i="2" a="1"/>
  <c r="B35" i="2" s="1"/>
  <c r="M30" i="2" a="1"/>
  <c r="M30" i="2" s="1"/>
  <c r="L30" i="2" a="1"/>
  <c r="L30" i="2" s="1"/>
  <c r="K30" i="2" a="1"/>
  <c r="K30" i="2" s="1"/>
  <c r="J30" i="2" a="1"/>
  <c r="J30" i="2" s="1"/>
  <c r="I30" i="2" a="1"/>
  <c r="I30" i="2" s="1"/>
  <c r="H30" i="2" a="1"/>
  <c r="H30" i="2" s="1"/>
  <c r="G30" i="2" a="1"/>
  <c r="G30" i="2" s="1"/>
  <c r="F30" i="2" a="1"/>
  <c r="F30" i="2" s="1"/>
  <c r="E30" i="2" a="1"/>
  <c r="E30" i="2" s="1"/>
  <c r="D30" i="2" a="1"/>
  <c r="D30" i="2" s="1"/>
  <c r="C30" i="2" a="1"/>
  <c r="C30" i="2" s="1"/>
  <c r="B30" i="2" a="1"/>
  <c r="B30" i="2" s="1"/>
  <c r="M25" i="2" a="1"/>
  <c r="M25" i="2" s="1"/>
  <c r="L25" i="2" a="1"/>
  <c r="L25" i="2" s="1"/>
  <c r="K25" i="2" a="1"/>
  <c r="K25" i="2" s="1"/>
  <c r="J25" i="2" a="1"/>
  <c r="J25" i="2" s="1"/>
  <c r="I25" i="2" a="1"/>
  <c r="I25" i="2" s="1"/>
  <c r="H25" i="2" a="1"/>
  <c r="H25" i="2" s="1"/>
  <c r="G25" i="2" a="1"/>
  <c r="G25" i="2" s="1"/>
  <c r="F25" i="2" a="1"/>
  <c r="F25" i="2" s="1"/>
  <c r="E25" i="2" a="1"/>
  <c r="E25" i="2" s="1"/>
  <c r="D25" i="2" a="1"/>
  <c r="D25" i="2" s="1"/>
  <c r="C25" i="2" a="1"/>
  <c r="C25" i="2" s="1"/>
  <c r="B25" i="2" a="1"/>
  <c r="B25" i="2" s="1"/>
  <c r="M20" i="2" a="1"/>
  <c r="M20" i="2" s="1"/>
  <c r="L20" i="2" a="1"/>
  <c r="L20" i="2" s="1"/>
  <c r="K20" i="2" a="1"/>
  <c r="K20" i="2" s="1"/>
  <c r="J20" i="2" a="1"/>
  <c r="J20" i="2" s="1"/>
  <c r="I20" i="2" a="1"/>
  <c r="I20" i="2" s="1"/>
  <c r="H20" i="2" a="1"/>
  <c r="H20" i="2" s="1"/>
  <c r="G20" i="2" a="1"/>
  <c r="G20" i="2" s="1"/>
  <c r="F20" i="2" a="1"/>
  <c r="F20" i="2" s="1"/>
  <c r="E20" i="2" a="1"/>
  <c r="E20" i="2" s="1"/>
  <c r="D20" i="2" a="1"/>
  <c r="D20" i="2" s="1"/>
  <c r="C20" i="2" a="1"/>
  <c r="C20" i="2" s="1"/>
  <c r="B20" i="2" a="1"/>
  <c r="B20" i="2" s="1"/>
  <c r="M15" i="2" a="1"/>
  <c r="M15" i="2" s="1"/>
  <c r="L15" i="2" a="1"/>
  <c r="L15" i="2" s="1"/>
  <c r="K15" i="2" a="1"/>
  <c r="K15" i="2" s="1"/>
  <c r="J15" i="2" a="1"/>
  <c r="J15" i="2" s="1"/>
  <c r="I15" i="2" a="1"/>
  <c r="I15" i="2" s="1"/>
  <c r="H15" i="2" a="1"/>
  <c r="H15" i="2" s="1"/>
  <c r="G15" i="2" a="1"/>
  <c r="G15" i="2" s="1"/>
  <c r="F15" i="2" a="1"/>
  <c r="F15" i="2" s="1"/>
  <c r="E15" i="2" a="1"/>
  <c r="E15" i="2" s="1"/>
  <c r="D15" i="2" a="1"/>
  <c r="D15" i="2" s="1"/>
  <c r="C15" i="2" a="1"/>
  <c r="C15" i="2" s="1"/>
  <c r="B15" i="2" a="1"/>
  <c r="B15" i="2" s="1"/>
  <c r="C5" i="2" a="1"/>
  <c r="C5" i="2" s="1"/>
  <c r="D5" i="2" a="1"/>
  <c r="D5" i="2" s="1"/>
  <c r="E5" i="2" a="1"/>
  <c r="E5" i="2" s="1"/>
  <c r="F5" i="2" a="1"/>
  <c r="F5" i="2" s="1"/>
  <c r="G5" i="2" a="1"/>
  <c r="G5" i="2" s="1"/>
  <c r="H5" i="2" a="1"/>
  <c r="H5" i="2" s="1"/>
  <c r="I5" i="2" a="1"/>
  <c r="I5" i="2" s="1"/>
  <c r="J5" i="2" a="1"/>
  <c r="J5" i="2" s="1"/>
  <c r="K5" i="2" a="1"/>
  <c r="K5" i="2" s="1"/>
  <c r="L5" i="2" a="1"/>
  <c r="L5" i="2" s="1"/>
  <c r="Q14" i="2"/>
  <c r="M50" i="2" a="1"/>
  <c r="M50" i="2" s="1"/>
  <c r="L50" i="2" a="1"/>
  <c r="L50" i="2" s="1"/>
  <c r="K50" i="2" a="1"/>
  <c r="K50" i="2" s="1"/>
  <c r="J50" i="2" a="1"/>
  <c r="J50" i="2" s="1"/>
  <c r="I50" i="2" a="1"/>
  <c r="I50" i="2" s="1"/>
  <c r="H50" i="2" a="1"/>
  <c r="H50" i="2" s="1"/>
  <c r="G50" i="2" a="1"/>
  <c r="G50" i="2" s="1"/>
  <c r="F50" i="2" a="1"/>
  <c r="F50" i="2" s="1"/>
  <c r="E50" i="2" a="1"/>
  <c r="E50" i="2" s="1"/>
  <c r="D50" i="2" a="1"/>
  <c r="D50" i="2" s="1"/>
  <c r="C50" i="2" a="1"/>
  <c r="C50" i="2" s="1"/>
  <c r="B50" i="2" a="1"/>
  <c r="B50" i="2" s="1"/>
  <c r="F2" i="10"/>
  <c r="G2" i="10"/>
  <c r="E2" i="10" s="1"/>
  <c r="L2" i="10"/>
  <c r="F3" i="10"/>
  <c r="G3" i="10"/>
  <c r="E3" i="10" s="1"/>
  <c r="L3" i="10"/>
  <c r="F4" i="10"/>
  <c r="G4" i="10"/>
  <c r="E4" i="10" s="1"/>
  <c r="L4" i="10"/>
  <c r="F5" i="10"/>
  <c r="G5" i="10"/>
  <c r="E5" i="10" s="1"/>
  <c r="L5" i="10"/>
  <c r="F6" i="10"/>
  <c r="G6" i="10"/>
  <c r="E6" i="10" s="1"/>
  <c r="L6" i="10"/>
  <c r="F7" i="10"/>
  <c r="G7" i="10"/>
  <c r="E7" i="10" s="1"/>
  <c r="L7" i="10"/>
  <c r="F8" i="10"/>
  <c r="G8" i="10"/>
  <c r="E8" i="10" s="1"/>
  <c r="L8" i="10"/>
  <c r="F9" i="10"/>
  <c r="G9" i="10"/>
  <c r="E9" i="10" s="1"/>
  <c r="L9" i="10"/>
  <c r="F10" i="10"/>
  <c r="G10" i="10"/>
  <c r="E10" i="10" s="1"/>
  <c r="L10" i="10"/>
  <c r="F11" i="10"/>
  <c r="G11" i="10"/>
  <c r="E11" i="10" s="1"/>
  <c r="L11" i="10"/>
  <c r="F12" i="10"/>
  <c r="G12" i="10"/>
  <c r="E12" i="10" s="1"/>
  <c r="L12" i="10"/>
  <c r="F13" i="10"/>
  <c r="G13" i="10"/>
  <c r="E13" i="10" s="1"/>
  <c r="L13" i="10"/>
  <c r="F14" i="10"/>
  <c r="G14" i="10"/>
  <c r="E14" i="10" s="1"/>
  <c r="L14" i="10"/>
  <c r="F15" i="10"/>
  <c r="G15" i="10"/>
  <c r="E15" i="10" s="1"/>
  <c r="L15" i="10"/>
  <c r="F16" i="10"/>
  <c r="G16" i="10"/>
  <c r="E16" i="10" s="1"/>
  <c r="L16" i="10"/>
  <c r="F17" i="10"/>
  <c r="G17" i="10"/>
  <c r="E17" i="10" s="1"/>
  <c r="L17" i="10"/>
  <c r="F18" i="10"/>
  <c r="G18" i="10"/>
  <c r="E18" i="10" s="1"/>
  <c r="L18" i="10"/>
  <c r="F19" i="10"/>
  <c r="G19" i="10"/>
  <c r="E19" i="10" s="1"/>
  <c r="L19" i="10"/>
  <c r="F20" i="10"/>
  <c r="G20" i="10"/>
  <c r="E20" i="10" s="1"/>
  <c r="L20" i="10"/>
  <c r="F21" i="10"/>
  <c r="G21" i="10"/>
  <c r="E21" i="10" s="1"/>
  <c r="L21" i="10"/>
  <c r="F22" i="10"/>
  <c r="G22" i="10"/>
  <c r="E22" i="10" s="1"/>
  <c r="L22" i="10"/>
  <c r="F23" i="10"/>
  <c r="G23" i="10"/>
  <c r="E23" i="10" s="1"/>
  <c r="L23" i="10"/>
  <c r="F24" i="10"/>
  <c r="G24" i="10"/>
  <c r="E24" i="10" s="1"/>
  <c r="L24" i="10"/>
  <c r="F25" i="10"/>
  <c r="G25" i="10"/>
  <c r="E25" i="10" s="1"/>
  <c r="L25" i="10"/>
  <c r="F26" i="10"/>
  <c r="G26" i="10"/>
  <c r="E26" i="10" s="1"/>
  <c r="L26" i="10"/>
  <c r="F27" i="10"/>
  <c r="G27" i="10"/>
  <c r="E27" i="10" s="1"/>
  <c r="L27" i="10"/>
  <c r="F28" i="10"/>
  <c r="G28" i="10"/>
  <c r="E28" i="10" s="1"/>
  <c r="L28" i="10"/>
  <c r="F29" i="10"/>
  <c r="G29" i="10"/>
  <c r="E29" i="10" s="1"/>
  <c r="L29" i="10"/>
  <c r="F30" i="10"/>
  <c r="G30" i="10"/>
  <c r="E30" i="10" s="1"/>
  <c r="L30" i="10"/>
  <c r="F31" i="10"/>
  <c r="G31" i="10"/>
  <c r="E31" i="10" s="1"/>
  <c r="L31" i="10"/>
  <c r="F32" i="10"/>
  <c r="G32" i="10"/>
  <c r="E32" i="10" s="1"/>
  <c r="L32" i="10"/>
  <c r="F33" i="10"/>
  <c r="G33" i="10"/>
  <c r="E33" i="10" s="1"/>
  <c r="L33" i="10"/>
  <c r="F34" i="10"/>
  <c r="G34" i="10"/>
  <c r="E34" i="10" s="1"/>
  <c r="L34" i="10"/>
  <c r="F35" i="10"/>
  <c r="G35" i="10"/>
  <c r="E35" i="10" s="1"/>
  <c r="L35" i="10"/>
  <c r="F36" i="10"/>
  <c r="G36" i="10"/>
  <c r="E36" i="10" s="1"/>
  <c r="L36" i="10"/>
  <c r="F37" i="10"/>
  <c r="G37" i="10"/>
  <c r="E37" i="10" s="1"/>
  <c r="L37" i="10"/>
  <c r="F38" i="10"/>
  <c r="G38" i="10"/>
  <c r="E38" i="10" s="1"/>
  <c r="L38" i="10"/>
  <c r="F39" i="10"/>
  <c r="G39" i="10"/>
  <c r="E39" i="10" s="1"/>
  <c r="L39" i="10"/>
  <c r="F40" i="10"/>
  <c r="G40" i="10"/>
  <c r="E40" i="10" s="1"/>
  <c r="L40" i="10"/>
  <c r="F41" i="10"/>
  <c r="G41" i="10"/>
  <c r="E41" i="10" s="1"/>
  <c r="L41" i="10"/>
  <c r="F42" i="10"/>
  <c r="G42" i="10"/>
  <c r="E42" i="10" s="1"/>
  <c r="L42" i="10"/>
  <c r="F43" i="10"/>
  <c r="G43" i="10"/>
  <c r="E43" i="10" s="1"/>
  <c r="L43" i="10"/>
  <c r="F44" i="10"/>
  <c r="G44" i="10"/>
  <c r="E44" i="10" s="1"/>
  <c r="L44" i="10"/>
  <c r="F45" i="10"/>
  <c r="G45" i="10"/>
  <c r="E45" i="10" s="1"/>
  <c r="L45" i="10"/>
  <c r="F46" i="10"/>
  <c r="G46" i="10"/>
  <c r="E46" i="10" s="1"/>
  <c r="L46" i="10"/>
  <c r="F47" i="10"/>
  <c r="G47" i="10"/>
  <c r="E47" i="10" s="1"/>
  <c r="L47" i="10"/>
  <c r="F48" i="10"/>
  <c r="G48" i="10"/>
  <c r="E48" i="10" s="1"/>
  <c r="L48" i="10"/>
  <c r="F49" i="10"/>
  <c r="G49" i="10"/>
  <c r="E49" i="10" s="1"/>
  <c r="L49" i="10"/>
  <c r="F50" i="10"/>
  <c r="G50" i="10"/>
  <c r="E50" i="10" s="1"/>
  <c r="L50" i="10"/>
  <c r="F51" i="10"/>
  <c r="G51" i="10"/>
  <c r="E51" i="10" s="1"/>
  <c r="L51" i="10"/>
  <c r="F52" i="10"/>
  <c r="G52" i="10"/>
  <c r="E52" i="10" s="1"/>
  <c r="L52" i="10"/>
  <c r="F53" i="10"/>
  <c r="G53" i="10"/>
  <c r="E53" i="10" s="1"/>
  <c r="L53" i="10"/>
  <c r="F54" i="10"/>
  <c r="G54" i="10"/>
  <c r="E54" i="10" s="1"/>
  <c r="L54" i="10"/>
  <c r="F55" i="10"/>
  <c r="G55" i="10"/>
  <c r="E55" i="10" s="1"/>
  <c r="L55" i="10"/>
  <c r="F56" i="10"/>
  <c r="G56" i="10"/>
  <c r="E56" i="10" s="1"/>
  <c r="L56" i="10"/>
  <c r="F57" i="10"/>
  <c r="G57" i="10"/>
  <c r="E57" i="10" s="1"/>
  <c r="L57" i="10"/>
  <c r="F58" i="10"/>
  <c r="G58" i="10"/>
  <c r="E58" i="10" s="1"/>
  <c r="L58" i="10"/>
  <c r="F59" i="10"/>
  <c r="G59" i="10"/>
  <c r="E59" i="10" s="1"/>
  <c r="L59" i="10"/>
  <c r="F60" i="10"/>
  <c r="G60" i="10"/>
  <c r="E60" i="10" s="1"/>
  <c r="L60" i="10"/>
  <c r="F61" i="10"/>
  <c r="G61" i="10"/>
  <c r="E61" i="10" s="1"/>
  <c r="L61" i="10"/>
  <c r="F62" i="10"/>
  <c r="G62" i="10"/>
  <c r="E62" i="10" s="1"/>
  <c r="L62" i="10"/>
  <c r="F63" i="10"/>
  <c r="G63" i="10"/>
  <c r="E63" i="10" s="1"/>
  <c r="L63" i="10"/>
  <c r="F64" i="10"/>
  <c r="G64" i="10"/>
  <c r="E64" i="10" s="1"/>
  <c r="L64" i="10"/>
  <c r="F65" i="10"/>
  <c r="G65" i="10"/>
  <c r="E65" i="10" s="1"/>
  <c r="L65" i="10"/>
  <c r="F66" i="10"/>
  <c r="G66" i="10"/>
  <c r="E66" i="10" s="1"/>
  <c r="L66" i="10"/>
  <c r="F67" i="10"/>
  <c r="G67" i="10"/>
  <c r="E67" i="10" s="1"/>
  <c r="L67" i="10"/>
  <c r="F68" i="10"/>
  <c r="G68" i="10"/>
  <c r="E68" i="10" s="1"/>
  <c r="L68" i="10"/>
  <c r="F69" i="10"/>
  <c r="G69" i="10"/>
  <c r="E69" i="10" s="1"/>
  <c r="L69" i="10"/>
  <c r="F70" i="10"/>
  <c r="G70" i="10"/>
  <c r="E70" i="10" s="1"/>
  <c r="L70" i="10"/>
  <c r="F71" i="10"/>
  <c r="G71" i="10"/>
  <c r="E71" i="10" s="1"/>
  <c r="L71" i="10"/>
  <c r="F72" i="10"/>
  <c r="G72" i="10"/>
  <c r="E72" i="10" s="1"/>
  <c r="L72" i="10"/>
  <c r="F73" i="10"/>
  <c r="G73" i="10"/>
  <c r="E73" i="10" s="1"/>
  <c r="L73" i="10"/>
  <c r="F74" i="10"/>
  <c r="G74" i="10"/>
  <c r="E74" i="10" s="1"/>
  <c r="L74" i="10"/>
  <c r="F75" i="10"/>
  <c r="G75" i="10"/>
  <c r="E75" i="10" s="1"/>
  <c r="L75" i="10"/>
  <c r="F76" i="10"/>
  <c r="G76" i="10"/>
  <c r="E76" i="10" s="1"/>
  <c r="L76" i="10"/>
  <c r="F77" i="10"/>
  <c r="G77" i="10"/>
  <c r="E77" i="10" s="1"/>
  <c r="L77" i="10"/>
  <c r="F78" i="10"/>
  <c r="G78" i="10"/>
  <c r="E78" i="10" s="1"/>
  <c r="L78" i="10"/>
  <c r="F79" i="10"/>
  <c r="G79" i="10"/>
  <c r="E79" i="10" s="1"/>
  <c r="L79" i="10"/>
  <c r="F80" i="10"/>
  <c r="G80" i="10"/>
  <c r="E80" i="10" s="1"/>
  <c r="L80" i="10"/>
  <c r="F81" i="10"/>
  <c r="G81" i="10"/>
  <c r="E81" i="10" s="1"/>
  <c r="L81" i="10"/>
  <c r="F82" i="10"/>
  <c r="G82" i="10"/>
  <c r="E82" i="10" s="1"/>
  <c r="L82" i="10"/>
  <c r="F83" i="10"/>
  <c r="G83" i="10"/>
  <c r="E83" i="10" s="1"/>
  <c r="L83" i="10"/>
  <c r="F84" i="10"/>
  <c r="G84" i="10"/>
  <c r="E84" i="10" s="1"/>
  <c r="L84" i="10"/>
  <c r="F85" i="10"/>
  <c r="G85" i="10"/>
  <c r="E85" i="10" s="1"/>
  <c r="L85" i="10"/>
  <c r="F86" i="10"/>
  <c r="G86" i="10"/>
  <c r="E86" i="10" s="1"/>
  <c r="L86" i="10"/>
  <c r="F87" i="10"/>
  <c r="G87" i="10"/>
  <c r="E87" i="10" s="1"/>
  <c r="L87" i="10"/>
  <c r="F88" i="10"/>
  <c r="G88" i="10"/>
  <c r="E88" i="10" s="1"/>
  <c r="L88" i="10"/>
  <c r="F89" i="10"/>
  <c r="G89" i="10"/>
  <c r="E89" i="10" s="1"/>
  <c r="L89" i="10"/>
  <c r="F90" i="10"/>
  <c r="G90" i="10"/>
  <c r="E90" i="10" s="1"/>
  <c r="L90" i="10"/>
  <c r="F91" i="10"/>
  <c r="G91" i="10"/>
  <c r="E91" i="10" s="1"/>
  <c r="L91" i="10"/>
  <c r="F92" i="10"/>
  <c r="G92" i="10"/>
  <c r="E92" i="10" s="1"/>
  <c r="L92" i="10"/>
  <c r="F93" i="10"/>
  <c r="G93" i="10"/>
  <c r="E93" i="10" s="1"/>
  <c r="L93" i="10"/>
  <c r="F94" i="10"/>
  <c r="G94" i="10"/>
  <c r="E94" i="10" s="1"/>
  <c r="L94" i="10"/>
  <c r="F95" i="10"/>
  <c r="G95" i="10"/>
  <c r="E95" i="10" s="1"/>
  <c r="L95" i="10"/>
  <c r="F96" i="10"/>
  <c r="G96" i="10"/>
  <c r="E96" i="10" s="1"/>
  <c r="L96" i="10"/>
  <c r="F97" i="10"/>
  <c r="G97" i="10"/>
  <c r="E97" i="10" s="1"/>
  <c r="L97" i="10"/>
  <c r="F98" i="10"/>
  <c r="G98" i="10"/>
  <c r="E98" i="10" s="1"/>
  <c r="L98" i="10"/>
  <c r="F99" i="10"/>
  <c r="G99" i="10"/>
  <c r="E99" i="10" s="1"/>
  <c r="L99" i="10"/>
  <c r="F100" i="10"/>
  <c r="G100" i="10"/>
  <c r="E100" i="10" s="1"/>
  <c r="L100" i="10"/>
  <c r="F101" i="10"/>
  <c r="G101" i="10"/>
  <c r="E101" i="10" s="1"/>
  <c r="L101" i="10"/>
  <c r="F102" i="10"/>
  <c r="G102" i="10"/>
  <c r="E102" i="10" s="1"/>
  <c r="L102" i="10"/>
  <c r="F103" i="10"/>
  <c r="G103" i="10"/>
  <c r="E103" i="10" s="1"/>
  <c r="L103" i="10"/>
  <c r="F104" i="10"/>
  <c r="G104" i="10"/>
  <c r="E104" i="10" s="1"/>
  <c r="L104" i="10"/>
  <c r="F105" i="10"/>
  <c r="G105" i="10"/>
  <c r="E105" i="10" s="1"/>
  <c r="L105" i="10"/>
  <c r="F106" i="10"/>
  <c r="G106" i="10"/>
  <c r="E106" i="10" s="1"/>
  <c r="L106" i="10"/>
  <c r="F107" i="10"/>
  <c r="G107" i="10"/>
  <c r="E107" i="10" s="1"/>
  <c r="L107" i="10"/>
  <c r="F108" i="10"/>
  <c r="G108" i="10"/>
  <c r="E108" i="10" s="1"/>
  <c r="L108" i="10"/>
  <c r="F109" i="10"/>
  <c r="G109" i="10"/>
  <c r="E109" i="10" s="1"/>
  <c r="L109" i="10"/>
  <c r="F110" i="10"/>
  <c r="G110" i="10"/>
  <c r="E110" i="10" s="1"/>
  <c r="L110" i="10"/>
  <c r="F111" i="10"/>
  <c r="G111" i="10"/>
  <c r="E111" i="10" s="1"/>
  <c r="L111" i="10"/>
  <c r="F112" i="10"/>
  <c r="G112" i="10"/>
  <c r="E112" i="10" s="1"/>
  <c r="L112" i="10"/>
  <c r="F113" i="10"/>
  <c r="G113" i="10"/>
  <c r="E113" i="10" s="1"/>
  <c r="L113" i="10"/>
  <c r="F114" i="10"/>
  <c r="G114" i="10"/>
  <c r="E114" i="10" s="1"/>
  <c r="L114" i="10"/>
  <c r="F115" i="10"/>
  <c r="G115" i="10"/>
  <c r="E115" i="10" s="1"/>
  <c r="L115" i="10"/>
  <c r="F116" i="10"/>
  <c r="G116" i="10"/>
  <c r="E116" i="10" s="1"/>
  <c r="L116" i="10"/>
  <c r="F117" i="10"/>
  <c r="G117" i="10"/>
  <c r="E117" i="10" s="1"/>
  <c r="L117" i="10"/>
  <c r="F118" i="10"/>
  <c r="G118" i="10"/>
  <c r="E118" i="10" s="1"/>
  <c r="L118" i="10"/>
  <c r="F119" i="10"/>
  <c r="G119" i="10"/>
  <c r="E119" i="10" s="1"/>
  <c r="L119" i="10"/>
  <c r="F120" i="10"/>
  <c r="G120" i="10"/>
  <c r="E120" i="10" s="1"/>
  <c r="L120" i="10"/>
  <c r="F121" i="10"/>
  <c r="G121" i="10"/>
  <c r="E121" i="10" s="1"/>
  <c r="L121" i="10"/>
  <c r="F122" i="10"/>
  <c r="G122" i="10"/>
  <c r="E122" i="10" s="1"/>
  <c r="L122" i="10"/>
  <c r="F123" i="10"/>
  <c r="G123" i="10"/>
  <c r="E123" i="10" s="1"/>
  <c r="L123" i="10"/>
  <c r="F124" i="10"/>
  <c r="G124" i="10"/>
  <c r="E124" i="10" s="1"/>
  <c r="L124" i="10"/>
  <c r="F125" i="10"/>
  <c r="G125" i="10"/>
  <c r="E125" i="10" s="1"/>
  <c r="L125" i="10"/>
  <c r="F126" i="10"/>
  <c r="G126" i="10"/>
  <c r="E126" i="10" s="1"/>
  <c r="L126" i="10"/>
  <c r="F127" i="10"/>
  <c r="G127" i="10"/>
  <c r="E127" i="10" s="1"/>
  <c r="L127" i="10"/>
  <c r="F128" i="10"/>
  <c r="G128" i="10"/>
  <c r="E128" i="10" s="1"/>
  <c r="L128" i="10"/>
  <c r="F129" i="10"/>
  <c r="G129" i="10"/>
  <c r="E129" i="10" s="1"/>
  <c r="L129" i="10"/>
  <c r="F130" i="10"/>
  <c r="G130" i="10"/>
  <c r="E130" i="10" s="1"/>
  <c r="L130" i="10"/>
  <c r="F131" i="10"/>
  <c r="G131" i="10"/>
  <c r="E131" i="10" s="1"/>
  <c r="L131" i="10"/>
  <c r="F132" i="10"/>
  <c r="G132" i="10"/>
  <c r="E132" i="10" s="1"/>
  <c r="L132" i="10"/>
  <c r="F133" i="10"/>
  <c r="G133" i="10"/>
  <c r="E133" i="10" s="1"/>
  <c r="L133" i="10"/>
  <c r="F134" i="10"/>
  <c r="G134" i="10"/>
  <c r="E134" i="10" s="1"/>
  <c r="L134" i="10"/>
  <c r="F135" i="10"/>
  <c r="G135" i="10"/>
  <c r="E135" i="10" s="1"/>
  <c r="L135" i="10"/>
  <c r="F136" i="10"/>
  <c r="G136" i="10"/>
  <c r="E136" i="10" s="1"/>
  <c r="L136" i="10"/>
  <c r="F137" i="10"/>
  <c r="G137" i="10"/>
  <c r="E137" i="10" s="1"/>
  <c r="L137" i="10"/>
  <c r="F138" i="10"/>
  <c r="G138" i="10"/>
  <c r="E138" i="10" s="1"/>
  <c r="L138" i="10"/>
  <c r="F139" i="10"/>
  <c r="G139" i="10"/>
  <c r="E139" i="10" s="1"/>
  <c r="L139" i="10"/>
  <c r="F140" i="10"/>
  <c r="G140" i="10"/>
  <c r="E140" i="10" s="1"/>
  <c r="L140" i="10"/>
  <c r="F141" i="10"/>
  <c r="G141" i="10"/>
  <c r="E141" i="10" s="1"/>
  <c r="L141" i="10"/>
  <c r="F142" i="10"/>
  <c r="G142" i="10"/>
  <c r="E142" i="10" s="1"/>
  <c r="L142" i="10"/>
  <c r="F143" i="10"/>
  <c r="G143" i="10"/>
  <c r="E143" i="10" s="1"/>
  <c r="L143" i="10"/>
  <c r="F144" i="10"/>
  <c r="G144" i="10"/>
  <c r="E144" i="10" s="1"/>
  <c r="L144" i="10"/>
  <c r="F145" i="10"/>
  <c r="G145" i="10"/>
  <c r="E145" i="10" s="1"/>
  <c r="L145" i="10"/>
  <c r="F146" i="10"/>
  <c r="G146" i="10"/>
  <c r="E146" i="10" s="1"/>
  <c r="L146" i="10"/>
  <c r="F147" i="10"/>
  <c r="G147" i="10"/>
  <c r="E147" i="10" s="1"/>
  <c r="L147" i="10"/>
  <c r="F148" i="10"/>
  <c r="G148" i="10"/>
  <c r="E148" i="10" s="1"/>
  <c r="L148" i="10"/>
  <c r="F149" i="10"/>
  <c r="G149" i="10"/>
  <c r="E149" i="10" s="1"/>
  <c r="L149" i="10"/>
  <c r="F150" i="10"/>
  <c r="G150" i="10"/>
  <c r="E150" i="10" s="1"/>
  <c r="L150" i="10"/>
  <c r="F151" i="10"/>
  <c r="G151" i="10"/>
  <c r="E151" i="10" s="1"/>
  <c r="L151" i="10"/>
  <c r="F152" i="10"/>
  <c r="G152" i="10"/>
  <c r="E152" i="10" s="1"/>
  <c r="L152" i="10"/>
  <c r="F153" i="10"/>
  <c r="G153" i="10"/>
  <c r="E153" i="10" s="1"/>
  <c r="L153" i="10"/>
  <c r="F154" i="10"/>
  <c r="G154" i="10"/>
  <c r="E154" i="10" s="1"/>
  <c r="L154" i="10"/>
  <c r="F155" i="10"/>
  <c r="G155" i="10"/>
  <c r="E155" i="10" s="1"/>
  <c r="L155" i="10"/>
  <c r="F156" i="10"/>
  <c r="G156" i="10"/>
  <c r="E156" i="10" s="1"/>
  <c r="L156" i="10"/>
  <c r="F157" i="10"/>
  <c r="G157" i="10"/>
  <c r="E157" i="10" s="1"/>
  <c r="L157" i="10"/>
  <c r="F158" i="10"/>
  <c r="G158" i="10"/>
  <c r="E158" i="10" s="1"/>
  <c r="L158" i="10"/>
  <c r="F159" i="10"/>
  <c r="G159" i="10"/>
  <c r="E159" i="10" s="1"/>
  <c r="L159" i="10"/>
  <c r="F160" i="10"/>
  <c r="G160" i="10"/>
  <c r="E160" i="10" s="1"/>
  <c r="L160" i="10"/>
  <c r="F161" i="10"/>
  <c r="G161" i="10"/>
  <c r="E161" i="10" s="1"/>
  <c r="L161" i="10"/>
  <c r="F162" i="10"/>
  <c r="G162" i="10"/>
  <c r="E162" i="10" s="1"/>
  <c r="L162" i="10"/>
  <c r="F163" i="10"/>
  <c r="G163" i="10"/>
  <c r="E163" i="10" s="1"/>
  <c r="L163" i="10"/>
  <c r="F164" i="10"/>
  <c r="G164" i="10"/>
  <c r="E164" i="10" s="1"/>
  <c r="L164" i="10"/>
  <c r="F165" i="10"/>
  <c r="G165" i="10"/>
  <c r="E165" i="10" s="1"/>
  <c r="L165" i="10"/>
  <c r="F166" i="10"/>
  <c r="G166" i="10"/>
  <c r="E166" i="10" s="1"/>
  <c r="L166" i="10"/>
  <c r="F167" i="10"/>
  <c r="G167" i="10"/>
  <c r="E167" i="10" s="1"/>
  <c r="L167" i="10"/>
  <c r="F168" i="10"/>
  <c r="G168" i="10"/>
  <c r="E168" i="10" s="1"/>
  <c r="L168" i="10"/>
  <c r="F169" i="10"/>
  <c r="G169" i="10"/>
  <c r="E169" i="10" s="1"/>
  <c r="L169" i="10"/>
  <c r="F170" i="10"/>
  <c r="G170" i="10"/>
  <c r="E170" i="10" s="1"/>
  <c r="L170" i="10"/>
  <c r="F171" i="10"/>
  <c r="G171" i="10"/>
  <c r="E171" i="10" s="1"/>
  <c r="L171" i="10"/>
  <c r="F172" i="10"/>
  <c r="G172" i="10"/>
  <c r="E172" i="10" s="1"/>
  <c r="L172" i="10"/>
  <c r="F173" i="10"/>
  <c r="G173" i="10"/>
  <c r="E173" i="10" s="1"/>
  <c r="L173" i="10"/>
  <c r="F174" i="10"/>
  <c r="G174" i="10"/>
  <c r="E174" i="10" s="1"/>
  <c r="L174" i="10"/>
  <c r="F175" i="10"/>
  <c r="G175" i="10"/>
  <c r="E175" i="10" s="1"/>
  <c r="L175" i="10"/>
  <c r="F176" i="10"/>
  <c r="G176" i="10"/>
  <c r="E176" i="10" s="1"/>
  <c r="L176" i="10"/>
  <c r="F177" i="10"/>
  <c r="G177" i="10"/>
  <c r="E177" i="10" s="1"/>
  <c r="L177" i="10"/>
  <c r="F178" i="10"/>
  <c r="G178" i="10"/>
  <c r="E178" i="10" s="1"/>
  <c r="L178" i="10"/>
  <c r="F179" i="10"/>
  <c r="G179" i="10"/>
  <c r="E179" i="10" s="1"/>
  <c r="L179" i="10"/>
  <c r="F180" i="10"/>
  <c r="G180" i="10"/>
  <c r="E180" i="10" s="1"/>
  <c r="L180" i="10"/>
  <c r="F181" i="10"/>
  <c r="G181" i="10"/>
  <c r="E181" i="10" s="1"/>
  <c r="L181" i="10"/>
  <c r="F182" i="10"/>
  <c r="G182" i="10"/>
  <c r="E182" i="10" s="1"/>
  <c r="L182" i="10"/>
  <c r="F183" i="10"/>
  <c r="G183" i="10"/>
  <c r="E183" i="10" s="1"/>
  <c r="L183" i="10"/>
  <c r="F184" i="10"/>
  <c r="G184" i="10"/>
  <c r="E184" i="10" s="1"/>
  <c r="L184" i="10"/>
  <c r="F185" i="10"/>
  <c r="G185" i="10"/>
  <c r="E185" i="10" s="1"/>
  <c r="L185" i="10"/>
  <c r="F186" i="10"/>
  <c r="G186" i="10"/>
  <c r="E186" i="10" s="1"/>
  <c r="L186" i="10"/>
  <c r="F187" i="10"/>
  <c r="G187" i="10"/>
  <c r="E187" i="10" s="1"/>
  <c r="L187" i="10"/>
  <c r="F188" i="10"/>
  <c r="G188" i="10"/>
  <c r="E188" i="10" s="1"/>
  <c r="L188" i="10"/>
  <c r="F189" i="10"/>
  <c r="G189" i="10"/>
  <c r="E189" i="10" s="1"/>
  <c r="L189" i="10"/>
  <c r="F190" i="10"/>
  <c r="G190" i="10"/>
  <c r="E190" i="10" s="1"/>
  <c r="L190" i="10"/>
  <c r="F191" i="10"/>
  <c r="G191" i="10"/>
  <c r="E191" i="10" s="1"/>
  <c r="L191" i="10"/>
  <c r="F192" i="10"/>
  <c r="G192" i="10"/>
  <c r="E192" i="10" s="1"/>
  <c r="L192" i="10"/>
  <c r="F193" i="10"/>
  <c r="G193" i="10"/>
  <c r="E193" i="10" s="1"/>
  <c r="L193" i="10"/>
  <c r="F194" i="10"/>
  <c r="G194" i="10"/>
  <c r="E194" i="10" s="1"/>
  <c r="L194" i="10"/>
  <c r="F195" i="10"/>
  <c r="G195" i="10"/>
  <c r="E195" i="10" s="1"/>
  <c r="L195" i="10"/>
  <c r="F196" i="10"/>
  <c r="G196" i="10"/>
  <c r="E196" i="10" s="1"/>
  <c r="L196" i="10"/>
  <c r="F197" i="10"/>
  <c r="G197" i="10"/>
  <c r="E197" i="10" s="1"/>
  <c r="L197" i="10"/>
  <c r="F198" i="10"/>
  <c r="G198" i="10"/>
  <c r="E198" i="10" s="1"/>
  <c r="L198" i="10"/>
  <c r="F199" i="10"/>
  <c r="G199" i="10"/>
  <c r="E199" i="10" s="1"/>
  <c r="L199" i="10"/>
  <c r="F200" i="10"/>
  <c r="G200" i="10"/>
  <c r="E200" i="10" s="1"/>
  <c r="L200" i="10"/>
  <c r="F201" i="10"/>
  <c r="G201" i="10"/>
  <c r="E201" i="10" s="1"/>
  <c r="L201" i="10"/>
  <c r="F202" i="10"/>
  <c r="G202" i="10"/>
  <c r="E202" i="10" s="1"/>
  <c r="L202" i="10"/>
  <c r="F203" i="10"/>
  <c r="G203" i="10"/>
  <c r="E203" i="10" s="1"/>
  <c r="L203" i="10"/>
  <c r="F204" i="10"/>
  <c r="G204" i="10"/>
  <c r="E204" i="10" s="1"/>
  <c r="L204" i="10"/>
  <c r="F205" i="10"/>
  <c r="G205" i="10"/>
  <c r="E205" i="10" s="1"/>
  <c r="L205" i="10"/>
  <c r="F206" i="10"/>
  <c r="G206" i="10"/>
  <c r="E206" i="10" s="1"/>
  <c r="L206" i="10"/>
  <c r="F207" i="10"/>
  <c r="G207" i="10"/>
  <c r="E207" i="10" s="1"/>
  <c r="L207" i="10"/>
  <c r="F208" i="10"/>
  <c r="G208" i="10"/>
  <c r="E208" i="10" s="1"/>
  <c r="L208" i="10"/>
  <c r="F209" i="10"/>
  <c r="G209" i="10"/>
  <c r="E209" i="10" s="1"/>
  <c r="L209" i="10"/>
  <c r="F210" i="10"/>
  <c r="G210" i="10"/>
  <c r="E210" i="10" s="1"/>
  <c r="L210" i="10"/>
  <c r="F211" i="10"/>
  <c r="G211" i="10"/>
  <c r="E211" i="10" s="1"/>
  <c r="L211" i="10"/>
  <c r="F212" i="10"/>
  <c r="G212" i="10"/>
  <c r="E212" i="10" s="1"/>
  <c r="L212" i="10"/>
  <c r="F213" i="10"/>
  <c r="G213" i="10"/>
  <c r="E213" i="10" s="1"/>
  <c r="L213" i="10"/>
  <c r="F214" i="10"/>
  <c r="G214" i="10"/>
  <c r="E214" i="10" s="1"/>
  <c r="L214" i="10"/>
  <c r="F215" i="10"/>
  <c r="G215" i="10"/>
  <c r="E215" i="10" s="1"/>
  <c r="L215" i="10"/>
  <c r="F216" i="10"/>
  <c r="G216" i="10"/>
  <c r="E216" i="10" s="1"/>
  <c r="L216" i="10"/>
  <c r="F217" i="10"/>
  <c r="G217" i="10"/>
  <c r="E217" i="10" s="1"/>
  <c r="L217" i="10"/>
  <c r="F218" i="10"/>
  <c r="G218" i="10"/>
  <c r="E218" i="10" s="1"/>
  <c r="L218" i="10"/>
  <c r="F219" i="10"/>
  <c r="G219" i="10"/>
  <c r="E219" i="10" s="1"/>
  <c r="L219" i="10"/>
  <c r="F220" i="10"/>
  <c r="G220" i="10"/>
  <c r="E220" i="10" s="1"/>
  <c r="L220" i="10"/>
  <c r="F221" i="10"/>
  <c r="G221" i="10"/>
  <c r="E221" i="10" s="1"/>
  <c r="L221" i="10"/>
  <c r="F222" i="10"/>
  <c r="G222" i="10"/>
  <c r="E222" i="10" s="1"/>
  <c r="L222" i="10"/>
  <c r="F223" i="10"/>
  <c r="G223" i="10"/>
  <c r="E223" i="10" s="1"/>
  <c r="L223" i="10"/>
  <c r="F224" i="10"/>
  <c r="G224" i="10"/>
  <c r="E224" i="10" s="1"/>
  <c r="L224" i="10"/>
  <c r="F225" i="10"/>
  <c r="G225" i="10"/>
  <c r="E225" i="10" s="1"/>
  <c r="L225" i="10"/>
  <c r="F226" i="10"/>
  <c r="G226" i="10"/>
  <c r="E226" i="10" s="1"/>
  <c r="L226" i="10"/>
  <c r="F227" i="10"/>
  <c r="G227" i="10"/>
  <c r="E227" i="10" s="1"/>
  <c r="L227" i="10"/>
  <c r="F228" i="10"/>
  <c r="G228" i="10"/>
  <c r="E228" i="10" s="1"/>
  <c r="L228" i="10"/>
  <c r="F229" i="10"/>
  <c r="G229" i="10"/>
  <c r="E229" i="10" s="1"/>
  <c r="L229" i="10"/>
  <c r="F230" i="10"/>
  <c r="G230" i="10"/>
  <c r="E230" i="10" s="1"/>
  <c r="L230" i="10"/>
  <c r="F231" i="10"/>
  <c r="G231" i="10"/>
  <c r="E231" i="10" s="1"/>
  <c r="L231" i="10"/>
  <c r="F232" i="10"/>
  <c r="G232" i="10"/>
  <c r="E232" i="10" s="1"/>
  <c r="L232" i="10"/>
  <c r="F233" i="10"/>
  <c r="G233" i="10"/>
  <c r="E233" i="10" s="1"/>
  <c r="L233" i="10"/>
  <c r="F234" i="10"/>
  <c r="G234" i="10"/>
  <c r="E234" i="10" s="1"/>
  <c r="L234" i="10"/>
  <c r="F235" i="10"/>
  <c r="G235" i="10"/>
  <c r="E235" i="10" s="1"/>
  <c r="L235" i="10"/>
  <c r="F236" i="10"/>
  <c r="G236" i="10"/>
  <c r="E236" i="10" s="1"/>
  <c r="L236" i="10"/>
  <c r="F237" i="10"/>
  <c r="G237" i="10"/>
  <c r="E237" i="10" s="1"/>
  <c r="L237" i="10"/>
  <c r="F238" i="10"/>
  <c r="G238" i="10"/>
  <c r="E238" i="10" s="1"/>
  <c r="L238" i="10"/>
  <c r="F239" i="10"/>
  <c r="G239" i="10"/>
  <c r="E239" i="10" s="1"/>
  <c r="L239" i="10"/>
  <c r="F240" i="10"/>
  <c r="G240" i="10"/>
  <c r="E240" i="10" s="1"/>
  <c r="L240" i="10"/>
  <c r="F241" i="10"/>
  <c r="G241" i="10"/>
  <c r="E241" i="10" s="1"/>
  <c r="L241" i="10"/>
  <c r="F242" i="10"/>
  <c r="G242" i="10"/>
  <c r="E242" i="10" s="1"/>
  <c r="L242" i="10"/>
  <c r="F243" i="10"/>
  <c r="G243" i="10"/>
  <c r="E243" i="10" s="1"/>
  <c r="L243" i="10"/>
  <c r="F244" i="10"/>
  <c r="G244" i="10"/>
  <c r="E244" i="10" s="1"/>
  <c r="L244" i="10"/>
  <c r="F245" i="10"/>
  <c r="G245" i="10"/>
  <c r="E245" i="10" s="1"/>
  <c r="L245" i="10"/>
  <c r="F246" i="10"/>
  <c r="G246" i="10"/>
  <c r="E246" i="10" s="1"/>
  <c r="L246" i="10"/>
  <c r="F247" i="10"/>
  <c r="G247" i="10"/>
  <c r="E247" i="10" s="1"/>
  <c r="L247" i="10"/>
  <c r="F248" i="10"/>
  <c r="G248" i="10"/>
  <c r="E248" i="10" s="1"/>
  <c r="L248" i="10"/>
  <c r="F249" i="10"/>
  <c r="G249" i="10"/>
  <c r="E249" i="10" s="1"/>
  <c r="L249" i="10"/>
  <c r="F250" i="10"/>
  <c r="G250" i="10"/>
  <c r="E250" i="10" s="1"/>
  <c r="L250" i="10"/>
  <c r="F251" i="10"/>
  <c r="G251" i="10"/>
  <c r="E251" i="10" s="1"/>
  <c r="L251" i="10"/>
  <c r="F252" i="10"/>
  <c r="G252" i="10"/>
  <c r="E252" i="10" s="1"/>
  <c r="L252" i="10"/>
  <c r="F253" i="10"/>
  <c r="G253" i="10"/>
  <c r="E253" i="10" s="1"/>
  <c r="L253" i="10"/>
  <c r="F254" i="10"/>
  <c r="G254" i="10"/>
  <c r="E254" i="10" s="1"/>
  <c r="L254" i="10"/>
  <c r="F255" i="10"/>
  <c r="G255" i="10"/>
  <c r="E255" i="10" s="1"/>
  <c r="L255" i="10"/>
  <c r="F256" i="10"/>
  <c r="G256" i="10"/>
  <c r="E256" i="10" s="1"/>
  <c r="L256" i="10"/>
  <c r="F257" i="10"/>
  <c r="G257" i="10"/>
  <c r="E257" i="10" s="1"/>
  <c r="L257" i="10"/>
  <c r="F258" i="10"/>
  <c r="G258" i="10"/>
  <c r="E258" i="10" s="1"/>
  <c r="L258" i="10"/>
  <c r="F259" i="10"/>
  <c r="G259" i="10"/>
  <c r="E259" i="10" s="1"/>
  <c r="L259" i="10"/>
  <c r="F260" i="10"/>
  <c r="G260" i="10"/>
  <c r="E260" i="10" s="1"/>
  <c r="L260" i="10"/>
  <c r="F261" i="10"/>
  <c r="G261" i="10"/>
  <c r="E261" i="10" s="1"/>
  <c r="L261" i="10"/>
  <c r="F262" i="10"/>
  <c r="G262" i="10"/>
  <c r="E262" i="10" s="1"/>
  <c r="L262" i="10"/>
  <c r="F263" i="10"/>
  <c r="G263" i="10"/>
  <c r="E263" i="10" s="1"/>
  <c r="L263" i="10"/>
  <c r="F264" i="10"/>
  <c r="G264" i="10"/>
  <c r="E264" i="10" s="1"/>
  <c r="L264" i="10"/>
  <c r="F265" i="10"/>
  <c r="G265" i="10"/>
  <c r="E265" i="10" s="1"/>
  <c r="L265" i="10"/>
  <c r="F266" i="10"/>
  <c r="G266" i="10"/>
  <c r="E266" i="10" s="1"/>
  <c r="L266" i="10"/>
  <c r="F267" i="10"/>
  <c r="G267" i="10"/>
  <c r="E267" i="10" s="1"/>
  <c r="L267" i="10"/>
  <c r="F268" i="10"/>
  <c r="G268" i="10"/>
  <c r="E268" i="10" s="1"/>
  <c r="L268" i="10"/>
  <c r="F269" i="10"/>
  <c r="G269" i="10"/>
  <c r="E269" i="10" s="1"/>
  <c r="L269" i="10"/>
  <c r="F270" i="10"/>
  <c r="G270" i="10"/>
  <c r="E270" i="10" s="1"/>
  <c r="L270" i="10"/>
  <c r="F271" i="10"/>
  <c r="G271" i="10"/>
  <c r="E271" i="10" s="1"/>
  <c r="L271" i="10"/>
  <c r="F272" i="10"/>
  <c r="G272" i="10"/>
  <c r="E272" i="10" s="1"/>
  <c r="L272" i="10"/>
  <c r="F273" i="10"/>
  <c r="G273" i="10"/>
  <c r="E273" i="10" s="1"/>
  <c r="L273" i="10"/>
  <c r="F274" i="10"/>
  <c r="G274" i="10"/>
  <c r="E274" i="10" s="1"/>
  <c r="L274" i="10"/>
  <c r="F275" i="10"/>
  <c r="G275" i="10"/>
  <c r="E275" i="10" s="1"/>
  <c r="L275" i="10"/>
  <c r="F276" i="10"/>
  <c r="G276" i="10"/>
  <c r="E276" i="10" s="1"/>
  <c r="L276" i="10"/>
  <c r="F277" i="10"/>
  <c r="G277" i="10"/>
  <c r="E277" i="10" s="1"/>
  <c r="L277" i="10"/>
  <c r="F278" i="10"/>
  <c r="G278" i="10"/>
  <c r="E278" i="10" s="1"/>
  <c r="L278" i="10"/>
  <c r="F279" i="10"/>
  <c r="G279" i="10"/>
  <c r="E279" i="10" s="1"/>
  <c r="L279" i="10"/>
  <c r="F280" i="10"/>
  <c r="G280" i="10"/>
  <c r="E280" i="10" s="1"/>
  <c r="L280" i="10"/>
  <c r="F281" i="10"/>
  <c r="G281" i="10"/>
  <c r="E281" i="10" s="1"/>
  <c r="L281" i="10"/>
  <c r="F282" i="10"/>
  <c r="G282" i="10"/>
  <c r="E282" i="10" s="1"/>
  <c r="L282" i="10"/>
  <c r="F283" i="10"/>
  <c r="G283" i="10"/>
  <c r="E283" i="10" s="1"/>
  <c r="L283" i="10"/>
  <c r="F284" i="10"/>
  <c r="G284" i="10"/>
  <c r="E284" i="10" s="1"/>
  <c r="L284" i="10"/>
  <c r="F285" i="10"/>
  <c r="G285" i="10"/>
  <c r="E285" i="10" s="1"/>
  <c r="L285" i="10"/>
  <c r="F286" i="10"/>
  <c r="G286" i="10"/>
  <c r="E286" i="10" s="1"/>
  <c r="L286" i="10"/>
  <c r="F287" i="10"/>
  <c r="G287" i="10"/>
  <c r="E287" i="10" s="1"/>
  <c r="L287" i="10"/>
  <c r="F288" i="10"/>
  <c r="G288" i="10"/>
  <c r="E288" i="10" s="1"/>
  <c r="L288" i="10"/>
  <c r="F289" i="10"/>
  <c r="G289" i="10"/>
  <c r="E289" i="10" s="1"/>
  <c r="L289" i="10"/>
  <c r="F290" i="10"/>
  <c r="G290" i="10"/>
  <c r="E290" i="10" s="1"/>
  <c r="L290" i="10"/>
  <c r="F291" i="10"/>
  <c r="G291" i="10"/>
  <c r="E291" i="10" s="1"/>
  <c r="L291" i="10"/>
  <c r="F292" i="10"/>
  <c r="G292" i="10"/>
  <c r="E292" i="10" s="1"/>
  <c r="L292" i="10"/>
  <c r="F293" i="10"/>
  <c r="G293" i="10"/>
  <c r="E293" i="10" s="1"/>
  <c r="L293" i="10"/>
  <c r="F294" i="10"/>
  <c r="G294" i="10"/>
  <c r="E294" i="10" s="1"/>
  <c r="L294" i="10"/>
  <c r="F295" i="10"/>
  <c r="G295" i="10"/>
  <c r="E295" i="10" s="1"/>
  <c r="L295" i="10"/>
  <c r="F296" i="10"/>
  <c r="G296" i="10"/>
  <c r="E296" i="10" s="1"/>
  <c r="L296" i="10"/>
  <c r="F297" i="10"/>
  <c r="G297" i="10"/>
  <c r="E297" i="10" s="1"/>
  <c r="L297" i="10"/>
  <c r="F298" i="10"/>
  <c r="G298" i="10"/>
  <c r="E298" i="10" s="1"/>
  <c r="L298" i="10"/>
  <c r="F299" i="10"/>
  <c r="G299" i="10"/>
  <c r="E299" i="10" s="1"/>
  <c r="L299" i="10"/>
  <c r="F300" i="10"/>
  <c r="G300" i="10"/>
  <c r="E300" i="10" s="1"/>
  <c r="L300" i="10"/>
  <c r="F301" i="10"/>
  <c r="G301" i="10"/>
  <c r="E301" i="10" s="1"/>
  <c r="L301" i="10"/>
  <c r="F302" i="10"/>
  <c r="G302" i="10"/>
  <c r="E302" i="10" s="1"/>
  <c r="L302" i="10"/>
  <c r="F303" i="10"/>
  <c r="G303" i="10"/>
  <c r="E303" i="10" s="1"/>
  <c r="L303" i="10"/>
  <c r="F304" i="10"/>
  <c r="G304" i="10"/>
  <c r="E304" i="10" s="1"/>
  <c r="L304" i="10"/>
  <c r="F305" i="10"/>
  <c r="G305" i="10"/>
  <c r="E305" i="10" s="1"/>
  <c r="L305" i="10"/>
  <c r="F306" i="10"/>
  <c r="G306" i="10"/>
  <c r="E306" i="10" s="1"/>
  <c r="L306" i="10"/>
  <c r="F307" i="10"/>
  <c r="G307" i="10"/>
  <c r="E307" i="10" s="1"/>
  <c r="L307" i="10"/>
  <c r="F308" i="10"/>
  <c r="G308" i="10"/>
  <c r="E308" i="10" s="1"/>
  <c r="L308" i="10"/>
  <c r="F309" i="10"/>
  <c r="G309" i="10"/>
  <c r="E309" i="10" s="1"/>
  <c r="L309" i="10"/>
  <c r="F310" i="10"/>
  <c r="G310" i="10"/>
  <c r="E310" i="10" s="1"/>
  <c r="L310" i="10"/>
  <c r="F311" i="10"/>
  <c r="G311" i="10"/>
  <c r="E311" i="10" s="1"/>
  <c r="L311" i="10"/>
  <c r="F312" i="10"/>
  <c r="G312" i="10"/>
  <c r="E312" i="10" s="1"/>
  <c r="L312" i="10"/>
  <c r="F313" i="10"/>
  <c r="G313" i="10"/>
  <c r="E313" i="10" s="1"/>
  <c r="L313" i="10"/>
  <c r="F314" i="10"/>
  <c r="G314" i="10"/>
  <c r="E314" i="10" s="1"/>
  <c r="L314" i="10"/>
  <c r="F315" i="10"/>
  <c r="G315" i="10"/>
  <c r="E315" i="10" s="1"/>
  <c r="L315" i="10"/>
  <c r="F316" i="10"/>
  <c r="G316" i="10"/>
  <c r="E316" i="10" s="1"/>
  <c r="L316" i="10"/>
  <c r="F317" i="10"/>
  <c r="G317" i="10"/>
  <c r="E317" i="10" s="1"/>
  <c r="L317" i="10"/>
  <c r="F318" i="10"/>
  <c r="G318" i="10"/>
  <c r="E318" i="10" s="1"/>
  <c r="L318" i="10"/>
  <c r="F319" i="10"/>
  <c r="G319" i="10"/>
  <c r="E319" i="10" s="1"/>
  <c r="L319" i="10"/>
  <c r="F320" i="10"/>
  <c r="G320" i="10"/>
  <c r="E320" i="10" s="1"/>
  <c r="L320" i="10"/>
  <c r="F321" i="10"/>
  <c r="G321" i="10"/>
  <c r="E321" i="10" s="1"/>
  <c r="L321" i="10"/>
  <c r="F322" i="10"/>
  <c r="G322" i="10"/>
  <c r="E322" i="10" s="1"/>
  <c r="L322" i="10"/>
  <c r="F323" i="10"/>
  <c r="G323" i="10"/>
  <c r="E323" i="10" s="1"/>
  <c r="L323" i="10"/>
  <c r="F324" i="10"/>
  <c r="G324" i="10"/>
  <c r="E324" i="10" s="1"/>
  <c r="L324" i="10"/>
  <c r="F325" i="10"/>
  <c r="G325" i="10"/>
  <c r="E325" i="10" s="1"/>
  <c r="L325" i="10"/>
  <c r="F326" i="10"/>
  <c r="G326" i="10"/>
  <c r="E326" i="10" s="1"/>
  <c r="L326" i="10"/>
  <c r="F327" i="10"/>
  <c r="G327" i="10"/>
  <c r="E327" i="10" s="1"/>
  <c r="L327" i="10"/>
  <c r="F328" i="10"/>
  <c r="G328" i="10"/>
  <c r="E328" i="10" s="1"/>
  <c r="L328" i="10"/>
  <c r="F329" i="10"/>
  <c r="G329" i="10"/>
  <c r="E329" i="10" s="1"/>
  <c r="L329" i="10"/>
  <c r="F330" i="10"/>
  <c r="G330" i="10"/>
  <c r="E330" i="10" s="1"/>
  <c r="L330" i="10"/>
  <c r="F331" i="10"/>
  <c r="G331" i="10"/>
  <c r="E331" i="10" s="1"/>
  <c r="L331" i="10"/>
  <c r="F332" i="10"/>
  <c r="G332" i="10"/>
  <c r="E332" i="10" s="1"/>
  <c r="L332" i="10"/>
  <c r="F333" i="10"/>
  <c r="G333" i="10"/>
  <c r="E333" i="10" s="1"/>
  <c r="L333" i="10"/>
  <c r="F334" i="10"/>
  <c r="G334" i="10"/>
  <c r="E334" i="10" s="1"/>
  <c r="L334" i="10"/>
  <c r="F335" i="10"/>
  <c r="G335" i="10"/>
  <c r="E335" i="10" s="1"/>
  <c r="L335" i="10"/>
  <c r="F336" i="10"/>
  <c r="G336" i="10"/>
  <c r="E336" i="10" s="1"/>
  <c r="L336" i="10"/>
  <c r="F337" i="10"/>
  <c r="G337" i="10"/>
  <c r="E337" i="10" s="1"/>
  <c r="L337" i="10"/>
  <c r="F338" i="10"/>
  <c r="G338" i="10"/>
  <c r="E338" i="10" s="1"/>
  <c r="L338" i="10"/>
  <c r="F339" i="10"/>
  <c r="G339" i="10"/>
  <c r="E339" i="10" s="1"/>
  <c r="L339" i="10"/>
  <c r="F340" i="10"/>
  <c r="G340" i="10"/>
  <c r="E340" i="10" s="1"/>
  <c r="L340" i="10"/>
  <c r="F341" i="10"/>
  <c r="G341" i="10"/>
  <c r="E341" i="10" s="1"/>
  <c r="L341" i="10"/>
  <c r="F342" i="10"/>
  <c r="G342" i="10"/>
  <c r="E342" i="10" s="1"/>
  <c r="L342" i="10"/>
  <c r="F343" i="10"/>
  <c r="G343" i="10"/>
  <c r="E343" i="10" s="1"/>
  <c r="L343" i="10"/>
  <c r="F344" i="10"/>
  <c r="G344" i="10"/>
  <c r="E344" i="10" s="1"/>
  <c r="L344" i="10"/>
  <c r="F345" i="10"/>
  <c r="G345" i="10"/>
  <c r="E345" i="10" s="1"/>
  <c r="L345" i="10"/>
  <c r="F346" i="10"/>
  <c r="G346" i="10"/>
  <c r="E346" i="10" s="1"/>
  <c r="L346" i="10"/>
  <c r="F347" i="10"/>
  <c r="G347" i="10"/>
  <c r="E347" i="10" s="1"/>
  <c r="L347" i="10"/>
  <c r="F348" i="10"/>
  <c r="G348" i="10"/>
  <c r="E348" i="10" s="1"/>
  <c r="L348" i="10"/>
  <c r="F349" i="10"/>
  <c r="G349" i="10"/>
  <c r="E349" i="10" s="1"/>
  <c r="L349" i="10"/>
  <c r="F350" i="10"/>
  <c r="G350" i="10"/>
  <c r="E350" i="10" s="1"/>
  <c r="L350" i="10"/>
  <c r="F351" i="10"/>
  <c r="G351" i="10"/>
  <c r="E351" i="10" s="1"/>
  <c r="L351" i="10"/>
  <c r="F352" i="10"/>
  <c r="G352" i="10"/>
  <c r="E352" i="10" s="1"/>
  <c r="L352" i="10"/>
  <c r="F353" i="10"/>
  <c r="G353" i="10"/>
  <c r="E353" i="10" s="1"/>
  <c r="L353" i="10"/>
  <c r="F354" i="10"/>
  <c r="G354" i="10"/>
  <c r="E354" i="10" s="1"/>
  <c r="L354" i="10"/>
  <c r="F355" i="10"/>
  <c r="G355" i="10"/>
  <c r="E355" i="10" s="1"/>
  <c r="L355" i="10"/>
  <c r="F356" i="10"/>
  <c r="G356" i="10"/>
  <c r="E356" i="10" s="1"/>
  <c r="L356" i="10"/>
  <c r="F357" i="10"/>
  <c r="G357" i="10"/>
  <c r="E357" i="10" s="1"/>
  <c r="L357" i="10"/>
  <c r="F358" i="10"/>
  <c r="G358" i="10"/>
  <c r="E358" i="10" s="1"/>
  <c r="L358" i="10"/>
  <c r="F359" i="10"/>
  <c r="G359" i="10"/>
  <c r="E359" i="10" s="1"/>
  <c r="L359" i="10"/>
  <c r="F360" i="10"/>
  <c r="G360" i="10"/>
  <c r="E360" i="10" s="1"/>
  <c r="L360" i="10"/>
  <c r="F361" i="10"/>
  <c r="G361" i="10"/>
  <c r="E361" i="10" s="1"/>
  <c r="L361" i="10"/>
  <c r="F362" i="10"/>
  <c r="G362" i="10"/>
  <c r="E362" i="10" s="1"/>
  <c r="L362" i="10"/>
  <c r="F363" i="10"/>
  <c r="G363" i="10"/>
  <c r="E363" i="10" s="1"/>
  <c r="L363" i="10"/>
  <c r="F364" i="10"/>
  <c r="G364" i="10"/>
  <c r="E364" i="10" s="1"/>
  <c r="L364" i="10"/>
  <c r="F365" i="10"/>
  <c r="G365" i="10"/>
  <c r="E365" i="10" s="1"/>
  <c r="L365" i="10"/>
  <c r="F366" i="10"/>
  <c r="G366" i="10"/>
  <c r="E366" i="10" s="1"/>
  <c r="L366" i="10"/>
  <c r="F367" i="10"/>
  <c r="G367" i="10"/>
  <c r="E367" i="10" s="1"/>
  <c r="L367" i="10"/>
  <c r="F368" i="10"/>
  <c r="G368" i="10"/>
  <c r="E368" i="10" s="1"/>
  <c r="L368" i="10"/>
  <c r="F369" i="10"/>
  <c r="G369" i="10"/>
  <c r="E369" i="10" s="1"/>
  <c r="L369" i="10"/>
  <c r="F370" i="10"/>
  <c r="G370" i="10"/>
  <c r="E370" i="10" s="1"/>
  <c r="L370" i="10"/>
  <c r="F371" i="10"/>
  <c r="G371" i="10"/>
  <c r="E371" i="10" s="1"/>
  <c r="L371" i="10"/>
  <c r="F372" i="10"/>
  <c r="G372" i="10"/>
  <c r="E372" i="10" s="1"/>
  <c r="L372" i="10"/>
  <c r="F373" i="10"/>
  <c r="G373" i="10"/>
  <c r="E373" i="10" s="1"/>
  <c r="L373" i="10"/>
  <c r="F374" i="10"/>
  <c r="G374" i="10"/>
  <c r="E374" i="10" s="1"/>
  <c r="L374" i="10"/>
  <c r="F375" i="10"/>
  <c r="G375" i="10"/>
  <c r="E375" i="10" s="1"/>
  <c r="L375" i="10"/>
  <c r="F376" i="10"/>
  <c r="G376" i="10"/>
  <c r="E376" i="10" s="1"/>
  <c r="L376" i="10"/>
  <c r="F377" i="10"/>
  <c r="G377" i="10"/>
  <c r="E377" i="10" s="1"/>
  <c r="L377" i="10"/>
  <c r="F378" i="10"/>
  <c r="G378" i="10"/>
  <c r="E378" i="10" s="1"/>
  <c r="L378" i="10"/>
  <c r="F379" i="10"/>
  <c r="G379" i="10"/>
  <c r="E379" i="10" s="1"/>
  <c r="L379" i="10"/>
  <c r="F380" i="10"/>
  <c r="G380" i="10"/>
  <c r="E380" i="10" s="1"/>
  <c r="L380" i="10"/>
  <c r="F381" i="10"/>
  <c r="G381" i="10"/>
  <c r="E381" i="10" s="1"/>
  <c r="L381" i="10"/>
  <c r="F382" i="10"/>
  <c r="G382" i="10"/>
  <c r="E382" i="10" s="1"/>
  <c r="L382" i="10"/>
  <c r="F383" i="10"/>
  <c r="G383" i="10"/>
  <c r="E383" i="10" s="1"/>
  <c r="L383" i="10"/>
  <c r="F384" i="10"/>
  <c r="G384" i="10"/>
  <c r="E384" i="10" s="1"/>
  <c r="L384" i="10"/>
  <c r="F385" i="10"/>
  <c r="G385" i="10"/>
  <c r="E385" i="10" s="1"/>
  <c r="L385" i="10"/>
  <c r="F386" i="10"/>
  <c r="G386" i="10"/>
  <c r="E386" i="10" s="1"/>
  <c r="L386" i="10"/>
  <c r="F387" i="10"/>
  <c r="G387" i="10"/>
  <c r="E387" i="10" s="1"/>
  <c r="L387" i="10"/>
  <c r="F388" i="10"/>
  <c r="G388" i="10"/>
  <c r="E388" i="10" s="1"/>
  <c r="L388" i="10"/>
  <c r="F389" i="10"/>
  <c r="G389" i="10"/>
  <c r="E389" i="10" s="1"/>
  <c r="L389" i="10"/>
  <c r="F390" i="10"/>
  <c r="G390" i="10"/>
  <c r="E390" i="10" s="1"/>
  <c r="L390" i="10"/>
  <c r="F391" i="10"/>
  <c r="G391" i="10"/>
  <c r="E391" i="10" s="1"/>
  <c r="L391" i="10"/>
  <c r="F392" i="10"/>
  <c r="G392" i="10"/>
  <c r="E392" i="10" s="1"/>
  <c r="L392" i="10"/>
  <c r="F393" i="10"/>
  <c r="G393" i="10"/>
  <c r="E393" i="10" s="1"/>
  <c r="L393" i="10"/>
  <c r="F394" i="10"/>
  <c r="G394" i="10"/>
  <c r="E394" i="10" s="1"/>
  <c r="L394" i="10"/>
  <c r="F395" i="10"/>
  <c r="G395" i="10"/>
  <c r="E395" i="10" s="1"/>
  <c r="L395" i="10"/>
  <c r="F396" i="10"/>
  <c r="G396" i="10"/>
  <c r="E396" i="10" s="1"/>
  <c r="L396" i="10"/>
  <c r="F397" i="10"/>
  <c r="G397" i="10"/>
  <c r="E397" i="10" s="1"/>
  <c r="L397" i="10"/>
  <c r="F398" i="10"/>
  <c r="G398" i="10"/>
  <c r="E398" i="10" s="1"/>
  <c r="L398" i="10"/>
  <c r="F399" i="10"/>
  <c r="G399" i="10"/>
  <c r="E399" i="10" s="1"/>
  <c r="L399" i="10"/>
  <c r="F400" i="10"/>
  <c r="G400" i="10"/>
  <c r="E400" i="10" s="1"/>
  <c r="L400" i="10"/>
  <c r="F401" i="10"/>
  <c r="G401" i="10"/>
  <c r="E401" i="10" s="1"/>
  <c r="L401" i="10"/>
  <c r="F402" i="10"/>
  <c r="G402" i="10"/>
  <c r="E402" i="10" s="1"/>
  <c r="L402" i="10"/>
  <c r="F403" i="10"/>
  <c r="G403" i="10"/>
  <c r="E403" i="10" s="1"/>
  <c r="L403" i="10"/>
  <c r="F404" i="10"/>
  <c r="G404" i="10"/>
  <c r="E404" i="10" s="1"/>
  <c r="L404" i="10"/>
  <c r="F405" i="10"/>
  <c r="G405" i="10"/>
  <c r="E405" i="10" s="1"/>
  <c r="L405" i="10"/>
  <c r="F406" i="10"/>
  <c r="G406" i="10"/>
  <c r="E406" i="10" s="1"/>
  <c r="L406" i="10"/>
  <c r="F407" i="10"/>
  <c r="G407" i="10"/>
  <c r="E407" i="10" s="1"/>
  <c r="L407" i="10"/>
  <c r="F408" i="10"/>
  <c r="G408" i="10"/>
  <c r="E408" i="10" s="1"/>
  <c r="L408" i="10"/>
  <c r="F409" i="10"/>
  <c r="G409" i="10"/>
  <c r="E409" i="10" s="1"/>
  <c r="L409" i="10"/>
  <c r="F410" i="10"/>
  <c r="G410" i="10"/>
  <c r="E410" i="10" s="1"/>
  <c r="L410" i="10"/>
  <c r="F411" i="10"/>
  <c r="G411" i="10"/>
  <c r="E411" i="10" s="1"/>
  <c r="L411" i="10"/>
  <c r="F412" i="10"/>
  <c r="G412" i="10"/>
  <c r="E412" i="10" s="1"/>
  <c r="L412" i="10"/>
  <c r="F413" i="10"/>
  <c r="G413" i="10"/>
  <c r="E413" i="10" s="1"/>
  <c r="L413" i="10"/>
  <c r="F414" i="10"/>
  <c r="G414" i="10"/>
  <c r="E414" i="10" s="1"/>
  <c r="L414" i="10"/>
  <c r="F415" i="10"/>
  <c r="G415" i="10"/>
  <c r="E415" i="10" s="1"/>
  <c r="L415" i="10"/>
  <c r="F416" i="10"/>
  <c r="G416" i="10"/>
  <c r="E416" i="10" s="1"/>
  <c r="L416" i="10"/>
  <c r="F417" i="10"/>
  <c r="G417" i="10"/>
  <c r="E417" i="10" s="1"/>
  <c r="L417" i="10"/>
  <c r="F418" i="10"/>
  <c r="G418" i="10"/>
  <c r="E418" i="10" s="1"/>
  <c r="L418" i="10"/>
  <c r="F419" i="10"/>
  <c r="G419" i="10"/>
  <c r="E419" i="10" s="1"/>
  <c r="L419" i="10"/>
  <c r="F420" i="10"/>
  <c r="G420" i="10"/>
  <c r="E420" i="10" s="1"/>
  <c r="L420" i="10"/>
  <c r="F421" i="10"/>
  <c r="G421" i="10"/>
  <c r="E421" i="10" s="1"/>
  <c r="L421" i="10"/>
  <c r="F422" i="10"/>
  <c r="G422" i="10"/>
  <c r="E422" i="10" s="1"/>
  <c r="L422" i="10"/>
  <c r="F423" i="10"/>
  <c r="G423" i="10"/>
  <c r="E423" i="10" s="1"/>
  <c r="L423" i="10"/>
  <c r="F424" i="10"/>
  <c r="G424" i="10"/>
  <c r="E424" i="10" s="1"/>
  <c r="L424" i="10"/>
  <c r="F425" i="10"/>
  <c r="G425" i="10"/>
  <c r="E425" i="10" s="1"/>
  <c r="L425" i="10"/>
  <c r="F426" i="10"/>
  <c r="G426" i="10"/>
  <c r="E426" i="10" s="1"/>
  <c r="L426" i="10"/>
  <c r="F427" i="10"/>
  <c r="G427" i="10"/>
  <c r="E427" i="10" s="1"/>
  <c r="L427" i="10"/>
  <c r="F428" i="10"/>
  <c r="G428" i="10"/>
  <c r="E428" i="10" s="1"/>
  <c r="L428" i="10"/>
  <c r="F429" i="10"/>
  <c r="G429" i="10"/>
  <c r="E429" i="10" s="1"/>
  <c r="L429" i="10"/>
  <c r="F430" i="10"/>
  <c r="G430" i="10"/>
  <c r="E430" i="10" s="1"/>
  <c r="L430" i="10"/>
  <c r="F431" i="10"/>
  <c r="G431" i="10"/>
  <c r="E431" i="10" s="1"/>
  <c r="L431" i="10"/>
  <c r="F432" i="10"/>
  <c r="G432" i="10"/>
  <c r="E432" i="10" s="1"/>
  <c r="L432" i="10"/>
  <c r="F433" i="10"/>
  <c r="G433" i="10"/>
  <c r="E433" i="10" s="1"/>
  <c r="L433" i="10"/>
  <c r="F434" i="10"/>
  <c r="G434" i="10"/>
  <c r="E434" i="10" s="1"/>
  <c r="L434" i="10"/>
  <c r="F435" i="10"/>
  <c r="G435" i="10"/>
  <c r="E435" i="10" s="1"/>
  <c r="L435" i="10"/>
  <c r="F436" i="10"/>
  <c r="G436" i="10"/>
  <c r="E436" i="10" s="1"/>
  <c r="L436" i="10"/>
  <c r="F437" i="10"/>
  <c r="G437" i="10"/>
  <c r="E437" i="10" s="1"/>
  <c r="L437" i="10"/>
  <c r="F438" i="10"/>
  <c r="G438" i="10"/>
  <c r="E438" i="10" s="1"/>
  <c r="L438" i="10"/>
  <c r="F439" i="10"/>
  <c r="G439" i="10"/>
  <c r="E439" i="10" s="1"/>
  <c r="L439" i="10"/>
  <c r="F440" i="10"/>
  <c r="G440" i="10"/>
  <c r="E440" i="10" s="1"/>
  <c r="L440" i="10"/>
  <c r="F441" i="10"/>
  <c r="G441" i="10"/>
  <c r="E441" i="10" s="1"/>
  <c r="L441" i="10"/>
  <c r="F442" i="10"/>
  <c r="G442" i="10"/>
  <c r="E442" i="10" s="1"/>
  <c r="L442" i="10"/>
  <c r="F443" i="10"/>
  <c r="G443" i="10"/>
  <c r="E443" i="10" s="1"/>
  <c r="L443" i="10"/>
  <c r="F444" i="10"/>
  <c r="G444" i="10"/>
  <c r="E444" i="10" s="1"/>
  <c r="L444" i="10"/>
  <c r="F445" i="10"/>
  <c r="G445" i="10"/>
  <c r="E445" i="10" s="1"/>
  <c r="L445" i="10"/>
  <c r="F446" i="10"/>
  <c r="G446" i="10"/>
  <c r="E446" i="10" s="1"/>
  <c r="L446" i="10"/>
  <c r="F447" i="10"/>
  <c r="G447" i="10"/>
  <c r="E447" i="10" s="1"/>
  <c r="L447" i="10"/>
  <c r="F448" i="10"/>
  <c r="G448" i="10"/>
  <c r="E448" i="10" s="1"/>
  <c r="L448" i="10"/>
  <c r="F449" i="10"/>
  <c r="G449" i="10"/>
  <c r="E449" i="10" s="1"/>
  <c r="L449" i="10"/>
  <c r="F450" i="10"/>
  <c r="G450" i="10"/>
  <c r="E450" i="10" s="1"/>
  <c r="L450" i="10"/>
  <c r="F451" i="10"/>
  <c r="G451" i="10"/>
  <c r="E451" i="10" s="1"/>
  <c r="L451" i="10"/>
  <c r="F452" i="10"/>
  <c r="G452" i="10"/>
  <c r="E452" i="10" s="1"/>
  <c r="L452" i="10"/>
  <c r="F453" i="10"/>
  <c r="G453" i="10"/>
  <c r="E453" i="10" s="1"/>
  <c r="L453" i="10"/>
  <c r="F454" i="10"/>
  <c r="G454" i="10"/>
  <c r="E454" i="10" s="1"/>
  <c r="L454" i="10"/>
  <c r="F455" i="10"/>
  <c r="G455" i="10"/>
  <c r="E455" i="10" s="1"/>
  <c r="L455" i="10"/>
  <c r="F456" i="10"/>
  <c r="G456" i="10"/>
  <c r="E456" i="10" s="1"/>
  <c r="L456" i="10"/>
  <c r="F457" i="10"/>
  <c r="G457" i="10"/>
  <c r="E457" i="10" s="1"/>
  <c r="L457" i="10"/>
  <c r="F458" i="10"/>
  <c r="G458" i="10"/>
  <c r="E458" i="10" s="1"/>
  <c r="L458" i="10"/>
  <c r="F459" i="10"/>
  <c r="G459" i="10"/>
  <c r="E459" i="10" s="1"/>
  <c r="L459" i="10"/>
  <c r="F460" i="10"/>
  <c r="G460" i="10"/>
  <c r="E460" i="10" s="1"/>
  <c r="L460" i="10"/>
  <c r="F461" i="10"/>
  <c r="G461" i="10"/>
  <c r="E461" i="10" s="1"/>
  <c r="L461" i="10"/>
  <c r="F462" i="10"/>
  <c r="G462" i="10"/>
  <c r="E462" i="10" s="1"/>
  <c r="L462" i="10"/>
  <c r="F463" i="10"/>
  <c r="G463" i="10"/>
  <c r="E463" i="10" s="1"/>
  <c r="L463" i="10"/>
  <c r="F464" i="10"/>
  <c r="G464" i="10"/>
  <c r="E464" i="10" s="1"/>
  <c r="L464" i="10"/>
  <c r="F465" i="10"/>
  <c r="G465" i="10"/>
  <c r="E465" i="10" s="1"/>
  <c r="L465" i="10"/>
  <c r="F466" i="10"/>
  <c r="G466" i="10"/>
  <c r="E466" i="10" s="1"/>
  <c r="L466" i="10"/>
  <c r="F467" i="10"/>
  <c r="G467" i="10"/>
  <c r="E467" i="10" s="1"/>
  <c r="L467" i="10"/>
  <c r="F468" i="10"/>
  <c r="G468" i="10"/>
  <c r="E468" i="10" s="1"/>
  <c r="L468" i="10"/>
  <c r="F469" i="10"/>
  <c r="G469" i="10"/>
  <c r="E469" i="10" s="1"/>
  <c r="L469" i="10"/>
  <c r="F470" i="10"/>
  <c r="G470" i="10"/>
  <c r="E470" i="10" s="1"/>
  <c r="L470" i="10"/>
  <c r="F471" i="10"/>
  <c r="G471" i="10"/>
  <c r="E471" i="10" s="1"/>
  <c r="L471" i="10"/>
  <c r="F472" i="10"/>
  <c r="G472" i="10"/>
  <c r="E472" i="10" s="1"/>
  <c r="L472" i="10"/>
  <c r="F473" i="10"/>
  <c r="G473" i="10"/>
  <c r="E473" i="10" s="1"/>
  <c r="L473" i="10"/>
  <c r="F474" i="10"/>
  <c r="G474" i="10"/>
  <c r="E474" i="10" s="1"/>
  <c r="L474" i="10"/>
  <c r="F475" i="10"/>
  <c r="G475" i="10"/>
  <c r="E475" i="10" s="1"/>
  <c r="L475" i="10"/>
  <c r="F476" i="10"/>
  <c r="G476" i="10"/>
  <c r="E476" i="10" s="1"/>
  <c r="L476" i="10"/>
  <c r="F477" i="10"/>
  <c r="G477" i="10"/>
  <c r="E477" i="10" s="1"/>
  <c r="L477" i="10"/>
  <c r="F478" i="10"/>
  <c r="G478" i="10"/>
  <c r="E478" i="10" s="1"/>
  <c r="L478" i="10"/>
  <c r="F479" i="10"/>
  <c r="G479" i="10"/>
  <c r="E479" i="10" s="1"/>
  <c r="L479" i="10"/>
  <c r="F480" i="10"/>
  <c r="G480" i="10"/>
  <c r="E480" i="10" s="1"/>
  <c r="L480" i="10"/>
  <c r="F481" i="10"/>
  <c r="G481" i="10"/>
  <c r="E481" i="10" s="1"/>
  <c r="L481" i="10"/>
  <c r="F482" i="10"/>
  <c r="G482" i="10"/>
  <c r="E482" i="10" s="1"/>
  <c r="L482" i="10"/>
  <c r="F483" i="10"/>
  <c r="G483" i="10"/>
  <c r="E483" i="10" s="1"/>
  <c r="L483" i="10"/>
  <c r="F484" i="10"/>
  <c r="G484" i="10"/>
  <c r="E484" i="10" s="1"/>
  <c r="L484" i="10"/>
  <c r="F485" i="10"/>
  <c r="G485" i="10"/>
  <c r="E485" i="10" s="1"/>
  <c r="L485" i="10"/>
  <c r="F486" i="10"/>
  <c r="G486" i="10"/>
  <c r="E486" i="10" s="1"/>
  <c r="L486" i="10"/>
  <c r="F487" i="10"/>
  <c r="G487" i="10"/>
  <c r="E487" i="10" s="1"/>
  <c r="L487" i="10"/>
  <c r="F488" i="10"/>
  <c r="G488" i="10"/>
  <c r="E488" i="10" s="1"/>
  <c r="L488" i="10"/>
  <c r="F489" i="10"/>
  <c r="G489" i="10"/>
  <c r="E489" i="10" s="1"/>
  <c r="L489" i="10"/>
  <c r="F490" i="10"/>
  <c r="G490" i="10"/>
  <c r="E490" i="10" s="1"/>
  <c r="L490" i="10"/>
  <c r="F491" i="10"/>
  <c r="G491" i="10"/>
  <c r="E491" i="10" s="1"/>
  <c r="L491" i="10"/>
  <c r="F492" i="10"/>
  <c r="G492" i="10"/>
  <c r="E492" i="10" s="1"/>
  <c r="L492" i="10"/>
  <c r="F493" i="10"/>
  <c r="G493" i="10"/>
  <c r="E493" i="10" s="1"/>
  <c r="L493" i="10"/>
  <c r="F494" i="10"/>
  <c r="G494" i="10"/>
  <c r="E494" i="10" s="1"/>
  <c r="L494" i="10"/>
  <c r="F495" i="10"/>
  <c r="G495" i="10"/>
  <c r="E495" i="10" s="1"/>
  <c r="L495" i="10"/>
  <c r="F496" i="10"/>
  <c r="G496" i="10"/>
  <c r="E496" i="10" s="1"/>
  <c r="L496" i="10"/>
  <c r="F497" i="10"/>
  <c r="G497" i="10"/>
  <c r="E497" i="10" s="1"/>
  <c r="L497" i="10"/>
  <c r="F498" i="10"/>
  <c r="G498" i="10"/>
  <c r="E498" i="10" s="1"/>
  <c r="L498" i="10"/>
  <c r="F499" i="10"/>
  <c r="G499" i="10"/>
  <c r="E499" i="10" s="1"/>
  <c r="L499" i="10"/>
  <c r="F500" i="10"/>
  <c r="G500" i="10"/>
  <c r="E500" i="10" s="1"/>
  <c r="L500" i="10"/>
  <c r="F501" i="10"/>
  <c r="G501" i="10"/>
  <c r="E501" i="10" s="1"/>
  <c r="L501" i="10"/>
  <c r="F502" i="10"/>
  <c r="G502" i="10"/>
  <c r="E502" i="10" s="1"/>
  <c r="L502" i="10"/>
  <c r="F503" i="10"/>
  <c r="G503" i="10"/>
  <c r="E503" i="10" s="1"/>
  <c r="L503" i="10"/>
  <c r="F504" i="10"/>
  <c r="G504" i="10"/>
  <c r="E504" i="10" s="1"/>
  <c r="L504" i="10"/>
  <c r="F505" i="10"/>
  <c r="G505" i="10"/>
  <c r="E505" i="10" s="1"/>
  <c r="L505" i="10"/>
  <c r="F506" i="10"/>
  <c r="G506" i="10"/>
  <c r="E506" i="10" s="1"/>
  <c r="L506" i="10"/>
  <c r="F507" i="10"/>
  <c r="G507" i="10"/>
  <c r="E507" i="10" s="1"/>
  <c r="L507" i="10"/>
  <c r="F508" i="10"/>
  <c r="G508" i="10"/>
  <c r="E508" i="10" s="1"/>
  <c r="L508" i="10"/>
  <c r="F509" i="10"/>
  <c r="G509" i="10"/>
  <c r="E509" i="10" s="1"/>
  <c r="L509" i="10"/>
  <c r="F510" i="10"/>
  <c r="G510" i="10"/>
  <c r="E510" i="10" s="1"/>
  <c r="L510" i="10"/>
  <c r="F511" i="10"/>
  <c r="G511" i="10"/>
  <c r="E511" i="10" s="1"/>
  <c r="L511" i="10"/>
  <c r="F512" i="10"/>
  <c r="G512" i="10"/>
  <c r="E512" i="10" s="1"/>
  <c r="L512" i="10"/>
  <c r="F513" i="10"/>
  <c r="G513" i="10"/>
  <c r="E513" i="10" s="1"/>
  <c r="L513" i="10"/>
  <c r="F514" i="10"/>
  <c r="G514" i="10"/>
  <c r="E514" i="10" s="1"/>
  <c r="L514" i="10"/>
  <c r="F515" i="10"/>
  <c r="G515" i="10"/>
  <c r="E515" i="10" s="1"/>
  <c r="L515" i="10"/>
  <c r="F516" i="10"/>
  <c r="G516" i="10"/>
  <c r="E516" i="10" s="1"/>
  <c r="L516" i="10"/>
  <c r="F517" i="10"/>
  <c r="G517" i="10"/>
  <c r="E517" i="10" s="1"/>
  <c r="L517" i="10"/>
  <c r="F518" i="10"/>
  <c r="G518" i="10"/>
  <c r="E518" i="10" s="1"/>
  <c r="L518" i="10"/>
  <c r="F519" i="10"/>
  <c r="G519" i="10"/>
  <c r="E519" i="10" s="1"/>
  <c r="L519" i="10"/>
  <c r="F520" i="10"/>
  <c r="G520" i="10"/>
  <c r="E520" i="10" s="1"/>
  <c r="L520" i="10"/>
  <c r="F521" i="10"/>
  <c r="G521" i="10"/>
  <c r="E521" i="10" s="1"/>
  <c r="L521" i="10"/>
  <c r="F522" i="10"/>
  <c r="G522" i="10"/>
  <c r="E522" i="10" s="1"/>
  <c r="L522" i="10"/>
  <c r="F523" i="10"/>
  <c r="G523" i="10"/>
  <c r="E523" i="10" s="1"/>
  <c r="L523" i="10"/>
  <c r="F524" i="10"/>
  <c r="G524" i="10"/>
  <c r="E524" i="10" s="1"/>
  <c r="L524" i="10"/>
  <c r="F525" i="10"/>
  <c r="G525" i="10"/>
  <c r="E525" i="10" s="1"/>
  <c r="L525" i="10"/>
  <c r="F526" i="10"/>
  <c r="G526" i="10"/>
  <c r="E526" i="10" s="1"/>
  <c r="L526" i="10"/>
  <c r="F527" i="10"/>
  <c r="G527" i="10"/>
  <c r="E527" i="10" s="1"/>
  <c r="L527" i="10"/>
  <c r="F528" i="10"/>
  <c r="G528" i="10"/>
  <c r="E528" i="10" s="1"/>
  <c r="L528" i="10"/>
  <c r="F529" i="10"/>
  <c r="G529" i="10"/>
  <c r="E529" i="10" s="1"/>
  <c r="L529" i="10"/>
  <c r="F530" i="10"/>
  <c r="G530" i="10"/>
  <c r="E530" i="10" s="1"/>
  <c r="L530" i="10"/>
  <c r="F531" i="10"/>
  <c r="G531" i="10"/>
  <c r="E531" i="10" s="1"/>
  <c r="L531" i="10"/>
  <c r="F532" i="10"/>
  <c r="G532" i="10"/>
  <c r="E532" i="10" s="1"/>
  <c r="L532" i="10"/>
  <c r="F533" i="10"/>
  <c r="G533" i="10"/>
  <c r="E533" i="10" s="1"/>
  <c r="L533" i="10"/>
  <c r="F534" i="10"/>
  <c r="G534" i="10"/>
  <c r="E534" i="10" s="1"/>
  <c r="L534" i="10"/>
  <c r="F535" i="10"/>
  <c r="G535" i="10"/>
  <c r="E535" i="10" s="1"/>
  <c r="L535" i="10"/>
  <c r="F536" i="10"/>
  <c r="G536" i="10"/>
  <c r="E536" i="10" s="1"/>
  <c r="L536" i="10"/>
  <c r="F537" i="10"/>
  <c r="G537" i="10"/>
  <c r="E537" i="10" s="1"/>
  <c r="L537" i="10"/>
  <c r="F538" i="10"/>
  <c r="G538" i="10"/>
  <c r="E538" i="10" s="1"/>
  <c r="L538" i="10"/>
  <c r="F539" i="10"/>
  <c r="G539" i="10"/>
  <c r="E539" i="10" s="1"/>
  <c r="L539" i="10"/>
  <c r="F540" i="10"/>
  <c r="G540" i="10"/>
  <c r="E540" i="10" s="1"/>
  <c r="L540" i="10"/>
  <c r="F541" i="10"/>
  <c r="G541" i="10"/>
  <c r="E541" i="10" s="1"/>
  <c r="L541" i="10"/>
  <c r="F542" i="10"/>
  <c r="G542" i="10"/>
  <c r="E542" i="10" s="1"/>
  <c r="L542" i="10"/>
  <c r="F543" i="10"/>
  <c r="G543" i="10"/>
  <c r="E543" i="10" s="1"/>
  <c r="L543" i="10"/>
  <c r="F544" i="10"/>
  <c r="G544" i="10"/>
  <c r="E544" i="10" s="1"/>
  <c r="L544" i="10"/>
  <c r="F545" i="10"/>
  <c r="G545" i="10"/>
  <c r="E545" i="10" s="1"/>
  <c r="L545" i="10"/>
  <c r="F546" i="10"/>
  <c r="G546" i="10"/>
  <c r="E546" i="10" s="1"/>
  <c r="L546" i="10"/>
  <c r="F547" i="10"/>
  <c r="G547" i="10"/>
  <c r="E547" i="10" s="1"/>
  <c r="L547" i="10"/>
  <c r="F548" i="10"/>
  <c r="G548" i="10"/>
  <c r="E548" i="10" s="1"/>
  <c r="L548" i="10"/>
  <c r="F549" i="10"/>
  <c r="G549" i="10"/>
  <c r="E549" i="10" s="1"/>
  <c r="L549" i="10"/>
  <c r="F550" i="10"/>
  <c r="G550" i="10"/>
  <c r="E550" i="10" s="1"/>
  <c r="L550" i="10"/>
  <c r="F551" i="10"/>
  <c r="G551" i="10"/>
  <c r="E551" i="10" s="1"/>
  <c r="L551" i="10"/>
  <c r="F552" i="10"/>
  <c r="G552" i="10"/>
  <c r="E552" i="10" s="1"/>
  <c r="L552" i="10"/>
  <c r="F553" i="10"/>
  <c r="G553" i="10"/>
  <c r="E553" i="10" s="1"/>
  <c r="L553" i="10"/>
  <c r="F554" i="10"/>
  <c r="G554" i="10"/>
  <c r="E554" i="10" s="1"/>
  <c r="L554" i="10"/>
  <c r="F555" i="10"/>
  <c r="G555" i="10"/>
  <c r="E555" i="10" s="1"/>
  <c r="L555" i="10"/>
  <c r="F556" i="10"/>
  <c r="G556" i="10"/>
  <c r="E556" i="10" s="1"/>
  <c r="L556" i="10"/>
  <c r="F557" i="10"/>
  <c r="G557" i="10"/>
  <c r="E557" i="10" s="1"/>
  <c r="L557" i="10"/>
  <c r="F558" i="10"/>
  <c r="G558" i="10"/>
  <c r="E558" i="10" s="1"/>
  <c r="L558" i="10"/>
  <c r="F559" i="10"/>
  <c r="G559" i="10"/>
  <c r="E559" i="10" s="1"/>
  <c r="L559" i="10"/>
  <c r="F560" i="10"/>
  <c r="G560" i="10"/>
  <c r="E560" i="10" s="1"/>
  <c r="L560" i="10"/>
  <c r="F561" i="10"/>
  <c r="G561" i="10"/>
  <c r="E561" i="10" s="1"/>
  <c r="L561" i="10"/>
  <c r="F562" i="10"/>
  <c r="G562" i="10"/>
  <c r="E562" i="10" s="1"/>
  <c r="L562" i="10"/>
  <c r="F563" i="10"/>
  <c r="G563" i="10"/>
  <c r="E563" i="10" s="1"/>
  <c r="L563" i="10"/>
  <c r="F564" i="10"/>
  <c r="G564" i="10"/>
  <c r="E564" i="10" s="1"/>
  <c r="L564" i="10"/>
  <c r="F565" i="10"/>
  <c r="G565" i="10"/>
  <c r="E565" i="10" s="1"/>
  <c r="L565" i="10"/>
  <c r="F566" i="10"/>
  <c r="G566" i="10"/>
  <c r="E566" i="10" s="1"/>
  <c r="L566" i="10"/>
  <c r="F567" i="10"/>
  <c r="G567" i="10"/>
  <c r="E567" i="10" s="1"/>
  <c r="L567" i="10"/>
  <c r="F568" i="10"/>
  <c r="G568" i="10"/>
  <c r="E568" i="10" s="1"/>
  <c r="L568" i="10"/>
  <c r="F569" i="10"/>
  <c r="G569" i="10"/>
  <c r="E569" i="10" s="1"/>
  <c r="L569" i="10"/>
  <c r="F570" i="10"/>
  <c r="G570" i="10"/>
  <c r="E570" i="10" s="1"/>
  <c r="L570" i="10"/>
  <c r="F571" i="10"/>
  <c r="G571" i="10"/>
  <c r="E571" i="10" s="1"/>
  <c r="L571" i="10"/>
  <c r="F572" i="10"/>
  <c r="G572" i="10"/>
  <c r="E572" i="10" s="1"/>
  <c r="L572" i="10"/>
  <c r="F573" i="10"/>
  <c r="G573" i="10"/>
  <c r="E573" i="10" s="1"/>
  <c r="L573" i="10"/>
  <c r="F574" i="10"/>
  <c r="G574" i="10"/>
  <c r="E574" i="10" s="1"/>
  <c r="L574" i="10"/>
  <c r="F575" i="10"/>
  <c r="G575" i="10"/>
  <c r="E575" i="10" s="1"/>
  <c r="L575" i="10"/>
  <c r="F576" i="10"/>
  <c r="G576" i="10"/>
  <c r="E576" i="10" s="1"/>
  <c r="L576" i="10"/>
  <c r="F577" i="10"/>
  <c r="G577" i="10"/>
  <c r="E577" i="10" s="1"/>
  <c r="L577" i="10"/>
  <c r="F578" i="10"/>
  <c r="G578" i="10"/>
  <c r="E578" i="10" s="1"/>
  <c r="L578" i="10"/>
  <c r="F579" i="10"/>
  <c r="G579" i="10"/>
  <c r="E579" i="10" s="1"/>
  <c r="L579" i="10"/>
  <c r="F580" i="10"/>
  <c r="G580" i="10"/>
  <c r="E580" i="10" s="1"/>
  <c r="L580" i="10"/>
  <c r="F581" i="10"/>
  <c r="G581" i="10"/>
  <c r="E581" i="10" s="1"/>
  <c r="L581" i="10"/>
  <c r="F582" i="10"/>
  <c r="G582" i="10"/>
  <c r="E582" i="10" s="1"/>
  <c r="L582" i="10"/>
  <c r="F583" i="10"/>
  <c r="G583" i="10"/>
  <c r="E583" i="10" s="1"/>
  <c r="L583" i="10"/>
  <c r="F584" i="10"/>
  <c r="G584" i="10"/>
  <c r="E584" i="10" s="1"/>
  <c r="L584" i="10"/>
  <c r="F585" i="10"/>
  <c r="G585" i="10"/>
  <c r="E585" i="10" s="1"/>
  <c r="L585" i="10"/>
  <c r="F586" i="10"/>
  <c r="G586" i="10"/>
  <c r="E586" i="10" s="1"/>
  <c r="L586" i="10"/>
  <c r="F587" i="10"/>
  <c r="G587" i="10"/>
  <c r="E587" i="10" s="1"/>
  <c r="L587" i="10"/>
  <c r="F588" i="10"/>
  <c r="G588" i="10"/>
  <c r="E588" i="10" s="1"/>
  <c r="L588" i="10"/>
  <c r="F589" i="10"/>
  <c r="G589" i="10"/>
  <c r="E589" i="10" s="1"/>
  <c r="L589" i="10"/>
  <c r="F590" i="10"/>
  <c r="G590" i="10"/>
  <c r="E590" i="10" s="1"/>
  <c r="L590" i="10"/>
  <c r="F591" i="10"/>
  <c r="G591" i="10"/>
  <c r="E591" i="10" s="1"/>
  <c r="L591" i="10"/>
  <c r="F592" i="10"/>
  <c r="G592" i="10"/>
  <c r="E592" i="10" s="1"/>
  <c r="L592" i="10"/>
  <c r="F593" i="10"/>
  <c r="G593" i="10"/>
  <c r="E593" i="10" s="1"/>
  <c r="L593" i="10"/>
  <c r="F594" i="10"/>
  <c r="G594" i="10"/>
  <c r="E594" i="10" s="1"/>
  <c r="L594" i="10"/>
  <c r="F595" i="10"/>
  <c r="G595" i="10"/>
  <c r="E595" i="10" s="1"/>
  <c r="L595" i="10"/>
  <c r="F596" i="10"/>
  <c r="G596" i="10"/>
  <c r="E596" i="10" s="1"/>
  <c r="L596" i="10"/>
  <c r="F597" i="10"/>
  <c r="G597" i="10"/>
  <c r="E597" i="10" s="1"/>
  <c r="L597" i="10"/>
  <c r="F598" i="10"/>
  <c r="G598" i="10"/>
  <c r="E598" i="10" s="1"/>
  <c r="L598" i="10"/>
  <c r="F599" i="10"/>
  <c r="G599" i="10"/>
  <c r="E599" i="10" s="1"/>
  <c r="L599" i="10"/>
  <c r="F600" i="10"/>
  <c r="G600" i="10"/>
  <c r="E600" i="10" s="1"/>
  <c r="L600" i="10"/>
  <c r="F601" i="10"/>
  <c r="G601" i="10"/>
  <c r="E601" i="10" s="1"/>
  <c r="L601" i="10"/>
  <c r="F602" i="10"/>
  <c r="G602" i="10"/>
  <c r="E602" i="10" s="1"/>
  <c r="L602" i="10"/>
  <c r="F603" i="10"/>
  <c r="G603" i="10"/>
  <c r="E603" i="10" s="1"/>
  <c r="L603" i="10"/>
  <c r="F604" i="10"/>
  <c r="G604" i="10"/>
  <c r="E604" i="10" s="1"/>
  <c r="L604" i="10"/>
  <c r="F605" i="10"/>
  <c r="G605" i="10"/>
  <c r="E605" i="10" s="1"/>
  <c r="L605" i="10"/>
  <c r="F606" i="10"/>
  <c r="G606" i="10"/>
  <c r="E606" i="10" s="1"/>
  <c r="L606" i="10"/>
  <c r="F607" i="10"/>
  <c r="G607" i="10"/>
  <c r="E607" i="10" s="1"/>
  <c r="L607" i="10"/>
  <c r="F608" i="10"/>
  <c r="G608" i="10"/>
  <c r="E608" i="10" s="1"/>
  <c r="L608" i="10"/>
  <c r="F609" i="10"/>
  <c r="G609" i="10"/>
  <c r="E609" i="10" s="1"/>
  <c r="L609" i="10"/>
  <c r="F610" i="10"/>
  <c r="G610" i="10"/>
  <c r="E610" i="10" s="1"/>
  <c r="L610" i="10"/>
  <c r="F611" i="10"/>
  <c r="G611" i="10"/>
  <c r="E611" i="10" s="1"/>
  <c r="L611" i="10"/>
  <c r="F612" i="10"/>
  <c r="G612" i="10"/>
  <c r="E612" i="10" s="1"/>
  <c r="L612" i="10"/>
  <c r="F613" i="10"/>
  <c r="G613" i="10"/>
  <c r="E613" i="10" s="1"/>
  <c r="L613" i="10"/>
  <c r="F614" i="10"/>
  <c r="G614" i="10"/>
  <c r="E614" i="10" s="1"/>
  <c r="L614" i="10"/>
  <c r="F615" i="10"/>
  <c r="G615" i="10"/>
  <c r="E615" i="10" s="1"/>
  <c r="L615" i="10"/>
  <c r="F616" i="10"/>
  <c r="G616" i="10"/>
  <c r="E616" i="10" s="1"/>
  <c r="L616" i="10"/>
  <c r="F617" i="10"/>
  <c r="G617" i="10"/>
  <c r="E617" i="10" s="1"/>
  <c r="L617" i="10"/>
  <c r="F618" i="10"/>
  <c r="G618" i="10"/>
  <c r="E618" i="10" s="1"/>
  <c r="L618" i="10"/>
  <c r="F619" i="10"/>
  <c r="G619" i="10"/>
  <c r="E619" i="10" s="1"/>
  <c r="L619" i="10"/>
  <c r="F620" i="10"/>
  <c r="G620" i="10"/>
  <c r="E620" i="10" s="1"/>
  <c r="L620" i="10"/>
  <c r="F621" i="10"/>
  <c r="G621" i="10"/>
  <c r="E621" i="10" s="1"/>
  <c r="L621" i="10"/>
  <c r="F622" i="10"/>
  <c r="G622" i="10"/>
  <c r="E622" i="10" s="1"/>
  <c r="L622" i="10"/>
  <c r="F623" i="10"/>
  <c r="G623" i="10"/>
  <c r="E623" i="10" s="1"/>
  <c r="L623" i="10"/>
  <c r="F624" i="10"/>
  <c r="G624" i="10"/>
  <c r="E624" i="10" s="1"/>
  <c r="L624" i="10"/>
  <c r="F625" i="10"/>
  <c r="G625" i="10"/>
  <c r="E625" i="10" s="1"/>
  <c r="L625" i="10"/>
  <c r="F626" i="10"/>
  <c r="G626" i="10"/>
  <c r="E626" i="10" s="1"/>
  <c r="L626" i="10"/>
  <c r="F627" i="10"/>
  <c r="G627" i="10"/>
  <c r="E627" i="10" s="1"/>
  <c r="L627" i="10"/>
  <c r="F628" i="10"/>
  <c r="G628" i="10"/>
  <c r="E628" i="10" s="1"/>
  <c r="L628" i="10"/>
  <c r="F629" i="10"/>
  <c r="G629" i="10"/>
  <c r="E629" i="10" s="1"/>
  <c r="L629" i="10"/>
  <c r="F630" i="10"/>
  <c r="G630" i="10"/>
  <c r="E630" i="10" s="1"/>
  <c r="L630" i="10"/>
  <c r="F631" i="10"/>
  <c r="G631" i="10"/>
  <c r="E631" i="10" s="1"/>
  <c r="L631" i="10"/>
  <c r="F632" i="10"/>
  <c r="G632" i="10"/>
  <c r="E632" i="10" s="1"/>
  <c r="L632" i="10"/>
  <c r="F633" i="10"/>
  <c r="G633" i="10"/>
  <c r="E633" i="10" s="1"/>
  <c r="L633" i="10"/>
  <c r="F634" i="10"/>
  <c r="G634" i="10"/>
  <c r="E634" i="10" s="1"/>
  <c r="L634" i="10"/>
  <c r="F635" i="10"/>
  <c r="G635" i="10"/>
  <c r="E635" i="10" s="1"/>
  <c r="L635" i="10"/>
  <c r="F636" i="10"/>
  <c r="G636" i="10"/>
  <c r="E636" i="10" s="1"/>
  <c r="L636" i="10"/>
  <c r="F637" i="10"/>
  <c r="G637" i="10"/>
  <c r="E637" i="10" s="1"/>
  <c r="L637" i="10"/>
  <c r="F638" i="10"/>
  <c r="G638" i="10"/>
  <c r="E638" i="10" s="1"/>
  <c r="L638" i="10"/>
  <c r="F639" i="10"/>
  <c r="G639" i="10"/>
  <c r="E639" i="10" s="1"/>
  <c r="L639" i="10"/>
  <c r="F640" i="10"/>
  <c r="G640" i="10"/>
  <c r="E640" i="10" s="1"/>
  <c r="L640" i="10"/>
  <c r="F641" i="10"/>
  <c r="G641" i="10"/>
  <c r="E641" i="10" s="1"/>
  <c r="L641" i="10"/>
  <c r="F642" i="10"/>
  <c r="G642" i="10"/>
  <c r="E642" i="10" s="1"/>
  <c r="L642" i="10"/>
  <c r="F643" i="10"/>
  <c r="G643" i="10"/>
  <c r="E643" i="10" s="1"/>
  <c r="L643" i="10"/>
  <c r="F644" i="10"/>
  <c r="G644" i="10"/>
  <c r="E644" i="10" s="1"/>
  <c r="L644" i="10"/>
  <c r="F645" i="10"/>
  <c r="G645" i="10"/>
  <c r="E645" i="10" s="1"/>
  <c r="L645" i="10"/>
  <c r="F646" i="10"/>
  <c r="G646" i="10"/>
  <c r="E646" i="10" s="1"/>
  <c r="L646" i="10"/>
  <c r="F647" i="10"/>
  <c r="G647" i="10"/>
  <c r="E647" i="10" s="1"/>
  <c r="L647" i="10"/>
  <c r="F648" i="10"/>
  <c r="G648" i="10"/>
  <c r="E648" i="10" s="1"/>
  <c r="L648" i="10"/>
  <c r="F649" i="10"/>
  <c r="G649" i="10"/>
  <c r="E649" i="10" s="1"/>
  <c r="L649" i="10"/>
  <c r="F650" i="10"/>
  <c r="G650" i="10"/>
  <c r="E650" i="10" s="1"/>
  <c r="L650" i="10"/>
  <c r="F651" i="10"/>
  <c r="G651" i="10"/>
  <c r="E651" i="10" s="1"/>
  <c r="L651" i="10"/>
  <c r="F652" i="10"/>
  <c r="G652" i="10"/>
  <c r="E652" i="10" s="1"/>
  <c r="L652" i="10"/>
  <c r="F653" i="10"/>
  <c r="G653" i="10"/>
  <c r="E653" i="10" s="1"/>
  <c r="L653" i="10"/>
  <c r="F654" i="10"/>
  <c r="G654" i="10"/>
  <c r="E654" i="10" s="1"/>
  <c r="L654" i="10"/>
  <c r="F655" i="10"/>
  <c r="G655" i="10"/>
  <c r="E655" i="10" s="1"/>
  <c r="L655" i="10"/>
  <c r="F656" i="10"/>
  <c r="G656" i="10"/>
  <c r="E656" i="10" s="1"/>
  <c r="L656" i="10"/>
  <c r="F657" i="10"/>
  <c r="G657" i="10"/>
  <c r="E657" i="10" s="1"/>
  <c r="L657" i="10"/>
  <c r="F658" i="10"/>
  <c r="G658" i="10"/>
  <c r="E658" i="10" s="1"/>
  <c r="L658" i="10"/>
  <c r="F659" i="10"/>
  <c r="G659" i="10"/>
  <c r="E659" i="10" s="1"/>
  <c r="L659" i="10"/>
  <c r="F660" i="10"/>
  <c r="G660" i="10"/>
  <c r="E660" i="10" s="1"/>
  <c r="L660" i="10"/>
  <c r="F661" i="10"/>
  <c r="G661" i="10"/>
  <c r="E661" i="10" s="1"/>
  <c r="L661" i="10"/>
  <c r="F662" i="10"/>
  <c r="G662" i="10"/>
  <c r="E662" i="10" s="1"/>
  <c r="L662" i="10"/>
  <c r="F663" i="10"/>
  <c r="G663" i="10"/>
  <c r="E663" i="10" s="1"/>
  <c r="L663" i="10"/>
  <c r="F664" i="10"/>
  <c r="G664" i="10"/>
  <c r="E664" i="10" s="1"/>
  <c r="L664" i="10"/>
  <c r="F665" i="10"/>
  <c r="G665" i="10"/>
  <c r="E665" i="10" s="1"/>
  <c r="L665" i="10"/>
  <c r="F666" i="10"/>
  <c r="G666" i="10"/>
  <c r="E666" i="10" s="1"/>
  <c r="L666" i="10"/>
  <c r="F667" i="10"/>
  <c r="G667" i="10"/>
  <c r="E667" i="10" s="1"/>
  <c r="L667" i="10"/>
  <c r="F668" i="10"/>
  <c r="G668" i="10"/>
  <c r="E668" i="10" s="1"/>
  <c r="L668" i="10"/>
  <c r="F669" i="10"/>
  <c r="G669" i="10"/>
  <c r="E669" i="10" s="1"/>
  <c r="L669" i="10"/>
  <c r="F670" i="10"/>
  <c r="G670" i="10"/>
  <c r="E670" i="10" s="1"/>
  <c r="L670" i="10"/>
  <c r="F671" i="10"/>
  <c r="G671" i="10"/>
  <c r="E671" i="10" s="1"/>
  <c r="L671" i="10"/>
  <c r="F672" i="10"/>
  <c r="G672" i="10"/>
  <c r="E672" i="10" s="1"/>
  <c r="L672" i="10"/>
  <c r="F673" i="10"/>
  <c r="G673" i="10"/>
  <c r="E673" i="10" s="1"/>
  <c r="L673" i="10"/>
  <c r="F674" i="10"/>
  <c r="G674" i="10"/>
  <c r="E674" i="10" s="1"/>
  <c r="L674" i="10"/>
  <c r="F675" i="10"/>
  <c r="G675" i="10"/>
  <c r="E675" i="10" s="1"/>
  <c r="L675" i="10"/>
  <c r="F676" i="10"/>
  <c r="G676" i="10"/>
  <c r="E676" i="10" s="1"/>
  <c r="L676" i="10"/>
  <c r="F677" i="10"/>
  <c r="G677" i="10"/>
  <c r="E677" i="10" s="1"/>
  <c r="L677" i="10"/>
  <c r="F678" i="10"/>
  <c r="G678" i="10"/>
  <c r="E678" i="10" s="1"/>
  <c r="L678" i="10"/>
  <c r="F679" i="10"/>
  <c r="G679" i="10"/>
  <c r="E679" i="10" s="1"/>
  <c r="L679" i="10"/>
  <c r="F680" i="10"/>
  <c r="G680" i="10"/>
  <c r="E680" i="10" s="1"/>
  <c r="L680" i="10"/>
  <c r="F681" i="10"/>
  <c r="G681" i="10"/>
  <c r="E681" i="10" s="1"/>
  <c r="L681" i="10"/>
  <c r="F682" i="10"/>
  <c r="G682" i="10"/>
  <c r="E682" i="10" s="1"/>
  <c r="L682" i="10"/>
  <c r="F683" i="10"/>
  <c r="G683" i="10"/>
  <c r="E683" i="10" s="1"/>
  <c r="L683" i="10"/>
  <c r="F684" i="10"/>
  <c r="G684" i="10"/>
  <c r="E684" i="10" s="1"/>
  <c r="L684" i="10"/>
  <c r="F685" i="10"/>
  <c r="G685" i="10"/>
  <c r="E685" i="10" s="1"/>
  <c r="L685" i="10"/>
  <c r="F686" i="10"/>
  <c r="G686" i="10"/>
  <c r="E686" i="10" s="1"/>
  <c r="L686" i="10"/>
  <c r="F687" i="10"/>
  <c r="G687" i="10"/>
  <c r="E687" i="10" s="1"/>
  <c r="L687" i="10"/>
  <c r="F688" i="10"/>
  <c r="G688" i="10"/>
  <c r="E688" i="10" s="1"/>
  <c r="L688" i="10"/>
  <c r="F689" i="10"/>
  <c r="G689" i="10"/>
  <c r="E689" i="10" s="1"/>
  <c r="L689" i="10"/>
  <c r="F690" i="10"/>
  <c r="G690" i="10"/>
  <c r="E690" i="10" s="1"/>
  <c r="L690" i="10"/>
  <c r="F691" i="10"/>
  <c r="G691" i="10"/>
  <c r="E691" i="10" s="1"/>
  <c r="L691" i="10"/>
  <c r="F692" i="10"/>
  <c r="G692" i="10"/>
  <c r="E692" i="10" s="1"/>
  <c r="L692" i="10"/>
  <c r="F693" i="10"/>
  <c r="G693" i="10"/>
  <c r="E693" i="10" s="1"/>
  <c r="L693" i="10"/>
  <c r="F694" i="10"/>
  <c r="G694" i="10"/>
  <c r="E694" i="10" s="1"/>
  <c r="L694" i="10"/>
  <c r="F695" i="10"/>
  <c r="G695" i="10"/>
  <c r="E695" i="10" s="1"/>
  <c r="L695" i="10"/>
  <c r="F696" i="10"/>
  <c r="G696" i="10"/>
  <c r="E696" i="10" s="1"/>
  <c r="L696" i="10"/>
  <c r="F697" i="10"/>
  <c r="G697" i="10"/>
  <c r="E697" i="10" s="1"/>
  <c r="L697" i="10"/>
  <c r="F698" i="10"/>
  <c r="G698" i="10"/>
  <c r="E698" i="10" s="1"/>
  <c r="L698" i="10"/>
  <c r="F699" i="10"/>
  <c r="G699" i="10"/>
  <c r="E699" i="10" s="1"/>
  <c r="L699" i="10"/>
  <c r="F700" i="10"/>
  <c r="G700" i="10"/>
  <c r="E700" i="10" s="1"/>
  <c r="L700" i="10"/>
  <c r="F701" i="10"/>
  <c r="G701" i="10"/>
  <c r="E701" i="10" s="1"/>
  <c r="L701" i="10"/>
  <c r="F702" i="10"/>
  <c r="G702" i="10"/>
  <c r="E702" i="10" s="1"/>
  <c r="L702" i="10"/>
  <c r="F703" i="10"/>
  <c r="G703" i="10"/>
  <c r="E703" i="10" s="1"/>
  <c r="L703" i="10"/>
  <c r="F704" i="10"/>
  <c r="G704" i="10"/>
  <c r="E704" i="10" s="1"/>
  <c r="L704" i="10"/>
  <c r="F705" i="10"/>
  <c r="G705" i="10"/>
  <c r="E705" i="10" s="1"/>
  <c r="L705" i="10"/>
  <c r="F706" i="10"/>
  <c r="G706" i="10"/>
  <c r="E706" i="10" s="1"/>
  <c r="L706" i="10"/>
  <c r="F707" i="10"/>
  <c r="G707" i="10"/>
  <c r="E707" i="10" s="1"/>
  <c r="L707" i="10"/>
  <c r="F708" i="10"/>
  <c r="G708" i="10"/>
  <c r="E708" i="10" s="1"/>
  <c r="L708" i="10"/>
  <c r="F709" i="10"/>
  <c r="G709" i="10"/>
  <c r="E709" i="10" s="1"/>
  <c r="L709" i="10"/>
  <c r="F710" i="10"/>
  <c r="G710" i="10"/>
  <c r="E710" i="10" s="1"/>
  <c r="L710" i="10"/>
  <c r="F711" i="10"/>
  <c r="G711" i="10"/>
  <c r="E711" i="10" s="1"/>
  <c r="L711" i="10"/>
  <c r="F712" i="10"/>
  <c r="G712" i="10"/>
  <c r="E712" i="10" s="1"/>
  <c r="L712" i="10"/>
  <c r="F713" i="10"/>
  <c r="G713" i="10"/>
  <c r="E713" i="10" s="1"/>
  <c r="L713" i="10"/>
  <c r="F714" i="10"/>
  <c r="G714" i="10"/>
  <c r="E714" i="10" s="1"/>
  <c r="L714" i="10"/>
  <c r="F715" i="10"/>
  <c r="G715" i="10"/>
  <c r="E715" i="10" s="1"/>
  <c r="L715" i="10"/>
  <c r="F716" i="10"/>
  <c r="G716" i="10"/>
  <c r="E716" i="10" s="1"/>
  <c r="L716" i="10"/>
  <c r="F717" i="10"/>
  <c r="G717" i="10"/>
  <c r="E717" i="10" s="1"/>
  <c r="L717" i="10"/>
  <c r="F718" i="10"/>
  <c r="G718" i="10"/>
  <c r="E718" i="10" s="1"/>
  <c r="L718" i="10"/>
  <c r="F719" i="10"/>
  <c r="G719" i="10"/>
  <c r="E719" i="10" s="1"/>
  <c r="L719" i="10"/>
  <c r="F720" i="10"/>
  <c r="G720" i="10"/>
  <c r="E720" i="10" s="1"/>
  <c r="L720" i="10"/>
  <c r="F721" i="10"/>
  <c r="G721" i="10"/>
  <c r="E721" i="10" s="1"/>
  <c r="L721" i="10"/>
  <c r="F722" i="10"/>
  <c r="G722" i="10"/>
  <c r="E722" i="10" s="1"/>
  <c r="L722" i="10"/>
  <c r="F723" i="10"/>
  <c r="G723" i="10"/>
  <c r="E723" i="10" s="1"/>
  <c r="L723" i="10"/>
  <c r="F724" i="10"/>
  <c r="G724" i="10"/>
  <c r="E724" i="10" s="1"/>
  <c r="L724" i="10"/>
  <c r="F725" i="10"/>
  <c r="G725" i="10"/>
  <c r="E725" i="10" s="1"/>
  <c r="L725" i="10"/>
  <c r="F726" i="10"/>
  <c r="G726" i="10"/>
  <c r="E726" i="10" s="1"/>
  <c r="L726" i="10"/>
  <c r="F727" i="10"/>
  <c r="G727" i="10"/>
  <c r="E727" i="10" s="1"/>
  <c r="L727" i="10"/>
  <c r="F728" i="10"/>
  <c r="G728" i="10"/>
  <c r="E728" i="10" s="1"/>
  <c r="L728" i="10"/>
  <c r="F729" i="10"/>
  <c r="G729" i="10"/>
  <c r="E729" i="10" s="1"/>
  <c r="L729" i="10"/>
  <c r="F730" i="10"/>
  <c r="G730" i="10"/>
  <c r="E730" i="10" s="1"/>
  <c r="L730" i="10"/>
  <c r="F731" i="10"/>
  <c r="G731" i="10"/>
  <c r="E731" i="10" s="1"/>
  <c r="L731" i="10"/>
  <c r="F732" i="10"/>
  <c r="G732" i="10"/>
  <c r="E732" i="10" s="1"/>
  <c r="L732" i="10"/>
  <c r="F733" i="10"/>
  <c r="G733" i="10"/>
  <c r="E733" i="10" s="1"/>
  <c r="L733" i="10"/>
  <c r="F734" i="10"/>
  <c r="G734" i="10"/>
  <c r="E734" i="10" s="1"/>
  <c r="L734" i="10"/>
  <c r="F735" i="10"/>
  <c r="G735" i="10"/>
  <c r="E735" i="10" s="1"/>
  <c r="L735" i="10"/>
  <c r="F736" i="10"/>
  <c r="G736" i="10"/>
  <c r="E736" i="10" s="1"/>
  <c r="L736" i="10"/>
  <c r="F737" i="10"/>
  <c r="G737" i="10"/>
  <c r="E737" i="10" s="1"/>
  <c r="L737" i="10"/>
  <c r="F738" i="10"/>
  <c r="G738" i="10"/>
  <c r="E738" i="10" s="1"/>
  <c r="L738" i="10"/>
  <c r="F739" i="10"/>
  <c r="G739" i="10"/>
  <c r="E739" i="10" s="1"/>
  <c r="L739" i="10"/>
  <c r="F740" i="10"/>
  <c r="G740" i="10"/>
  <c r="E740" i="10" s="1"/>
  <c r="L740" i="10"/>
  <c r="F741" i="10"/>
  <c r="G741" i="10"/>
  <c r="E741" i="10" s="1"/>
  <c r="L741" i="10"/>
  <c r="F742" i="10"/>
  <c r="G742" i="10"/>
  <c r="E742" i="10" s="1"/>
  <c r="L742" i="10"/>
  <c r="F743" i="10"/>
  <c r="G743" i="10"/>
  <c r="E743" i="10" s="1"/>
  <c r="L743" i="10"/>
  <c r="F744" i="10"/>
  <c r="G744" i="10"/>
  <c r="E744" i="10" s="1"/>
  <c r="L744" i="10"/>
  <c r="F745" i="10"/>
  <c r="G745" i="10"/>
  <c r="E745" i="10" s="1"/>
  <c r="L745" i="10"/>
  <c r="F746" i="10"/>
  <c r="G746" i="10"/>
  <c r="E746" i="10" s="1"/>
  <c r="L746" i="10"/>
  <c r="F747" i="10"/>
  <c r="G747" i="10"/>
  <c r="E747" i="10" s="1"/>
  <c r="L747" i="10"/>
  <c r="F748" i="10"/>
  <c r="G748" i="10"/>
  <c r="E748" i="10" s="1"/>
  <c r="L748" i="10"/>
  <c r="F749" i="10"/>
  <c r="G749" i="10"/>
  <c r="E749" i="10" s="1"/>
  <c r="L749" i="10"/>
  <c r="F750" i="10"/>
  <c r="G750" i="10"/>
  <c r="E750" i="10" s="1"/>
  <c r="L750" i="10"/>
  <c r="F751" i="10"/>
  <c r="G751" i="10"/>
  <c r="E751" i="10" s="1"/>
  <c r="L751" i="10"/>
  <c r="F752" i="10"/>
  <c r="G752" i="10"/>
  <c r="E752" i="10" s="1"/>
  <c r="L752" i="10"/>
  <c r="F753" i="10"/>
  <c r="G753" i="10"/>
  <c r="E753" i="10" s="1"/>
  <c r="L753" i="10"/>
  <c r="F754" i="10"/>
  <c r="G754" i="10"/>
  <c r="E754" i="10" s="1"/>
  <c r="L754" i="10"/>
  <c r="F755" i="10"/>
  <c r="G755" i="10"/>
  <c r="E755" i="10" s="1"/>
  <c r="L755" i="10"/>
  <c r="F756" i="10"/>
  <c r="G756" i="10"/>
  <c r="E756" i="10" s="1"/>
  <c r="L756" i="10"/>
  <c r="F757" i="10"/>
  <c r="G757" i="10"/>
  <c r="E757" i="10" s="1"/>
  <c r="L757" i="10"/>
  <c r="F758" i="10"/>
  <c r="G758" i="10"/>
  <c r="E758" i="10" s="1"/>
  <c r="L758" i="10"/>
  <c r="F759" i="10"/>
  <c r="G759" i="10"/>
  <c r="E759" i="10" s="1"/>
  <c r="L759" i="10"/>
  <c r="F760" i="10"/>
  <c r="G760" i="10"/>
  <c r="E760" i="10" s="1"/>
  <c r="L760" i="10"/>
  <c r="F761" i="10"/>
  <c r="G761" i="10"/>
  <c r="E761" i="10" s="1"/>
  <c r="L761" i="10"/>
  <c r="F762" i="10"/>
  <c r="G762" i="10"/>
  <c r="E762" i="10" s="1"/>
  <c r="L762" i="10"/>
  <c r="F763" i="10"/>
  <c r="G763" i="10"/>
  <c r="E763" i="10" s="1"/>
  <c r="L763" i="10"/>
  <c r="F764" i="10"/>
  <c r="G764" i="10"/>
  <c r="E764" i="10" s="1"/>
  <c r="L764" i="10"/>
  <c r="F765" i="10"/>
  <c r="G765" i="10"/>
  <c r="E765" i="10" s="1"/>
  <c r="L765" i="10"/>
  <c r="F766" i="10"/>
  <c r="G766" i="10"/>
  <c r="E766" i="10" s="1"/>
  <c r="L766" i="10"/>
  <c r="F767" i="10"/>
  <c r="G767" i="10"/>
  <c r="E767" i="10" s="1"/>
  <c r="L767" i="10"/>
  <c r="F768" i="10"/>
  <c r="G768" i="10"/>
  <c r="E768" i="10" s="1"/>
  <c r="L768" i="10"/>
  <c r="F769" i="10"/>
  <c r="G769" i="10"/>
  <c r="E769" i="10" s="1"/>
  <c r="L769" i="10"/>
  <c r="F770" i="10"/>
  <c r="G770" i="10"/>
  <c r="E770" i="10" s="1"/>
  <c r="L770" i="10"/>
  <c r="F771" i="10"/>
  <c r="G771" i="10"/>
  <c r="E771" i="10" s="1"/>
  <c r="L771" i="10"/>
  <c r="F772" i="10"/>
  <c r="G772" i="10"/>
  <c r="E772" i="10" s="1"/>
  <c r="L772" i="10"/>
  <c r="F773" i="10"/>
  <c r="G773" i="10"/>
  <c r="E773" i="10" s="1"/>
  <c r="L773" i="10"/>
  <c r="F774" i="10"/>
  <c r="G774" i="10"/>
  <c r="E774" i="10" s="1"/>
  <c r="L774" i="10"/>
  <c r="F775" i="10"/>
  <c r="G775" i="10"/>
  <c r="E775" i="10" s="1"/>
  <c r="L775" i="10"/>
  <c r="F776" i="10"/>
  <c r="G776" i="10"/>
  <c r="E776" i="10" s="1"/>
  <c r="L776" i="10"/>
  <c r="F777" i="10"/>
  <c r="G777" i="10"/>
  <c r="E777" i="10" s="1"/>
  <c r="L777" i="10"/>
  <c r="F778" i="10"/>
  <c r="G778" i="10"/>
  <c r="E778" i="10" s="1"/>
  <c r="L778" i="10"/>
  <c r="F779" i="10"/>
  <c r="G779" i="10"/>
  <c r="E779" i="10" s="1"/>
  <c r="L779" i="10"/>
  <c r="F780" i="10"/>
  <c r="G780" i="10"/>
  <c r="E780" i="10" s="1"/>
  <c r="L780" i="10"/>
  <c r="F781" i="10"/>
  <c r="G781" i="10"/>
  <c r="E781" i="10" s="1"/>
  <c r="L781" i="10"/>
  <c r="F782" i="10"/>
  <c r="G782" i="10"/>
  <c r="E782" i="10" s="1"/>
  <c r="L782" i="10"/>
  <c r="F783" i="10"/>
  <c r="G783" i="10"/>
  <c r="E783" i="10" s="1"/>
  <c r="L783" i="10"/>
  <c r="F784" i="10"/>
  <c r="G784" i="10"/>
  <c r="E784" i="10" s="1"/>
  <c r="L784" i="10"/>
  <c r="F785" i="10"/>
  <c r="G785" i="10"/>
  <c r="E785" i="10" s="1"/>
  <c r="L785" i="10"/>
  <c r="F786" i="10"/>
  <c r="G786" i="10"/>
  <c r="E786" i="10" s="1"/>
  <c r="L786" i="10"/>
  <c r="F787" i="10"/>
  <c r="G787" i="10"/>
  <c r="E787" i="10" s="1"/>
  <c r="L787" i="10"/>
  <c r="F788" i="10"/>
  <c r="G788" i="10"/>
  <c r="E788" i="10" s="1"/>
  <c r="L788" i="10"/>
  <c r="F789" i="10"/>
  <c r="G789" i="10"/>
  <c r="E789" i="10" s="1"/>
  <c r="L789" i="10"/>
  <c r="F790" i="10"/>
  <c r="G790" i="10"/>
  <c r="E790" i="10" s="1"/>
  <c r="L790" i="10"/>
  <c r="F791" i="10"/>
  <c r="G791" i="10"/>
  <c r="E791" i="10" s="1"/>
  <c r="L791" i="10"/>
  <c r="F792" i="10"/>
  <c r="G792" i="10"/>
  <c r="E792" i="10" s="1"/>
  <c r="L792" i="10"/>
  <c r="F793" i="10"/>
  <c r="G793" i="10"/>
  <c r="E793" i="10" s="1"/>
  <c r="L793" i="10"/>
  <c r="F794" i="10"/>
  <c r="G794" i="10"/>
  <c r="E794" i="10" s="1"/>
  <c r="L794" i="10"/>
  <c r="F795" i="10"/>
  <c r="G795" i="10"/>
  <c r="E795" i="10" s="1"/>
  <c r="L795" i="10"/>
  <c r="F796" i="10"/>
  <c r="G796" i="10"/>
  <c r="E796" i="10" s="1"/>
  <c r="L796" i="10"/>
  <c r="F797" i="10"/>
  <c r="G797" i="10"/>
  <c r="E797" i="10" s="1"/>
  <c r="L797" i="10"/>
  <c r="F798" i="10"/>
  <c r="G798" i="10"/>
  <c r="E798" i="10" s="1"/>
  <c r="L798" i="10"/>
  <c r="F799" i="10"/>
  <c r="G799" i="10"/>
  <c r="E799" i="10" s="1"/>
  <c r="L799" i="10"/>
  <c r="F800" i="10"/>
  <c r="G800" i="10"/>
  <c r="E800" i="10" s="1"/>
  <c r="L800" i="10"/>
  <c r="F801" i="10"/>
  <c r="G801" i="10"/>
  <c r="E801" i="10" s="1"/>
  <c r="L801" i="10"/>
  <c r="F802" i="10"/>
  <c r="G802" i="10"/>
  <c r="E802" i="10" s="1"/>
  <c r="L802" i="10"/>
  <c r="F803" i="10"/>
  <c r="G803" i="10"/>
  <c r="E803" i="10" s="1"/>
  <c r="L803" i="10"/>
  <c r="F804" i="10"/>
  <c r="G804" i="10"/>
  <c r="E804" i="10" s="1"/>
  <c r="L804" i="10"/>
  <c r="F805" i="10"/>
  <c r="G805" i="10"/>
  <c r="E805" i="10" s="1"/>
  <c r="L805" i="10"/>
  <c r="F806" i="10"/>
  <c r="G806" i="10"/>
  <c r="E806" i="10" s="1"/>
  <c r="L806" i="10"/>
  <c r="F807" i="10"/>
  <c r="G807" i="10"/>
  <c r="E807" i="10" s="1"/>
  <c r="L807" i="10"/>
  <c r="F808" i="10"/>
  <c r="G808" i="10"/>
  <c r="E808" i="10" s="1"/>
  <c r="L808" i="10"/>
  <c r="G809" i="10"/>
  <c r="E809" i="10" s="1"/>
  <c r="L809" i="10"/>
  <c r="G810" i="10"/>
  <c r="E810" i="10" s="1"/>
  <c r="L810" i="10"/>
  <c r="G811" i="10"/>
  <c r="E811" i="10" s="1"/>
  <c r="L811" i="10"/>
  <c r="G812" i="10"/>
  <c r="E812" i="10" s="1"/>
  <c r="L812" i="10"/>
  <c r="G813" i="10"/>
  <c r="E813" i="10" s="1"/>
  <c r="L813" i="10"/>
  <c r="F814" i="10"/>
  <c r="G814" i="10"/>
  <c r="E814" i="10" s="1"/>
  <c r="L814" i="10"/>
  <c r="F815" i="10"/>
  <c r="G815" i="10"/>
  <c r="E815" i="10" s="1"/>
  <c r="L815" i="10"/>
  <c r="F816" i="10"/>
  <c r="G816" i="10"/>
  <c r="E816" i="10" s="1"/>
  <c r="L816" i="10"/>
  <c r="F817" i="10"/>
  <c r="G817" i="10"/>
  <c r="E817" i="10" s="1"/>
  <c r="L817" i="10"/>
  <c r="F818" i="10"/>
  <c r="G818" i="10"/>
  <c r="E818" i="10" s="1"/>
  <c r="L818" i="10"/>
  <c r="F819" i="10"/>
  <c r="G819" i="10"/>
  <c r="E819" i="10" s="1"/>
  <c r="L819" i="10"/>
  <c r="F820" i="10"/>
  <c r="G820" i="10"/>
  <c r="E820" i="10" s="1"/>
  <c r="L820" i="10"/>
  <c r="F821" i="10"/>
  <c r="G821" i="10"/>
  <c r="E821" i="10" s="1"/>
  <c r="L821" i="10"/>
  <c r="F822" i="10"/>
  <c r="G822" i="10"/>
  <c r="E822" i="10" s="1"/>
  <c r="L822" i="10"/>
  <c r="F823" i="10"/>
  <c r="G823" i="10"/>
  <c r="E823" i="10" s="1"/>
  <c r="L823" i="10"/>
  <c r="F824" i="10"/>
  <c r="G824" i="10"/>
  <c r="E824" i="10" s="1"/>
  <c r="L824" i="10"/>
  <c r="F825" i="10"/>
  <c r="G825" i="10"/>
  <c r="E825" i="10" s="1"/>
  <c r="L825" i="10"/>
  <c r="F826" i="10"/>
  <c r="G826" i="10"/>
  <c r="E826" i="10" s="1"/>
  <c r="L826" i="10"/>
  <c r="F827" i="10"/>
  <c r="G827" i="10"/>
  <c r="E827" i="10" s="1"/>
  <c r="L827" i="10"/>
  <c r="F828" i="10"/>
  <c r="G828" i="10"/>
  <c r="E828" i="10" s="1"/>
  <c r="L828" i="10"/>
  <c r="F829" i="10"/>
  <c r="G829" i="10"/>
  <c r="E829" i="10" s="1"/>
  <c r="L829" i="10"/>
  <c r="F830" i="10"/>
  <c r="G830" i="10"/>
  <c r="E830" i="10" s="1"/>
  <c r="L830" i="10"/>
  <c r="F831" i="10"/>
  <c r="G831" i="10"/>
  <c r="E831" i="10" s="1"/>
  <c r="L831" i="10"/>
  <c r="F832" i="10"/>
  <c r="G832" i="10"/>
  <c r="E832" i="10" s="1"/>
  <c r="L832" i="10"/>
  <c r="F833" i="10"/>
  <c r="G833" i="10"/>
  <c r="E833" i="10" s="1"/>
  <c r="L833" i="10"/>
  <c r="F834" i="10"/>
  <c r="G834" i="10"/>
  <c r="E834" i="10" s="1"/>
  <c r="L834" i="10"/>
  <c r="F835" i="10"/>
  <c r="G835" i="10"/>
  <c r="E835" i="10" s="1"/>
  <c r="L835" i="10"/>
  <c r="F836" i="10"/>
  <c r="G836" i="10"/>
  <c r="E836" i="10" s="1"/>
  <c r="L836" i="10"/>
  <c r="F837" i="10"/>
  <c r="G837" i="10"/>
  <c r="E837" i="10" s="1"/>
  <c r="L837" i="10"/>
  <c r="F838" i="10"/>
  <c r="G838" i="10"/>
  <c r="E838" i="10" s="1"/>
  <c r="L838" i="10"/>
  <c r="F839" i="10"/>
  <c r="G839" i="10"/>
  <c r="E839" i="10" s="1"/>
  <c r="L839" i="10"/>
  <c r="F840" i="10"/>
  <c r="G840" i="10"/>
  <c r="E840" i="10" s="1"/>
  <c r="L840" i="10"/>
  <c r="F841" i="10"/>
  <c r="G841" i="10"/>
  <c r="E841" i="10" s="1"/>
  <c r="L841" i="10"/>
  <c r="F842" i="10"/>
  <c r="G842" i="10"/>
  <c r="E842" i="10" s="1"/>
  <c r="L842" i="10"/>
  <c r="F843" i="10"/>
  <c r="G843" i="10"/>
  <c r="E843" i="10" s="1"/>
  <c r="L843" i="10"/>
  <c r="F844" i="10"/>
  <c r="G844" i="10"/>
  <c r="E844" i="10" s="1"/>
  <c r="L844" i="10"/>
  <c r="F845" i="10"/>
  <c r="G845" i="10"/>
  <c r="E845" i="10" s="1"/>
  <c r="L845" i="10"/>
  <c r="F846" i="10"/>
  <c r="G846" i="10"/>
  <c r="E846" i="10" s="1"/>
  <c r="L846" i="10"/>
  <c r="F847" i="10"/>
  <c r="G847" i="10"/>
  <c r="E847" i="10" s="1"/>
  <c r="L847" i="10"/>
  <c r="F848" i="10"/>
  <c r="G848" i="10"/>
  <c r="E848" i="10" s="1"/>
  <c r="L848" i="10"/>
  <c r="F849" i="10"/>
  <c r="G849" i="10"/>
  <c r="E849" i="10" s="1"/>
  <c r="L849" i="10"/>
  <c r="F850" i="10"/>
  <c r="G850" i="10"/>
  <c r="E850" i="10" s="1"/>
  <c r="L850" i="10"/>
  <c r="F851" i="10"/>
  <c r="G851" i="10"/>
  <c r="E851" i="10" s="1"/>
  <c r="L851" i="10"/>
  <c r="F852" i="10"/>
  <c r="G852" i="10"/>
  <c r="E852" i="10" s="1"/>
  <c r="L852" i="10"/>
  <c r="F853" i="10"/>
  <c r="G853" i="10"/>
  <c r="E853" i="10" s="1"/>
  <c r="L853" i="10"/>
  <c r="F854" i="10"/>
  <c r="G854" i="10"/>
  <c r="E854" i="10" s="1"/>
  <c r="L854" i="10"/>
  <c r="F855" i="10"/>
  <c r="G855" i="10"/>
  <c r="E855" i="10" s="1"/>
  <c r="L855" i="10"/>
  <c r="F856" i="10"/>
  <c r="G856" i="10"/>
  <c r="E856" i="10" s="1"/>
  <c r="L856" i="10"/>
  <c r="F857" i="10"/>
  <c r="G857" i="10"/>
  <c r="E857" i="10" s="1"/>
  <c r="L857" i="10"/>
  <c r="F858" i="10"/>
  <c r="G858" i="10"/>
  <c r="E858" i="10" s="1"/>
  <c r="L858" i="10"/>
  <c r="F859" i="10"/>
  <c r="G859" i="10"/>
  <c r="E859" i="10" s="1"/>
  <c r="L859" i="10"/>
  <c r="F860" i="10"/>
  <c r="G860" i="10"/>
  <c r="E860" i="10" s="1"/>
  <c r="L860" i="10"/>
  <c r="F861" i="10"/>
  <c r="G861" i="10"/>
  <c r="E861" i="10" s="1"/>
  <c r="L861" i="10"/>
  <c r="F862" i="10"/>
  <c r="G862" i="10"/>
  <c r="E862" i="10" s="1"/>
  <c r="L862" i="10"/>
  <c r="F863" i="10"/>
  <c r="G863" i="10"/>
  <c r="E863" i="10" s="1"/>
  <c r="L863" i="10"/>
  <c r="F864" i="10"/>
  <c r="G864" i="10"/>
  <c r="E864" i="10" s="1"/>
  <c r="L864" i="10"/>
  <c r="F865" i="10"/>
  <c r="G865" i="10"/>
  <c r="E865" i="10" s="1"/>
  <c r="L865" i="10"/>
  <c r="F866" i="10"/>
  <c r="G866" i="10"/>
  <c r="E866" i="10" s="1"/>
  <c r="L866" i="10"/>
  <c r="F867" i="10"/>
  <c r="G867" i="10"/>
  <c r="E867" i="10" s="1"/>
  <c r="L867" i="10"/>
  <c r="E868" i="10"/>
  <c r="L868" i="10"/>
  <c r="E869" i="10"/>
  <c r="L869" i="10"/>
  <c r="E870" i="10"/>
  <c r="L870" i="10"/>
  <c r="E871" i="10"/>
  <c r="L871" i="10"/>
  <c r="E872" i="10"/>
  <c r="L872" i="10"/>
  <c r="E873" i="10"/>
  <c r="L873" i="10"/>
  <c r="F874" i="10"/>
  <c r="G874" i="10"/>
  <c r="E874" i="10" s="1"/>
  <c r="L874" i="10"/>
  <c r="F875" i="10"/>
  <c r="G875" i="10"/>
  <c r="E875" i="10" s="1"/>
  <c r="L875" i="10"/>
  <c r="F876" i="10"/>
  <c r="G876" i="10"/>
  <c r="E876" i="10" s="1"/>
  <c r="L876" i="10"/>
  <c r="F877" i="10"/>
  <c r="G877" i="10"/>
  <c r="E877" i="10" s="1"/>
  <c r="L877" i="10"/>
  <c r="F878" i="10"/>
  <c r="G878" i="10"/>
  <c r="E878" i="10" s="1"/>
  <c r="L878" i="10"/>
  <c r="F879" i="10"/>
  <c r="G879" i="10"/>
  <c r="E879" i="10" s="1"/>
  <c r="L879" i="10"/>
  <c r="F880" i="10"/>
  <c r="G880" i="10"/>
  <c r="E880" i="10" s="1"/>
  <c r="L880" i="10"/>
  <c r="F881" i="10"/>
  <c r="G881" i="10"/>
  <c r="E881" i="10" s="1"/>
  <c r="L881" i="10"/>
  <c r="F882" i="10"/>
  <c r="G882" i="10"/>
  <c r="E882" i="10" s="1"/>
  <c r="L882" i="10"/>
  <c r="F883" i="10"/>
  <c r="G883" i="10"/>
  <c r="E883" i="10" s="1"/>
  <c r="L883" i="10"/>
  <c r="F884" i="10"/>
  <c r="G884" i="10"/>
  <c r="E884" i="10" s="1"/>
  <c r="L884" i="10"/>
  <c r="F885" i="10"/>
  <c r="G885" i="10"/>
  <c r="E885" i="10" s="1"/>
  <c r="L885" i="10"/>
  <c r="F886" i="10"/>
  <c r="G886" i="10"/>
  <c r="E886" i="10" s="1"/>
  <c r="L886" i="10"/>
  <c r="F887" i="10"/>
  <c r="G887" i="10"/>
  <c r="E887" i="10" s="1"/>
  <c r="L887" i="10"/>
  <c r="F888" i="10"/>
  <c r="G888" i="10"/>
  <c r="E888" i="10" s="1"/>
  <c r="L888" i="10"/>
  <c r="F889" i="10"/>
  <c r="G889" i="10"/>
  <c r="E889" i="10" s="1"/>
  <c r="L889" i="10"/>
  <c r="F890" i="10"/>
  <c r="G890" i="10"/>
  <c r="E890" i="10" s="1"/>
  <c r="L890" i="10"/>
  <c r="F891" i="10"/>
  <c r="G891" i="10"/>
  <c r="E891" i="10" s="1"/>
  <c r="L891" i="10"/>
  <c r="F892" i="10"/>
  <c r="G892" i="10"/>
  <c r="E892" i="10" s="1"/>
  <c r="L892" i="10"/>
  <c r="F893" i="10"/>
  <c r="G893" i="10"/>
  <c r="E893" i="10" s="1"/>
  <c r="L893" i="10"/>
  <c r="F894" i="10"/>
  <c r="G894" i="10"/>
  <c r="E894" i="10" s="1"/>
  <c r="L894" i="10"/>
  <c r="F895" i="10"/>
  <c r="G895" i="10"/>
  <c r="E895" i="10" s="1"/>
  <c r="L895" i="10"/>
  <c r="F896" i="10"/>
  <c r="G896" i="10"/>
  <c r="E896" i="10" s="1"/>
  <c r="L896" i="10"/>
  <c r="F897" i="10"/>
  <c r="G897" i="10"/>
  <c r="E897" i="10" s="1"/>
  <c r="L897" i="10"/>
  <c r="F898" i="10"/>
  <c r="G898" i="10"/>
  <c r="E898" i="10" s="1"/>
  <c r="L898" i="10"/>
  <c r="F899" i="10"/>
  <c r="G899" i="10"/>
  <c r="E899" i="10" s="1"/>
  <c r="L899" i="10"/>
  <c r="F900" i="10"/>
  <c r="G900" i="10"/>
  <c r="E900" i="10" s="1"/>
  <c r="L900" i="10"/>
  <c r="F901" i="10"/>
  <c r="G901" i="10"/>
  <c r="E901" i="10" s="1"/>
  <c r="L901" i="10"/>
  <c r="F902" i="10"/>
  <c r="G902" i="10"/>
  <c r="E902" i="10" s="1"/>
  <c r="L902" i="10"/>
  <c r="F903" i="10"/>
  <c r="G903" i="10"/>
  <c r="E903" i="10" s="1"/>
  <c r="L903" i="10"/>
  <c r="F904" i="10"/>
  <c r="G904" i="10"/>
  <c r="E904" i="10" s="1"/>
  <c r="L904" i="10"/>
  <c r="F905" i="10"/>
  <c r="G905" i="10"/>
  <c r="E905" i="10" s="1"/>
  <c r="L905" i="10"/>
  <c r="F906" i="10"/>
  <c r="G906" i="10"/>
  <c r="E906" i="10" s="1"/>
  <c r="L906" i="10"/>
  <c r="F907" i="10"/>
  <c r="G907" i="10"/>
  <c r="E907" i="10" s="1"/>
  <c r="L907" i="10"/>
  <c r="F908" i="10"/>
  <c r="G908" i="10"/>
  <c r="E908" i="10" s="1"/>
  <c r="L908" i="10"/>
  <c r="F909" i="10"/>
  <c r="G909" i="10"/>
  <c r="E909" i="10" s="1"/>
  <c r="L909" i="10"/>
  <c r="F910" i="10"/>
  <c r="G910" i="10"/>
  <c r="E910" i="10" s="1"/>
  <c r="L910" i="10"/>
  <c r="F911" i="10"/>
  <c r="G911" i="10"/>
  <c r="E911" i="10" s="1"/>
  <c r="L911" i="10"/>
  <c r="F912" i="10"/>
  <c r="G912" i="10"/>
  <c r="E912" i="10" s="1"/>
  <c r="L912" i="10"/>
  <c r="F913" i="10"/>
  <c r="G913" i="10"/>
  <c r="E913" i="10" s="1"/>
  <c r="L913" i="10"/>
  <c r="F914" i="10"/>
  <c r="G914" i="10"/>
  <c r="E914" i="10" s="1"/>
  <c r="L914" i="10"/>
  <c r="F915" i="10"/>
  <c r="G915" i="10"/>
  <c r="E915" i="10" s="1"/>
  <c r="L915" i="10"/>
  <c r="F916" i="10"/>
  <c r="G916" i="10"/>
  <c r="E916" i="10" s="1"/>
  <c r="L916" i="10"/>
  <c r="F917" i="10"/>
  <c r="G917" i="10"/>
  <c r="E917" i="10" s="1"/>
  <c r="L917" i="10"/>
  <c r="F918" i="10"/>
  <c r="G918" i="10"/>
  <c r="E918" i="10" s="1"/>
  <c r="L918" i="10"/>
  <c r="F919" i="10"/>
  <c r="G919" i="10"/>
  <c r="E919" i="10" s="1"/>
  <c r="L919" i="10"/>
  <c r="F920" i="10"/>
  <c r="G920" i="10"/>
  <c r="E920" i="10" s="1"/>
  <c r="L920" i="10"/>
  <c r="F921" i="10"/>
  <c r="G921" i="10"/>
  <c r="E921" i="10" s="1"/>
  <c r="L921" i="10"/>
  <c r="F922" i="10"/>
  <c r="G922" i="10"/>
  <c r="E922" i="10" s="1"/>
  <c r="L922" i="10"/>
  <c r="F923" i="10"/>
  <c r="G923" i="10"/>
  <c r="E923" i="10" s="1"/>
  <c r="L923" i="10"/>
  <c r="F924" i="10"/>
  <c r="G924" i="10"/>
  <c r="E924" i="10" s="1"/>
  <c r="L924" i="10"/>
  <c r="F925" i="10"/>
  <c r="G925" i="10"/>
  <c r="E925" i="10" s="1"/>
  <c r="L925" i="10"/>
  <c r="F926" i="10"/>
  <c r="G926" i="10"/>
  <c r="E926" i="10" s="1"/>
  <c r="L926" i="10"/>
  <c r="F927" i="10"/>
  <c r="G927" i="10"/>
  <c r="E927" i="10" s="1"/>
  <c r="L927" i="10"/>
  <c r="F928" i="10"/>
  <c r="G928" i="10"/>
  <c r="E928" i="10" s="1"/>
  <c r="L928" i="10"/>
  <c r="F929" i="10"/>
  <c r="G929" i="10"/>
  <c r="E929" i="10" s="1"/>
  <c r="L929" i="10"/>
  <c r="F930" i="10"/>
  <c r="G930" i="10"/>
  <c r="E930" i="10" s="1"/>
  <c r="L930" i="10"/>
  <c r="F931" i="10"/>
  <c r="G931" i="10"/>
  <c r="E931" i="10" s="1"/>
  <c r="L931" i="10"/>
  <c r="F932" i="10"/>
  <c r="G932" i="10"/>
  <c r="E932" i="10" s="1"/>
  <c r="L932" i="10"/>
  <c r="F933" i="10"/>
  <c r="G933" i="10"/>
  <c r="E933" i="10" s="1"/>
  <c r="L933" i="10"/>
  <c r="F934" i="10"/>
  <c r="G934" i="10"/>
  <c r="E934" i="10" s="1"/>
  <c r="L934" i="10"/>
  <c r="F935" i="10"/>
  <c r="G935" i="10"/>
  <c r="E935" i="10" s="1"/>
  <c r="L935" i="10"/>
  <c r="F936" i="10"/>
  <c r="G936" i="10"/>
  <c r="E936" i="10" s="1"/>
  <c r="L936" i="10"/>
  <c r="F937" i="10"/>
  <c r="G937" i="10"/>
  <c r="E937" i="10" s="1"/>
  <c r="L937" i="10"/>
  <c r="F938" i="10"/>
  <c r="G938" i="10"/>
  <c r="E938" i="10" s="1"/>
  <c r="L938" i="10"/>
  <c r="F939" i="10"/>
  <c r="G939" i="10"/>
  <c r="E939" i="10" s="1"/>
  <c r="L939" i="10"/>
  <c r="F940" i="10"/>
  <c r="G940" i="10"/>
  <c r="E940" i="10" s="1"/>
  <c r="L940" i="10"/>
  <c r="F941" i="10"/>
  <c r="G941" i="10"/>
  <c r="E941" i="10" s="1"/>
  <c r="L941" i="10"/>
  <c r="F942" i="10"/>
  <c r="G942" i="10"/>
  <c r="E942" i="10" s="1"/>
  <c r="L942" i="10"/>
  <c r="F943" i="10"/>
  <c r="G943" i="10"/>
  <c r="E943" i="10" s="1"/>
  <c r="L943" i="10"/>
  <c r="F944" i="10"/>
  <c r="G944" i="10"/>
  <c r="E944" i="10" s="1"/>
  <c r="L944" i="10"/>
  <c r="F945" i="10"/>
  <c r="G945" i="10"/>
  <c r="E945" i="10" s="1"/>
  <c r="L945" i="10"/>
  <c r="F946" i="10"/>
  <c r="G946" i="10"/>
  <c r="E946" i="10" s="1"/>
  <c r="L946" i="10"/>
  <c r="F947" i="10"/>
  <c r="G947" i="10"/>
  <c r="E947" i="10" s="1"/>
  <c r="L947" i="10"/>
  <c r="F948" i="10"/>
  <c r="G948" i="10"/>
  <c r="E948" i="10" s="1"/>
  <c r="L948" i="10"/>
  <c r="F949" i="10"/>
  <c r="G949" i="10"/>
  <c r="E949" i="10" s="1"/>
  <c r="L949" i="10"/>
  <c r="F950" i="10"/>
  <c r="G950" i="10"/>
  <c r="E950" i="10" s="1"/>
  <c r="L950" i="10"/>
  <c r="F951" i="10"/>
  <c r="G951" i="10"/>
  <c r="E951" i="10" s="1"/>
  <c r="L951" i="10"/>
  <c r="F952" i="10"/>
  <c r="G952" i="10"/>
  <c r="E952" i="10" s="1"/>
  <c r="L952" i="10"/>
  <c r="F953" i="10"/>
  <c r="G953" i="10"/>
  <c r="E953" i="10" s="1"/>
  <c r="L953" i="10"/>
  <c r="F954" i="10"/>
  <c r="G954" i="10"/>
  <c r="E954" i="10" s="1"/>
  <c r="L954" i="10"/>
  <c r="F955" i="10"/>
  <c r="G955" i="10"/>
  <c r="E955" i="10" s="1"/>
  <c r="L955" i="10"/>
  <c r="F956" i="10"/>
  <c r="G956" i="10"/>
  <c r="E956" i="10" s="1"/>
  <c r="L956" i="10"/>
  <c r="F957" i="10"/>
  <c r="G957" i="10"/>
  <c r="E957" i="10" s="1"/>
  <c r="L957" i="10"/>
  <c r="F958" i="10"/>
  <c r="G958" i="10"/>
  <c r="E958" i="10" s="1"/>
  <c r="L958" i="10"/>
  <c r="F959" i="10"/>
  <c r="G959" i="10"/>
  <c r="E959" i="10" s="1"/>
  <c r="L959" i="10"/>
  <c r="F960" i="10"/>
  <c r="G960" i="10"/>
  <c r="E960" i="10" s="1"/>
  <c r="L960" i="10"/>
  <c r="F961" i="10"/>
  <c r="G961" i="10"/>
  <c r="E961" i="10" s="1"/>
  <c r="L961" i="10"/>
  <c r="F962" i="10"/>
  <c r="G962" i="10"/>
  <c r="E962" i="10" s="1"/>
  <c r="L962" i="10"/>
  <c r="F963" i="10"/>
  <c r="G963" i="10"/>
  <c r="E963" i="10" s="1"/>
  <c r="L963" i="10"/>
  <c r="F964" i="10"/>
  <c r="G964" i="10"/>
  <c r="E964" i="10" s="1"/>
  <c r="L964" i="10"/>
  <c r="F965" i="10"/>
  <c r="G965" i="10"/>
  <c r="E965" i="10" s="1"/>
  <c r="L965" i="10"/>
  <c r="F966" i="10"/>
  <c r="G966" i="10"/>
  <c r="E966" i="10" s="1"/>
  <c r="L966" i="10"/>
  <c r="F967" i="10"/>
  <c r="G967" i="10"/>
  <c r="E967" i="10" s="1"/>
  <c r="L967" i="10"/>
  <c r="F968" i="10"/>
  <c r="G968" i="10"/>
  <c r="E968" i="10" s="1"/>
  <c r="L968" i="10"/>
  <c r="F969" i="10"/>
  <c r="G969" i="10"/>
  <c r="E969" i="10" s="1"/>
  <c r="L969" i="10"/>
  <c r="F970" i="10"/>
  <c r="G970" i="10"/>
  <c r="E970" i="10" s="1"/>
  <c r="L970" i="10"/>
  <c r="F971" i="10"/>
  <c r="G971" i="10"/>
  <c r="E971" i="10" s="1"/>
  <c r="L971" i="10"/>
  <c r="F972" i="10"/>
  <c r="G972" i="10"/>
  <c r="E972" i="10" s="1"/>
  <c r="L972" i="10"/>
  <c r="F973" i="10"/>
  <c r="G973" i="10"/>
  <c r="E973" i="10" s="1"/>
  <c r="L973" i="10"/>
  <c r="F974" i="10"/>
  <c r="G974" i="10"/>
  <c r="E974" i="10" s="1"/>
  <c r="L974" i="10"/>
  <c r="F975" i="10"/>
  <c r="G975" i="10"/>
  <c r="E975" i="10" s="1"/>
  <c r="L975" i="10"/>
  <c r="F976" i="10"/>
  <c r="G976" i="10"/>
  <c r="E976" i="10" s="1"/>
  <c r="L976" i="10"/>
  <c r="F977" i="10"/>
  <c r="G977" i="10"/>
  <c r="E977" i="10" s="1"/>
  <c r="L977" i="10"/>
  <c r="F978" i="10"/>
  <c r="G978" i="10"/>
  <c r="E978" i="10" s="1"/>
  <c r="L978" i="10"/>
  <c r="F979" i="10"/>
  <c r="G979" i="10"/>
  <c r="E979" i="10" s="1"/>
  <c r="L979" i="10"/>
  <c r="F980" i="10"/>
  <c r="G980" i="10"/>
  <c r="E980" i="10" s="1"/>
  <c r="L980" i="10"/>
  <c r="F981" i="10"/>
  <c r="G981" i="10"/>
  <c r="E981" i="10" s="1"/>
  <c r="L981" i="10"/>
  <c r="F982" i="10"/>
  <c r="G982" i="10"/>
  <c r="E982" i="10" s="1"/>
  <c r="L982" i="10"/>
  <c r="F983" i="10"/>
  <c r="G983" i="10"/>
  <c r="E983" i="10" s="1"/>
  <c r="L983" i="10"/>
  <c r="F984" i="10"/>
  <c r="G984" i="10"/>
  <c r="E984" i="10" s="1"/>
  <c r="L984" i="10"/>
  <c r="F985" i="10"/>
  <c r="G985" i="10"/>
  <c r="E985" i="10" s="1"/>
  <c r="L985" i="10"/>
  <c r="F986" i="10"/>
  <c r="G986" i="10"/>
  <c r="E986" i="10" s="1"/>
  <c r="L986" i="10"/>
  <c r="F987" i="10"/>
  <c r="G987" i="10"/>
  <c r="E987" i="10" s="1"/>
  <c r="L987" i="10"/>
  <c r="F988" i="10"/>
  <c r="G988" i="10"/>
  <c r="E988" i="10" s="1"/>
  <c r="L988" i="10"/>
  <c r="F989" i="10"/>
  <c r="G989" i="10"/>
  <c r="E989" i="10" s="1"/>
  <c r="L989" i="10"/>
  <c r="F990" i="10"/>
  <c r="G990" i="10"/>
  <c r="E990" i="10" s="1"/>
  <c r="L990" i="10"/>
  <c r="F991" i="10"/>
  <c r="G991" i="10"/>
  <c r="E991" i="10" s="1"/>
  <c r="L991" i="10"/>
  <c r="F992" i="10"/>
  <c r="G992" i="10"/>
  <c r="E992" i="10" s="1"/>
  <c r="L992" i="10"/>
  <c r="F993" i="10"/>
  <c r="G993" i="10"/>
  <c r="E993" i="10" s="1"/>
  <c r="L993" i="10"/>
  <c r="F994" i="10"/>
  <c r="G994" i="10"/>
  <c r="E994" i="10" s="1"/>
  <c r="L994" i="10"/>
  <c r="F995" i="10"/>
  <c r="G995" i="10"/>
  <c r="E995" i="10" s="1"/>
  <c r="L995" i="10"/>
  <c r="F996" i="10"/>
  <c r="G996" i="10"/>
  <c r="E996" i="10" s="1"/>
  <c r="L996" i="10"/>
  <c r="F997" i="10"/>
  <c r="G997" i="10"/>
  <c r="E997" i="10" s="1"/>
  <c r="L997" i="10"/>
  <c r="F998" i="10"/>
  <c r="G998" i="10"/>
  <c r="E998" i="10" s="1"/>
  <c r="L998" i="10"/>
  <c r="F999" i="10"/>
  <c r="G999" i="10"/>
  <c r="E999" i="10" s="1"/>
  <c r="L999" i="10"/>
  <c r="F1000" i="10"/>
  <c r="G1000" i="10"/>
  <c r="E1000" i="10" s="1"/>
  <c r="L1000" i="10"/>
  <c r="F1001" i="10"/>
  <c r="G1001" i="10"/>
  <c r="E1001" i="10" s="1"/>
  <c r="L1001" i="10"/>
  <c r="F1002" i="10"/>
  <c r="G1002" i="10"/>
  <c r="E1002" i="10" s="1"/>
  <c r="L1002" i="10"/>
  <c r="F1003" i="10"/>
  <c r="G1003" i="10"/>
  <c r="E1003" i="10" s="1"/>
  <c r="L1003" i="10"/>
  <c r="F1004" i="10"/>
  <c r="G1004" i="10"/>
  <c r="E1004" i="10" s="1"/>
  <c r="L1004" i="10"/>
  <c r="F1005" i="10"/>
  <c r="G1005" i="10"/>
  <c r="E1005" i="10" s="1"/>
  <c r="L1005" i="10"/>
  <c r="F1006" i="10"/>
  <c r="G1006" i="10"/>
  <c r="E1006" i="10" s="1"/>
  <c r="L1006" i="10"/>
  <c r="F1007" i="10"/>
  <c r="G1007" i="10"/>
  <c r="E1007" i="10" s="1"/>
  <c r="L1007" i="10"/>
  <c r="F1008" i="10"/>
  <c r="G1008" i="10"/>
  <c r="E1008" i="10" s="1"/>
  <c r="L1008" i="10"/>
  <c r="F1009" i="10"/>
  <c r="G1009" i="10"/>
  <c r="E1009" i="10" s="1"/>
  <c r="L1009" i="10"/>
  <c r="F1010" i="10"/>
  <c r="G1010" i="10"/>
  <c r="E1010" i="10" s="1"/>
  <c r="L1010" i="10"/>
  <c r="F1011" i="10"/>
  <c r="G1011" i="10"/>
  <c r="E1011" i="10" s="1"/>
  <c r="L1011" i="10"/>
  <c r="F1012" i="10"/>
  <c r="G1012" i="10"/>
  <c r="E1012" i="10" s="1"/>
  <c r="L1012" i="10"/>
  <c r="F1013" i="10"/>
  <c r="G1013" i="10"/>
  <c r="E1013" i="10" s="1"/>
  <c r="L1013" i="10"/>
  <c r="F1014" i="10"/>
  <c r="G1014" i="10"/>
  <c r="E1014" i="10" s="1"/>
  <c r="L1014" i="10"/>
  <c r="F1015" i="10"/>
  <c r="G1015" i="10"/>
  <c r="E1015" i="10" s="1"/>
  <c r="L1015" i="10"/>
  <c r="F1016" i="10"/>
  <c r="G1016" i="10"/>
  <c r="E1016" i="10" s="1"/>
  <c r="L1016" i="10"/>
  <c r="F1017" i="10"/>
  <c r="G1017" i="10"/>
  <c r="E1017" i="10" s="1"/>
  <c r="L1017" i="10"/>
  <c r="F1018" i="10"/>
  <c r="G1018" i="10"/>
  <c r="E1018" i="10" s="1"/>
  <c r="L1018" i="10"/>
  <c r="F1019" i="10"/>
  <c r="G1019" i="10"/>
  <c r="E1019" i="10" s="1"/>
  <c r="L1019" i="10"/>
  <c r="F1020" i="10"/>
  <c r="G1020" i="10"/>
  <c r="E1020" i="10" s="1"/>
  <c r="L1020" i="10"/>
  <c r="F1021" i="10"/>
  <c r="G1021" i="10"/>
  <c r="E1021" i="10" s="1"/>
  <c r="L1021" i="10"/>
  <c r="F1022" i="10"/>
  <c r="G1022" i="10"/>
  <c r="E1022" i="10" s="1"/>
  <c r="L1022" i="10"/>
  <c r="F1023" i="10"/>
  <c r="G1023" i="10"/>
  <c r="E1023" i="10" s="1"/>
  <c r="L1023" i="10"/>
  <c r="F1024" i="10"/>
  <c r="G1024" i="10"/>
  <c r="E1024" i="10" s="1"/>
  <c r="L1024" i="10"/>
  <c r="F1025" i="10"/>
  <c r="G1025" i="10"/>
  <c r="E1025" i="10" s="1"/>
  <c r="L1025" i="10"/>
  <c r="F1026" i="10"/>
  <c r="G1026" i="10"/>
  <c r="E1026" i="10" s="1"/>
  <c r="L1026" i="10"/>
  <c r="F1027" i="10"/>
  <c r="G1027" i="10"/>
  <c r="E1027" i="10" s="1"/>
  <c r="L1027" i="10"/>
  <c r="F1028" i="10"/>
  <c r="G1028" i="10"/>
  <c r="E1028" i="10" s="1"/>
  <c r="L1028" i="10"/>
  <c r="F1029" i="10"/>
  <c r="G1029" i="10"/>
  <c r="E1029" i="10" s="1"/>
  <c r="L1029" i="10"/>
  <c r="F1030" i="10"/>
  <c r="G1030" i="10"/>
  <c r="E1030" i="10" s="1"/>
  <c r="L1030" i="10"/>
  <c r="F1031" i="10"/>
  <c r="G1031" i="10"/>
  <c r="E1031" i="10" s="1"/>
  <c r="L1031" i="10"/>
  <c r="F1032" i="10"/>
  <c r="G1032" i="10"/>
  <c r="E1032" i="10" s="1"/>
  <c r="L1032" i="10"/>
  <c r="F1033" i="10"/>
  <c r="G1033" i="10"/>
  <c r="E1033" i="10" s="1"/>
  <c r="L1033" i="10"/>
  <c r="F1034" i="10"/>
  <c r="G1034" i="10"/>
  <c r="E1034" i="10" s="1"/>
  <c r="L1034" i="10"/>
  <c r="F1035" i="10"/>
  <c r="G1035" i="10"/>
  <c r="E1035" i="10" s="1"/>
  <c r="L1035" i="10"/>
  <c r="F1036" i="10"/>
  <c r="G1036" i="10"/>
  <c r="E1036" i="10" s="1"/>
  <c r="L1036" i="10"/>
  <c r="F1037" i="10"/>
  <c r="G1037" i="10"/>
  <c r="E1037" i="10" s="1"/>
  <c r="L1037" i="10"/>
  <c r="F1038" i="10"/>
  <c r="G1038" i="10"/>
  <c r="E1038" i="10" s="1"/>
  <c r="L1038" i="10"/>
  <c r="F1039" i="10"/>
  <c r="G1039" i="10"/>
  <c r="E1039" i="10" s="1"/>
  <c r="L1039" i="10"/>
  <c r="F1040" i="10"/>
  <c r="G1040" i="10"/>
  <c r="E1040" i="10" s="1"/>
  <c r="L1040" i="10"/>
  <c r="F1041" i="10"/>
  <c r="G1041" i="10"/>
  <c r="E1041" i="10" s="1"/>
  <c r="L1041" i="10"/>
  <c r="F1042" i="10"/>
  <c r="G1042" i="10"/>
  <c r="E1042" i="10" s="1"/>
  <c r="L1042" i="10"/>
  <c r="F1043" i="10"/>
  <c r="G1043" i="10"/>
  <c r="E1043" i="10" s="1"/>
  <c r="L1043" i="10"/>
  <c r="F1044" i="10"/>
  <c r="G1044" i="10"/>
  <c r="E1044" i="10" s="1"/>
  <c r="L1044" i="10"/>
  <c r="F1045" i="10"/>
  <c r="G1045" i="10"/>
  <c r="E1045" i="10" s="1"/>
  <c r="L1045" i="10"/>
  <c r="F1046" i="10"/>
  <c r="G1046" i="10"/>
  <c r="E1046" i="10" s="1"/>
  <c r="L1046" i="10"/>
  <c r="F1047" i="10"/>
  <c r="G1047" i="10"/>
  <c r="E1047" i="10" s="1"/>
  <c r="L1047" i="10"/>
  <c r="F1048" i="10"/>
  <c r="G1048" i="10"/>
  <c r="E1048" i="10" s="1"/>
  <c r="L1048" i="10"/>
  <c r="F1049" i="10"/>
  <c r="G1049" i="10"/>
  <c r="E1049" i="10" s="1"/>
  <c r="L1049" i="10"/>
  <c r="F1050" i="10"/>
  <c r="G1050" i="10"/>
  <c r="E1050" i="10" s="1"/>
  <c r="L1050" i="10"/>
  <c r="F1051" i="10"/>
  <c r="G1051" i="10"/>
  <c r="E1051" i="10" s="1"/>
  <c r="L1051" i="10"/>
  <c r="F1052" i="10"/>
  <c r="G1052" i="10"/>
  <c r="E1052" i="10" s="1"/>
  <c r="L1052" i="10"/>
  <c r="F1053" i="10"/>
  <c r="G1053" i="10"/>
  <c r="E1053" i="10" s="1"/>
  <c r="L1053" i="10"/>
  <c r="F1054" i="10"/>
  <c r="G1054" i="10"/>
  <c r="E1054" i="10" s="1"/>
  <c r="L1054" i="10"/>
  <c r="F1055" i="10"/>
  <c r="G1055" i="10"/>
  <c r="E1055" i="10" s="1"/>
  <c r="L1055" i="10"/>
  <c r="F1056" i="10"/>
  <c r="G1056" i="10"/>
  <c r="E1056" i="10" s="1"/>
  <c r="L1056" i="10"/>
  <c r="F1057" i="10"/>
  <c r="G1057" i="10"/>
  <c r="E1057" i="10" s="1"/>
  <c r="L1057" i="10"/>
  <c r="F1058" i="10"/>
  <c r="G1058" i="10"/>
  <c r="E1058" i="10" s="1"/>
  <c r="L1058" i="10"/>
  <c r="F1059" i="10"/>
  <c r="G1059" i="10"/>
  <c r="E1059" i="10" s="1"/>
  <c r="L1059" i="10"/>
  <c r="F1060" i="10"/>
  <c r="G1060" i="10"/>
  <c r="E1060" i="10" s="1"/>
  <c r="L1060" i="10"/>
  <c r="F1061" i="10"/>
  <c r="G1061" i="10"/>
  <c r="E1061" i="10" s="1"/>
  <c r="L1061" i="10"/>
  <c r="F1062" i="10"/>
  <c r="G1062" i="10"/>
  <c r="E1062" i="10" s="1"/>
  <c r="L1062" i="10"/>
  <c r="F1063" i="10"/>
  <c r="G1063" i="10"/>
  <c r="E1063" i="10" s="1"/>
  <c r="L1063" i="10"/>
  <c r="F1064" i="10"/>
  <c r="G1064" i="10"/>
  <c r="E1064" i="10" s="1"/>
  <c r="L1064" i="10"/>
  <c r="F1065" i="10"/>
  <c r="G1065" i="10"/>
  <c r="E1065" i="10" s="1"/>
  <c r="L1065" i="10"/>
  <c r="F1066" i="10"/>
  <c r="G1066" i="10"/>
  <c r="E1066" i="10" s="1"/>
  <c r="L1066" i="10"/>
  <c r="F1067" i="10"/>
  <c r="G1067" i="10"/>
  <c r="E1067" i="10" s="1"/>
  <c r="L1067" i="10"/>
  <c r="F1068" i="10"/>
  <c r="G1068" i="10"/>
  <c r="E1068" i="10" s="1"/>
  <c r="L1068" i="10"/>
  <c r="F1069" i="10"/>
  <c r="G1069" i="10"/>
  <c r="E1069" i="10" s="1"/>
  <c r="L1069" i="10"/>
  <c r="F1070" i="10"/>
  <c r="G1070" i="10"/>
  <c r="E1070" i="10" s="1"/>
  <c r="L1070" i="10"/>
  <c r="F1071" i="10"/>
  <c r="G1071" i="10"/>
  <c r="E1071" i="10" s="1"/>
  <c r="L1071" i="10"/>
  <c r="F1072" i="10"/>
  <c r="G1072" i="10"/>
  <c r="E1072" i="10" s="1"/>
  <c r="L1072" i="10"/>
  <c r="F1073" i="10"/>
  <c r="G1073" i="10"/>
  <c r="E1073" i="10" s="1"/>
  <c r="L1073" i="10"/>
  <c r="F1074" i="10"/>
  <c r="G1074" i="10"/>
  <c r="E1074" i="10" s="1"/>
  <c r="L1074" i="10"/>
  <c r="F1075" i="10"/>
  <c r="G1075" i="10"/>
  <c r="E1075" i="10" s="1"/>
  <c r="L1075" i="10"/>
  <c r="F1076" i="10"/>
  <c r="G1076" i="10"/>
  <c r="E1076" i="10" s="1"/>
  <c r="L1076" i="10"/>
  <c r="F1077" i="10"/>
  <c r="G1077" i="10"/>
  <c r="E1077" i="10" s="1"/>
  <c r="L1077" i="10"/>
  <c r="F1078" i="10"/>
  <c r="G1078" i="10"/>
  <c r="E1078" i="10" s="1"/>
  <c r="L1078" i="10"/>
  <c r="F1079" i="10"/>
  <c r="G1079" i="10"/>
  <c r="E1079" i="10" s="1"/>
  <c r="L1079" i="10"/>
  <c r="F1080" i="10"/>
  <c r="G1080" i="10"/>
  <c r="E1080" i="10" s="1"/>
  <c r="L1080" i="10"/>
  <c r="F1081" i="10"/>
  <c r="G1081" i="10"/>
  <c r="E1081" i="10" s="1"/>
  <c r="L1081" i="10"/>
  <c r="F1082" i="10"/>
  <c r="G1082" i="10"/>
  <c r="E1082" i="10" s="1"/>
  <c r="L1082" i="10"/>
  <c r="F1083" i="10"/>
  <c r="G1083" i="10"/>
  <c r="E1083" i="10" s="1"/>
  <c r="L1083" i="10"/>
  <c r="F1084" i="10"/>
  <c r="G1084" i="10"/>
  <c r="E1084" i="10" s="1"/>
  <c r="L1084" i="10"/>
  <c r="F1085" i="10"/>
  <c r="G1085" i="10"/>
  <c r="E1085" i="10" s="1"/>
  <c r="L1085" i="10"/>
  <c r="F1086" i="10"/>
  <c r="G1086" i="10"/>
  <c r="E1086" i="10" s="1"/>
  <c r="L1086" i="10"/>
  <c r="F1087" i="10"/>
  <c r="G1087" i="10"/>
  <c r="E1087" i="10" s="1"/>
  <c r="L1087" i="10"/>
  <c r="F1088" i="10"/>
  <c r="G1088" i="10"/>
  <c r="E1088" i="10" s="1"/>
  <c r="L1088" i="10"/>
  <c r="F1089" i="10"/>
  <c r="G1089" i="10"/>
  <c r="E1089" i="10" s="1"/>
  <c r="L1089" i="10"/>
  <c r="F1090" i="10"/>
  <c r="G1090" i="10"/>
  <c r="E1090" i="10" s="1"/>
  <c r="L1090" i="10"/>
  <c r="F1091" i="10"/>
  <c r="G1091" i="10"/>
  <c r="E1091" i="10" s="1"/>
  <c r="L1091" i="10"/>
  <c r="F1092" i="10"/>
  <c r="G1092" i="10"/>
  <c r="E1092" i="10" s="1"/>
  <c r="L1092" i="10"/>
  <c r="F1093" i="10"/>
  <c r="G1093" i="10"/>
  <c r="E1093" i="10" s="1"/>
  <c r="L1093" i="10"/>
  <c r="F1094" i="10"/>
  <c r="G1094" i="10"/>
  <c r="E1094" i="10" s="1"/>
  <c r="L1094" i="10"/>
  <c r="F1095" i="10"/>
  <c r="G1095" i="10"/>
  <c r="E1095" i="10" s="1"/>
  <c r="L1095" i="10"/>
  <c r="F1096" i="10"/>
  <c r="G1096" i="10"/>
  <c r="E1096" i="10" s="1"/>
  <c r="L1096" i="10"/>
  <c r="F1097" i="10"/>
  <c r="G1097" i="10"/>
  <c r="E1097" i="10" s="1"/>
  <c r="L1097" i="10"/>
  <c r="F1098" i="10"/>
  <c r="G1098" i="10"/>
  <c r="E1098" i="10" s="1"/>
  <c r="L1098" i="10"/>
  <c r="F1099" i="10"/>
  <c r="G1099" i="10"/>
  <c r="E1099" i="10" s="1"/>
  <c r="L1099" i="10"/>
  <c r="F1100" i="10"/>
  <c r="G1100" i="10"/>
  <c r="E1100" i="10" s="1"/>
  <c r="L1100" i="10"/>
  <c r="F1101" i="10"/>
  <c r="G1101" i="10"/>
  <c r="E1101" i="10" s="1"/>
  <c r="L1101" i="10"/>
  <c r="F1102" i="10"/>
  <c r="G1102" i="10"/>
  <c r="E1102" i="10" s="1"/>
  <c r="L1102" i="10"/>
  <c r="F1103" i="10"/>
  <c r="G1103" i="10"/>
  <c r="E1103" i="10" s="1"/>
  <c r="L1103" i="10"/>
  <c r="F1104" i="10"/>
  <c r="G1104" i="10"/>
  <c r="E1104" i="10" s="1"/>
  <c r="L1104" i="10"/>
  <c r="F1105" i="10"/>
  <c r="G1105" i="10"/>
  <c r="E1105" i="10" s="1"/>
  <c r="L1105" i="10"/>
  <c r="F1106" i="10"/>
  <c r="G1106" i="10"/>
  <c r="E1106" i="10" s="1"/>
  <c r="L1106" i="10"/>
  <c r="F1107" i="10"/>
  <c r="G1107" i="10"/>
  <c r="E1107" i="10" s="1"/>
  <c r="L1107" i="10"/>
  <c r="F1108" i="10"/>
  <c r="G1108" i="10"/>
  <c r="E1108" i="10" s="1"/>
  <c r="L1108" i="10"/>
  <c r="F1109" i="10"/>
  <c r="G1109" i="10"/>
  <c r="E1109" i="10" s="1"/>
  <c r="L1109" i="10"/>
  <c r="F1110" i="10"/>
  <c r="G1110" i="10"/>
  <c r="E1110" i="10" s="1"/>
  <c r="L1110" i="10"/>
  <c r="F1111" i="10"/>
  <c r="G1111" i="10"/>
  <c r="E1111" i="10" s="1"/>
  <c r="L1111" i="10"/>
  <c r="F1112" i="10"/>
  <c r="G1112" i="10"/>
  <c r="E1112" i="10" s="1"/>
  <c r="L1112" i="10"/>
  <c r="F1113" i="10"/>
  <c r="G1113" i="10"/>
  <c r="E1113" i="10" s="1"/>
  <c r="L1113" i="10"/>
  <c r="F1114" i="10"/>
  <c r="G1114" i="10"/>
  <c r="E1114" i="10" s="1"/>
  <c r="L1114" i="10"/>
  <c r="F1115" i="10"/>
  <c r="G1115" i="10"/>
  <c r="E1115" i="10" s="1"/>
  <c r="L1115" i="10"/>
  <c r="F1116" i="10"/>
  <c r="G1116" i="10"/>
  <c r="E1116" i="10" s="1"/>
  <c r="L1116" i="10"/>
  <c r="F1117" i="10"/>
  <c r="G1117" i="10"/>
  <c r="E1117" i="10" s="1"/>
  <c r="L1117" i="10"/>
  <c r="F1118" i="10"/>
  <c r="G1118" i="10"/>
  <c r="E1118" i="10" s="1"/>
  <c r="L1118" i="10"/>
  <c r="F1119" i="10"/>
  <c r="G1119" i="10"/>
  <c r="E1119" i="10" s="1"/>
  <c r="L1119" i="10"/>
  <c r="F1120" i="10"/>
  <c r="G1120" i="10"/>
  <c r="E1120" i="10" s="1"/>
  <c r="L1120" i="10"/>
  <c r="F1121" i="10"/>
  <c r="G1121" i="10"/>
  <c r="E1121" i="10" s="1"/>
  <c r="L1121" i="10"/>
  <c r="F1122" i="10"/>
  <c r="G1122" i="10"/>
  <c r="E1122" i="10" s="1"/>
  <c r="L1122" i="10"/>
  <c r="F1123" i="10"/>
  <c r="G1123" i="10"/>
  <c r="E1123" i="10" s="1"/>
  <c r="L1123" i="10"/>
  <c r="F1124" i="10"/>
  <c r="G1124" i="10"/>
  <c r="E1124" i="10" s="1"/>
  <c r="L1124" i="10"/>
  <c r="F1125" i="10"/>
  <c r="G1125" i="10"/>
  <c r="E1125" i="10" s="1"/>
  <c r="L1125" i="10"/>
  <c r="F1126" i="10"/>
  <c r="G1126" i="10"/>
  <c r="E1126" i="10" s="1"/>
  <c r="L1126" i="10"/>
  <c r="F1127" i="10"/>
  <c r="G1127" i="10"/>
  <c r="E1127" i="10" s="1"/>
  <c r="L1127" i="10"/>
  <c r="F1128" i="10"/>
  <c r="G1128" i="10"/>
  <c r="E1128" i="10" s="1"/>
  <c r="L1128" i="10"/>
  <c r="F1129" i="10"/>
  <c r="G1129" i="10"/>
  <c r="E1129" i="10" s="1"/>
  <c r="L1129" i="10"/>
  <c r="F1130" i="10"/>
  <c r="G1130" i="10"/>
  <c r="E1130" i="10" s="1"/>
  <c r="L1130" i="10"/>
  <c r="F1131" i="10"/>
  <c r="G1131" i="10"/>
  <c r="E1131" i="10" s="1"/>
  <c r="L1131" i="10"/>
  <c r="F1132" i="10"/>
  <c r="G1132" i="10"/>
  <c r="E1132" i="10" s="1"/>
  <c r="L1132" i="10"/>
  <c r="F1133" i="10"/>
  <c r="G1133" i="10"/>
  <c r="E1133" i="10" s="1"/>
  <c r="L1133" i="10"/>
  <c r="F1134" i="10"/>
  <c r="G1134" i="10"/>
  <c r="E1134" i="10" s="1"/>
  <c r="L1134" i="10"/>
  <c r="F1135" i="10"/>
  <c r="G1135" i="10"/>
  <c r="E1135" i="10" s="1"/>
  <c r="L1135" i="10"/>
  <c r="F1136" i="10"/>
  <c r="G1136" i="10"/>
  <c r="E1136" i="10" s="1"/>
  <c r="L1136" i="10"/>
  <c r="F1137" i="10"/>
  <c r="G1137" i="10"/>
  <c r="E1137" i="10" s="1"/>
  <c r="L1137" i="10"/>
  <c r="F1138" i="10"/>
  <c r="G1138" i="10"/>
  <c r="E1138" i="10" s="1"/>
  <c r="L1138" i="10"/>
  <c r="F1139" i="10"/>
  <c r="G1139" i="10"/>
  <c r="E1139" i="10" s="1"/>
  <c r="L1139" i="10"/>
  <c r="F1140" i="10"/>
  <c r="G1140" i="10"/>
  <c r="E1140" i="10" s="1"/>
  <c r="L1140" i="10"/>
  <c r="F1141" i="10"/>
  <c r="G1141" i="10"/>
  <c r="E1141" i="10" s="1"/>
  <c r="L1141" i="10"/>
  <c r="F1142" i="10"/>
  <c r="G1142" i="10"/>
  <c r="E1142" i="10" s="1"/>
  <c r="L1142" i="10"/>
  <c r="F1143" i="10"/>
  <c r="G1143" i="10"/>
  <c r="E1143" i="10" s="1"/>
  <c r="L1143" i="10"/>
  <c r="F1144" i="10"/>
  <c r="G1144" i="10"/>
  <c r="E1144" i="10" s="1"/>
  <c r="L1144" i="10"/>
  <c r="F1145" i="10"/>
  <c r="G1145" i="10"/>
  <c r="E1145" i="10" s="1"/>
  <c r="L1145" i="10"/>
  <c r="F1146" i="10"/>
  <c r="G1146" i="10"/>
  <c r="E1146" i="10" s="1"/>
  <c r="L1146" i="10"/>
  <c r="F1147" i="10"/>
  <c r="G1147" i="10"/>
  <c r="E1147" i="10" s="1"/>
  <c r="L1147" i="10"/>
  <c r="F1148" i="10"/>
  <c r="G1148" i="10"/>
  <c r="E1148" i="10" s="1"/>
  <c r="L1148" i="10"/>
  <c r="F1149" i="10"/>
  <c r="G1149" i="10"/>
  <c r="E1149" i="10" s="1"/>
  <c r="L1149" i="10"/>
  <c r="F1150" i="10"/>
  <c r="G1150" i="10"/>
  <c r="E1150" i="10" s="1"/>
  <c r="L1150" i="10"/>
  <c r="F1151" i="10"/>
  <c r="G1151" i="10"/>
  <c r="E1151" i="10" s="1"/>
  <c r="L1151" i="10"/>
  <c r="F1152" i="10"/>
  <c r="G1152" i="10"/>
  <c r="E1152" i="10" s="1"/>
  <c r="L1152" i="10"/>
  <c r="F1153" i="10"/>
  <c r="G1153" i="10"/>
  <c r="E1153" i="10" s="1"/>
  <c r="L1153" i="10"/>
  <c r="F1154" i="10"/>
  <c r="G1154" i="10"/>
  <c r="E1154" i="10" s="1"/>
  <c r="L1154" i="10"/>
  <c r="F1155" i="10"/>
  <c r="G1155" i="10"/>
  <c r="E1155" i="10" s="1"/>
  <c r="L1155" i="10"/>
  <c r="F1156" i="10"/>
  <c r="G1156" i="10"/>
  <c r="E1156" i="10" s="1"/>
  <c r="L1156" i="10"/>
  <c r="F1157" i="10"/>
  <c r="G1157" i="10"/>
  <c r="E1157" i="10" s="1"/>
  <c r="L1157" i="10"/>
  <c r="F1158" i="10"/>
  <c r="G1158" i="10"/>
  <c r="E1158" i="10" s="1"/>
  <c r="L1158" i="10"/>
  <c r="F1159" i="10"/>
  <c r="G1159" i="10"/>
  <c r="E1159" i="10" s="1"/>
  <c r="L1159" i="10"/>
  <c r="F1160" i="10"/>
  <c r="G1160" i="10"/>
  <c r="E1160" i="10" s="1"/>
  <c r="L1160" i="10"/>
  <c r="F1161" i="10"/>
  <c r="G1161" i="10"/>
  <c r="E1161" i="10" s="1"/>
  <c r="L1161" i="10"/>
  <c r="F1162" i="10"/>
  <c r="G1162" i="10"/>
  <c r="E1162" i="10" s="1"/>
  <c r="L1162" i="10"/>
  <c r="F1163" i="10"/>
  <c r="G1163" i="10"/>
  <c r="E1163" i="10" s="1"/>
  <c r="L1163" i="10"/>
  <c r="F1164" i="10"/>
  <c r="G1164" i="10"/>
  <c r="E1164" i="10" s="1"/>
  <c r="L1164" i="10"/>
  <c r="F1165" i="10"/>
  <c r="G1165" i="10"/>
  <c r="E1165" i="10" s="1"/>
  <c r="L1165" i="10"/>
  <c r="F1166" i="10"/>
  <c r="G1166" i="10"/>
  <c r="E1166" i="10" s="1"/>
  <c r="L1166" i="10"/>
  <c r="F1167" i="10"/>
  <c r="G1167" i="10"/>
  <c r="E1167" i="10" s="1"/>
  <c r="L1167" i="10"/>
  <c r="F1168" i="10"/>
  <c r="G1168" i="10"/>
  <c r="E1168" i="10" s="1"/>
  <c r="L1168" i="10"/>
  <c r="F1169" i="10"/>
  <c r="G1169" i="10"/>
  <c r="E1169" i="10" s="1"/>
  <c r="L1169" i="10"/>
  <c r="F1170" i="10"/>
  <c r="G1170" i="10"/>
  <c r="E1170" i="10" s="1"/>
  <c r="L1170" i="10"/>
  <c r="F1171" i="10"/>
  <c r="G1171" i="10"/>
  <c r="E1171" i="10" s="1"/>
  <c r="L1171" i="10"/>
  <c r="F1172" i="10"/>
  <c r="G1172" i="10"/>
  <c r="E1172" i="10" s="1"/>
  <c r="L1172" i="10"/>
  <c r="F1173" i="10"/>
  <c r="G1173" i="10"/>
  <c r="E1173" i="10" s="1"/>
  <c r="L1173" i="10"/>
  <c r="F1174" i="10"/>
  <c r="G1174" i="10"/>
  <c r="E1174" i="10" s="1"/>
  <c r="L1174" i="10"/>
  <c r="F1175" i="10"/>
  <c r="G1175" i="10"/>
  <c r="E1175" i="10" s="1"/>
  <c r="L1175" i="10"/>
  <c r="F1176" i="10"/>
  <c r="G1176" i="10"/>
  <c r="E1176" i="10" s="1"/>
  <c r="L1176" i="10"/>
  <c r="F1177" i="10"/>
  <c r="G1177" i="10"/>
  <c r="E1177" i="10" s="1"/>
  <c r="L1177" i="10"/>
  <c r="F1178" i="10"/>
  <c r="G1178" i="10"/>
  <c r="E1178" i="10" s="1"/>
  <c r="L1178" i="10"/>
  <c r="F1179" i="10"/>
  <c r="G1179" i="10"/>
  <c r="E1179" i="10" s="1"/>
  <c r="L1179" i="10"/>
  <c r="F1180" i="10"/>
  <c r="G1180" i="10"/>
  <c r="E1180" i="10" s="1"/>
  <c r="L1180" i="10"/>
  <c r="F1181" i="10"/>
  <c r="G1181" i="10"/>
  <c r="E1181" i="10" s="1"/>
  <c r="L1181" i="10"/>
  <c r="F1182" i="10"/>
  <c r="G1182" i="10"/>
  <c r="E1182" i="10" s="1"/>
  <c r="L1182" i="10"/>
  <c r="F1183" i="10"/>
  <c r="G1183" i="10"/>
  <c r="E1183" i="10" s="1"/>
  <c r="L1183" i="10"/>
  <c r="F1184" i="10"/>
  <c r="G1184" i="10"/>
  <c r="E1184" i="10" s="1"/>
  <c r="L1184" i="10"/>
  <c r="F1185" i="10"/>
  <c r="G1185" i="10"/>
  <c r="E1185" i="10" s="1"/>
  <c r="L1185" i="10"/>
  <c r="F1186" i="10"/>
  <c r="G1186" i="10"/>
  <c r="E1186" i="10" s="1"/>
  <c r="L1186" i="10"/>
  <c r="F1187" i="10"/>
  <c r="G1187" i="10"/>
  <c r="E1187" i="10" s="1"/>
  <c r="L1187" i="10"/>
  <c r="F1188" i="10"/>
  <c r="G1188" i="10"/>
  <c r="E1188" i="10" s="1"/>
  <c r="L1188" i="10"/>
  <c r="F1189" i="10"/>
  <c r="G1189" i="10"/>
  <c r="E1189" i="10" s="1"/>
  <c r="L1189" i="10"/>
  <c r="F1190" i="10"/>
  <c r="G1190" i="10"/>
  <c r="E1190" i="10" s="1"/>
  <c r="L1190" i="10"/>
  <c r="F1191" i="10"/>
  <c r="G1191" i="10"/>
  <c r="E1191" i="10" s="1"/>
  <c r="L1191" i="10"/>
  <c r="F1192" i="10"/>
  <c r="G1192" i="10"/>
  <c r="E1192" i="10" s="1"/>
  <c r="L1192" i="10"/>
  <c r="F1193" i="10"/>
  <c r="G1193" i="10"/>
  <c r="E1193" i="10" s="1"/>
  <c r="L1193" i="10"/>
  <c r="F1194" i="10"/>
  <c r="G1194" i="10"/>
  <c r="E1194" i="10" s="1"/>
  <c r="L1194" i="10"/>
  <c r="F1195" i="10"/>
  <c r="G1195" i="10"/>
  <c r="E1195" i="10" s="1"/>
  <c r="L1195" i="10"/>
  <c r="F1196" i="10"/>
  <c r="G1196" i="10"/>
  <c r="E1196" i="10" s="1"/>
  <c r="L1196" i="10"/>
  <c r="F1197" i="10"/>
  <c r="G1197" i="10"/>
  <c r="E1197" i="10" s="1"/>
  <c r="L1197" i="10"/>
  <c r="F1198" i="10"/>
  <c r="G1198" i="10"/>
  <c r="E1198" i="10" s="1"/>
  <c r="L1198" i="10"/>
  <c r="F1199" i="10"/>
  <c r="G1199" i="10"/>
  <c r="E1199" i="10" s="1"/>
  <c r="L1199" i="10"/>
  <c r="F1200" i="10"/>
  <c r="G1200" i="10"/>
  <c r="E1200" i="10" s="1"/>
  <c r="L1200" i="10"/>
  <c r="F1201" i="10"/>
  <c r="G1201" i="10"/>
  <c r="E1201" i="10" s="1"/>
  <c r="L1201" i="10"/>
  <c r="F1202" i="10"/>
  <c r="G1202" i="10"/>
  <c r="E1202" i="10" s="1"/>
  <c r="L1202" i="10"/>
  <c r="F1203" i="10"/>
  <c r="G1203" i="10"/>
  <c r="E1203" i="10" s="1"/>
  <c r="L1203" i="10"/>
  <c r="F1204" i="10"/>
  <c r="G1204" i="10"/>
  <c r="E1204" i="10" s="1"/>
  <c r="L1204" i="10"/>
  <c r="F1205" i="10"/>
  <c r="G1205" i="10"/>
  <c r="E1205" i="10" s="1"/>
  <c r="L1205" i="10"/>
  <c r="F1206" i="10"/>
  <c r="G1206" i="10"/>
  <c r="E1206" i="10" s="1"/>
  <c r="L1206" i="10"/>
  <c r="F1207" i="10"/>
  <c r="G1207" i="10"/>
  <c r="E1207" i="10" s="1"/>
  <c r="L1207" i="10"/>
  <c r="F1208" i="10"/>
  <c r="G1208" i="10"/>
  <c r="E1208" i="10" s="1"/>
  <c r="L1208" i="10"/>
  <c r="F1209" i="10"/>
  <c r="G1209" i="10"/>
  <c r="E1209" i="10" s="1"/>
  <c r="L1209" i="10"/>
  <c r="F1210" i="10"/>
  <c r="G1210" i="10"/>
  <c r="E1210" i="10" s="1"/>
  <c r="L1210" i="10"/>
  <c r="F1211" i="10"/>
  <c r="G1211" i="10"/>
  <c r="E1211" i="10" s="1"/>
  <c r="L1211" i="10"/>
  <c r="F1212" i="10"/>
  <c r="G1212" i="10"/>
  <c r="E1212" i="10" s="1"/>
  <c r="L1212" i="10"/>
  <c r="F1213" i="10"/>
  <c r="G1213" i="10"/>
  <c r="E1213" i="10" s="1"/>
  <c r="L1213" i="10"/>
  <c r="F1214" i="10"/>
  <c r="G1214" i="10"/>
  <c r="E1214" i="10" s="1"/>
  <c r="L1214" i="10"/>
  <c r="F1215" i="10"/>
  <c r="G1215" i="10"/>
  <c r="E1215" i="10" s="1"/>
  <c r="L1215" i="10"/>
  <c r="F1216" i="10"/>
  <c r="G1216" i="10"/>
  <c r="E1216" i="10" s="1"/>
  <c r="L1216" i="10"/>
  <c r="F1217" i="10"/>
  <c r="G1217" i="10"/>
  <c r="E1217" i="10" s="1"/>
  <c r="L1217" i="10"/>
  <c r="F1218" i="10"/>
  <c r="G1218" i="10"/>
  <c r="E1218" i="10" s="1"/>
  <c r="L1218" i="10"/>
  <c r="F1219" i="10"/>
  <c r="G1219" i="10"/>
  <c r="E1219" i="10" s="1"/>
  <c r="L1219" i="10"/>
  <c r="F1220" i="10"/>
  <c r="G1220" i="10"/>
  <c r="E1220" i="10" s="1"/>
  <c r="L1220" i="10"/>
  <c r="F1221" i="10"/>
  <c r="G1221" i="10"/>
  <c r="E1221" i="10" s="1"/>
  <c r="L1221" i="10"/>
  <c r="F1222" i="10"/>
  <c r="G1222" i="10"/>
  <c r="E1222" i="10" s="1"/>
  <c r="L1222" i="10"/>
  <c r="F1223" i="10"/>
  <c r="G1223" i="10"/>
  <c r="E1223" i="10" s="1"/>
  <c r="L1223" i="10"/>
  <c r="F1224" i="10"/>
  <c r="G1224" i="10"/>
  <c r="E1224" i="10" s="1"/>
  <c r="L1224" i="10"/>
  <c r="F1225" i="10"/>
  <c r="G1225" i="10"/>
  <c r="E1225" i="10" s="1"/>
  <c r="L1225" i="10"/>
  <c r="F1226" i="10"/>
  <c r="G1226" i="10"/>
  <c r="E1226" i="10" s="1"/>
  <c r="L1226" i="10"/>
  <c r="F1227" i="10"/>
  <c r="G1227" i="10"/>
  <c r="E1227" i="10" s="1"/>
  <c r="L1227" i="10"/>
  <c r="F1228" i="10"/>
  <c r="G1228" i="10"/>
  <c r="E1228" i="10" s="1"/>
  <c r="L1228" i="10"/>
  <c r="F1229" i="10"/>
  <c r="G1229" i="10"/>
  <c r="E1229" i="10" s="1"/>
  <c r="L1229" i="10"/>
  <c r="F1230" i="10"/>
  <c r="G1230" i="10"/>
  <c r="E1230" i="10" s="1"/>
  <c r="L1230" i="10"/>
  <c r="F1231" i="10"/>
  <c r="G1231" i="10"/>
  <c r="E1231" i="10" s="1"/>
  <c r="L1231" i="10"/>
  <c r="F1232" i="10"/>
  <c r="G1232" i="10"/>
  <c r="E1232" i="10" s="1"/>
  <c r="L1232" i="10"/>
  <c r="F1233" i="10"/>
  <c r="G1233" i="10"/>
  <c r="E1233" i="10" s="1"/>
  <c r="L1233" i="10"/>
  <c r="F1234" i="10"/>
  <c r="G1234" i="10"/>
  <c r="E1234" i="10" s="1"/>
  <c r="L1234" i="10"/>
  <c r="F1235" i="10"/>
  <c r="G1235" i="10"/>
  <c r="E1235" i="10" s="1"/>
  <c r="L1235" i="10"/>
  <c r="F1236" i="10"/>
  <c r="G1236" i="10"/>
  <c r="E1236" i="10" s="1"/>
  <c r="L1236" i="10"/>
  <c r="F1237" i="10"/>
  <c r="G1237" i="10"/>
  <c r="E1237" i="10" s="1"/>
  <c r="L1237" i="10"/>
  <c r="F1238" i="10"/>
  <c r="G1238" i="10"/>
  <c r="E1238" i="10" s="1"/>
  <c r="L1238" i="10"/>
  <c r="F1239" i="10"/>
  <c r="G1239" i="10"/>
  <c r="E1239" i="10" s="1"/>
  <c r="L1239" i="10"/>
  <c r="F1240" i="10"/>
  <c r="G1240" i="10"/>
  <c r="E1240" i="10" s="1"/>
  <c r="L1240" i="10"/>
  <c r="F1241" i="10"/>
  <c r="G1241" i="10"/>
  <c r="E1241" i="10" s="1"/>
  <c r="L1241" i="10"/>
  <c r="F1242" i="10"/>
  <c r="G1242" i="10"/>
  <c r="E1242" i="10" s="1"/>
  <c r="L1242" i="10"/>
  <c r="F1243" i="10"/>
  <c r="G1243" i="10"/>
  <c r="E1243" i="10" s="1"/>
  <c r="L1243" i="10"/>
  <c r="F1244" i="10"/>
  <c r="G1244" i="10"/>
  <c r="E1244" i="10" s="1"/>
  <c r="L1244" i="10"/>
  <c r="F1245" i="10"/>
  <c r="G1245" i="10"/>
  <c r="E1245" i="10" s="1"/>
  <c r="L1245" i="10"/>
  <c r="F1246" i="10"/>
  <c r="G1246" i="10"/>
  <c r="E1246" i="10" s="1"/>
  <c r="L1246" i="10"/>
  <c r="F1247" i="10"/>
  <c r="G1247" i="10"/>
  <c r="E1247" i="10" s="1"/>
  <c r="L1247" i="10"/>
  <c r="F1248" i="10"/>
  <c r="G1248" i="10"/>
  <c r="E1248" i="10" s="1"/>
  <c r="L1248" i="10"/>
  <c r="F1249" i="10"/>
  <c r="G1249" i="10"/>
  <c r="E1249" i="10" s="1"/>
  <c r="L1249" i="10"/>
  <c r="F1250" i="10"/>
  <c r="G1250" i="10"/>
  <c r="E1250" i="10" s="1"/>
  <c r="L1250" i="10"/>
  <c r="F1251" i="10"/>
  <c r="G1251" i="10"/>
  <c r="E1251" i="10" s="1"/>
  <c r="L1251" i="10"/>
  <c r="F1252" i="10"/>
  <c r="G1252" i="10"/>
  <c r="E1252" i="10" s="1"/>
  <c r="L1252" i="10"/>
  <c r="F1253" i="10"/>
  <c r="G1253" i="10"/>
  <c r="E1253" i="10" s="1"/>
  <c r="L1253" i="10"/>
  <c r="F1254" i="10"/>
  <c r="G1254" i="10"/>
  <c r="E1254" i="10" s="1"/>
  <c r="L1254" i="10"/>
  <c r="F1255" i="10"/>
  <c r="G1255" i="10"/>
  <c r="E1255" i="10" s="1"/>
  <c r="L1255" i="10"/>
  <c r="F1256" i="10"/>
  <c r="G1256" i="10"/>
  <c r="E1256" i="10" s="1"/>
  <c r="L1256" i="10"/>
  <c r="F1257" i="10"/>
  <c r="G1257" i="10"/>
  <c r="E1257" i="10" s="1"/>
  <c r="L1257" i="10"/>
  <c r="F1258" i="10"/>
  <c r="G1258" i="10"/>
  <c r="E1258" i="10" s="1"/>
  <c r="L1258" i="10"/>
  <c r="F1259" i="10"/>
  <c r="G1259" i="10"/>
  <c r="E1259" i="10" s="1"/>
  <c r="L1259" i="10"/>
  <c r="F1260" i="10"/>
  <c r="G1260" i="10"/>
  <c r="E1260" i="10" s="1"/>
  <c r="L1260" i="10"/>
  <c r="F1261" i="10"/>
  <c r="G1261" i="10"/>
  <c r="E1261" i="10" s="1"/>
  <c r="L1261" i="10"/>
  <c r="F1262" i="10"/>
  <c r="G1262" i="10"/>
  <c r="E1262" i="10" s="1"/>
  <c r="L1262" i="10"/>
  <c r="F1263" i="10"/>
  <c r="G1263" i="10"/>
  <c r="E1263" i="10" s="1"/>
  <c r="L1263" i="10"/>
  <c r="F1264" i="10"/>
  <c r="G1264" i="10"/>
  <c r="E1264" i="10" s="1"/>
  <c r="L1264" i="10"/>
  <c r="F1265" i="10"/>
  <c r="G1265" i="10"/>
  <c r="E1265" i="10" s="1"/>
  <c r="L1265" i="10"/>
  <c r="F1266" i="10"/>
  <c r="G1266" i="10"/>
  <c r="E1266" i="10" s="1"/>
  <c r="L1266" i="10"/>
  <c r="F1267" i="10"/>
  <c r="G1267" i="10"/>
  <c r="E1267" i="10" s="1"/>
  <c r="L1267" i="10"/>
  <c r="F1268" i="10"/>
  <c r="G1268" i="10"/>
  <c r="E1268" i="10" s="1"/>
  <c r="L1268" i="10"/>
  <c r="F1269" i="10"/>
  <c r="G1269" i="10"/>
  <c r="E1269" i="10" s="1"/>
  <c r="L1269" i="10"/>
  <c r="F1270" i="10"/>
  <c r="G1270" i="10"/>
  <c r="E1270" i="10" s="1"/>
  <c r="L1270" i="10"/>
  <c r="F1271" i="10"/>
  <c r="G1271" i="10"/>
  <c r="E1271" i="10" s="1"/>
  <c r="L1271" i="10"/>
  <c r="F1272" i="10"/>
  <c r="G1272" i="10"/>
  <c r="E1272" i="10" s="1"/>
  <c r="L1272" i="10"/>
  <c r="F1273" i="10"/>
  <c r="G1273" i="10"/>
  <c r="E1273" i="10" s="1"/>
  <c r="L1273" i="10"/>
  <c r="F1274" i="10"/>
  <c r="G1274" i="10"/>
  <c r="E1274" i="10" s="1"/>
  <c r="L1274" i="10"/>
  <c r="F1275" i="10"/>
  <c r="G1275" i="10"/>
  <c r="E1275" i="10" s="1"/>
  <c r="L1275" i="10"/>
  <c r="F1276" i="10"/>
  <c r="G1276" i="10"/>
  <c r="E1276" i="10" s="1"/>
  <c r="L1276" i="10"/>
  <c r="F1277" i="10"/>
  <c r="G1277" i="10"/>
  <c r="E1277" i="10" s="1"/>
  <c r="L1277" i="10"/>
  <c r="F1278" i="10"/>
  <c r="G1278" i="10"/>
  <c r="E1278" i="10" s="1"/>
  <c r="L1278" i="10"/>
  <c r="F1279" i="10"/>
  <c r="G1279" i="10"/>
  <c r="E1279" i="10" s="1"/>
  <c r="L1279" i="10"/>
  <c r="F1280" i="10"/>
  <c r="G1280" i="10"/>
  <c r="E1280" i="10" s="1"/>
  <c r="L1280" i="10"/>
  <c r="F1281" i="10"/>
  <c r="G1281" i="10"/>
  <c r="E1281" i="10" s="1"/>
  <c r="L1281" i="10"/>
  <c r="F1282" i="10"/>
  <c r="G1282" i="10"/>
  <c r="E1282" i="10" s="1"/>
  <c r="L1282" i="10"/>
  <c r="F1283" i="10"/>
  <c r="G1283" i="10"/>
  <c r="E1283" i="10" s="1"/>
  <c r="L1283" i="10"/>
  <c r="F1284" i="10"/>
  <c r="G1284" i="10"/>
  <c r="E1284" i="10" s="1"/>
  <c r="L1284" i="10"/>
  <c r="F1285" i="10"/>
  <c r="G1285" i="10"/>
  <c r="E1285" i="10" s="1"/>
  <c r="L1285" i="10"/>
  <c r="F1286" i="10"/>
  <c r="G1286" i="10"/>
  <c r="E1286" i="10" s="1"/>
  <c r="L1286" i="10"/>
  <c r="F1287" i="10"/>
  <c r="G1287" i="10"/>
  <c r="E1287" i="10" s="1"/>
  <c r="L1287" i="10"/>
  <c r="F1288" i="10"/>
  <c r="G1288" i="10"/>
  <c r="E1288" i="10" s="1"/>
  <c r="L1288" i="10"/>
  <c r="F1289" i="10"/>
  <c r="G1289" i="10"/>
  <c r="E1289" i="10" s="1"/>
  <c r="L1289" i="10"/>
  <c r="F1290" i="10"/>
  <c r="G1290" i="10"/>
  <c r="E1290" i="10" s="1"/>
  <c r="L1290" i="10"/>
  <c r="F1291" i="10"/>
  <c r="G1291" i="10"/>
  <c r="E1291" i="10" s="1"/>
  <c r="L1291" i="10"/>
  <c r="F1292" i="10"/>
  <c r="G1292" i="10"/>
  <c r="E1292" i="10" s="1"/>
  <c r="L1292" i="10"/>
  <c r="F1293" i="10"/>
  <c r="G1293" i="10"/>
  <c r="E1293" i="10" s="1"/>
  <c r="L1293" i="10"/>
  <c r="F1294" i="10"/>
  <c r="G1294" i="10"/>
  <c r="E1294" i="10" s="1"/>
  <c r="L1294" i="10"/>
  <c r="F1295" i="10"/>
  <c r="G1295" i="10"/>
  <c r="E1295" i="10" s="1"/>
  <c r="L1295" i="10"/>
  <c r="F1296" i="10"/>
  <c r="G1296" i="10"/>
  <c r="E1296" i="10" s="1"/>
  <c r="L1296" i="10"/>
  <c r="F1297" i="10"/>
  <c r="G1297" i="10"/>
  <c r="E1297" i="10" s="1"/>
  <c r="L1297" i="10"/>
  <c r="F1298" i="10"/>
  <c r="G1298" i="10"/>
  <c r="E1298" i="10" s="1"/>
  <c r="L1298" i="10"/>
  <c r="G1299" i="10"/>
  <c r="E1299" i="10" s="1"/>
  <c r="L1299" i="10"/>
  <c r="G1300" i="10"/>
  <c r="E1300" i="10" s="1"/>
  <c r="L1300" i="10"/>
  <c r="G1301" i="10"/>
  <c r="E1301" i="10" s="1"/>
  <c r="L1301" i="10"/>
  <c r="G1302" i="10"/>
  <c r="E1302" i="10" s="1"/>
  <c r="L1302" i="10"/>
  <c r="G1303" i="10"/>
  <c r="E1303" i="10" s="1"/>
  <c r="L1303" i="10"/>
  <c r="G1304" i="10"/>
  <c r="E1304" i="10" s="1"/>
  <c r="L1304" i="10"/>
  <c r="G1305" i="10"/>
  <c r="E1305" i="10" s="1"/>
  <c r="L1305" i="10"/>
  <c r="G1306" i="10"/>
  <c r="E1306" i="10" s="1"/>
  <c r="L1306" i="10"/>
  <c r="G1307" i="10"/>
  <c r="E1307" i="10" s="1"/>
  <c r="L1307" i="10"/>
  <c r="G1308" i="10"/>
  <c r="E1308" i="10" s="1"/>
  <c r="L1308" i="10"/>
  <c r="G1309" i="10"/>
  <c r="E1309" i="10" s="1"/>
  <c r="L1309" i="10"/>
  <c r="G1310" i="10"/>
  <c r="E1310" i="10" s="1"/>
  <c r="L1310" i="10"/>
  <c r="G1311" i="10"/>
  <c r="E1311" i="10" s="1"/>
  <c r="L1311" i="10"/>
  <c r="G1312" i="10"/>
  <c r="E1312" i="10" s="1"/>
  <c r="L1312" i="10"/>
  <c r="G1313" i="10"/>
  <c r="E1313" i="10" s="1"/>
  <c r="L1313" i="10"/>
  <c r="G1314" i="10"/>
  <c r="E1314" i="10" s="1"/>
  <c r="L1314" i="10"/>
  <c r="G1315" i="10"/>
  <c r="E1315" i="10" s="1"/>
  <c r="L1315" i="10"/>
  <c r="G1316" i="10"/>
  <c r="E1316" i="10" s="1"/>
  <c r="L1316" i="10"/>
  <c r="G1317" i="10"/>
  <c r="E1317" i="10" s="1"/>
  <c r="L1317" i="10"/>
  <c r="G1318" i="10"/>
  <c r="E1318" i="10" s="1"/>
  <c r="L1318" i="10"/>
  <c r="G1319" i="10"/>
  <c r="E1319" i="10" s="1"/>
  <c r="L1319" i="10"/>
  <c r="G1320" i="10"/>
  <c r="E1320" i="10" s="1"/>
  <c r="L1320" i="10"/>
  <c r="G1321" i="10"/>
  <c r="E1321" i="10" s="1"/>
  <c r="L1321" i="10"/>
  <c r="G1322" i="10"/>
  <c r="E1322" i="10" s="1"/>
  <c r="L1322" i="10"/>
  <c r="G1323" i="10"/>
  <c r="E1323" i="10" s="1"/>
  <c r="L1323" i="10"/>
  <c r="G1324" i="10"/>
  <c r="E1324" i="10" s="1"/>
  <c r="L1324" i="10"/>
  <c r="G1325" i="10"/>
  <c r="E1325" i="10" s="1"/>
  <c r="L1325" i="10"/>
  <c r="G1326" i="10"/>
  <c r="E1326" i="10" s="1"/>
  <c r="L1326" i="10"/>
  <c r="G1327" i="10"/>
  <c r="E1327" i="10" s="1"/>
  <c r="L1327" i="10"/>
  <c r="G1328" i="10"/>
  <c r="E1328" i="10" s="1"/>
  <c r="L1328" i="10"/>
  <c r="G1329" i="10"/>
  <c r="E1329" i="10" s="1"/>
  <c r="L1329" i="10"/>
  <c r="G1330" i="10"/>
  <c r="E1330" i="10" s="1"/>
  <c r="L1330" i="10"/>
  <c r="G1331" i="10"/>
  <c r="E1331" i="10" s="1"/>
  <c r="L1331" i="10"/>
  <c r="F1332" i="10"/>
  <c r="G1332" i="10"/>
  <c r="E1332" i="10" s="1"/>
  <c r="L1332" i="10"/>
  <c r="F1333" i="10"/>
  <c r="G1333" i="10"/>
  <c r="E1333" i="10" s="1"/>
  <c r="L1333" i="10"/>
  <c r="F1334" i="10"/>
  <c r="G1334" i="10"/>
  <c r="E1334" i="10" s="1"/>
  <c r="L1334" i="10"/>
  <c r="E1335" i="10"/>
  <c r="L1335" i="10"/>
  <c r="E1336" i="10"/>
  <c r="L1336" i="10"/>
  <c r="E1337" i="10"/>
  <c r="L1337" i="10"/>
  <c r="F1338" i="10"/>
  <c r="G1338" i="10"/>
  <c r="E1338" i="10" s="1"/>
  <c r="L1338" i="10"/>
  <c r="F1339" i="10"/>
  <c r="G1339" i="10"/>
  <c r="E1339" i="10" s="1"/>
  <c r="L1339" i="10"/>
  <c r="F1340" i="10"/>
  <c r="G1340" i="10"/>
  <c r="E1340" i="10" s="1"/>
  <c r="L1340" i="10"/>
  <c r="F1341" i="10"/>
  <c r="G1341" i="10"/>
  <c r="E1341" i="10" s="1"/>
  <c r="L1341" i="10"/>
  <c r="F1342" i="10"/>
  <c r="G1342" i="10"/>
  <c r="E1342" i="10" s="1"/>
  <c r="L1342" i="10"/>
  <c r="F1343" i="10"/>
  <c r="G1343" i="10"/>
  <c r="E1343" i="10" s="1"/>
  <c r="L1343" i="10"/>
  <c r="F1344" i="10"/>
  <c r="G1344" i="10"/>
  <c r="E1344" i="10" s="1"/>
  <c r="L1344" i="10"/>
  <c r="F1345" i="10"/>
  <c r="G1345" i="10"/>
  <c r="E1345" i="10" s="1"/>
  <c r="L1345" i="10"/>
  <c r="F1346" i="10"/>
  <c r="G1346" i="10"/>
  <c r="E1346" i="10" s="1"/>
  <c r="L1346" i="10"/>
  <c r="E1347" i="10"/>
  <c r="E1348" i="10"/>
  <c r="E1349" i="10"/>
  <c r="E1350" i="10"/>
  <c r="E1351" i="10"/>
  <c r="E1352" i="10"/>
  <c r="E1353" i="10"/>
  <c r="E1354" i="10"/>
  <c r="E1355" i="10"/>
  <c r="E1356" i="10"/>
  <c r="E1357" i="10"/>
  <c r="E1358" i="10"/>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G565" i="9"/>
  <c r="D566" i="9"/>
  <c r="G566" i="9"/>
  <c r="D567" i="9"/>
  <c r="G567" i="9"/>
  <c r="D568" i="9"/>
  <c r="G568" i="9"/>
  <c r="D569" i="9"/>
  <c r="G569" i="9"/>
  <c r="D570" i="9"/>
  <c r="G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G640" i="9"/>
  <c r="D641" i="9"/>
  <c r="G641" i="9"/>
  <c r="D642" i="9"/>
  <c r="G642" i="9"/>
  <c r="D643" i="9"/>
  <c r="G643" i="9"/>
  <c r="D644" i="9"/>
  <c r="G644" i="9"/>
  <c r="D645" i="9"/>
  <c r="G645" i="9"/>
  <c r="D646" i="9"/>
  <c r="D647" i="9"/>
  <c r="D648" i="9"/>
  <c r="D649" i="9"/>
  <c r="D650" i="9"/>
  <c r="D651" i="9"/>
  <c r="D652" i="9"/>
  <c r="D653" i="9"/>
  <c r="D654" i="9"/>
  <c r="D655" i="9"/>
  <c r="D656" i="9"/>
  <c r="D657" i="9"/>
  <c r="D658" i="9"/>
  <c r="D659" i="9"/>
  <c r="D660" i="9"/>
  <c r="D661" i="9"/>
  <c r="D662" i="9"/>
  <c r="D663" i="9"/>
  <c r="D664" i="9"/>
  <c r="D665" i="9"/>
  <c r="D666" i="9"/>
  <c r="D667" i="9"/>
  <c r="D668" i="9"/>
  <c r="D669"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G792" i="9"/>
  <c r="D793" i="9"/>
  <c r="G793" i="9"/>
  <c r="D794" i="9"/>
  <c r="G794" i="9"/>
  <c r="D795" i="9"/>
  <c r="G795" i="9"/>
  <c r="D796" i="9"/>
  <c r="G796" i="9"/>
  <c r="D797" i="9"/>
  <c r="G797" i="9"/>
  <c r="D798" i="9"/>
  <c r="D799" i="9"/>
  <c r="D800" i="9"/>
  <c r="D801" i="9"/>
  <c r="D802" i="9"/>
  <c r="D803" i="9"/>
  <c r="G803" i="9"/>
  <c r="D804" i="9"/>
  <c r="G804" i="9"/>
  <c r="D805" i="9"/>
  <c r="G805" i="9"/>
  <c r="D806" i="9"/>
  <c r="G806" i="9"/>
  <c r="D807" i="9"/>
  <c r="G807" i="9"/>
  <c r="D808" i="9"/>
  <c r="G808" i="9"/>
  <c r="D809" i="9"/>
  <c r="G809" i="9"/>
  <c r="D810" i="9"/>
  <c r="G810" i="9"/>
  <c r="D811" i="9"/>
  <c r="G811" i="9"/>
  <c r="D812" i="9"/>
  <c r="G812" i="9"/>
  <c r="D813" i="9"/>
  <c r="G813" i="9"/>
  <c r="D814" i="9"/>
  <c r="G814" i="9"/>
  <c r="D815" i="9"/>
  <c r="G815" i="9"/>
  <c r="D816" i="9"/>
  <c r="G816" i="9"/>
  <c r="D817" i="9"/>
  <c r="G817" i="9"/>
  <c r="D818" i="9"/>
  <c r="G818" i="9"/>
  <c r="D819" i="9"/>
  <c r="G819" i="9"/>
  <c r="D820" i="9"/>
  <c r="G820" i="9"/>
  <c r="D821" i="9"/>
  <c r="G821" i="9"/>
  <c r="D822" i="9"/>
  <c r="G822" i="9"/>
  <c r="D823" i="9"/>
  <c r="G823" i="9"/>
  <c r="D824" i="9"/>
  <c r="G824" i="9"/>
  <c r="D825" i="9"/>
  <c r="G825" i="9"/>
  <c r="D826" i="9"/>
  <c r="G826" i="9"/>
  <c r="D827" i="9"/>
  <c r="G827" i="9"/>
  <c r="D828" i="9"/>
  <c r="G828" i="9"/>
  <c r="D829" i="9"/>
  <c r="G829" i="9"/>
  <c r="D830" i="9"/>
  <c r="G830" i="9"/>
  <c r="D831" i="9"/>
  <c r="G831" i="9"/>
  <c r="D832" i="9"/>
  <c r="G832" i="9"/>
  <c r="D833" i="9"/>
  <c r="G833" i="9"/>
  <c r="D834" i="9"/>
  <c r="G834" i="9"/>
  <c r="D835" i="9"/>
  <c r="G835" i="9"/>
  <c r="D836" i="9"/>
  <c r="G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G863" i="9"/>
  <c r="D864" i="9"/>
  <c r="G864" i="9"/>
  <c r="D865" i="9"/>
  <c r="G865" i="9"/>
  <c r="D866" i="9"/>
  <c r="G866" i="9"/>
  <c r="D867" i="9"/>
  <c r="G867" i="9"/>
  <c r="D868" i="9"/>
  <c r="G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G1037" i="9"/>
  <c r="D1038" i="9"/>
  <c r="G1038" i="9"/>
  <c r="D1039" i="9"/>
  <c r="G1039" i="9"/>
  <c r="D1040" i="9"/>
  <c r="G1040" i="9"/>
  <c r="D1041" i="9"/>
  <c r="G1041" i="9"/>
  <c r="D1042" i="9"/>
  <c r="G1042" i="9"/>
  <c r="D1043" i="9"/>
  <c r="G1043" i="9"/>
  <c r="D1044" i="9"/>
  <c r="G1044" i="9"/>
  <c r="D1045" i="9"/>
  <c r="G1045" i="9"/>
  <c r="D1046" i="9"/>
  <c r="G1046" i="9"/>
  <c r="D1047" i="9"/>
  <c r="G1047" i="9"/>
  <c r="D1048" i="9"/>
  <c r="G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G1173" i="9"/>
  <c r="D1174" i="9"/>
  <c r="G1174" i="9"/>
  <c r="D1175" i="9"/>
  <c r="G1175" i="9"/>
  <c r="D1176" i="9"/>
  <c r="G1176" i="9"/>
  <c r="D1177" i="9"/>
  <c r="G1177" i="9"/>
  <c r="D1178" i="9"/>
  <c r="G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G1210" i="9"/>
  <c r="D1211" i="9"/>
  <c r="G1211" i="9"/>
  <c r="D1212" i="9"/>
  <c r="G1212" i="9"/>
  <c r="D1213" i="9"/>
  <c r="G1213" i="9"/>
  <c r="D1214" i="9"/>
  <c r="G1214" i="9"/>
  <c r="D1215" i="9"/>
  <c r="G1215" i="9"/>
  <c r="D1216" i="9"/>
  <c r="G1216" i="9"/>
  <c r="D1217" i="9"/>
  <c r="G1217" i="9"/>
  <c r="D1218" i="9"/>
  <c r="G1218" i="9"/>
  <c r="D1219" i="9"/>
  <c r="G1219" i="9"/>
  <c r="D1220" i="9"/>
  <c r="G1220" i="9"/>
  <c r="D1221" i="9"/>
  <c r="G1221" i="9"/>
  <c r="D1222" i="9"/>
  <c r="G1222" i="9"/>
  <c r="D1223" i="9"/>
  <c r="G1223" i="9"/>
  <c r="D1224" i="9"/>
  <c r="G1224" i="9"/>
  <c r="D1225" i="9"/>
  <c r="G1225" i="9"/>
  <c r="D1226" i="9"/>
  <c r="D1227" i="9"/>
  <c r="D1228" i="9"/>
  <c r="D1229" i="9"/>
  <c r="D1230" i="9"/>
  <c r="D1231" i="9"/>
  <c r="D1232" i="9"/>
  <c r="D1233" i="9"/>
  <c r="D1234" i="9"/>
  <c r="D1235" i="9"/>
  <c r="D1236" i="9"/>
  <c r="D1237" i="9"/>
  <c r="D1238" i="9"/>
  <c r="G1238" i="9"/>
  <c r="D1239" i="9"/>
  <c r="G1239" i="9"/>
  <c r="D1240" i="9"/>
  <c r="G1240" i="9"/>
  <c r="D1241" i="9"/>
  <c r="G1241" i="9"/>
  <c r="D1242" i="9"/>
  <c r="G1242" i="9"/>
  <c r="D1243" i="9"/>
  <c r="G1243" i="9"/>
  <c r="D1244" i="9"/>
  <c r="G1244" i="9"/>
  <c r="D1245" i="9"/>
  <c r="G1245" i="9"/>
  <c r="D1246" i="9"/>
  <c r="G1246" i="9"/>
  <c r="D1247" i="9"/>
  <c r="G1247" i="9"/>
  <c r="D1248" i="9"/>
  <c r="G1248" i="9"/>
  <c r="D1249" i="9"/>
  <c r="G1249" i="9"/>
  <c r="D1250" i="9"/>
  <c r="G1250" i="9"/>
  <c r="D1251" i="9"/>
  <c r="G1251" i="9"/>
  <c r="D1252" i="9"/>
  <c r="G1252" i="9"/>
  <c r="D1253" i="9"/>
  <c r="G1253" i="9"/>
  <c r="D1254" i="9"/>
  <c r="G1254" i="9"/>
  <c r="D1255" i="9"/>
  <c r="G1255" i="9"/>
  <c r="D1256" i="9"/>
  <c r="G1256" i="9"/>
  <c r="D1257" i="9"/>
  <c r="G1257" i="9"/>
  <c r="D1258" i="9"/>
  <c r="G1258" i="9"/>
  <c r="D1259" i="9"/>
  <c r="G1259" i="9"/>
  <c r="D1260" i="9"/>
  <c r="G1260" i="9"/>
  <c r="D1261" i="9"/>
  <c r="G1261" i="9"/>
  <c r="D1262" i="9"/>
  <c r="G1262" i="9"/>
  <c r="D1263" i="9"/>
  <c r="G1263" i="9"/>
  <c r="D1264" i="9"/>
  <c r="G1264" i="9"/>
  <c r="D1265" i="9"/>
  <c r="G1265" i="9"/>
  <c r="D1266" i="9"/>
  <c r="G1266" i="9"/>
  <c r="D1267" i="9"/>
  <c r="G1267" i="9"/>
  <c r="D1268" i="9"/>
  <c r="G1268" i="9"/>
  <c r="D1269" i="9"/>
  <c r="G1269" i="9"/>
  <c r="D1270" i="9"/>
  <c r="G1270" i="9"/>
  <c r="D1271" i="9"/>
  <c r="G1271" i="9"/>
  <c r="D1272" i="9"/>
  <c r="G1272" i="9"/>
  <c r="D1273" i="9"/>
  <c r="G1273" i="9"/>
  <c r="D1274" i="9"/>
  <c r="G1274" i="9"/>
  <c r="D1275" i="9"/>
  <c r="G1275" i="9"/>
  <c r="D1276" i="9"/>
  <c r="G1276" i="9"/>
  <c r="D1277" i="9"/>
  <c r="G1277" i="9"/>
  <c r="D1278" i="9"/>
  <c r="G1278" i="9"/>
  <c r="D1279" i="9"/>
  <c r="G1279" i="9"/>
  <c r="D1280" i="9"/>
  <c r="G1280" i="9"/>
  <c r="D1281" i="9"/>
  <c r="G1281" i="9"/>
  <c r="D1282" i="9"/>
  <c r="G1282" i="9"/>
  <c r="D1283" i="9"/>
  <c r="G1283" i="9"/>
  <c r="D1284" i="9"/>
  <c r="G1284" i="9"/>
  <c r="D1285" i="9"/>
  <c r="G1285" i="9"/>
  <c r="D1286" i="9"/>
  <c r="G1286" i="9"/>
  <c r="D1287" i="9"/>
  <c r="G1287" i="9"/>
  <c r="D1288" i="9"/>
  <c r="G1288" i="9"/>
  <c r="D1289" i="9"/>
  <c r="G1289" i="9"/>
  <c r="D1290" i="9"/>
  <c r="G1290" i="9"/>
  <c r="D1291" i="9"/>
  <c r="G1291" i="9"/>
  <c r="D1292" i="9"/>
  <c r="G1292" i="9"/>
  <c r="D1293" i="9"/>
  <c r="G1293" i="9"/>
  <c r="D1294" i="9"/>
  <c r="G1294" i="9"/>
  <c r="D1295" i="9"/>
  <c r="G1295" i="9"/>
  <c r="D1296" i="9"/>
  <c r="G1296" i="9"/>
  <c r="D1297" i="9"/>
  <c r="G1297" i="9"/>
  <c r="G1298" i="9"/>
  <c r="G1299"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9" i="9"/>
  <c r="G1331" i="9"/>
  <c r="G1333" i="9"/>
  <c r="G1335" i="9"/>
  <c r="G1337" i="9"/>
  <c r="G1340" i="9"/>
  <c r="G1342" i="9"/>
  <c r="G1344" i="9"/>
  <c r="G1346" i="9"/>
  <c r="G1348" i="9"/>
  <c r="G1350" i="9"/>
  <c r="G1352" i="9"/>
  <c r="D1353" i="9"/>
  <c r="G1353" i="9"/>
  <c r="D1354" i="9"/>
  <c r="G1354" i="9"/>
  <c r="D1355" i="9"/>
  <c r="G1355" i="9"/>
  <c r="D1356" i="9"/>
  <c r="G1356" i="9"/>
  <c r="D1357" i="9"/>
  <c r="G1357" i="9"/>
  <c r="D1358" i="9"/>
  <c r="G1358" i="9"/>
  <c r="D1359" i="9"/>
  <c r="G1359" i="9"/>
  <c r="D1360" i="9"/>
  <c r="G1360" i="9"/>
  <c r="D1361" i="9"/>
  <c r="G1361" i="9"/>
  <c r="D1362" i="9"/>
  <c r="G1362" i="9"/>
  <c r="D1363" i="9"/>
  <c r="G1363" i="9"/>
  <c r="D1364" i="9"/>
  <c r="G1364" i="9"/>
  <c r="D1365" i="9"/>
  <c r="G1365" i="9"/>
  <c r="D1366" i="9"/>
  <c r="G1366" i="9"/>
  <c r="D1367" i="9"/>
  <c r="G1367" i="9"/>
  <c r="D1368" i="9"/>
  <c r="G1368" i="9"/>
  <c r="D1369" i="9"/>
  <c r="G1369" i="9"/>
  <c r="D1370" i="9"/>
  <c r="G1370" i="9"/>
  <c r="D1371" i="9"/>
  <c r="G1371" i="9"/>
  <c r="D1372" i="9"/>
  <c r="G1372" i="9"/>
  <c r="D1373"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I2" i="8"/>
  <c r="M2" i="8"/>
  <c r="Q2" i="8"/>
  <c r="S2" i="8"/>
  <c r="I3" i="8"/>
  <c r="M3" i="8"/>
  <c r="Q3" i="8"/>
  <c r="S3" i="8"/>
  <c r="I4" i="8"/>
  <c r="M4" i="8"/>
  <c r="Q4" i="8"/>
  <c r="S4" i="8"/>
  <c r="I5" i="8"/>
  <c r="M5" i="8"/>
  <c r="Q5" i="8"/>
  <c r="S5" i="8"/>
  <c r="I6" i="8"/>
  <c r="M6" i="8"/>
  <c r="Q6" i="8"/>
  <c r="S6" i="8"/>
  <c r="I7" i="8"/>
  <c r="M7" i="8"/>
  <c r="Q7" i="8"/>
  <c r="S7" i="8"/>
  <c r="I8" i="8"/>
  <c r="M8" i="8"/>
  <c r="Q8" i="8"/>
  <c r="S8" i="8"/>
  <c r="I9" i="8"/>
  <c r="M9" i="8"/>
  <c r="Q9" i="8"/>
  <c r="S9" i="8"/>
  <c r="I10" i="8"/>
  <c r="M10" i="8"/>
  <c r="Q10" i="8"/>
  <c r="S10" i="8"/>
  <c r="I11" i="8"/>
  <c r="M11" i="8"/>
  <c r="Q11" i="8"/>
  <c r="S11" i="8"/>
  <c r="I12" i="8"/>
  <c r="M12" i="8"/>
  <c r="Q12" i="8"/>
  <c r="S12" i="8"/>
  <c r="I13" i="8"/>
  <c r="M13" i="8"/>
  <c r="Q13" i="8"/>
  <c r="S13" i="8"/>
  <c r="I14" i="8"/>
  <c r="M14" i="8"/>
  <c r="Q14" i="8"/>
  <c r="S14" i="8"/>
  <c r="I15" i="8"/>
  <c r="M15" i="8"/>
  <c r="Q15" i="8"/>
  <c r="S15" i="8"/>
  <c r="I16" i="8"/>
  <c r="M16" i="8"/>
  <c r="Q16" i="8"/>
  <c r="S16" i="8"/>
  <c r="I17" i="8"/>
  <c r="M17" i="8"/>
  <c r="Q17" i="8"/>
  <c r="S17" i="8"/>
  <c r="I18" i="8"/>
  <c r="M18" i="8"/>
  <c r="Q18" i="8"/>
  <c r="S18" i="8"/>
  <c r="I19" i="8"/>
  <c r="M19" i="8"/>
  <c r="Q19" i="8"/>
  <c r="S19" i="8"/>
  <c r="I20" i="8"/>
  <c r="M20" i="8"/>
  <c r="Q20" i="8"/>
  <c r="S20" i="8"/>
  <c r="I21" i="8"/>
  <c r="M21" i="8"/>
  <c r="Q21" i="8"/>
  <c r="S21" i="8"/>
  <c r="I22" i="8"/>
  <c r="M22" i="8"/>
  <c r="Q22" i="8"/>
  <c r="S22" i="8"/>
  <c r="I23" i="8"/>
  <c r="M23" i="8"/>
  <c r="Q23" i="8"/>
  <c r="S23" i="8"/>
  <c r="I24" i="8"/>
  <c r="M24" i="8"/>
  <c r="Q24" i="8"/>
  <c r="S24" i="8"/>
  <c r="I25" i="8"/>
  <c r="M25" i="8"/>
  <c r="Q25" i="8"/>
  <c r="S25" i="8"/>
  <c r="I26" i="8"/>
  <c r="M26" i="8"/>
  <c r="Q26" i="8"/>
  <c r="S26" i="8"/>
  <c r="I27" i="8"/>
  <c r="M27" i="8"/>
  <c r="Q27" i="8"/>
  <c r="S27" i="8"/>
  <c r="I28" i="8"/>
  <c r="M28" i="8"/>
  <c r="Q28" i="8"/>
  <c r="S28" i="8"/>
  <c r="I29" i="8"/>
  <c r="M29" i="8"/>
  <c r="Q29" i="8"/>
  <c r="S29" i="8"/>
  <c r="I30" i="8"/>
  <c r="M30" i="8"/>
  <c r="Q30" i="8"/>
  <c r="S30" i="8"/>
  <c r="I31" i="8"/>
  <c r="M31" i="8"/>
  <c r="Q31" i="8"/>
  <c r="S31" i="8"/>
  <c r="I32" i="8"/>
  <c r="M32" i="8"/>
  <c r="Q32" i="8"/>
  <c r="S32" i="8"/>
  <c r="I33" i="8"/>
  <c r="M33" i="8"/>
  <c r="Q33" i="8"/>
  <c r="S33" i="8"/>
  <c r="I34" i="8"/>
  <c r="M34" i="8"/>
  <c r="Q34" i="8"/>
  <c r="S34" i="8"/>
  <c r="I35" i="8"/>
  <c r="M35" i="8"/>
  <c r="Q35" i="8"/>
  <c r="S35" i="8"/>
  <c r="I36" i="8"/>
  <c r="M36" i="8"/>
  <c r="Q36" i="8"/>
  <c r="S36" i="8"/>
  <c r="I37" i="8"/>
  <c r="M37" i="8"/>
  <c r="Q37" i="8"/>
  <c r="S37" i="8"/>
  <c r="I38" i="8"/>
  <c r="M38" i="8"/>
  <c r="Q38" i="8"/>
  <c r="S38" i="8"/>
  <c r="I39" i="8"/>
  <c r="M39" i="8"/>
  <c r="Q39" i="8"/>
  <c r="S39" i="8"/>
  <c r="I40" i="8"/>
  <c r="M40" i="8"/>
  <c r="Q40" i="8"/>
  <c r="S40" i="8"/>
  <c r="I41" i="8"/>
  <c r="M41" i="8"/>
  <c r="Q41" i="8"/>
  <c r="S41" i="8"/>
  <c r="I42" i="8"/>
  <c r="M42" i="8"/>
  <c r="Q42" i="8"/>
  <c r="S42" i="8"/>
  <c r="I43" i="8"/>
  <c r="M43" i="8"/>
  <c r="Q43" i="8"/>
  <c r="S43" i="8"/>
  <c r="I44" i="8"/>
  <c r="M44" i="8"/>
  <c r="Q44" i="8"/>
  <c r="S44" i="8"/>
  <c r="I45" i="8"/>
  <c r="M45" i="8"/>
  <c r="Q45" i="8"/>
  <c r="S45" i="8"/>
  <c r="I46" i="8"/>
  <c r="M46" i="8"/>
  <c r="Q46" i="8"/>
  <c r="S46" i="8"/>
  <c r="I47" i="8"/>
  <c r="M47" i="8"/>
  <c r="Q47" i="8"/>
  <c r="S47" i="8"/>
  <c r="I48" i="8"/>
  <c r="M48" i="8"/>
  <c r="Q48" i="8"/>
  <c r="S48" i="8"/>
  <c r="I49" i="8"/>
  <c r="M49" i="8"/>
  <c r="Q49" i="8"/>
  <c r="S49" i="8"/>
  <c r="I50" i="8"/>
  <c r="M50" i="8"/>
  <c r="Q50" i="8"/>
  <c r="S50" i="8"/>
  <c r="I51" i="8"/>
  <c r="M51" i="8"/>
  <c r="Q51" i="8"/>
  <c r="S51" i="8"/>
  <c r="I52" i="8"/>
  <c r="M52" i="8"/>
  <c r="Q52" i="8"/>
  <c r="S52" i="8"/>
  <c r="I53" i="8"/>
  <c r="M53" i="8"/>
  <c r="Q53" i="8"/>
  <c r="S53" i="8"/>
  <c r="I54" i="8"/>
  <c r="M54" i="8"/>
  <c r="Q54" i="8"/>
  <c r="S54" i="8"/>
  <c r="I55" i="8"/>
  <c r="M55" i="8"/>
  <c r="Q55" i="8"/>
  <c r="S55" i="8"/>
  <c r="I56" i="8"/>
  <c r="M56" i="8"/>
  <c r="Q56" i="8"/>
  <c r="S56" i="8"/>
  <c r="I57" i="8"/>
  <c r="M57" i="8"/>
  <c r="Q57" i="8"/>
  <c r="S57" i="8"/>
  <c r="I58" i="8"/>
  <c r="M58" i="8"/>
  <c r="Q58" i="8"/>
  <c r="I59" i="8"/>
  <c r="M59" i="8"/>
  <c r="Q59" i="8"/>
  <c r="I60" i="8"/>
  <c r="M60" i="8"/>
  <c r="Q60" i="8"/>
  <c r="I61" i="8"/>
  <c r="M61" i="8"/>
  <c r="Q61" i="8"/>
  <c r="S61" i="8"/>
  <c r="I62" i="8"/>
  <c r="M62" i="8"/>
  <c r="Q62" i="8"/>
  <c r="S62" i="8"/>
  <c r="I63" i="8"/>
  <c r="M63" i="8"/>
  <c r="Q63" i="8"/>
  <c r="S63" i="8"/>
  <c r="I64" i="8"/>
  <c r="M64" i="8"/>
  <c r="Q64" i="8"/>
  <c r="S64" i="8"/>
  <c r="I65" i="8"/>
  <c r="M65" i="8"/>
  <c r="Q65" i="8"/>
  <c r="S65" i="8"/>
  <c r="I66" i="8"/>
  <c r="M66" i="8"/>
  <c r="Q66" i="8"/>
  <c r="S66" i="8"/>
  <c r="I67" i="8"/>
  <c r="M67" i="8"/>
  <c r="Q67" i="8"/>
  <c r="S67" i="8"/>
  <c r="I68" i="8"/>
  <c r="M68" i="8"/>
  <c r="Q68" i="8"/>
  <c r="S68" i="8"/>
  <c r="I69" i="8"/>
  <c r="M69" i="8"/>
  <c r="Q69" i="8"/>
  <c r="I70" i="8"/>
  <c r="M70" i="8"/>
  <c r="Q70" i="8"/>
  <c r="S70" i="8"/>
  <c r="I71" i="8"/>
  <c r="M71" i="8"/>
  <c r="Q71" i="8"/>
  <c r="S71" i="8"/>
  <c r="I72" i="8"/>
  <c r="M72" i="8"/>
  <c r="Q72" i="8"/>
  <c r="S72" i="8"/>
  <c r="I73" i="8"/>
  <c r="M73" i="8"/>
  <c r="Q73" i="8"/>
  <c r="S73" i="8"/>
  <c r="I74" i="8"/>
  <c r="M74" i="8"/>
  <c r="Q74" i="8"/>
  <c r="S74" i="8"/>
  <c r="I75" i="8"/>
  <c r="M75" i="8"/>
  <c r="Q75" i="8"/>
  <c r="S75" i="8"/>
  <c r="I76" i="8"/>
  <c r="M76" i="8"/>
  <c r="Q76" i="8"/>
  <c r="I77" i="8"/>
  <c r="M77" i="8"/>
  <c r="Q77" i="8"/>
  <c r="S77" i="8"/>
  <c r="I78" i="8"/>
  <c r="M78" i="8"/>
  <c r="Q78" i="8"/>
  <c r="S78" i="8"/>
  <c r="I79" i="8"/>
  <c r="M79" i="8"/>
  <c r="Q79" i="8"/>
  <c r="S79" i="8"/>
  <c r="I80" i="8"/>
  <c r="M80" i="8"/>
  <c r="Q80" i="8"/>
  <c r="S80" i="8"/>
  <c r="I81" i="8"/>
  <c r="M81" i="8"/>
  <c r="Q81" i="8"/>
  <c r="I82" i="8"/>
  <c r="M82" i="8"/>
  <c r="Q82" i="8"/>
  <c r="S82" i="8"/>
  <c r="I83" i="8"/>
  <c r="M83" i="8"/>
  <c r="Q83" i="8"/>
  <c r="S83" i="8"/>
  <c r="I84" i="8"/>
  <c r="M84" i="8"/>
  <c r="Q84" i="8"/>
  <c r="S84" i="8"/>
  <c r="I85" i="8"/>
  <c r="M85" i="8"/>
  <c r="Q85" i="8"/>
  <c r="S85" i="8"/>
  <c r="I86" i="8"/>
  <c r="M86" i="8"/>
  <c r="Q86" i="8"/>
  <c r="S86" i="8"/>
  <c r="I87" i="8"/>
  <c r="M87" i="8"/>
  <c r="Q87" i="8"/>
  <c r="S87" i="8"/>
  <c r="I88" i="8"/>
  <c r="M88" i="8"/>
  <c r="Q88" i="8"/>
  <c r="S88" i="8"/>
  <c r="I89" i="8"/>
  <c r="M89" i="8"/>
  <c r="Q89" i="8"/>
  <c r="S89" i="8"/>
  <c r="I90" i="8"/>
  <c r="M90" i="8"/>
  <c r="Q90" i="8"/>
  <c r="S90" i="8"/>
  <c r="I91" i="8"/>
  <c r="M91" i="8"/>
  <c r="Q91" i="8"/>
  <c r="I92" i="8"/>
  <c r="M92" i="8"/>
  <c r="Q92" i="8"/>
  <c r="I93" i="8"/>
  <c r="M93" i="8"/>
  <c r="Q93" i="8"/>
  <c r="S93" i="8"/>
  <c r="I94" i="8"/>
  <c r="M94" i="8"/>
  <c r="Q94" i="8"/>
  <c r="S94" i="8"/>
  <c r="I95" i="8"/>
  <c r="M95" i="8"/>
  <c r="Q95" i="8"/>
  <c r="S95" i="8"/>
  <c r="I96" i="8"/>
  <c r="M96" i="8"/>
  <c r="Q96" i="8"/>
  <c r="S96" i="8"/>
  <c r="I97" i="8"/>
  <c r="M97" i="8"/>
  <c r="Q97" i="8"/>
  <c r="S97" i="8"/>
  <c r="I98" i="8"/>
  <c r="M98" i="8"/>
  <c r="Q98" i="8"/>
  <c r="S98" i="8"/>
  <c r="I99" i="8"/>
  <c r="M99" i="8"/>
  <c r="Q99" i="8"/>
  <c r="S99" i="8"/>
  <c r="I100" i="8"/>
  <c r="M100" i="8"/>
  <c r="Q100" i="8"/>
  <c r="S100" i="8"/>
  <c r="I101" i="8"/>
  <c r="M101" i="8"/>
  <c r="Q101" i="8"/>
  <c r="S101" i="8"/>
  <c r="I102" i="8"/>
  <c r="M102" i="8"/>
  <c r="Q102" i="8"/>
  <c r="S102" i="8"/>
  <c r="I103" i="8"/>
  <c r="M103" i="8"/>
  <c r="Q103" i="8"/>
  <c r="S103" i="8"/>
  <c r="I104" i="8"/>
  <c r="M104" i="8"/>
  <c r="Q104" i="8"/>
  <c r="S104" i="8"/>
  <c r="I105" i="8"/>
  <c r="M105" i="8"/>
  <c r="Q105" i="8"/>
  <c r="S105" i="8"/>
  <c r="I106" i="8"/>
  <c r="M106" i="8"/>
  <c r="Q106" i="8"/>
  <c r="I107" i="8"/>
  <c r="M107" i="8"/>
  <c r="Q107" i="8"/>
  <c r="S107" i="8"/>
  <c r="I108" i="8"/>
  <c r="M108" i="8"/>
  <c r="Q108" i="8"/>
  <c r="S108" i="8"/>
  <c r="I109" i="8"/>
  <c r="M109" i="8"/>
  <c r="Q109" i="8"/>
  <c r="S109" i="8"/>
  <c r="I110" i="8"/>
  <c r="M110" i="8"/>
  <c r="Q110" i="8"/>
  <c r="S110" i="8"/>
  <c r="I111" i="8"/>
  <c r="M111" i="8"/>
  <c r="Q111" i="8"/>
  <c r="S111" i="8"/>
  <c r="I112" i="8"/>
  <c r="M112" i="8"/>
  <c r="Q112" i="8"/>
  <c r="S112" i="8"/>
  <c r="I113" i="8"/>
  <c r="M113" i="8"/>
  <c r="Q113" i="8"/>
  <c r="S113" i="8"/>
  <c r="I114" i="8"/>
  <c r="M114" i="8"/>
  <c r="Q114" i="8"/>
  <c r="S114" i="8"/>
  <c r="I115" i="8"/>
  <c r="M115" i="8"/>
  <c r="Q115" i="8"/>
  <c r="S115" i="8"/>
  <c r="I116" i="8"/>
  <c r="M116" i="8"/>
  <c r="Q116" i="8"/>
  <c r="S116" i="8"/>
  <c r="I117" i="8"/>
  <c r="M117" i="8"/>
  <c r="Q117" i="8"/>
  <c r="S117" i="8"/>
  <c r="I118" i="8"/>
  <c r="M118" i="8"/>
  <c r="Q118" i="8"/>
  <c r="I119" i="8"/>
  <c r="M119" i="8"/>
  <c r="Q119" i="8"/>
  <c r="I120" i="8"/>
  <c r="M120" i="8"/>
  <c r="Q120" i="8"/>
  <c r="I121" i="8"/>
  <c r="M121" i="8"/>
  <c r="Q121" i="8"/>
  <c r="I122" i="8"/>
  <c r="M122" i="8"/>
  <c r="Q122" i="8"/>
  <c r="I123" i="8"/>
  <c r="M123" i="8"/>
  <c r="Q123" i="8"/>
  <c r="I124" i="8"/>
  <c r="M124" i="8"/>
  <c r="Q124" i="8"/>
  <c r="S124" i="8"/>
  <c r="I125" i="8"/>
  <c r="M125" i="8"/>
  <c r="Q125" i="8"/>
  <c r="S125" i="8"/>
  <c r="I126" i="8"/>
  <c r="M126" i="8"/>
  <c r="Q126" i="8"/>
  <c r="S126" i="8"/>
  <c r="I127" i="8"/>
  <c r="M127" i="8"/>
  <c r="Q127" i="8"/>
  <c r="S127" i="8"/>
  <c r="I128" i="8"/>
  <c r="M128" i="8"/>
  <c r="Q128" i="8"/>
  <c r="S128" i="8"/>
  <c r="I130" i="8"/>
  <c r="L130" i="8"/>
  <c r="M130" i="8"/>
  <c r="Q130" i="8"/>
  <c r="S130" i="8"/>
  <c r="I131" i="8"/>
  <c r="L131" i="8"/>
  <c r="M131" i="8"/>
  <c r="Q131" i="8"/>
  <c r="S131" i="8"/>
  <c r="I132" i="8"/>
  <c r="L132" i="8"/>
  <c r="M132" i="8"/>
  <c r="Q132" i="8"/>
  <c r="S132" i="8"/>
  <c r="I133" i="8"/>
  <c r="L133" i="8"/>
  <c r="M133" i="8"/>
  <c r="Q133" i="8"/>
  <c r="S133" i="8"/>
  <c r="I134" i="8"/>
  <c r="L134" i="8"/>
  <c r="M134" i="8"/>
  <c r="Q134" i="8"/>
  <c r="S134" i="8"/>
  <c r="I135" i="8"/>
  <c r="L135" i="8"/>
  <c r="M135" i="8"/>
  <c r="Q135" i="8"/>
  <c r="S135" i="8"/>
  <c r="I136" i="8"/>
  <c r="L136" i="8"/>
  <c r="M136" i="8"/>
  <c r="Q136" i="8"/>
  <c r="S136" i="8"/>
  <c r="I137" i="8"/>
  <c r="L137" i="8"/>
  <c r="M137" i="8"/>
  <c r="Q137" i="8"/>
  <c r="S137" i="8"/>
  <c r="I138" i="8"/>
  <c r="L138" i="8"/>
  <c r="M138" i="8"/>
  <c r="Q138" i="8"/>
  <c r="S138" i="8"/>
  <c r="I139" i="8"/>
  <c r="L139" i="8"/>
  <c r="M139" i="8"/>
  <c r="Q139" i="8"/>
  <c r="S139" i="8"/>
  <c r="I140" i="8"/>
  <c r="L140" i="8"/>
  <c r="M140" i="8"/>
  <c r="Q140" i="8"/>
  <c r="S140" i="8"/>
  <c r="I141" i="8"/>
  <c r="L141" i="8"/>
  <c r="M141" i="8"/>
  <c r="Q141" i="8"/>
  <c r="S141" i="8"/>
  <c r="I142" i="8"/>
  <c r="L142" i="8"/>
  <c r="M142" i="8"/>
  <c r="Q142" i="8"/>
  <c r="S142" i="8"/>
  <c r="I143" i="8"/>
  <c r="L143" i="8"/>
  <c r="M143" i="8"/>
  <c r="Q143" i="8"/>
  <c r="S143" i="8"/>
  <c r="I144" i="8"/>
  <c r="L144" i="8"/>
  <c r="M144" i="8"/>
  <c r="Q144" i="8"/>
  <c r="S144" i="8"/>
  <c r="I145" i="8"/>
  <c r="L145" i="8"/>
  <c r="M145" i="8"/>
  <c r="Q145" i="8"/>
  <c r="S145" i="8"/>
  <c r="I146" i="8"/>
  <c r="L146" i="8"/>
  <c r="M146" i="8"/>
  <c r="Q146" i="8"/>
  <c r="S146" i="8"/>
  <c r="I147" i="8"/>
  <c r="L147" i="8"/>
  <c r="M147" i="8"/>
  <c r="Q147" i="8"/>
  <c r="S147" i="8"/>
  <c r="I148" i="8"/>
  <c r="M148" i="8"/>
  <c r="I149" i="8"/>
  <c r="L149" i="8"/>
  <c r="M149" i="8"/>
  <c r="Q149" i="8"/>
  <c r="I150" i="8"/>
  <c r="L150" i="8"/>
  <c r="M150" i="8"/>
  <c r="I151" i="8"/>
  <c r="L151" i="8"/>
  <c r="Q151" i="8"/>
  <c r="L152" i="8"/>
  <c r="M152" i="8"/>
  <c r="Q152" i="8"/>
  <c r="L153" i="8"/>
  <c r="M153" i="8"/>
  <c r="Q153" i="8"/>
  <c r="I154" i="8"/>
  <c r="L154" i="8"/>
  <c r="M154" i="8"/>
  <c r="Q154" i="8"/>
  <c r="L155" i="8"/>
  <c r="M155" i="8"/>
  <c r="Q155" i="8"/>
  <c r="L156" i="8"/>
  <c r="M156" i="8"/>
  <c r="Q156" i="8"/>
  <c r="L157" i="8"/>
  <c r="M157" i="8"/>
  <c r="Q157" i="8"/>
  <c r="L158" i="8"/>
  <c r="M158" i="8"/>
  <c r="Q158" i="8"/>
  <c r="M159" i="8"/>
  <c r="Q159" i="8"/>
  <c r="I160" i="8"/>
  <c r="L160" i="8"/>
  <c r="M160" i="8"/>
  <c r="Q160" i="8"/>
  <c r="S160" i="8"/>
  <c r="I161" i="8"/>
  <c r="L161" i="8"/>
  <c r="M161" i="8"/>
  <c r="Q161" i="8"/>
  <c r="S161" i="8"/>
  <c r="I162" i="8"/>
  <c r="L162" i="8"/>
  <c r="M162" i="8"/>
  <c r="Q162" i="8"/>
  <c r="S162" i="8"/>
  <c r="I163" i="8"/>
  <c r="L163" i="8"/>
  <c r="M163" i="8"/>
  <c r="Q163" i="8"/>
  <c r="I164" i="8"/>
  <c r="L164" i="8"/>
  <c r="M164" i="8"/>
  <c r="Q164" i="8"/>
  <c r="I165" i="8"/>
  <c r="S9" i="2"/>
  <c r="R9" i="2"/>
  <c r="O10" i="2" l="1"/>
  <c r="O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tc={CAC05455-CBED-2B47-A5D3-4A9ABAC6F3E4}</author>
  </authors>
  <commentList>
    <comment ref="O1" authorId="0" shapeId="0" xr:uid="{DBCBD158-1D9A-904E-8D51-6DCFD460666F}">
      <text>
        <r>
          <rPr>
            <sz val="11"/>
            <color theme="1"/>
            <rFont val="Calibri"/>
            <family val="2"/>
            <scheme val="minor"/>
          </rPr>
          <t>======
ID#AAABZibh2_I
Staff    (2024-11-30 11:54:16)
Still to make Ids of this</t>
        </r>
      </text>
    </comment>
    <comment ref="G49" authorId="0" shapeId="0" xr:uid="{9DE91C8B-01DB-C94D-B405-20C2B6A50F51}">
      <text>
        <r>
          <rPr>
            <sz val="11"/>
            <color theme="1"/>
            <rFont val="Calibri"/>
            <family val="2"/>
            <scheme val="minor"/>
          </rPr>
          <t>======
ID#AAABZibh2_Y
tc={2476259B-683F-4248-AD76-C39A1BC17B33}    (2024-11-30 11:54:16)
[Threaded comment]
Your version of Excel allows you to read this threaded comment; however, any edits to it will get removed if the file is opened in a newer version of Excel. Learn more: https://go.microsoft.com/fwlink/?linkid=870924
Comment:
    Er staat 74 op het blad</t>
        </r>
      </text>
    </comment>
    <comment ref="T69" authorId="0" shapeId="0" xr:uid="{CF9760FB-7D65-514D-83C9-4F18EEBD24BA}">
      <text>
        <r>
          <rPr>
            <sz val="11"/>
            <color theme="1"/>
            <rFont val="Calibri"/>
            <family val="2"/>
            <scheme val="minor"/>
          </rPr>
          <t>======
ID#AAABZibh2_g
tc={DD47C87E-9C8A-D946-8942-4EBCE5330F47}    (2024-11-30 11:54:16)
[Threaded comment]
Your version of Excel allows you to read this threaded comment; however, any edits to it will get removed if the file is opened in a newer version of Excel. Learn more: https://go.microsoft.com/fwlink/?linkid=870924
Comment:
    For students with dyslexia the threshold is 0.8.</t>
        </r>
      </text>
    </comment>
    <comment ref="F103" authorId="0" shapeId="0" xr:uid="{30AC5307-155F-7942-B45C-6729711BDD02}">
      <text>
        <r>
          <rPr>
            <sz val="11"/>
            <color theme="1"/>
            <rFont val="Calibri"/>
            <family val="2"/>
            <scheme val="minor"/>
          </rPr>
          <t>======
ID#AAABZibh2_M
Staff    (2024-11-30 11:54:16)
level 11?</t>
        </r>
      </text>
    </comment>
    <comment ref="E162" authorId="1" shapeId="0" xr:uid="{CAC05455-CBED-2B47-A5D3-4A9ABAC6F3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 Bezemer | ICS De Ceder ik kan deze niet vinden in de course list van ICCE. Is niet relevant voor nu, maar ik plaats alvast een opmerking hier.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8035DE82-1CB1-C449-B1D0-3E0B7B64DEB4}">
      <text>
        <r>
          <rPr>
            <sz val="11"/>
            <color theme="1"/>
            <rFont val="Calibri"/>
            <family val="2"/>
            <scheme val="minor"/>
          </rPr>
          <t>======
ID#AAABZibh2_A
tc={BB5DA368-EED2-4547-8826-B8683BBA12F6}    (2024-11-30 11:54:16)
[Threaded comment]
Your version of Excel allows you to read this threaded comment; however, any edits to it will get removed if the file is opened in a newer version of Excel. Learn more: https://go.microsoft.com/fwlink/?linkid=870924
Comment:
    Code based on subject instead of course name</t>
        </r>
      </text>
    </comment>
    <comment ref="H1" authorId="0" shapeId="0" xr:uid="{AD3184E4-6430-A744-84E6-73E0F6DB485B}">
      <text>
        <r>
          <rPr>
            <sz val="11"/>
            <color theme="1"/>
            <rFont val="Calibri"/>
            <family val="2"/>
            <scheme val="minor"/>
          </rPr>
          <t>======
ID#AAABZibh2-8
tc={1FAB2F44-2E45-5E4B-B054-C8DECEF20965}    (2024-11-30 11:54:16)
[Threaded comment]
Your version of Excel allows you to read this threaded comment; however, any edits to it will get removed if the file is opened in a newer version of Excel. Learn more: https://go.microsoft.com/fwlink/?linkid=870924
Comment:
    moet nog aangepast worden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<sst xmlns="http://schemas.openxmlformats.org/spreadsheetml/2006/main" count="6006" uniqueCount="1788">
  <si>
    <t>PACE</t>
  </si>
  <si>
    <t>score</t>
  </si>
  <si>
    <t>dd/mm/yy</t>
  </si>
  <si>
    <t>USMA09</t>
  </si>
  <si>
    <t>PACEcode</t>
  </si>
  <si>
    <t>StudentID</t>
  </si>
  <si>
    <t>USMA0986</t>
  </si>
  <si>
    <t>New Testament Church History</t>
  </si>
  <si>
    <t>3</t>
  </si>
  <si>
    <t>4</t>
  </si>
  <si>
    <t>5</t>
  </si>
  <si>
    <t>6</t>
  </si>
  <si>
    <t>7</t>
  </si>
  <si>
    <t>8</t>
  </si>
  <si>
    <t>9</t>
  </si>
  <si>
    <t>10</t>
  </si>
  <si>
    <t>11</t>
  </si>
  <si>
    <t>12</t>
  </si>
  <si>
    <t>Stars</t>
  </si>
  <si>
    <t>«</t>
  </si>
  <si>
    <t>ICCE Physical Science</t>
  </si>
  <si>
    <t>Apologetics I-B</t>
  </si>
  <si>
    <t>USMA09867</t>
  </si>
  <si>
    <t>USMA09868</t>
  </si>
  <si>
    <t>Business Math</t>
  </si>
  <si>
    <t>Social Studies Level 12</t>
  </si>
  <si>
    <t>Further Credit Option</t>
  </si>
  <si>
    <t>ECON</t>
  </si>
  <si>
    <t>Economics</t>
  </si>
  <si>
    <t>USCI</t>
  </si>
  <si>
    <t>Civics</t>
  </si>
  <si>
    <t>U.S. Civics</t>
  </si>
  <si>
    <t>Inactive</t>
  </si>
  <si>
    <t>COTS</t>
  </si>
  <si>
    <t>College Old Testament Survey</t>
  </si>
  <si>
    <t>College Basic Old Testament Survey</t>
  </si>
  <si>
    <t>Active</t>
  </si>
  <si>
    <t>BC</t>
  </si>
  <si>
    <t>Biographies of Christians</t>
  </si>
  <si>
    <t>Basic Biographies of Christians</t>
  </si>
  <si>
    <t>NC</t>
  </si>
  <si>
    <t>Only possible to choose this as an option for Apologetics II</t>
  </si>
  <si>
    <t>New Testament Church History I</t>
  </si>
  <si>
    <t>Basic New Testament Church History</t>
  </si>
  <si>
    <t>Core</t>
  </si>
  <si>
    <t>RS</t>
  </si>
  <si>
    <t>Moet ik dit toevoegen voor elke unit en taal?</t>
  </si>
  <si>
    <t>Language</t>
  </si>
  <si>
    <t>Rosetta Stone Language X</t>
  </si>
  <si>
    <t>AEE Physical Science</t>
  </si>
  <si>
    <t>SC</t>
  </si>
  <si>
    <t>Algebra I &amp; Geometry II</t>
  </si>
  <si>
    <t>MA</t>
  </si>
  <si>
    <t>De naamgeving is misleidend, er staat "Geometry II" maar hiermee wordt bedoeld de tweede helft van Geometry</t>
  </si>
  <si>
    <t>Mathematics-IIB</t>
  </si>
  <si>
    <t>Algebra I &amp; Geometry I</t>
  </si>
  <si>
    <t xml:space="preserve">Dit is een nieuwe optie waarbij de leerling de eerste helft van Algebra 1 en Geometry I mag doen, en dan bij Intermediate de tweede helft van Algebra 1 en Geometry. </t>
  </si>
  <si>
    <t>Mathematics-IB</t>
  </si>
  <si>
    <t>Social Studies Level 12 World History</t>
  </si>
  <si>
    <t>WH</t>
  </si>
  <si>
    <t xml:space="preserve">Dit lijkt op ID59 maar zie opmerking daar. Dit valt ook onder een andere SubjectGroupID (klopt dat?). </t>
  </si>
  <si>
    <t>World History</t>
  </si>
  <si>
    <t>AP</t>
  </si>
  <si>
    <t>Dit zijn alleen vier PACE's 98-101. De sterren worden niet gegeven voor de toetsen maar voor de essays voor de boeken die ze moeten lezen. Vroeger waren dit aparte PACEs, maar nu gebundeld in één PACE "Apologetics 02".</t>
  </si>
  <si>
    <t>Apologetics I-B (2019)</t>
  </si>
  <si>
    <t>Apologetics II</t>
  </si>
  <si>
    <t>Dit zijn alleen twee PACE's 97,102. Vroeger waren dit aparte PACEs, maar nu gebundeld in één PACE "Apologetics 01".</t>
  </si>
  <si>
    <t>Apologetics I-A (2019)</t>
  </si>
  <si>
    <t>Apologetics I</t>
  </si>
  <si>
    <t>English Grammar</t>
  </si>
  <si>
    <t>EG</t>
  </si>
  <si>
    <t>Elective</t>
  </si>
  <si>
    <t>GR</t>
  </si>
  <si>
    <t>Grammar</t>
  </si>
  <si>
    <t>Science Level 2 Animal</t>
  </si>
  <si>
    <t>Core Academic Studies</t>
  </si>
  <si>
    <t>AS</t>
  </si>
  <si>
    <t>Animal Science</t>
  </si>
  <si>
    <t>Social Studies Level 10 American History</t>
  </si>
  <si>
    <t>UH</t>
  </si>
  <si>
    <t>US History</t>
  </si>
  <si>
    <t>Social Studies Level 5 UK</t>
  </si>
  <si>
    <t>UK</t>
  </si>
  <si>
    <t>Social Studies</t>
  </si>
  <si>
    <t>UK Social Studies</t>
  </si>
  <si>
    <t>LC</t>
  </si>
  <si>
    <t xml:space="preserve">Alleen even getallen hebben PACE beschikbaar. 106 is niet meer te verkrijgen, dus is vervangen door Poetry of After the Flood. Daarom staat er ipv 106 "106P". Er moeten zes PACEs in totaal worden gedaan met de keuze uit deze vijf beschikbare, of Poetry 1 of 2, of After the Flood. </t>
  </si>
  <si>
    <t>Literature Level 9</t>
  </si>
  <si>
    <t>CourseWork</t>
  </si>
  <si>
    <t>DS</t>
  </si>
  <si>
    <t>English III Dissertation</t>
  </si>
  <si>
    <t>ES</t>
  </si>
  <si>
    <t>Sciences Essay Advanced</t>
  </si>
  <si>
    <t>PR</t>
  </si>
  <si>
    <t>Sciences Project Advanced</t>
  </si>
  <si>
    <t>Social Studies Essay Advanced</t>
  </si>
  <si>
    <t>English Essay Advanced</t>
  </si>
  <si>
    <t>Maths Paper Advanced</t>
  </si>
  <si>
    <t>Biblical Studies Essay Advanced</t>
  </si>
  <si>
    <t>Science Essay Intermediate</t>
  </si>
  <si>
    <t>Social Studies Essay Intermediate</t>
  </si>
  <si>
    <t>English Essay Intermediate</t>
  </si>
  <si>
    <t>Biblical Studies Essay Intermediate</t>
  </si>
  <si>
    <t>Science Essay General</t>
  </si>
  <si>
    <t>Social Studies Essay General</t>
  </si>
  <si>
    <t>NL</t>
  </si>
  <si>
    <t>Dutch Language Staatsexamen VMBO</t>
  </si>
  <si>
    <t>Life of Christ</t>
  </si>
  <si>
    <t>BA</t>
  </si>
  <si>
    <t>Biology Apologia</t>
  </si>
  <si>
    <t>IB</t>
  </si>
  <si>
    <t>ICCE Biology</t>
  </si>
  <si>
    <t>EC</t>
  </si>
  <si>
    <t>Welk level? Staat niet op het blad</t>
  </si>
  <si>
    <t>English Composition I</t>
  </si>
  <si>
    <t>Only possible to choose this as an option for Apologetics III</t>
  </si>
  <si>
    <t>New Testament Church History II</t>
  </si>
  <si>
    <t>Life of Christ II</t>
  </si>
  <si>
    <t>CG</t>
  </si>
  <si>
    <t>ICCE-C48</t>
  </si>
  <si>
    <t>Christian Growth</t>
  </si>
  <si>
    <t>Basic Christian Growth</t>
  </si>
  <si>
    <t>CC</t>
  </si>
  <si>
    <t>Apologetics option only?</t>
  </si>
  <si>
    <t>Christian Counselling II</t>
  </si>
  <si>
    <t>Social Studies Level 12 US Constitution</t>
  </si>
  <si>
    <t>UC</t>
  </si>
  <si>
    <t>US Constitution</t>
  </si>
  <si>
    <t>Social Studies Level 11</t>
  </si>
  <si>
    <t>HC</t>
  </si>
  <si>
    <t>Dit staat ook onder FCO, maar is verplicht!?</t>
  </si>
  <si>
    <t>History of Civilisation II</t>
  </si>
  <si>
    <t>Social Studies Level 12 Collectivism</t>
  </si>
  <si>
    <t>CO</t>
  </si>
  <si>
    <t>Over communisme en zo</t>
  </si>
  <si>
    <t>Collectivism</t>
  </si>
  <si>
    <t>CE</t>
  </si>
  <si>
    <t>Is een combinatie van twee vakken</t>
  </si>
  <si>
    <t>Civics and Economics</t>
  </si>
  <si>
    <t>Social Studies Level 8 American History</t>
  </si>
  <si>
    <t>AH</t>
  </si>
  <si>
    <t>Credit Option</t>
  </si>
  <si>
    <t>Social Studies I-A</t>
  </si>
  <si>
    <t>American History</t>
  </si>
  <si>
    <t>Science Level 12</t>
  </si>
  <si>
    <t>PH</t>
  </si>
  <si>
    <t>Physics</t>
  </si>
  <si>
    <t>Science 12</t>
  </si>
  <si>
    <t>CP</t>
  </si>
  <si>
    <t>College Physical Science</t>
  </si>
  <si>
    <t>Basic Intro. to Physical Science</t>
  </si>
  <si>
    <t>MT</t>
  </si>
  <si>
    <t>Music Theory/Performance Grade 7/8</t>
  </si>
  <si>
    <t>Nieuwe nummering?</t>
  </si>
  <si>
    <t>N.T. Greek II</t>
  </si>
  <si>
    <t>EN</t>
  </si>
  <si>
    <t xml:space="preserve">mogelijk English IV te kiezen als III nog niet gedaan is? </t>
  </si>
  <si>
    <t>English IV</t>
  </si>
  <si>
    <t>Where is English Composition I?</t>
  </si>
  <si>
    <t>English Composition II</t>
  </si>
  <si>
    <t>TR</t>
  </si>
  <si>
    <t>?</t>
  </si>
  <si>
    <t>Trigonometry</t>
  </si>
  <si>
    <t>HM</t>
  </si>
  <si>
    <t>Higher Maths</t>
  </si>
  <si>
    <t>CM</t>
  </si>
  <si>
    <t>College Maths II</t>
  </si>
  <si>
    <t>Basic Mathematics II Precalculus</t>
  </si>
  <si>
    <t>College Maths I</t>
  </si>
  <si>
    <t>Basic Mathematics I</t>
  </si>
  <si>
    <t>AC</t>
  </si>
  <si>
    <t>Accounting (US)</t>
  </si>
  <si>
    <t>ICCE-C26</t>
  </si>
  <si>
    <t>Science Level 11</t>
  </si>
  <si>
    <t>CH</t>
  </si>
  <si>
    <t>Chemistry</t>
  </si>
  <si>
    <t>Science 11</t>
  </si>
  <si>
    <t>N.T. Greek I</t>
  </si>
  <si>
    <t>I1</t>
  </si>
  <si>
    <t>Overlap with the previous one and the same name</t>
  </si>
  <si>
    <t>ICCE Literature 10</t>
  </si>
  <si>
    <t xml:space="preserve">Beide vakken hebben dezelfde naam. Specification is niet duidelijk, is moeilijk met twee karakters. Beter is "I10" vs "I09". </t>
  </si>
  <si>
    <t>ICCE Literature 10 Part 1</t>
  </si>
  <si>
    <t>English III</t>
  </si>
  <si>
    <t>Staatsexamen Havo, where is VWO?</t>
  </si>
  <si>
    <t>Dutch Language Staatsexamen HAVO</t>
  </si>
  <si>
    <t>BL</t>
  </si>
  <si>
    <t>British Literature</t>
  </si>
  <si>
    <t>AL</t>
  </si>
  <si>
    <t>Algebra II</t>
  </si>
  <si>
    <t>IC</t>
  </si>
  <si>
    <t>From approved list</t>
  </si>
  <si>
    <t>AM</t>
  </si>
  <si>
    <t>Auto Mechanics</t>
  </si>
  <si>
    <t>OT</t>
  </si>
  <si>
    <t>Ik kan alleen PACEs 1-10 vinden, zijn waarschijnlijk oude edities</t>
  </si>
  <si>
    <t>Biblical Studies II: Old Testament Survey ICCE-C25</t>
  </si>
  <si>
    <t>Old Testament Survey</t>
  </si>
  <si>
    <t>Life of Christ I</t>
  </si>
  <si>
    <t>Correct gespeld? Is Amerikaans materiaal maar Britse spelling?</t>
  </si>
  <si>
    <t>Christian Counselling I</t>
  </si>
  <si>
    <t xml:space="preserve">De oude nummering hiervan is resp. PACE's 98-101 (nu dus 7-10). Hier mag gekozen worden voor Apologetics II (i.e. boekjes 3 en 4) of uit Groep 1 (i.e. Christian Studies, van Intermediate). Klopt deze laatste opmerking (keuze uit Groep 1)? Er is geen toets bij Apologetics II, maar wel een essay, waar drie sterren voor worden gegeven.
</t>
  </si>
  <si>
    <t>Apologetics I-B (2022)</t>
  </si>
  <si>
    <t>Social Studies Level 10</t>
  </si>
  <si>
    <t>Social Studies II-B</t>
  </si>
  <si>
    <t>History of Civilisation I</t>
  </si>
  <si>
    <t>Science Level 10</t>
  </si>
  <si>
    <t>PS</t>
  </si>
  <si>
    <t>Dat klopt</t>
  </si>
  <si>
    <t>Physical Science</t>
  </si>
  <si>
    <t>Science 10</t>
  </si>
  <si>
    <t>Music Theory/Performance Grade 6</t>
  </si>
  <si>
    <t>Each six stars</t>
  </si>
  <si>
    <t>Rosetta Stone Level 10</t>
  </si>
  <si>
    <t>English II</t>
  </si>
  <si>
    <t>GE</t>
  </si>
  <si>
    <t>Mathematics-IIA</t>
  </si>
  <si>
    <t>Geometry</t>
  </si>
  <si>
    <t>ED</t>
  </si>
  <si>
    <t xml:space="preserve">Wat is dit? </t>
  </si>
  <si>
    <t>ECDL Course</t>
  </si>
  <si>
    <t>AT</t>
  </si>
  <si>
    <t>A.C.E. Training + 30 hours of service</t>
  </si>
  <si>
    <t>SL</t>
  </si>
  <si>
    <t>Vroeger kwam dit na BS Level 9 (NTS). Dit is vanaf 2024-01 een keuze voor General en Intermediate geworden (verplichting is vervallen). In plaats daarvan is ICCE Phys Science verplicht geworden in Level 9.</t>
  </si>
  <si>
    <t>Successful Living</t>
  </si>
  <si>
    <t>MI</t>
  </si>
  <si>
    <t>Missions</t>
  </si>
  <si>
    <t>Dit zijn resp. PACE's 97,102 in de oude editie (2018). 2 sterren voor de twee toetsen, en 1 ster voor het essay</t>
  </si>
  <si>
    <t>Apologetics I-A (2022)</t>
  </si>
  <si>
    <t>Social Studies Level 9 World Geography</t>
  </si>
  <si>
    <t>WG</t>
  </si>
  <si>
    <t>Social Studies I-C</t>
  </si>
  <si>
    <t>World Geography</t>
  </si>
  <si>
    <t>A.C.E. Training</t>
  </si>
  <si>
    <t>SP</t>
  </si>
  <si>
    <t>Is een combinatie vak dat alleen met Health samen gedaan kan worden? ON HOLD Informatie moet nog bevestigd worden</t>
  </si>
  <si>
    <t>Sport + Health</t>
  </si>
  <si>
    <t>NS</t>
  </si>
  <si>
    <t>Nutrition Science</t>
  </si>
  <si>
    <t>HE</t>
  </si>
  <si>
    <t>Health</t>
  </si>
  <si>
    <t>Science Level 9</t>
  </si>
  <si>
    <t>BI</t>
  </si>
  <si>
    <t>Biology / Science Level 9</t>
  </si>
  <si>
    <t>Science 9</t>
  </si>
  <si>
    <t>Astronomy</t>
  </si>
  <si>
    <t>I9</t>
  </si>
  <si>
    <t>Voor Essays vanaf een bepaald niveau worden er geen sterren gegeven. Dit vak heeft geen lesmateriaal. Het zijn gewoon vier boeken waar een essay voor moet worden geschreven.</t>
  </si>
  <si>
    <t>ICCE Literature Level 9</t>
  </si>
  <si>
    <t>Speech</t>
  </si>
  <si>
    <t>Is duplicate of 70? Or perhaps the other one is theory and this one is performance</t>
  </si>
  <si>
    <t>Music Theory/Performance</t>
  </si>
  <si>
    <t>Music Theory/Performance Grade 5</t>
  </si>
  <si>
    <t>MU</t>
  </si>
  <si>
    <t>Music</t>
  </si>
  <si>
    <t>Word Building Level 9</t>
  </si>
  <si>
    <t>ET</t>
  </si>
  <si>
    <t>Word Building / Etymology</t>
  </si>
  <si>
    <t>CA</t>
  </si>
  <si>
    <t>Complete Art</t>
  </si>
  <si>
    <t>AA</t>
  </si>
  <si>
    <t>Advanced Art</t>
  </si>
  <si>
    <t>Spanish I</t>
  </si>
  <si>
    <t>Extended Levels only</t>
  </si>
  <si>
    <t>Rosetta Stone Level 9</t>
  </si>
  <si>
    <t>FR</t>
  </si>
  <si>
    <t>French I</t>
  </si>
  <si>
    <t>English I</t>
  </si>
  <si>
    <t>Mathematics-IA</t>
  </si>
  <si>
    <t>Algebra I</t>
  </si>
  <si>
    <t>NT</t>
  </si>
  <si>
    <t>New Testament Survey</t>
  </si>
  <si>
    <t>Biblical Studies I: New Testament Survey</t>
  </si>
  <si>
    <t>Social Studies Level 9 World History</t>
  </si>
  <si>
    <t>Dit was tot 1/1/2024 een optie voor het Enrollment-Course "British and European History /  World History" binnen General (level 8), waarbij de leerling mag kiezen tussen Eur. of World History (alleen de 3rd Edition mocht dan gebruikt worden). Na deze periode is dit een keuzevak geworden binnen Intermediate (level 10) en alleen met de 4th Editions.</t>
  </si>
  <si>
    <t>Social Studies Level 8 British and European History</t>
  </si>
  <si>
    <t>SS Level 8 bestaat uit History en Geography. Binnen History moet gekozen worden voor dit vak (British European) OF voor American History. Daarna volgt World Geography</t>
  </si>
  <si>
    <t>Social Studies I-B</t>
  </si>
  <si>
    <t>British and European History</t>
  </si>
  <si>
    <t>Science Level 8</t>
  </si>
  <si>
    <t>Earth Science</t>
  </si>
  <si>
    <t>Alleen even getallen hebben PACE beschikbaar</t>
  </si>
  <si>
    <t>Literature Level 8</t>
  </si>
  <si>
    <t>WB</t>
  </si>
  <si>
    <t>Word Building Level 8</t>
  </si>
  <si>
    <t>General English</t>
  </si>
  <si>
    <t>GM</t>
  </si>
  <si>
    <t>General Maths</t>
  </si>
  <si>
    <t>BR</t>
  </si>
  <si>
    <t xml:space="preserve">Dit bestaat nog niet. Misschien komt er later nog materiaal beschikbaar voor dit niveau. </t>
  </si>
  <si>
    <t>Bible Reading Level 7</t>
  </si>
  <si>
    <t>SI</t>
  </si>
  <si>
    <t xml:space="preserve">Bij bestellen rekening houden dat dit 1 boek is. </t>
  </si>
  <si>
    <t>Staatsinrichting</t>
  </si>
  <si>
    <t>SS</t>
  </si>
  <si>
    <t>Deze zes PACEs gaan over "Career" en de volgende zes (79-84) over "American Constitution", maar die worden niet gedaan in Nederland. In plaats daarvan worden drie PACEs "Staatsinrichting" gedaan.</t>
  </si>
  <si>
    <t>Social Studies Level 7</t>
  </si>
  <si>
    <t>Science Level 7</t>
  </si>
  <si>
    <t>Science 7</t>
  </si>
  <si>
    <t>Literature Level 7</t>
  </si>
  <si>
    <t>Word Building Level 7</t>
  </si>
  <si>
    <t>Beginning Art</t>
  </si>
  <si>
    <t>English Level 7</t>
  </si>
  <si>
    <t>Maths Level 7</t>
  </si>
  <si>
    <t>Bible Reading Level 6</t>
  </si>
  <si>
    <t>Social Studies Level 6</t>
  </si>
  <si>
    <t>Science Level 6</t>
  </si>
  <si>
    <t>Science 6</t>
  </si>
  <si>
    <t>Literature and Creative Writing Level 6</t>
  </si>
  <si>
    <t>Word Building Level 6</t>
  </si>
  <si>
    <t>English Level 6</t>
  </si>
  <si>
    <t>Maths Level 6</t>
  </si>
  <si>
    <t>Bible Reading Level 5</t>
  </si>
  <si>
    <t>Social Studies Level 5</t>
  </si>
  <si>
    <t>Science Level 5</t>
  </si>
  <si>
    <t>Science 5</t>
  </si>
  <si>
    <t>Literature and Creative Writing Level 5</t>
  </si>
  <si>
    <t>Word Building Level 5</t>
  </si>
  <si>
    <t>English Level 5</t>
  </si>
  <si>
    <t>Maths Level 5</t>
  </si>
  <si>
    <t>Bible Reading Level 4</t>
  </si>
  <si>
    <t>Social Studies Level 4</t>
  </si>
  <si>
    <t>Science Level 4</t>
  </si>
  <si>
    <t>Science 4</t>
  </si>
  <si>
    <t>Literature and Creative Writing Level 4</t>
  </si>
  <si>
    <t>Word Building Level 4</t>
  </si>
  <si>
    <t>English Level 4</t>
  </si>
  <si>
    <t>Maths Level 4</t>
  </si>
  <si>
    <t>Bible Reading Level 3</t>
  </si>
  <si>
    <t>Social Studies Level 3</t>
  </si>
  <si>
    <t>Science Level 3</t>
  </si>
  <si>
    <t>Science 3</t>
  </si>
  <si>
    <t>Literature and Creative Writing Level 3</t>
  </si>
  <si>
    <t>Word Building Level 3</t>
  </si>
  <si>
    <t>English Level 3</t>
  </si>
  <si>
    <t>Maths Level 3</t>
  </si>
  <si>
    <t>Bible Reading Level 2</t>
  </si>
  <si>
    <t>Social Studies Level 2</t>
  </si>
  <si>
    <t>Science Level 2</t>
  </si>
  <si>
    <t>Science 2</t>
  </si>
  <si>
    <t>Literature and Creative Writing Level 2</t>
  </si>
  <si>
    <t>Word Building Level 2</t>
  </si>
  <si>
    <t>English Level 2</t>
  </si>
  <si>
    <t>Maths Level 2</t>
  </si>
  <si>
    <t>Bible Reading Level 1</t>
  </si>
  <si>
    <t>Social Studies Level 1</t>
  </si>
  <si>
    <t>Science Level 1</t>
  </si>
  <si>
    <t>Science 1</t>
  </si>
  <si>
    <t>Literature and Creative Writing Level 1</t>
  </si>
  <si>
    <t>Word Building Level 1</t>
  </si>
  <si>
    <t>English Level 1</t>
  </si>
  <si>
    <t>Maths Level 1</t>
  </si>
  <si>
    <t>RR</t>
  </si>
  <si>
    <t>Maths Reading Readiness</t>
  </si>
  <si>
    <t>Status</t>
  </si>
  <si>
    <t>PassThreshold</t>
  </si>
  <si>
    <t>Course</t>
  </si>
  <si>
    <t>CourseType</t>
  </si>
  <si>
    <t>SubjectGroup__</t>
  </si>
  <si>
    <t>SubjectGroupID</t>
  </si>
  <si>
    <t>Specification</t>
  </si>
  <si>
    <t>Remarks</t>
  </si>
  <si>
    <t>SubjectAbb</t>
  </si>
  <si>
    <t>Subject_temp</t>
  </si>
  <si>
    <t>SubjectID</t>
  </si>
  <si>
    <t>StarValue</t>
  </si>
  <si>
    <t>PaceCount__</t>
  </si>
  <si>
    <t>PaceNrEnd</t>
  </si>
  <si>
    <t>PaceNrStart</t>
  </si>
  <si>
    <t>Level</t>
  </si>
  <si>
    <t>ACE_Alias</t>
  </si>
  <si>
    <t>ID</t>
  </si>
  <si>
    <t>SS96WH03PT</t>
  </si>
  <si>
    <t>World History 3rd Edition</t>
  </si>
  <si>
    <t>SS95WH03PT</t>
  </si>
  <si>
    <t>SS94WH03PT</t>
  </si>
  <si>
    <t>SS93WH03PT</t>
  </si>
  <si>
    <t>SS92WH03PT</t>
  </si>
  <si>
    <t>SS91WH03PT</t>
  </si>
  <si>
    <t>SS90WH03PT</t>
  </si>
  <si>
    <t>SS89WH03PT</t>
  </si>
  <si>
    <t>SS88WH03PT</t>
  </si>
  <si>
    <t>SS87WH03PT</t>
  </si>
  <si>
    <t>SS86WH03PT</t>
  </si>
  <si>
    <t>SS85WH03PT</t>
  </si>
  <si>
    <t>SS44CE03PT</t>
  </si>
  <si>
    <t>SS43CE03PT</t>
  </si>
  <si>
    <t>SS42CE03PT</t>
  </si>
  <si>
    <t>SS41CE03PT</t>
  </si>
  <si>
    <t>SS40CE03PT</t>
  </si>
  <si>
    <t>SS39CE03PT</t>
  </si>
  <si>
    <t>SS38CE03PT</t>
  </si>
  <si>
    <t>SS37CE03PT</t>
  </si>
  <si>
    <t>SS36CE03PT</t>
  </si>
  <si>
    <t>SS35CE03PT</t>
  </si>
  <si>
    <t>SS34CE03PT</t>
  </si>
  <si>
    <t>SS33CE03PT</t>
  </si>
  <si>
    <t>After the Flood</t>
  </si>
  <si>
    <t>LI08LC03PT</t>
  </si>
  <si>
    <t>Poetry 2</t>
  </si>
  <si>
    <t>Poetry 1</t>
  </si>
  <si>
    <t>ICT Digital Savvy</t>
  </si>
  <si>
    <t>BI44LC03PT</t>
  </si>
  <si>
    <t>BI43LC03PT</t>
  </si>
  <si>
    <t>BI42LC03PT</t>
  </si>
  <si>
    <t>BI41LC03PT</t>
  </si>
  <si>
    <t>BI40LC03PT</t>
  </si>
  <si>
    <t>BI39LC03PT</t>
  </si>
  <si>
    <t>BI38LC03PT</t>
  </si>
  <si>
    <t>BI37LC03PT</t>
  </si>
  <si>
    <t>BI36LC03PT</t>
  </si>
  <si>
    <t>BI35LC03PT</t>
  </si>
  <si>
    <t>BI34LC03PT</t>
  </si>
  <si>
    <t>BI33LC03PT</t>
  </si>
  <si>
    <t>BS32NC03PT</t>
  </si>
  <si>
    <t>BS31NC03PT</t>
  </si>
  <si>
    <t>BS30NC03PT</t>
  </si>
  <si>
    <t>BS29NC03PT</t>
  </si>
  <si>
    <t>BS28NC03PT</t>
  </si>
  <si>
    <t>BS27NC03PT</t>
  </si>
  <si>
    <t>BS44LC03PT</t>
  </si>
  <si>
    <t>BS43LC03PT</t>
  </si>
  <si>
    <t>BS42LC03PT</t>
  </si>
  <si>
    <t>BS41LC03PT</t>
  </si>
  <si>
    <t>BS40LC03PT</t>
  </si>
  <si>
    <t>BS39LC03PT</t>
  </si>
  <si>
    <t>BS38CG03PT</t>
  </si>
  <si>
    <t>BS37CG03PT</t>
  </si>
  <si>
    <t>BS36CG03PT</t>
  </si>
  <si>
    <t>BS35CG03PT</t>
  </si>
  <si>
    <t>BS34CG03PT</t>
  </si>
  <si>
    <t>BS33CG03PT</t>
  </si>
  <si>
    <t>BS10CC03PT</t>
  </si>
  <si>
    <t>BS09CC03PT</t>
  </si>
  <si>
    <t>BS08CC03PT</t>
  </si>
  <si>
    <t>BS07CC03PT</t>
  </si>
  <si>
    <t>BS06CC03PT</t>
  </si>
  <si>
    <t>SS36UC03PT</t>
  </si>
  <si>
    <t>SS35UC03PT</t>
  </si>
  <si>
    <t>SS34UC03PT</t>
  </si>
  <si>
    <t>SS33UC03PT</t>
  </si>
  <si>
    <t>SS20HC03PT</t>
  </si>
  <si>
    <t>SS19HC03PT</t>
  </si>
  <si>
    <t>SS18HC03PT</t>
  </si>
  <si>
    <t>SS17HC03PT</t>
  </si>
  <si>
    <t>SS16HC03PT</t>
  </si>
  <si>
    <t>SS15HC03PT</t>
  </si>
  <si>
    <t>SS14HC03PT</t>
  </si>
  <si>
    <t>SS13HC03PT</t>
  </si>
  <si>
    <t>SS12HC03PT</t>
  </si>
  <si>
    <t>SS11HC03PT</t>
  </si>
  <si>
    <t>SS38CO03PT</t>
  </si>
  <si>
    <t>SS37CO03PT</t>
  </si>
  <si>
    <t>SS36CO03PT</t>
  </si>
  <si>
    <t>SS35CO03PT</t>
  </si>
  <si>
    <t>SS34CO03PT</t>
  </si>
  <si>
    <t>SS33CO03PT</t>
  </si>
  <si>
    <t>SS96AH03PT</t>
  </si>
  <si>
    <t>SS95AH03PT</t>
  </si>
  <si>
    <t>SS94AH03PT</t>
  </si>
  <si>
    <t>SS93AH03PT</t>
  </si>
  <si>
    <t>SS92AH03PT</t>
  </si>
  <si>
    <t>SS91AH03PT</t>
  </si>
  <si>
    <t>SS90AH03PT</t>
  </si>
  <si>
    <t>SS89AH03PT</t>
  </si>
  <si>
    <t>SS88AH03PT</t>
  </si>
  <si>
    <t>SS87AH03PT</t>
  </si>
  <si>
    <t>SS86AH03PT</t>
  </si>
  <si>
    <t>SS85AH03PT</t>
  </si>
  <si>
    <t>SC44PH03PT</t>
  </si>
  <si>
    <t>SC43PH03PT</t>
  </si>
  <si>
    <t>SC42PH03PT</t>
  </si>
  <si>
    <t>SC41PH03PT</t>
  </si>
  <si>
    <t>SC40PH03PT</t>
  </si>
  <si>
    <t>SC39PH03PT</t>
  </si>
  <si>
    <t>SC38PH03PT</t>
  </si>
  <si>
    <t>SC37PH03PT</t>
  </si>
  <si>
    <t>SC36PH03PT</t>
  </si>
  <si>
    <t>SC35PH03PT</t>
  </si>
  <si>
    <t>SC34PH03PT</t>
  </si>
  <si>
    <t>SC33PH03PT</t>
  </si>
  <si>
    <t>SC10CP03PT</t>
  </si>
  <si>
    <t>SC09CP03PT</t>
  </si>
  <si>
    <t>SC08CP03PT</t>
  </si>
  <si>
    <t>SC07CP03PT</t>
  </si>
  <si>
    <t>SC06CP03PT</t>
  </si>
  <si>
    <t>SC05CP03PT</t>
  </si>
  <si>
    <t>SC04CP03PT</t>
  </si>
  <si>
    <t>SC03CP03PT</t>
  </si>
  <si>
    <t>SC02CP03PT</t>
  </si>
  <si>
    <t>SC01CP03PT</t>
  </si>
  <si>
    <t>SU08MT03PT</t>
  </si>
  <si>
    <t>SU07MT03PT</t>
  </si>
  <si>
    <t>LA20GR03PT</t>
  </si>
  <si>
    <t>LA19GR03PT</t>
  </si>
  <si>
    <t>LA18GR03PT</t>
  </si>
  <si>
    <t>LA17GR03PT</t>
  </si>
  <si>
    <t>LA16GR03PT</t>
  </si>
  <si>
    <t>LA15GR03PT</t>
  </si>
  <si>
    <t>LA14GR03PT</t>
  </si>
  <si>
    <t>LA13GR03PT</t>
  </si>
  <si>
    <t>LA12GR03PT</t>
  </si>
  <si>
    <t>LA11GR03PT</t>
  </si>
  <si>
    <t>LA44EN03PT</t>
  </si>
  <si>
    <t>LA43EN03PT</t>
  </si>
  <si>
    <t>LA42EN03PT</t>
  </si>
  <si>
    <t>LA41EN03PT</t>
  </si>
  <si>
    <t>LA40EN03PT</t>
  </si>
  <si>
    <t>LA39EN03PT</t>
  </si>
  <si>
    <t>LA38EN03PT</t>
  </si>
  <si>
    <t>LA37EN03PT</t>
  </si>
  <si>
    <t>LA36EN03PT</t>
  </si>
  <si>
    <t>LA35EN03PT</t>
  </si>
  <si>
    <t>LA34EN03PT</t>
  </si>
  <si>
    <t>LA33EN03PT</t>
  </si>
  <si>
    <t>LA20EC03PT</t>
  </si>
  <si>
    <t>LA19EC03PT</t>
  </si>
  <si>
    <t>LA18EC03PT</t>
  </si>
  <si>
    <t>LA17EC03PT</t>
  </si>
  <si>
    <t>LA16EC03PT</t>
  </si>
  <si>
    <t>LA15EC03PT</t>
  </si>
  <si>
    <t>LA14EC03PT</t>
  </si>
  <si>
    <t>LA13EC03PT</t>
  </si>
  <si>
    <t>LA12EC03PT</t>
  </si>
  <si>
    <t>LA11EC03PT</t>
  </si>
  <si>
    <t>MA38TR03PT</t>
  </si>
  <si>
    <t>MA37TR03PT</t>
  </si>
  <si>
    <t>MA36TR03PT</t>
  </si>
  <si>
    <t>MA35TR03PT</t>
  </si>
  <si>
    <t>MA34TR03PT</t>
  </si>
  <si>
    <t>MA33TR03PT</t>
  </si>
  <si>
    <t>MA44HM03PT</t>
  </si>
  <si>
    <t>MA43HM03PT</t>
  </si>
  <si>
    <t>MA42HM03PT</t>
  </si>
  <si>
    <t>MA41HM03PT</t>
  </si>
  <si>
    <t>MA40HM03PT</t>
  </si>
  <si>
    <t>MA39HM03PT</t>
  </si>
  <si>
    <t>MA20CM03PT</t>
  </si>
  <si>
    <t>MA19CM03PT</t>
  </si>
  <si>
    <t>MA18CM03PT</t>
  </si>
  <si>
    <t>MA17CM03PT</t>
  </si>
  <si>
    <t>MA16CM03PT</t>
  </si>
  <si>
    <t>MA15CM03PT</t>
  </si>
  <si>
    <t>MA14CM03PT</t>
  </si>
  <si>
    <t>MA13CM03PT</t>
  </si>
  <si>
    <t>MA12CM03PT</t>
  </si>
  <si>
    <t>MA11CM03PT</t>
  </si>
  <si>
    <t>MA10CM03PT</t>
  </si>
  <si>
    <t>MA09CM03PT</t>
  </si>
  <si>
    <t>MA08CM03PT</t>
  </si>
  <si>
    <t>MA07CM03PT</t>
  </si>
  <si>
    <t>MA06CM03PT</t>
  </si>
  <si>
    <t>MA05CM03PT</t>
  </si>
  <si>
    <t>MA04CM03PT</t>
  </si>
  <si>
    <t>MA03CM03PT</t>
  </si>
  <si>
    <t>MA02CM03PT</t>
  </si>
  <si>
    <t>MA01CM03PT</t>
  </si>
  <si>
    <t>MA32AC03PT</t>
  </si>
  <si>
    <t>MA31AC03PT</t>
  </si>
  <si>
    <t>MA30AC03PT</t>
  </si>
  <si>
    <t>MA29AC03PT</t>
  </si>
  <si>
    <t>MA28AC03PT</t>
  </si>
  <si>
    <t>MA27AC03PT</t>
  </si>
  <si>
    <t>MA26AC03PT</t>
  </si>
  <si>
    <t>MA25AC03PT</t>
  </si>
  <si>
    <t>MA24AC03PT</t>
  </si>
  <si>
    <t>MA23AC03PT</t>
  </si>
  <si>
    <t>MA22AC03PT</t>
  </si>
  <si>
    <t>MA21AC03PT</t>
  </si>
  <si>
    <t>BS26NC03PT</t>
  </si>
  <si>
    <t>BS25NC03PT</t>
  </si>
  <si>
    <t>BS24NC03PT</t>
  </si>
  <si>
    <t>BS23NC03PT</t>
  </si>
  <si>
    <t>BS22NC03PT</t>
  </si>
  <si>
    <t>BS21NC03PT</t>
  </si>
  <si>
    <t>SC32CH03PT</t>
  </si>
  <si>
    <t>SC31CH03PT</t>
  </si>
  <si>
    <t>SC30CH03PT</t>
  </si>
  <si>
    <t>SC29CH03PT</t>
  </si>
  <si>
    <t>SC28CH03PT</t>
  </si>
  <si>
    <t>SC27CH03PT</t>
  </si>
  <si>
    <t>SC26CH03PT</t>
  </si>
  <si>
    <t>SC25CH03PT</t>
  </si>
  <si>
    <t>SC24CH03PT</t>
  </si>
  <si>
    <t>SC23CH03PT</t>
  </si>
  <si>
    <t>SC22CH03PT</t>
  </si>
  <si>
    <t>SC21CH03PT</t>
  </si>
  <si>
    <t>LA32GR03PT</t>
  </si>
  <si>
    <t>LA31GR03PT</t>
  </si>
  <si>
    <t>LA30GR03PT</t>
  </si>
  <si>
    <t>LA29GR03PT</t>
  </si>
  <si>
    <t>LA28GR03PT</t>
  </si>
  <si>
    <t>LA27GR03PT</t>
  </si>
  <si>
    <t>LA26GR03PT</t>
  </si>
  <si>
    <t>LA25GR03PT</t>
  </si>
  <si>
    <t>LA24GR03PT</t>
  </si>
  <si>
    <t>LA23GR03PT</t>
  </si>
  <si>
    <t>LA22GR03PT</t>
  </si>
  <si>
    <t>LA21GR03PT</t>
  </si>
  <si>
    <t>LI06I103PT</t>
  </si>
  <si>
    <t>LI05I103PT</t>
  </si>
  <si>
    <t>LI04I103PT</t>
  </si>
  <si>
    <t>LI03I103PT</t>
  </si>
  <si>
    <t>LI02I103PT</t>
  </si>
  <si>
    <t>LI01I103PT</t>
  </si>
  <si>
    <t>LA32EN03PT</t>
  </si>
  <si>
    <t>LA31EN03PT</t>
  </si>
  <si>
    <t>LA30EN03PT</t>
  </si>
  <si>
    <t>LA29EN03PT</t>
  </si>
  <si>
    <t>LA28EN03PT</t>
  </si>
  <si>
    <t>LA27EN03PT</t>
  </si>
  <si>
    <t>LA26EN03PT</t>
  </si>
  <si>
    <t>LA25EN03PT</t>
  </si>
  <si>
    <t>LA24EN03PT</t>
  </si>
  <si>
    <t>LA23EN03PT</t>
  </si>
  <si>
    <t>LA22EN03PT</t>
  </si>
  <si>
    <t>LA21EN03PT</t>
  </si>
  <si>
    <t>LA05BL03PT</t>
  </si>
  <si>
    <t>LA04BL03PT</t>
  </si>
  <si>
    <t>LA03BL03PT</t>
  </si>
  <si>
    <t>LA02BL03PT</t>
  </si>
  <si>
    <t>LA01BL03PT</t>
  </si>
  <si>
    <t>MA32AL03PT</t>
  </si>
  <si>
    <t>MA31AL03PT</t>
  </si>
  <si>
    <t>MA30AL03PT</t>
  </si>
  <si>
    <t>MA29AL03PT</t>
  </si>
  <si>
    <t>MA28AL03PT</t>
  </si>
  <si>
    <t>MA27AL03PT</t>
  </si>
  <si>
    <t>MA26AL03PT</t>
  </si>
  <si>
    <t>MA25AL03PT</t>
  </si>
  <si>
    <t>MA24AL03PT</t>
  </si>
  <si>
    <t>MA23AL03PT</t>
  </si>
  <si>
    <t>MA22AL03PT</t>
  </si>
  <si>
    <t>MA21AL03PT</t>
  </si>
  <si>
    <t>SU14AM03PT</t>
  </si>
  <si>
    <t>SU13AM03PT</t>
  </si>
  <si>
    <t>SU12AM03PT</t>
  </si>
  <si>
    <t>SU11AM03PT</t>
  </si>
  <si>
    <t>SU10AM03PT</t>
  </si>
  <si>
    <t>SU09AM03PT</t>
  </si>
  <si>
    <t>BS20OT03PT</t>
  </si>
  <si>
    <t>BS19OT03PT</t>
  </si>
  <si>
    <t>BS18OT03PT</t>
  </si>
  <si>
    <t>BS17OT03PT</t>
  </si>
  <si>
    <t>BS16OT03PT</t>
  </si>
  <si>
    <t>BS15OT03PT</t>
  </si>
  <si>
    <t>BS14OT03PT</t>
  </si>
  <si>
    <t>BS13OT03PT</t>
  </si>
  <si>
    <t>BS12OT03PT</t>
  </si>
  <si>
    <t>BS11OT03PT</t>
  </si>
  <si>
    <t>BS10OT03PT</t>
  </si>
  <si>
    <t>BS09OT03PT</t>
  </si>
  <si>
    <t>BS38LC03PT</t>
  </si>
  <si>
    <t>BS37LC03PT</t>
  </si>
  <si>
    <t>BS36LC03PT</t>
  </si>
  <si>
    <t>BS35LC03PT</t>
  </si>
  <si>
    <t>BS34LC03PT</t>
  </si>
  <si>
    <t>BS33LC03PT</t>
  </si>
  <si>
    <t>BS05CC03PT</t>
  </si>
  <si>
    <t>BS04CC03PT</t>
  </si>
  <si>
    <t>BS03CC03PT</t>
  </si>
  <si>
    <t>BS02CC03PT</t>
  </si>
  <si>
    <t>BS01CC03PT</t>
  </si>
  <si>
    <t>BS04AP22PT</t>
  </si>
  <si>
    <t>BS03AP22PT</t>
  </si>
  <si>
    <t>SS10HC03PT</t>
  </si>
  <si>
    <t>SS09HC03PT</t>
  </si>
  <si>
    <t>SS08HC03PT</t>
  </si>
  <si>
    <t>SS07HC03PT</t>
  </si>
  <si>
    <t>SS06HC03PT</t>
  </si>
  <si>
    <t>SS05HC03PT</t>
  </si>
  <si>
    <t>SS04HC03PT</t>
  </si>
  <si>
    <t>SS03HC03PT</t>
  </si>
  <si>
    <t>SS02HC03PT</t>
  </si>
  <si>
    <t>SS01HC03PT</t>
  </si>
  <si>
    <t>SC20PS03PT</t>
  </si>
  <si>
    <t>SC19PS03PT</t>
  </si>
  <si>
    <t>SC18PS03PT</t>
  </si>
  <si>
    <t>SC17PS03PT</t>
  </si>
  <si>
    <t>SC16PS03PT</t>
  </si>
  <si>
    <t>SC15PS03PT</t>
  </si>
  <si>
    <t>SC14PS03PT</t>
  </si>
  <si>
    <t>SC13PS03PT</t>
  </si>
  <si>
    <t>SC12PS03PT</t>
  </si>
  <si>
    <t>SC11PS03PT</t>
  </si>
  <si>
    <t>SC10PS03PT</t>
  </si>
  <si>
    <t>SC09PS03PT</t>
  </si>
  <si>
    <t>LA05RS03PT</t>
  </si>
  <si>
    <t>LA04RS03PT</t>
  </si>
  <si>
    <t>LA03RS03PT</t>
  </si>
  <si>
    <t>LA20EN03PT</t>
  </si>
  <si>
    <t>LA19EN03PT</t>
  </si>
  <si>
    <t>LA18EN03PT</t>
  </si>
  <si>
    <t>LA17EN03PT</t>
  </si>
  <si>
    <t>LA16EN03PT</t>
  </si>
  <si>
    <t>LA15EN03PT</t>
  </si>
  <si>
    <t>LA14EN03PT</t>
  </si>
  <si>
    <t>LA13EN03PT</t>
  </si>
  <si>
    <t>LA12EN03PT</t>
  </si>
  <si>
    <t>LA11EN03PT</t>
  </si>
  <si>
    <t>LA10EN03PT</t>
  </si>
  <si>
    <t>LA09EN03PT</t>
  </si>
  <si>
    <t>MA20GE03PT</t>
  </si>
  <si>
    <t>MA19GE03PT</t>
  </si>
  <si>
    <t>MA18GE03PT</t>
  </si>
  <si>
    <t>MA17GE03PT</t>
  </si>
  <si>
    <t>MA16GE03PT</t>
  </si>
  <si>
    <t>MA15GE03PT</t>
  </si>
  <si>
    <t>MA14GE03PT</t>
  </si>
  <si>
    <t>MA13GE03PT</t>
  </si>
  <si>
    <t>MA12GE03PT</t>
  </si>
  <si>
    <t>MA11GE03PT</t>
  </si>
  <si>
    <t>MA10GE03PT</t>
  </si>
  <si>
    <t>MA09GE03PT</t>
  </si>
  <si>
    <t>SU08ED03PT</t>
  </si>
  <si>
    <t>SU07ED03PT</t>
  </si>
  <si>
    <t>SU06ED03PT</t>
  </si>
  <si>
    <t>SU05ED03PT</t>
  </si>
  <si>
    <t>SU04ED03PT</t>
  </si>
  <si>
    <t>SU03ED03PT</t>
  </si>
  <si>
    <t>SU02ED03PT</t>
  </si>
  <si>
    <t>SU01ED03PT</t>
  </si>
  <si>
    <t>BS12SL03PT</t>
  </si>
  <si>
    <t>BS11SL03PT</t>
  </si>
  <si>
    <t>BS10SL03PT</t>
  </si>
  <si>
    <t>BS09SL03PT</t>
  </si>
  <si>
    <t>BS08SL03PT</t>
  </si>
  <si>
    <t>BS07SL03PT</t>
  </si>
  <si>
    <t>BS06SL03PT</t>
  </si>
  <si>
    <t>BS05SL03PT</t>
  </si>
  <si>
    <t>BS04SL03PT</t>
  </si>
  <si>
    <t>BS03SL03PT</t>
  </si>
  <si>
    <t>BS02SL03PT</t>
  </si>
  <si>
    <t>BS01SL03PT</t>
  </si>
  <si>
    <t>BS06MI03PT</t>
  </si>
  <si>
    <t>BS05MI03PT</t>
  </si>
  <si>
    <t>BS04MI03PT</t>
  </si>
  <si>
    <t>BS03MI03PT</t>
  </si>
  <si>
    <t>BS02MI03PT</t>
  </si>
  <si>
    <t>BS01MI03PT</t>
  </si>
  <si>
    <t>BS02AP18PT</t>
  </si>
  <si>
    <t>BS01AP18PT</t>
  </si>
  <si>
    <t>BS00AP18PT</t>
  </si>
  <si>
    <t>BS99AP18PT</t>
  </si>
  <si>
    <t>BS98AP18PT</t>
  </si>
  <si>
    <t>BS97AP18PT</t>
  </si>
  <si>
    <t>BS02AP22PT</t>
  </si>
  <si>
    <t xml:space="preserve">Dit kan dubbele resultaten geven als er niet gejoined wordt op een extra veld, zoals "edition". </t>
  </si>
  <si>
    <t>BS01AP22PT</t>
  </si>
  <si>
    <t>SS08WG03PT</t>
  </si>
  <si>
    <t>SS07WG03PT</t>
  </si>
  <si>
    <t>SS06WG03PT</t>
  </si>
  <si>
    <t>SS05WG03PT</t>
  </si>
  <si>
    <t>SS04WG03PT</t>
  </si>
  <si>
    <t>SS03WG03PT</t>
  </si>
  <si>
    <t>SS02WG03PT</t>
  </si>
  <si>
    <t>SS01WG03PT</t>
  </si>
  <si>
    <t>SS00WG03PT</t>
  </si>
  <si>
    <t>SS99WG03PT</t>
  </si>
  <si>
    <t>SS98WG03PT</t>
  </si>
  <si>
    <t>SS97WG03PT</t>
  </si>
  <si>
    <t>SS08UK03PT</t>
  </si>
  <si>
    <t>SS07UK03PT</t>
  </si>
  <si>
    <t>SS06UK03PT</t>
  </si>
  <si>
    <t>SS05UK03PT</t>
  </si>
  <si>
    <t>SS04UK03PT</t>
  </si>
  <si>
    <t>SS03UK03PT</t>
  </si>
  <si>
    <t>SS02UK03PT</t>
  </si>
  <si>
    <t>SS01UK03PT</t>
  </si>
  <si>
    <t>SS00UK03PT</t>
  </si>
  <si>
    <t>SS99UK03PT</t>
  </si>
  <si>
    <t>SS98UK03PT</t>
  </si>
  <si>
    <t>SS97UK03PT</t>
  </si>
  <si>
    <t>SC04SP03PT</t>
  </si>
  <si>
    <t>SC03SP03PT</t>
  </si>
  <si>
    <t>SC02SP03PT</t>
  </si>
  <si>
    <t>SC01SP03PT</t>
  </si>
  <si>
    <t>SC06NS03PT</t>
  </si>
  <si>
    <t>SC05NS03PT</t>
  </si>
  <si>
    <t>SC04NS03PT</t>
  </si>
  <si>
    <t>SC03NS03PT</t>
  </si>
  <si>
    <t>SC02NS03PT</t>
  </si>
  <si>
    <t>SC01NS03PT</t>
  </si>
  <si>
    <t>SC06HE03PT</t>
  </si>
  <si>
    <t>SC05HE03PT</t>
  </si>
  <si>
    <t>SC04HE03PT</t>
  </si>
  <si>
    <t>SC03HE03PT</t>
  </si>
  <si>
    <t>SC02HE03PT</t>
  </si>
  <si>
    <t>SC01HE03PT</t>
  </si>
  <si>
    <t>SC08BI03PT</t>
  </si>
  <si>
    <t>SC07BI03PT</t>
  </si>
  <si>
    <t>SC06BI03PT</t>
  </si>
  <si>
    <t>SC05BI03PT</t>
  </si>
  <si>
    <t>SC04BI03PT</t>
  </si>
  <si>
    <t>SC03BI03PT</t>
  </si>
  <si>
    <t>SC02BI03PT</t>
  </si>
  <si>
    <t>SC01BI03PT</t>
  </si>
  <si>
    <t>SC00BI03PT</t>
  </si>
  <si>
    <t>SC99BI03PT</t>
  </si>
  <si>
    <t>SC98BI03PT</t>
  </si>
  <si>
    <t>SC97BI03PT</t>
  </si>
  <si>
    <t>SC05AS03PT</t>
  </si>
  <si>
    <t>SC04AS03PT</t>
  </si>
  <si>
    <t>SC03AS03PT</t>
  </si>
  <si>
    <t>SC02AS03PT</t>
  </si>
  <si>
    <t>SC01AS03PT</t>
  </si>
  <si>
    <t>LI06LC03PT</t>
  </si>
  <si>
    <t>LI04LC03PT</t>
  </si>
  <si>
    <t>LI02LC03PT</t>
  </si>
  <si>
    <t>LI00LC03PT</t>
  </si>
  <si>
    <t>LI98LC03PT</t>
  </si>
  <si>
    <t>LI04I903PT</t>
  </si>
  <si>
    <t>LI03I903PT</t>
  </si>
  <si>
    <t>LI02I903PT</t>
  </si>
  <si>
    <t>LI01I903PT</t>
  </si>
  <si>
    <t>WB06SP03PT</t>
  </si>
  <si>
    <t>WB05SP03PT</t>
  </si>
  <si>
    <t>WB04SP03PT</t>
  </si>
  <si>
    <t>WB03SP03PT</t>
  </si>
  <si>
    <t>WB02SP03PT</t>
  </si>
  <si>
    <t>WB01SP03PT</t>
  </si>
  <si>
    <t>SU06MT03PT</t>
  </si>
  <si>
    <t>SU05MT03PT</t>
  </si>
  <si>
    <t>SU06MU03PT</t>
  </si>
  <si>
    <t>SU05MU03PT</t>
  </si>
  <si>
    <t>SU04MU03PT</t>
  </si>
  <si>
    <t>SU03MU03PT</t>
  </si>
  <si>
    <t>SU02MU03PT</t>
  </si>
  <si>
    <t>SU01MU03PT</t>
  </si>
  <si>
    <t>WB08ET03PT</t>
  </si>
  <si>
    <t>WB07ET03PT</t>
  </si>
  <si>
    <t>WB06ET03PT</t>
  </si>
  <si>
    <t>WB05ET03PT</t>
  </si>
  <si>
    <t>WB04ET03PT</t>
  </si>
  <si>
    <t>WB03ET03PT</t>
  </si>
  <si>
    <t>WB02ET03PT</t>
  </si>
  <si>
    <t>WB01ET03PT</t>
  </si>
  <si>
    <t>WB00ET03PT</t>
  </si>
  <si>
    <t>WB99ET03PT</t>
  </si>
  <si>
    <t>WB98ET03PT</t>
  </si>
  <si>
    <t>WB97ET03PT</t>
  </si>
  <si>
    <t>SU10CA03PT</t>
  </si>
  <si>
    <t>SU09CA03PT</t>
  </si>
  <si>
    <t>SU08CA03PT</t>
  </si>
  <si>
    <t>SU07CA03PT</t>
  </si>
  <si>
    <t>SU06CA03PT</t>
  </si>
  <si>
    <t>SU05CA03PT</t>
  </si>
  <si>
    <t>SU04CA03PT</t>
  </si>
  <si>
    <t>SU03CA03PT</t>
  </si>
  <si>
    <t>SU02CA03PT</t>
  </si>
  <si>
    <t>SU01CA03PT</t>
  </si>
  <si>
    <t>SU08AA03PT</t>
  </si>
  <si>
    <t>SU07AA03PT</t>
  </si>
  <si>
    <t>SU06AA03PT</t>
  </si>
  <si>
    <t>SU05AA03PT</t>
  </si>
  <si>
    <t>SU04AA03PT</t>
  </si>
  <si>
    <t>SU03AA03PT</t>
  </si>
  <si>
    <t>SU02AA03PT</t>
  </si>
  <si>
    <t>SU01AA03PT</t>
  </si>
  <si>
    <t>SU00AA03PT</t>
  </si>
  <si>
    <t>SU99AA03PT</t>
  </si>
  <si>
    <t>SU98AA03PT</t>
  </si>
  <si>
    <t>SU97AA03PT</t>
  </si>
  <si>
    <t>LA12ES03PT</t>
  </si>
  <si>
    <t>LA11ES03PT</t>
  </si>
  <si>
    <t>LA10ES03PT</t>
  </si>
  <si>
    <t>LA09ES03PT</t>
  </si>
  <si>
    <t>LA08ES03PT</t>
  </si>
  <si>
    <t>LA07ES03PT</t>
  </si>
  <si>
    <t>LA06ES03PT</t>
  </si>
  <si>
    <t>LA05ES03PT</t>
  </si>
  <si>
    <t>LA04ES03PT</t>
  </si>
  <si>
    <t>LA03ES03PT</t>
  </si>
  <si>
    <t>LA02ES03PT</t>
  </si>
  <si>
    <t>LA01ES03PT</t>
  </si>
  <si>
    <t>LA02RS03PT</t>
  </si>
  <si>
    <t>LA01RS03PT</t>
  </si>
  <si>
    <t>LA08FR03PT</t>
  </si>
  <si>
    <t>LA07FR03PT</t>
  </si>
  <si>
    <t>LA06FR03PT</t>
  </si>
  <si>
    <t>LA05FR03PT</t>
  </si>
  <si>
    <t>LA04FR03PT</t>
  </si>
  <si>
    <t>LA03FR03PT</t>
  </si>
  <si>
    <t>LA02FR03PT</t>
  </si>
  <si>
    <t>LA01FR03PT</t>
  </si>
  <si>
    <t>LA00FR03PT</t>
  </si>
  <si>
    <t>LA99FR03PT</t>
  </si>
  <si>
    <t>LA98FR03PT</t>
  </si>
  <si>
    <t>LA97FR03PT</t>
  </si>
  <si>
    <t>LA08EN03PT</t>
  </si>
  <si>
    <t>LA07EN03PT</t>
  </si>
  <si>
    <t>LA06EN03PT</t>
  </si>
  <si>
    <t>LA05EN03PT</t>
  </si>
  <si>
    <t>LA04EN03PT</t>
  </si>
  <si>
    <t>LA03EN03PT</t>
  </si>
  <si>
    <t>LA02EN03PT</t>
  </si>
  <si>
    <t>LA01EN03PT</t>
  </si>
  <si>
    <t>LA00EN03PT</t>
  </si>
  <si>
    <t>LA99EN03PT</t>
  </si>
  <si>
    <t>LA98EN03PT</t>
  </si>
  <si>
    <t>LA97EN03PT</t>
  </si>
  <si>
    <t>MA08AL03PT</t>
  </si>
  <si>
    <t>MA07AL03PT</t>
  </si>
  <si>
    <t>MA06AL03PT</t>
  </si>
  <si>
    <t>MA05AL03PT</t>
  </si>
  <si>
    <t>MA04AL03PT</t>
  </si>
  <si>
    <t>MA03AL03PT</t>
  </si>
  <si>
    <t>MA02AL03PT</t>
  </si>
  <si>
    <t>MA01AL03PT</t>
  </si>
  <si>
    <t>MA00AL03PT</t>
  </si>
  <si>
    <t>MA99AL03PT</t>
  </si>
  <si>
    <t>MA98AL03PT</t>
  </si>
  <si>
    <t>MA97AL03PT</t>
  </si>
  <si>
    <t>BS02NT03PT</t>
  </si>
  <si>
    <t>BS01NT03PT</t>
  </si>
  <si>
    <t>BS00NT03PT</t>
  </si>
  <si>
    <t>BS99NT03PT</t>
  </si>
  <si>
    <t>BS98NT03PT</t>
  </si>
  <si>
    <t>BS97NT03PT</t>
  </si>
  <si>
    <t>SS96UK03PT</t>
  </si>
  <si>
    <t>SS95UK03PT</t>
  </si>
  <si>
    <t>SS94UK03PT</t>
  </si>
  <si>
    <t>SS93UK03PT</t>
  </si>
  <si>
    <t>SS92UK03PT</t>
  </si>
  <si>
    <t>SS91UK03PT</t>
  </si>
  <si>
    <t>SS90UK03PT</t>
  </si>
  <si>
    <t>SS89UK03PT</t>
  </si>
  <si>
    <t>SS88UK03PT</t>
  </si>
  <si>
    <t>SS87UK03PT</t>
  </si>
  <si>
    <t>SS86UK03PT</t>
  </si>
  <si>
    <t>SS85UK03PT</t>
  </si>
  <si>
    <t>SC96ES03PT</t>
  </si>
  <si>
    <t>SC95ES03PT</t>
  </si>
  <si>
    <t>SC94ES03PT</t>
  </si>
  <si>
    <t>SC93ES03PT</t>
  </si>
  <si>
    <t>SC92ES03PT</t>
  </si>
  <si>
    <t>SC91ES03PT</t>
  </si>
  <si>
    <t>SC90ES03PT</t>
  </si>
  <si>
    <t>SC89ES03PT</t>
  </si>
  <si>
    <t>SC88ES03PT</t>
  </si>
  <si>
    <t>SC87ES03PT</t>
  </si>
  <si>
    <t>SC86ES03PT</t>
  </si>
  <si>
    <t>SC85ES03PT</t>
  </si>
  <si>
    <t>LI96LC03PT</t>
  </si>
  <si>
    <t>LI94LC03PT</t>
  </si>
  <si>
    <t>LI92LC03PT</t>
  </si>
  <si>
    <t>LI90LC03PT</t>
  </si>
  <si>
    <t>LI88LC03PT</t>
  </si>
  <si>
    <t>LI86LC03PT</t>
  </si>
  <si>
    <t>WB96WB03PT</t>
  </si>
  <si>
    <t>WB95WB03PT</t>
  </si>
  <si>
    <t>WB94WB03PT</t>
  </si>
  <si>
    <t>WB93WB03PT</t>
  </si>
  <si>
    <t>WB92WB03PT</t>
  </si>
  <si>
    <t>WB91WB03PT</t>
  </si>
  <si>
    <t>WB90WB03PT</t>
  </si>
  <si>
    <t>WB89WB03PT</t>
  </si>
  <si>
    <t>WB88WB03PT</t>
  </si>
  <si>
    <t>WB87WB03PT</t>
  </si>
  <si>
    <t>WB86WB03PT</t>
  </si>
  <si>
    <t>WB85WB03PT</t>
  </si>
  <si>
    <t>LA96EN03PT</t>
  </si>
  <si>
    <t>LA95EN03PT</t>
  </si>
  <si>
    <t>LA94EN03PT</t>
  </si>
  <si>
    <t>LA93EN03PT</t>
  </si>
  <si>
    <t>LA92EN03PT</t>
  </si>
  <si>
    <t>LA91EN03PT</t>
  </si>
  <si>
    <t>LA90EN03PT</t>
  </si>
  <si>
    <t>LA89EN03PT</t>
  </si>
  <si>
    <t>LA88EN03PT</t>
  </si>
  <si>
    <t>LA87EN03PT</t>
  </si>
  <si>
    <t>LA86EN03PT</t>
  </si>
  <si>
    <t>LA85EN03PT</t>
  </si>
  <si>
    <t>MA96GM03PT</t>
  </si>
  <si>
    <t>MA95GM03PT</t>
  </si>
  <si>
    <t>MA94GM03PT</t>
  </si>
  <si>
    <t>MA93GM03PT</t>
  </si>
  <si>
    <t>MA92GM03PT</t>
  </si>
  <si>
    <t>MA91GM03PT</t>
  </si>
  <si>
    <t>MA90GM03PT</t>
  </si>
  <si>
    <t>MA89GM03PT</t>
  </si>
  <si>
    <t>MA88GM03PT</t>
  </si>
  <si>
    <t>MA87GM03PT</t>
  </si>
  <si>
    <t>MA86GM03PT</t>
  </si>
  <si>
    <t>MA85GM03PT</t>
  </si>
  <si>
    <t>BI84BR03PT</t>
  </si>
  <si>
    <t>BI83BR03PT</t>
  </si>
  <si>
    <t>BI82BR03PT</t>
  </si>
  <si>
    <t>BI81BR03PT</t>
  </si>
  <si>
    <t>BI80BR03PT</t>
  </si>
  <si>
    <t>BI79BR03PT</t>
  </si>
  <si>
    <t>BI78BR03PT</t>
  </si>
  <si>
    <t>BI77BR03PT</t>
  </si>
  <si>
    <t>BI76BR03PT</t>
  </si>
  <si>
    <t>BI75BR03PT</t>
  </si>
  <si>
    <t>BI74BR03PT</t>
  </si>
  <si>
    <t>BI73BR03PT</t>
  </si>
  <si>
    <t>SS03SI03PT</t>
  </si>
  <si>
    <t>SS02SI03PT</t>
  </si>
  <si>
    <t>SS01SI03PT</t>
  </si>
  <si>
    <t>SS78SS03PT</t>
  </si>
  <si>
    <t>SS77SS03PT</t>
  </si>
  <si>
    <t>SS76SS03PT</t>
  </si>
  <si>
    <t>SS75SS03PT</t>
  </si>
  <si>
    <t>SS74SS03PT</t>
  </si>
  <si>
    <t>SS73SS03PT</t>
  </si>
  <si>
    <t>SC84SC03PT</t>
  </si>
  <si>
    <t>SC83SC03PT</t>
  </si>
  <si>
    <t>SC82SC03PT</t>
  </si>
  <si>
    <t>SC81SC03PT</t>
  </si>
  <si>
    <t>SC80SC03PT</t>
  </si>
  <si>
    <t>SC79SC03PT</t>
  </si>
  <si>
    <t>SC78SC03PT</t>
  </si>
  <si>
    <t>SC77SC03PT</t>
  </si>
  <si>
    <t>SC76SC03PT</t>
  </si>
  <si>
    <t>SC75SC03PT</t>
  </si>
  <si>
    <t>SC74SC03PT</t>
  </si>
  <si>
    <t>SC73SC03PT</t>
  </si>
  <si>
    <t>LI84LC03PT</t>
  </si>
  <si>
    <t>LI82LC03PT</t>
  </si>
  <si>
    <t>LI80LC03PT</t>
  </si>
  <si>
    <t>LI78LC03PT</t>
  </si>
  <si>
    <t>LI76LC03PT</t>
  </si>
  <si>
    <t>LI74LC03PT</t>
  </si>
  <si>
    <t>WB84WB03PT</t>
  </si>
  <si>
    <t>WB83WB03PT</t>
  </si>
  <si>
    <t>WB82WB03PT</t>
  </si>
  <si>
    <t>WB81WB03PT</t>
  </si>
  <si>
    <t>WB80WB03PT</t>
  </si>
  <si>
    <t>WB79WB03PT</t>
  </si>
  <si>
    <t>WB78WB03PT</t>
  </si>
  <si>
    <t>WB77WB03PT</t>
  </si>
  <si>
    <t>WB76WB03PT</t>
  </si>
  <si>
    <t>WB75WB03PT</t>
  </si>
  <si>
    <t>WB74WB03PT</t>
  </si>
  <si>
    <t>WB73WB03PT</t>
  </si>
  <si>
    <t>WB84BA03PT</t>
  </si>
  <si>
    <t>WB83BA03PT</t>
  </si>
  <si>
    <t>WB82BA03PT</t>
  </si>
  <si>
    <t>WB81BA03PT</t>
  </si>
  <si>
    <t>WB80BA03PT</t>
  </si>
  <si>
    <t>WB79BA03PT</t>
  </si>
  <si>
    <t>WB78BA03PT</t>
  </si>
  <si>
    <t>WB77BA03PT</t>
  </si>
  <si>
    <t>WB76BA03PT</t>
  </si>
  <si>
    <t>WB75BA03PT</t>
  </si>
  <si>
    <t>WB74BA03PT</t>
  </si>
  <si>
    <t>WB73BA03PT</t>
  </si>
  <si>
    <t>LA84EN03PT</t>
  </si>
  <si>
    <t>LA83EN03PT</t>
  </si>
  <si>
    <t>LA82EN03PT</t>
  </si>
  <si>
    <t>LA81EN03PT</t>
  </si>
  <si>
    <t>LA80EN03PT</t>
  </si>
  <si>
    <t>LA79EN03PT</t>
  </si>
  <si>
    <t>LA78EN03PT</t>
  </si>
  <si>
    <t>LA77EN03PT</t>
  </si>
  <si>
    <t>LA76EN03PT</t>
  </si>
  <si>
    <t>LA75EN03PT</t>
  </si>
  <si>
    <t>LA74EN03PT</t>
  </si>
  <si>
    <t>LA73EN03PT</t>
  </si>
  <si>
    <t>MA84MA03PT</t>
  </si>
  <si>
    <t>MA83MA03PT</t>
  </si>
  <si>
    <t>MA82MA03PT</t>
  </si>
  <si>
    <t>MA81MA03PT</t>
  </si>
  <si>
    <t>MA80MA03PT</t>
  </si>
  <si>
    <t>MA79MA03PT</t>
  </si>
  <si>
    <t>MA78MA03PT</t>
  </si>
  <si>
    <t>MA77MA03PT</t>
  </si>
  <si>
    <t>MA76MA03PT</t>
  </si>
  <si>
    <t>MA75MA03PT</t>
  </si>
  <si>
    <t>MA74MA03PT</t>
  </si>
  <si>
    <t>MA73MA03PT</t>
  </si>
  <si>
    <t>BS72BR03PT</t>
  </si>
  <si>
    <t>BS71BR03PT</t>
  </si>
  <si>
    <t>BS70BR03PT</t>
  </si>
  <si>
    <t>BS69BR03PT</t>
  </si>
  <si>
    <t>BS68BR03PT</t>
  </si>
  <si>
    <t>BS67BR03PT</t>
  </si>
  <si>
    <t>BS66BR03PT</t>
  </si>
  <si>
    <t>BS65BR03PT</t>
  </si>
  <si>
    <t>BS64BR03PT</t>
  </si>
  <si>
    <t>BS63BR03PT</t>
  </si>
  <si>
    <t>BS62BR03PT</t>
  </si>
  <si>
    <t>BS61BR03PT</t>
  </si>
  <si>
    <t>SS72SS03PT</t>
  </si>
  <si>
    <t>SS71SS03PT</t>
  </si>
  <si>
    <t>SS70SS03PT</t>
  </si>
  <si>
    <t>SS69SS03PT</t>
  </si>
  <si>
    <t>SS68SS03PT</t>
  </si>
  <si>
    <t>SS67SS03PT</t>
  </si>
  <si>
    <t>SS66SS03PT</t>
  </si>
  <si>
    <t>SS65SS03PT</t>
  </si>
  <si>
    <t>SS64SS03PT</t>
  </si>
  <si>
    <t>SS63SS03PT</t>
  </si>
  <si>
    <t>SS62SS03PT</t>
  </si>
  <si>
    <t>SS61SS03PT</t>
  </si>
  <si>
    <t>SC72SC03PT</t>
  </si>
  <si>
    <t>SC71SC03PT</t>
  </si>
  <si>
    <t>SC70SC03PT</t>
  </si>
  <si>
    <t>SC69SC03PT</t>
  </si>
  <si>
    <t>SC68SC03PT</t>
  </si>
  <si>
    <t>SC67SC03PT</t>
  </si>
  <si>
    <t>SC66SC03PT</t>
  </si>
  <si>
    <t>SC65SC03PT</t>
  </si>
  <si>
    <t>SC64SC03PT</t>
  </si>
  <si>
    <t>SC63SC03PT</t>
  </si>
  <si>
    <t>SC62SC03PT</t>
  </si>
  <si>
    <t>SC61SC03PT</t>
  </si>
  <si>
    <t>LI72LC03PT</t>
  </si>
  <si>
    <t>LI71LC03PT</t>
  </si>
  <si>
    <t>LI70LC03PT</t>
  </si>
  <si>
    <t>LI69LC03PT</t>
  </si>
  <si>
    <t>LI68LC03PT</t>
  </si>
  <si>
    <t>LI67LC03PT</t>
  </si>
  <si>
    <t>LI66LC03PT</t>
  </si>
  <si>
    <t>LI65LC03PT</t>
  </si>
  <si>
    <t>LI64LC03PT</t>
  </si>
  <si>
    <t>LI63LC03PT</t>
  </si>
  <si>
    <t>LI62LC03PT</t>
  </si>
  <si>
    <t>LI61LC03PT</t>
  </si>
  <si>
    <t>WB72WB03PT</t>
  </si>
  <si>
    <t>WB71WB03PT</t>
  </si>
  <si>
    <t>WB70WB03PT</t>
  </si>
  <si>
    <t>WB69WB03PT</t>
  </si>
  <si>
    <t>WB68WB03PT</t>
  </si>
  <si>
    <t>WB67WB03PT</t>
  </si>
  <si>
    <t>WB66WB03PT</t>
  </si>
  <si>
    <t>WB65WB03PT</t>
  </si>
  <si>
    <t>WB64WB03PT</t>
  </si>
  <si>
    <t>WB63WB03PT</t>
  </si>
  <si>
    <t>WB62WB03PT</t>
  </si>
  <si>
    <t>WB61WB03PT</t>
  </si>
  <si>
    <t>LA72EN03PT</t>
  </si>
  <si>
    <t>LA71EN03PT</t>
  </si>
  <si>
    <t>LA70EN03PT</t>
  </si>
  <si>
    <t>LA69EN03PT</t>
  </si>
  <si>
    <t>LA68EN03PT</t>
  </si>
  <si>
    <t>LA67EN03PT</t>
  </si>
  <si>
    <t>LA66EN03PT</t>
  </si>
  <si>
    <t>LA65EN03PT</t>
  </si>
  <si>
    <t>LA64EN03PT</t>
  </si>
  <si>
    <t>LA63EN03PT</t>
  </si>
  <si>
    <t>LA62EN03PT</t>
  </si>
  <si>
    <t>LA61EN03PT</t>
  </si>
  <si>
    <t>MA72MA03PT</t>
  </si>
  <si>
    <t>MA71MA03PT</t>
  </si>
  <si>
    <t>MA70MA03PT</t>
  </si>
  <si>
    <t>MA69MA03PT</t>
  </si>
  <si>
    <t>MA68MA03PT</t>
  </si>
  <si>
    <t>MA67MA03PT</t>
  </si>
  <si>
    <t>MA66MA03PT</t>
  </si>
  <si>
    <t>MA65MA03PT</t>
  </si>
  <si>
    <t>MA64MA03PT</t>
  </si>
  <si>
    <t>MA63MA03PT</t>
  </si>
  <si>
    <t>MA62MA03PT</t>
  </si>
  <si>
    <t>MA61MA03PT</t>
  </si>
  <si>
    <t>BS60BR03PT</t>
  </si>
  <si>
    <t>BS59BR03PT</t>
  </si>
  <si>
    <t>BS58BR03PT</t>
  </si>
  <si>
    <t>BS57BR03PT</t>
  </si>
  <si>
    <t>BS56BR03PT</t>
  </si>
  <si>
    <t>BS55BR03PT</t>
  </si>
  <si>
    <t>BS54BR03PT</t>
  </si>
  <si>
    <t>BS53BR03PT</t>
  </si>
  <si>
    <t>BS52BR03PT</t>
  </si>
  <si>
    <t>BS51BR03PT</t>
  </si>
  <si>
    <t>BS50BR03PT</t>
  </si>
  <si>
    <t>BS49BR03PT</t>
  </si>
  <si>
    <t>SS60SS03PT</t>
  </si>
  <si>
    <t>SS59SS03PT</t>
  </si>
  <si>
    <t>SS58SS03PT</t>
  </si>
  <si>
    <t>SS57SS03PT</t>
  </si>
  <si>
    <t>SS56SS03PT</t>
  </si>
  <si>
    <t>SS55SS03PT</t>
  </si>
  <si>
    <t>SS54SS03PT</t>
  </si>
  <si>
    <t>SS53SS03PT</t>
  </si>
  <si>
    <t>SS52SS03PT</t>
  </si>
  <si>
    <t>SS51SS03PT</t>
  </si>
  <si>
    <t>SS50SS03PT</t>
  </si>
  <si>
    <t>SS49SS03PT</t>
  </si>
  <si>
    <t>SC60SC03PT</t>
  </si>
  <si>
    <t>SC59SC03PT</t>
  </si>
  <si>
    <t>SC58SC03PT</t>
  </si>
  <si>
    <t>SC57SC03PT</t>
  </si>
  <si>
    <t>SC56SC03PT</t>
  </si>
  <si>
    <t>SC55SC03PT</t>
  </si>
  <si>
    <t>SC54SC03PT</t>
  </si>
  <si>
    <t>SC53SC03PT</t>
  </si>
  <si>
    <t>SC52SC03PT</t>
  </si>
  <si>
    <t>SC51SC03PT</t>
  </si>
  <si>
    <t>SC50SC03PT</t>
  </si>
  <si>
    <t>SC49SC03PT</t>
  </si>
  <si>
    <t>LI60LC03PT</t>
  </si>
  <si>
    <t>LI59LC03PT</t>
  </si>
  <si>
    <t>LI58LC03PT</t>
  </si>
  <si>
    <t>LI57LC03PT</t>
  </si>
  <si>
    <t>LI56LC03PT</t>
  </si>
  <si>
    <t>LI55LC03PT</t>
  </si>
  <si>
    <t>LI54LC03PT</t>
  </si>
  <si>
    <t>LI53LC03PT</t>
  </si>
  <si>
    <t>LI52LC03PT</t>
  </si>
  <si>
    <t>LI51LC03PT</t>
  </si>
  <si>
    <t>LI50LC03PT</t>
  </si>
  <si>
    <t>LI49LC03PT</t>
  </si>
  <si>
    <t>WB60WB03PT</t>
  </si>
  <si>
    <t>WB59WB03PT</t>
  </si>
  <si>
    <t>WB58WB03PT</t>
  </si>
  <si>
    <t>WB57WB03PT</t>
  </si>
  <si>
    <t>WB56WB03PT</t>
  </si>
  <si>
    <t>WB55WB03PT</t>
  </si>
  <si>
    <t>WB54WB03PT</t>
  </si>
  <si>
    <t>WB53WB03PT</t>
  </si>
  <si>
    <t>WB52WB03PT</t>
  </si>
  <si>
    <t>WB51WB03PT</t>
  </si>
  <si>
    <t>WB50WB03PT</t>
  </si>
  <si>
    <t>WB49WB03PT</t>
  </si>
  <si>
    <t>LA60EN03PT</t>
  </si>
  <si>
    <t>LA59EN03PT</t>
  </si>
  <si>
    <t>LA58EN03PT</t>
  </si>
  <si>
    <t>LA57EN03PT</t>
  </si>
  <si>
    <t>LA56EN03PT</t>
  </si>
  <si>
    <t>LA55EN03PT</t>
  </si>
  <si>
    <t>LA54EN03PT</t>
  </si>
  <si>
    <t>LA53EN03PT</t>
  </si>
  <si>
    <t>LA52EN03PT</t>
  </si>
  <si>
    <t>LA51EN03PT</t>
  </si>
  <si>
    <t>LA50EN03PT</t>
  </si>
  <si>
    <t>LA49EN03PT</t>
  </si>
  <si>
    <t>MA60MA03PT</t>
  </si>
  <si>
    <t>MA59MA03PT</t>
  </si>
  <si>
    <t>MA58MA03PT</t>
  </si>
  <si>
    <t>MA57MA03PT</t>
  </si>
  <si>
    <t>MA56MA03PT</t>
  </si>
  <si>
    <t>MA55MA03PT</t>
  </si>
  <si>
    <t>MA54MA03PT</t>
  </si>
  <si>
    <t>MA53MA03PT</t>
  </si>
  <si>
    <t>MA52MA03PT</t>
  </si>
  <si>
    <t>MA51MA03PT</t>
  </si>
  <si>
    <t>MA50MA03PT</t>
  </si>
  <si>
    <t>MA49MA03PT</t>
  </si>
  <si>
    <t>BS48BR03PT</t>
  </si>
  <si>
    <t>BS47BR03PT</t>
  </si>
  <si>
    <t>BS46BR03PT</t>
  </si>
  <si>
    <t>BS45BR03PT</t>
  </si>
  <si>
    <t>BS44BR03PT</t>
  </si>
  <si>
    <t>BS43BR03PT</t>
  </si>
  <si>
    <t>BS42BR03PT</t>
  </si>
  <si>
    <t>BS41BR03PT</t>
  </si>
  <si>
    <t>BS40BR03PT</t>
  </si>
  <si>
    <t>BS39BR03PT</t>
  </si>
  <si>
    <t>BS38BR03PT</t>
  </si>
  <si>
    <t>BS37BR03PT</t>
  </si>
  <si>
    <t>SS48SS03PT</t>
  </si>
  <si>
    <t>SS47SS03PT</t>
  </si>
  <si>
    <t>SS46SS03PT</t>
  </si>
  <si>
    <t>SS45SS03PT</t>
  </si>
  <si>
    <t>SS44SS03PT</t>
  </si>
  <si>
    <t>SS43SS03PT</t>
  </si>
  <si>
    <t>SS42SS03PT</t>
  </si>
  <si>
    <t>SS41SS03PT</t>
  </si>
  <si>
    <t>SS40SS03PT</t>
  </si>
  <si>
    <t>SS39SS03PT</t>
  </si>
  <si>
    <t>SS38SS03PT</t>
  </si>
  <si>
    <t>SS37SS03PT</t>
  </si>
  <si>
    <t>SC48SC03PT</t>
  </si>
  <si>
    <t>SC47SC03PT</t>
  </si>
  <si>
    <t>SC46SC03PT</t>
  </si>
  <si>
    <t>SC45SC03PT</t>
  </si>
  <si>
    <t>SC44SC03PT</t>
  </si>
  <si>
    <t>SC43SC03PT</t>
  </si>
  <si>
    <t>SC42SC03PT</t>
  </si>
  <si>
    <t>SC41SC03PT</t>
  </si>
  <si>
    <t>SC40SC03PT</t>
  </si>
  <si>
    <t>SC39SC03PT</t>
  </si>
  <si>
    <t>SC38SC03PT</t>
  </si>
  <si>
    <t>SC37SC03PT</t>
  </si>
  <si>
    <t>LI48LC03PT</t>
  </si>
  <si>
    <t>LI47LC03PT</t>
  </si>
  <si>
    <t>LI46LC03PT</t>
  </si>
  <si>
    <t>LI45LC03PT</t>
  </si>
  <si>
    <t>LI44LC03PT</t>
  </si>
  <si>
    <t>LI43LC03PT</t>
  </si>
  <si>
    <t>LI42LC03PT</t>
  </si>
  <si>
    <t>LI41LC03PT</t>
  </si>
  <si>
    <t>LI40LC03PT</t>
  </si>
  <si>
    <t>LI39LC03PT</t>
  </si>
  <si>
    <t>LI38LC03PT</t>
  </si>
  <si>
    <t>LI37LC03PT</t>
  </si>
  <si>
    <t>WB48WB03PT</t>
  </si>
  <si>
    <t>WB47WB03PT</t>
  </si>
  <si>
    <t>WB46WB03PT</t>
  </si>
  <si>
    <t>WB45WB03PT</t>
  </si>
  <si>
    <t>WB44WB03PT</t>
  </si>
  <si>
    <t>WB43WB03PT</t>
  </si>
  <si>
    <t>WB42WB03PT</t>
  </si>
  <si>
    <t>WB41WB03PT</t>
  </si>
  <si>
    <t>WB40WB03PT</t>
  </si>
  <si>
    <t>WB39WB03PT</t>
  </si>
  <si>
    <t>WB38WB03PT</t>
  </si>
  <si>
    <t>WB37WB03PT</t>
  </si>
  <si>
    <t>LA48EN03PT</t>
  </si>
  <si>
    <t>LA47EN03PT</t>
  </si>
  <si>
    <t>LA46EN03PT</t>
  </si>
  <si>
    <t>LA45EN03PT</t>
  </si>
  <si>
    <t>MA48MA03PT</t>
  </si>
  <si>
    <t>MA47MA03PT</t>
  </si>
  <si>
    <t>MA46MA03PT</t>
  </si>
  <si>
    <t>MA45MA03PT</t>
  </si>
  <si>
    <t>MA44MA03PT</t>
  </si>
  <si>
    <t>MA43MA03PT</t>
  </si>
  <si>
    <t>MA42MA03PT</t>
  </si>
  <si>
    <t>MA41MA03PT</t>
  </si>
  <si>
    <t>MA40MA03PT</t>
  </si>
  <si>
    <t>MA39MA03PT</t>
  </si>
  <si>
    <t>MA38MA03PT</t>
  </si>
  <si>
    <t>MA37MA03PT</t>
  </si>
  <si>
    <t>BS36BR03PT</t>
  </si>
  <si>
    <t>BS35BR03PT</t>
  </si>
  <si>
    <t>BS34BR03PT</t>
  </si>
  <si>
    <t>BS33BR03PT</t>
  </si>
  <si>
    <t>BS32BR03PT</t>
  </si>
  <si>
    <t>BS31BR03PT</t>
  </si>
  <si>
    <t>BS30BR03PT</t>
  </si>
  <si>
    <t>BS29BR03PT</t>
  </si>
  <si>
    <t>BS28BR03PT</t>
  </si>
  <si>
    <t>BS27BR03PT</t>
  </si>
  <si>
    <t>BS26BR03PT</t>
  </si>
  <si>
    <t>BS25BR03PT</t>
  </si>
  <si>
    <t>SS36SS03PT</t>
  </si>
  <si>
    <t>SS35SS03PT</t>
  </si>
  <si>
    <t>SS34SS03PT</t>
  </si>
  <si>
    <t>SS33SS03PT</t>
  </si>
  <si>
    <t>SS32SS03PT</t>
  </si>
  <si>
    <t>SS31SS03PT</t>
  </si>
  <si>
    <t>SS30SS03PT</t>
  </si>
  <si>
    <t>SS29SS03PT</t>
  </si>
  <si>
    <t>SS28SS03PT</t>
  </si>
  <si>
    <t>SS27SS03PT</t>
  </si>
  <si>
    <t>SS26SS03PT</t>
  </si>
  <si>
    <t>SS25SS03PT</t>
  </si>
  <si>
    <t>SC36SC03PT</t>
  </si>
  <si>
    <t>SC35SC03PT</t>
  </si>
  <si>
    <t>SC34SC03PT</t>
  </si>
  <si>
    <t>SC33SC03PT</t>
  </si>
  <si>
    <t>SC32SC03PT</t>
  </si>
  <si>
    <t>SC31SC03PT</t>
  </si>
  <si>
    <t>SC30SC03PT</t>
  </si>
  <si>
    <t>SC29SC03PT</t>
  </si>
  <si>
    <t>SC28SC03PT</t>
  </si>
  <si>
    <t>SC27SC03PT</t>
  </si>
  <si>
    <t>SC26SC03PT</t>
  </si>
  <si>
    <t>SC25SC03PT</t>
  </si>
  <si>
    <t>LI36LC03PT</t>
  </si>
  <si>
    <t>LI35LC03PT</t>
  </si>
  <si>
    <t>LI34LC03PT</t>
  </si>
  <si>
    <t>LI33LC03PT</t>
  </si>
  <si>
    <t>LI32LC03PT</t>
  </si>
  <si>
    <t>LI31LC03PT</t>
  </si>
  <si>
    <t>LI30LC03PT</t>
  </si>
  <si>
    <t>LI29LC03PT</t>
  </si>
  <si>
    <t>LI28LC03PT</t>
  </si>
  <si>
    <t>LI27LC03PT</t>
  </si>
  <si>
    <t>LI26LC03PT</t>
  </si>
  <si>
    <t>LI25LC03PT</t>
  </si>
  <si>
    <t>WB36WB03PT</t>
  </si>
  <si>
    <t>WB35WB03PT</t>
  </si>
  <si>
    <t>WB34WB03PT</t>
  </si>
  <si>
    <t>WB33WB03PT</t>
  </si>
  <si>
    <t>WB32WB03PT</t>
  </si>
  <si>
    <t>WB31WB03PT</t>
  </si>
  <si>
    <t>WB30WB03PT</t>
  </si>
  <si>
    <t>WB29WB03PT</t>
  </si>
  <si>
    <t>WB28WB03PT</t>
  </si>
  <si>
    <t>WB27WB03PT</t>
  </si>
  <si>
    <t>WB26WB03PT</t>
  </si>
  <si>
    <t>WB25WB03PT</t>
  </si>
  <si>
    <t>MA36MA03PT</t>
  </si>
  <si>
    <t>MA35MA03PT</t>
  </si>
  <si>
    <t>MA34MA03PT</t>
  </si>
  <si>
    <t>MA33MA03PT</t>
  </si>
  <si>
    <t>MA32MA03PT</t>
  </si>
  <si>
    <t>MA31MA03PT</t>
  </si>
  <si>
    <t>MA30MA03PT</t>
  </si>
  <si>
    <t>MA29MA03PT</t>
  </si>
  <si>
    <t>MA28MA03PT</t>
  </si>
  <si>
    <t>MA27MA03PT</t>
  </si>
  <si>
    <t>MA26MA03PT</t>
  </si>
  <si>
    <t>MA25MA03PT</t>
  </si>
  <si>
    <t>BS24BR03PT</t>
  </si>
  <si>
    <t>BS23BR03PT</t>
  </si>
  <si>
    <t>BS22BR03PT</t>
  </si>
  <si>
    <t>BS21BR03PT</t>
  </si>
  <si>
    <t>BS20BR03PT</t>
  </si>
  <si>
    <t>BS19BR03PT</t>
  </si>
  <si>
    <t>BS18BR03PT</t>
  </si>
  <si>
    <t>BS17BR03PT</t>
  </si>
  <si>
    <t>BS16BR03PT</t>
  </si>
  <si>
    <t>BS15BR03PT</t>
  </si>
  <si>
    <t>BS14BR03PT</t>
  </si>
  <si>
    <t>BS13BR03PT</t>
  </si>
  <si>
    <t>SS24SS03PT</t>
  </si>
  <si>
    <t>SS23SS03PT</t>
  </si>
  <si>
    <t>SS22SS03PT</t>
  </si>
  <si>
    <t>SS21SS03PT</t>
  </si>
  <si>
    <t>SS20SS03PT</t>
  </si>
  <si>
    <t>SS19SS03PT</t>
  </si>
  <si>
    <t>SS18SS03PT</t>
  </si>
  <si>
    <t>SS17SS03PT</t>
  </si>
  <si>
    <t>SS16SS03PT</t>
  </si>
  <si>
    <t>SS15SS03PT</t>
  </si>
  <si>
    <t>SS14SS03PT</t>
  </si>
  <si>
    <t>SS13SS03PT</t>
  </si>
  <si>
    <t>SC24SC03PT</t>
  </si>
  <si>
    <t>SC23SC03PT</t>
  </si>
  <si>
    <t>SC22SC03PT</t>
  </si>
  <si>
    <t>SC21SC03PT</t>
  </si>
  <si>
    <t>SC20SC03PT</t>
  </si>
  <si>
    <t>SC19SC03PT</t>
  </si>
  <si>
    <t>SC18SC03PT</t>
  </si>
  <si>
    <t>SC17SC03PT</t>
  </si>
  <si>
    <t>SC16SC03PT</t>
  </si>
  <si>
    <t>SC15SC03PT</t>
  </si>
  <si>
    <t>SC14SC03PT</t>
  </si>
  <si>
    <t>SC13SC03PT</t>
  </si>
  <si>
    <t>LI24LC03PT</t>
  </si>
  <si>
    <t>LI23LC03PT</t>
  </si>
  <si>
    <t>LI22LC03PT</t>
  </si>
  <si>
    <t>LI21LC03PT</t>
  </si>
  <si>
    <t>LI20LC03PT</t>
  </si>
  <si>
    <t>LI19LC03PT</t>
  </si>
  <si>
    <t>LI18LC03PT</t>
  </si>
  <si>
    <t>LI17LC03PT</t>
  </si>
  <si>
    <t>LI16LC03PT</t>
  </si>
  <si>
    <t>LI15LC03PT</t>
  </si>
  <si>
    <t>LI14LC03PT</t>
  </si>
  <si>
    <t>LI13LC03PT</t>
  </si>
  <si>
    <t>WB24WB03PT</t>
  </si>
  <si>
    <t>WB23WB03PT</t>
  </si>
  <si>
    <t>WB22WB03PT</t>
  </si>
  <si>
    <t>WB21WB03PT</t>
  </si>
  <si>
    <t>WB20WB03PT</t>
  </si>
  <si>
    <t>WB19WB03PT</t>
  </si>
  <si>
    <t>WB18WB03PT</t>
  </si>
  <si>
    <t>WB17WB03PT</t>
  </si>
  <si>
    <t>WB16WB03PT</t>
  </si>
  <si>
    <t>WB15WB03PT</t>
  </si>
  <si>
    <t>WB14WB03PT</t>
  </si>
  <si>
    <t>WB13WB03PT</t>
  </si>
  <si>
    <t>MA24MA03PT</t>
  </si>
  <si>
    <t>MA23MA03PT</t>
  </si>
  <si>
    <t>MA22MA03PT</t>
  </si>
  <si>
    <t>MA21MA03PT</t>
  </si>
  <si>
    <t>MA20MA03PT</t>
  </si>
  <si>
    <t>MA19MA03PT</t>
  </si>
  <si>
    <t>MA18MA03PT</t>
  </si>
  <si>
    <t>MA17MA03PT</t>
  </si>
  <si>
    <t>MA16MA03PT</t>
  </si>
  <si>
    <t>MA15MA03PT</t>
  </si>
  <si>
    <t>MA14MA03PT</t>
  </si>
  <si>
    <t>MA13MA03PT</t>
  </si>
  <si>
    <t>BS12BR03PT</t>
  </si>
  <si>
    <t>BS11BR03PT</t>
  </si>
  <si>
    <t>BS10BR03PT</t>
  </si>
  <si>
    <t>BS09BR03PT</t>
  </si>
  <si>
    <t>BS08BR03PT</t>
  </si>
  <si>
    <t>BS07BR03PT</t>
  </si>
  <si>
    <t>BS06BR03PT</t>
  </si>
  <si>
    <t>BS05BR03PT</t>
  </si>
  <si>
    <t>BS04BR03PT</t>
  </si>
  <si>
    <t>BS03BR03PT</t>
  </si>
  <si>
    <t>BS02BR03PT</t>
  </si>
  <si>
    <t>BS01BR03PT</t>
  </si>
  <si>
    <t>SS12SS03PT</t>
  </si>
  <si>
    <t>SS11SS03PT</t>
  </si>
  <si>
    <t>SS10SS03PT</t>
  </si>
  <si>
    <t>SS09SS03PT</t>
  </si>
  <si>
    <t>SS08SS03PT</t>
  </si>
  <si>
    <t>SS07SS03PT</t>
  </si>
  <si>
    <t>SS06SS03PT</t>
  </si>
  <si>
    <t>SS05SS03PT</t>
  </si>
  <si>
    <t>SS04SS03PT</t>
  </si>
  <si>
    <t>SS03SS03PT</t>
  </si>
  <si>
    <t>SS02SS03PT</t>
  </si>
  <si>
    <t>SS01SS03PT</t>
  </si>
  <si>
    <t>SC12SC03PT</t>
  </si>
  <si>
    <t>SC11SC03PT</t>
  </si>
  <si>
    <t>SC10SC03PT</t>
  </si>
  <si>
    <t>SC09SC03PT</t>
  </si>
  <si>
    <t>SC08SC03PT</t>
  </si>
  <si>
    <t>SC07SC03PT</t>
  </si>
  <si>
    <t>SC06SC03PT</t>
  </si>
  <si>
    <t>SC05SC03PT</t>
  </si>
  <si>
    <t>SC04SC03PT</t>
  </si>
  <si>
    <t>SC03SC03PT</t>
  </si>
  <si>
    <t>SC02SC03PT</t>
  </si>
  <si>
    <t>SC01SC03PT</t>
  </si>
  <si>
    <t>LI12LC03PT</t>
  </si>
  <si>
    <t>LI11LC03PT</t>
  </si>
  <si>
    <t>LI10LC03PT</t>
  </si>
  <si>
    <t>LI09LC03PT</t>
  </si>
  <si>
    <t>LI07LC03PT</t>
  </si>
  <si>
    <t>LI05LC03PT</t>
  </si>
  <si>
    <t>LI03LC03PT</t>
  </si>
  <si>
    <t>LI01LC03PT</t>
  </si>
  <si>
    <t>WB12WB03PT</t>
  </si>
  <si>
    <t>WB11WB03PT</t>
  </si>
  <si>
    <t>WB10WB03PT</t>
  </si>
  <si>
    <t>WB09WB03PT</t>
  </si>
  <si>
    <t>WB08WB03PT</t>
  </si>
  <si>
    <t>WB07WB03PT</t>
  </si>
  <si>
    <t>WB06WB03PT</t>
  </si>
  <si>
    <t>WB05WB03PT</t>
  </si>
  <si>
    <t>WB04WB03PT</t>
  </si>
  <si>
    <t>WB03WB03PT</t>
  </si>
  <si>
    <t>WB02WB03PT</t>
  </si>
  <si>
    <t>WB01WB03PT</t>
  </si>
  <si>
    <t>MA12MA03PT</t>
  </si>
  <si>
    <t>MA11MA03PT</t>
  </si>
  <si>
    <t>MA10MA03PT</t>
  </si>
  <si>
    <t>MA09MA03PT</t>
  </si>
  <si>
    <t>MA08MA03PT</t>
  </si>
  <si>
    <t>MA07MA03PT</t>
  </si>
  <si>
    <t>MA06MA03PT</t>
  </si>
  <si>
    <t>MA05MA03PT</t>
  </si>
  <si>
    <t>MA04MA03PT</t>
  </si>
  <si>
    <t>MA03MA03PT</t>
  </si>
  <si>
    <t>MA02MA03PT</t>
  </si>
  <si>
    <t>MA01MA03PT</t>
  </si>
  <si>
    <t>MA12RR03PT</t>
  </si>
  <si>
    <t>MA11RR03PT</t>
  </si>
  <si>
    <t>MA10RR03PT</t>
  </si>
  <si>
    <t>MA09RR03PT</t>
  </si>
  <si>
    <t>MA08RR03PT</t>
  </si>
  <si>
    <t>MA07RR03PT</t>
  </si>
  <si>
    <t>MA06RR03PT</t>
  </si>
  <si>
    <t>MA05RR03PT</t>
  </si>
  <si>
    <t>MA04RR03PT</t>
  </si>
  <si>
    <t>MA03RR03PT</t>
  </si>
  <si>
    <t>MA02RR03PT</t>
  </si>
  <si>
    <t>Remark</t>
  </si>
  <si>
    <t>PassThreshold__</t>
  </si>
  <si>
    <t>CreditValuePace</t>
  </si>
  <si>
    <t>Code__</t>
  </si>
  <si>
    <t>Number__</t>
  </si>
  <si>
    <t>Alias__</t>
  </si>
  <si>
    <t>CourseID</t>
  </si>
  <si>
    <t>PaceID</t>
  </si>
  <si>
    <t>PT</t>
  </si>
  <si>
    <t>LI</t>
  </si>
  <si>
    <t>heeft toets (1 star) en essay (2 stars). Deze regel staat voor het essay</t>
  </si>
  <si>
    <t>heeft toets (1 star) en essay (2 stars). ?</t>
  </si>
  <si>
    <t>Apologetics I-A</t>
  </si>
  <si>
    <t>97E</t>
  </si>
  <si>
    <t>APv2</t>
  </si>
  <si>
    <t>1E</t>
  </si>
  <si>
    <t>ICT</t>
  </si>
  <si>
    <t xml:space="preserve">Did Man Just Happen? Deprecated. </t>
  </si>
  <si>
    <t>US</t>
  </si>
  <si>
    <t>PACE + Activity Pac</t>
  </si>
  <si>
    <t>TODO</t>
  </si>
  <si>
    <t>6 sterren verdeeld over vier PACEs, vandaar om en om 1 en 2 sterren.</t>
  </si>
  <si>
    <t>heeft toets (1 star) en essay (2 stars). Deze regel staat voor de toets</t>
  </si>
  <si>
    <t>Deze heeft ook drie sterren, voor één PACE?</t>
  </si>
  <si>
    <t>SubjectGroupID__</t>
  </si>
  <si>
    <t>Type</t>
  </si>
  <si>
    <t>Year</t>
  </si>
  <si>
    <t>EditionOrder</t>
  </si>
  <si>
    <t>Edition</t>
  </si>
  <si>
    <t>Subject</t>
  </si>
  <si>
    <t>Code2</t>
  </si>
  <si>
    <t>SpecificationAbb</t>
  </si>
  <si>
    <t>Number</t>
  </si>
  <si>
    <t>CourseName</t>
  </si>
  <si>
    <t>Position</t>
  </si>
  <si>
    <t>ICCE-C150</t>
  </si>
  <si>
    <t>Grade</t>
  </si>
  <si>
    <t>CourseName_ACE</t>
  </si>
  <si>
    <t>Date</t>
  </si>
  <si>
    <t>ICCE-C17</t>
  </si>
  <si>
    <t>ICCE-C18</t>
  </si>
  <si>
    <t xml:space="preserve"> </t>
  </si>
  <si>
    <t>ICCE-C96</t>
  </si>
  <si>
    <t>ICCE-C97</t>
  </si>
  <si>
    <t>Technology Electives</t>
  </si>
  <si>
    <t>Biblical Studies</t>
  </si>
  <si>
    <t>Literature</t>
  </si>
  <si>
    <t>Maths</t>
  </si>
  <si>
    <t>Science</t>
  </si>
  <si>
    <t>Word Building</t>
  </si>
  <si>
    <t>Color</t>
  </si>
  <si>
    <t>grey</t>
  </si>
  <si>
    <t>ColorID</t>
  </si>
  <si>
    <t>sandy orange</t>
  </si>
  <si>
    <t>red</t>
  </si>
  <si>
    <t>yellow</t>
  </si>
  <si>
    <t>blue</t>
  </si>
  <si>
    <t>green</t>
  </si>
  <si>
    <t>purple</t>
  </si>
  <si>
    <t>Art Electives</t>
  </si>
  <si>
    <t>Name</t>
  </si>
  <si>
    <t>Alias</t>
  </si>
  <si>
    <t>Yong</t>
  </si>
  <si>
    <t>Nathan</t>
  </si>
  <si>
    <t>Biology</t>
  </si>
  <si>
    <t>Digital Savvy</t>
  </si>
  <si>
    <t>ICT: Digital Savvy</t>
  </si>
  <si>
    <t>ICCE-C108</t>
  </si>
  <si>
    <t>CH1-2</t>
  </si>
  <si>
    <t>CH3-4</t>
  </si>
  <si>
    <t>CH5</t>
  </si>
  <si>
    <t>T1</t>
  </si>
  <si>
    <t>T2</t>
  </si>
  <si>
    <t>Term Report</t>
  </si>
  <si>
    <t>2025 - 2026</t>
  </si>
  <si>
    <t>ICS De Ceder - Boskoop</t>
  </si>
  <si>
    <t>Term 1</t>
  </si>
  <si>
    <t xml:space="preserve"> Student:</t>
  </si>
  <si>
    <t>Nathan Yong</t>
  </si>
  <si>
    <t xml:space="preserve"> Report date:</t>
  </si>
  <si>
    <t>29 October 2025</t>
  </si>
  <si>
    <t xml:space="preserve"> Group:</t>
  </si>
  <si>
    <t>Seniors</t>
  </si>
  <si>
    <t xml:space="preserve"> Supervisor:</t>
  </si>
  <si>
    <t>Mr S. Bezemer</t>
  </si>
  <si>
    <t>Term 2</t>
  </si>
  <si>
    <t>Term 3</t>
  </si>
  <si>
    <t>Term 4</t>
  </si>
  <si>
    <t>Term 5</t>
  </si>
  <si>
    <t>Year to date</t>
  </si>
  <si>
    <t xml:space="preserve"> Academic Studies</t>
  </si>
  <si>
    <t xml:space="preserve"> New Testament Survey</t>
  </si>
  <si>
    <t xml:space="preserve"> General Mathematics</t>
  </si>
  <si>
    <t xml:space="preserve"> General English</t>
  </si>
  <si>
    <t xml:space="preserve"> Word Building 8</t>
  </si>
  <si>
    <t xml:space="preserve"> Literature 8</t>
  </si>
  <si>
    <t xml:space="preserve"> Earth Science</t>
  </si>
  <si>
    <t xml:space="preserve"> Biology</t>
  </si>
  <si>
    <t xml:space="preserve"> Physical Science</t>
  </si>
  <si>
    <t xml:space="preserve"> American History</t>
  </si>
  <si>
    <t xml:space="preserve"> World Geography</t>
  </si>
  <si>
    <t xml:space="preserve"> CS Digital Savvy</t>
  </si>
  <si>
    <t xml:space="preserve"> average / total</t>
  </si>
  <si>
    <t xml:space="preserve"> Nederlands</t>
  </si>
  <si>
    <t xml:space="preserve"> Taal</t>
  </si>
  <si>
    <t xml:space="preserve"> Supplementary activities</t>
  </si>
  <si>
    <t xml:space="preserve"> Music</t>
  </si>
  <si>
    <t>G</t>
  </si>
  <si>
    <t xml:space="preserve"> Gardening</t>
  </si>
  <si>
    <t xml:space="preserve"> Physical Education</t>
  </si>
  <si>
    <t xml:space="preserve"> Attendance</t>
  </si>
  <si>
    <t xml:space="preserve"> Score</t>
  </si>
  <si>
    <t xml:space="preserve"> In relation to work</t>
  </si>
  <si>
    <t>T3</t>
  </si>
  <si>
    <t>T4</t>
  </si>
  <si>
    <t>T5</t>
  </si>
  <si>
    <t xml:space="preserve"> In relation to others</t>
  </si>
  <si>
    <t xml:space="preserve"> Is committed</t>
  </si>
  <si>
    <t>E</t>
  </si>
  <si>
    <t xml:space="preserve"> Is cooperative</t>
  </si>
  <si>
    <t xml:space="preserve"> Ability to establish own goals</t>
  </si>
  <si>
    <t xml:space="preserve"> Follows directions</t>
  </si>
  <si>
    <t xml:space="preserve"> Works independently</t>
  </si>
  <si>
    <t xml:space="preserve"> Is courteous and respectful</t>
  </si>
  <si>
    <t xml:space="preserve"> Completes work required</t>
  </si>
  <si>
    <t xml:space="preserve"> Responds well to correction</t>
  </si>
  <si>
    <t xml:space="preserve"> Does work neatly</t>
  </si>
  <si>
    <t xml:space="preserve"> Exhibits self-control</t>
  </si>
  <si>
    <t xml:space="preserve"> Does not disturb others</t>
  </si>
  <si>
    <t xml:space="preserve"> Gets along well with others</t>
  </si>
  <si>
    <t xml:space="preserve"> Takes care of materials</t>
  </si>
  <si>
    <t xml:space="preserve"> Willing to serve</t>
  </si>
  <si>
    <t xml:space="preserve"> principal:</t>
  </si>
  <si>
    <t xml:space="preserve"> supervisor:</t>
  </si>
  <si>
    <t xml:space="preserve"> parent / guardian:</t>
  </si>
  <si>
    <t>ICCE-C24</t>
  </si>
  <si>
    <t>Certificate Name</t>
  </si>
  <si>
    <t>ICCE-C79</t>
  </si>
  <si>
    <t>ICCE-C25</t>
  </si>
  <si>
    <t>Physical Science I</t>
  </si>
  <si>
    <t>ICCE_Alias (Course Name)</t>
  </si>
  <si>
    <t>ICCEID (Course ID)</t>
  </si>
  <si>
    <t>Requirement</t>
  </si>
  <si>
    <t>ICCE-C151</t>
  </si>
  <si>
    <t>CEE Physical Science I-B</t>
  </si>
  <si>
    <t>CEE Physical Science</t>
  </si>
  <si>
    <t>De publisher is "AEE". Dit bestaat uit PACEs 85–88, 97–100. Niet te verwarren met ID=159.</t>
  </si>
  <si>
    <t>Dit is verplicht vanaf 2024-01 voor General. De formele naam is "ICCE …" maar de publisher is "CEE". Oorspronkelijk heeft Afrika (AEE) dit vak gemaakt, maar Europe (CEE) heeft hier weer een selectie van gemaakt. De originele versie is te vinden in ID=160. Dit bestaat uit PACEs 85–88, 97–100.</t>
  </si>
  <si>
    <t>AEE Physical Science I-B</t>
  </si>
  <si>
    <t>Maths I</t>
  </si>
  <si>
    <t>ICCE-C11</t>
  </si>
  <si>
    <t>Term</t>
  </si>
  <si>
    <t>Etymology</t>
  </si>
  <si>
    <t>ICCE-C89</t>
  </si>
  <si>
    <t>ICCE-C19</t>
  </si>
  <si>
    <t>9–10</t>
  </si>
  <si>
    <t>15–17</t>
  </si>
  <si>
    <t>18–19</t>
  </si>
  <si>
    <t>Surname</t>
  </si>
  <si>
    <t>SurnamePrefix</t>
  </si>
  <si>
    <t>FirstNames</t>
  </si>
  <si>
    <t>CallName</t>
  </si>
  <si>
    <t>Adeleke</t>
  </si>
  <si>
    <t>Deborah</t>
  </si>
  <si>
    <t>Oluwatobi Samuel</t>
  </si>
  <si>
    <t>Oluwatobi</t>
  </si>
  <si>
    <t>Dorcas Mayowa Oluwatofarati Temitope Esther</t>
  </si>
  <si>
    <t>Dorcas</t>
  </si>
  <si>
    <t>Boulahdaraj</t>
  </si>
  <si>
    <t>Zakariya</t>
  </si>
  <si>
    <t>Brand</t>
  </si>
  <si>
    <t>van den</t>
  </si>
  <si>
    <t>Ezra</t>
  </si>
  <si>
    <t>Lois-Daan</t>
  </si>
  <si>
    <t>Bruijne</t>
  </si>
  <si>
    <t>de</t>
  </si>
  <si>
    <t>Matthias</t>
  </si>
  <si>
    <t>Gonzalez Rodriguez</t>
  </si>
  <si>
    <t>Eleazar Leonardo</t>
  </si>
  <si>
    <t>Eleazar</t>
  </si>
  <si>
    <t>Harkes</t>
  </si>
  <si>
    <t>Marinus Dirk Martijn</t>
  </si>
  <si>
    <t>Stijn</t>
  </si>
  <si>
    <t>Jonathan Anne Theodoor</t>
  </si>
  <si>
    <t>Jona</t>
  </si>
  <si>
    <t xml:space="preserve">Lee </t>
  </si>
  <si>
    <t>Kang Kevin</t>
  </si>
  <si>
    <t>Kevin</t>
  </si>
  <si>
    <t>Myung</t>
  </si>
  <si>
    <t>Matthew</t>
  </si>
  <si>
    <t>Littel</t>
  </si>
  <si>
    <t>Beline Elizabeth</t>
  </si>
  <si>
    <t>Lina</t>
  </si>
  <si>
    <t>Simon Johannes</t>
  </si>
  <si>
    <t>Sam</t>
  </si>
  <si>
    <t>Catharina Johanna</t>
  </si>
  <si>
    <t>Noa</t>
  </si>
  <si>
    <t>Trimp</t>
  </si>
  <si>
    <t>Elbert Daniël</t>
  </si>
  <si>
    <t>Dani</t>
  </si>
  <si>
    <t>Aron Pieter</t>
  </si>
  <si>
    <t>Aron</t>
  </si>
  <si>
    <t>Joseph Nathan Andrew Jun-Yin</t>
  </si>
  <si>
    <t>Hoogendoorn</t>
  </si>
  <si>
    <t>Boaz</t>
  </si>
  <si>
    <t>Steenbeek</t>
  </si>
  <si>
    <t>Refaja</t>
  </si>
  <si>
    <t>Gabriël</t>
  </si>
  <si>
    <t>Chen</t>
  </si>
  <si>
    <t>Sofia</t>
  </si>
  <si>
    <t>Score</t>
  </si>
  <si>
    <t>In "PACEs" de PACE-nummers valideren, voorwaardelijk aan de Course.</t>
  </si>
  <si>
    <t xml:space="preserve">Wat zijn de requirements v.w.b. de kleur van de ster? </t>
  </si>
  <si>
    <t>Opmerking</t>
  </si>
  <si>
    <t>dark red</t>
  </si>
  <si>
    <t>Supplementary</t>
  </si>
  <si>
    <t>white</t>
  </si>
  <si>
    <t>changed to "dark grey" instead of "grey", because "grey" is the default.</t>
  </si>
  <si>
    <t>dark grey</t>
  </si>
  <si>
    <t>Electives</t>
  </si>
  <si>
    <t>This one has been replaced by ID=11,12</t>
  </si>
  <si>
    <t>Done</t>
  </si>
  <si>
    <t>Not Done</t>
  </si>
  <si>
    <t>In "SPC" Scores automatisch invullen a.d.h.v. PACEs-tab</t>
  </si>
  <si>
    <t>In "PACEs" term automatisch invullen a.d.h.v. datum.</t>
  </si>
  <si>
    <t>Nieuwe datumtabel aanmaken</t>
  </si>
  <si>
    <t>Weekend</t>
  </si>
  <si>
    <t>Holiday</t>
  </si>
  <si>
    <t>DayOff</t>
  </si>
  <si>
    <t>WeekDay</t>
  </si>
  <si>
    <t>TermWeek</t>
  </si>
  <si>
    <t>Week</t>
  </si>
  <si>
    <t>Zomervakantie</t>
  </si>
  <si>
    <t>Najaarsvakantie</t>
  </si>
  <si>
    <t>Studiedag</t>
  </si>
  <si>
    <t>Kerstvakantie</t>
  </si>
  <si>
    <t>Voorjaarsvakantie</t>
  </si>
  <si>
    <t>Meivakantie</t>
  </si>
  <si>
    <t>Herfstvakantie</t>
  </si>
  <si>
    <t>YearTerm</t>
  </si>
  <si>
    <t>25–26</t>
  </si>
  <si>
    <t>Mogelijkheid om te filteren op schooljaar en term</t>
  </si>
  <si>
    <t>Automatisch rijen verbergen die niet nodig zijn.</t>
  </si>
  <si>
    <t xml:space="preserve">Dynamisch maken voor elke student </t>
  </si>
  <si>
    <t>Meerdere enrolments (van meerdere termen) mogelijk maken?</t>
  </si>
  <si>
    <t>Term Report automatiseren</t>
  </si>
  <si>
    <t>Namen van ICCE overal in verwerken</t>
  </si>
  <si>
    <t xml:space="preserve">Naam van Algebra I is "Mathematics-IA"? Is fout denk ik.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</si>
</sst>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6" formatCode="0.0"/>
    <numFmt numFmtId="168" formatCode="dd\ mmm\ yyyy"/>
    <numFmt numFmtId="173" formatCode="yyyy\-mm\-dd"/>
    <numFmt numFmtId="174" formatCode="0.0%"/>
  </numFmts>
  <fonts count="26" x14ac:knownFonts="1">
    <font>
      <sz val="11"/>
      <color theme="1"/>
      <name val="Calibri"/>
      <family val="2"/>
      <scheme val="minor"/>
    </font>
    <font>
      <sz val="8"/>
      <name val="Calibri"/>
      <family val="2"/>
      <scheme val="minor"/>
    </font>
    <font>
      <sz val="10"/>
      <color theme="1"/>
      <name val="Calibri"/>
      <family val="2"/>
      <scheme val="minor"/>
    </font>
    <font>
      <sz val="36"/>
      <color rgb="FFFF0000"/>
      <name val="Wingdings"/>
      <charset val="2"/>
    </font>
    <font>
      <sz val="7"/>
      <color theme="1"/>
      <name val="Calibri"/>
      <family val="2"/>
      <scheme val="minor"/>
    </font>
    <font>
      <sz val="14"/>
      <color theme="1"/>
      <name val="Calibri"/>
      <family val="2"/>
      <scheme val="minor"/>
    </font>
    <font>
      <sz val="26"/>
      <color theme="1"/>
      <name val="Calibri"/>
      <family val="2"/>
      <scheme val="minor"/>
    </font>
    <font>
      <sz val="26"/>
      <color theme="0" tint="-4.9989318521683403E-2"/>
      <name val="Wingdings"/>
      <charset val="2"/>
    </font>
    <font>
      <sz val="11"/>
      <color theme="1"/>
      <name val="Calibri"/>
      <family val="2"/>
      <scheme val="minor"/>
    </font>
    <font>
      <sz val="11"/>
      <color theme="1"/>
      <name val="Calibri"/>
      <family val="2"/>
    </font>
    <font>
      <b/>
      <sz val="11"/>
      <color theme="1"/>
      <name val="Calibri"/>
      <family val="2"/>
    </font>
    <font>
      <u/>
      <sz val="11"/>
      <color theme="10"/>
      <name val="Calibri"/>
      <family val="2"/>
    </font>
    <font>
      <b/>
      <sz val="11"/>
      <color theme="1"/>
      <name val="Calibri"/>
      <family val="2"/>
      <scheme val="minor"/>
    </font>
    <font>
      <b/>
      <sz val="26"/>
      <color theme="1"/>
      <name val="Calibri"/>
      <family val="2"/>
      <scheme val="minor"/>
    </font>
    <font>
      <i/>
      <sz val="11"/>
      <color theme="1"/>
      <name val="Calibri"/>
      <family val="2"/>
      <scheme val="minor"/>
    </font>
    <font>
      <i/>
      <sz val="26"/>
      <color theme="1"/>
      <name val="Calibri"/>
      <family val="2"/>
      <scheme val="minor"/>
    </font>
    <font>
      <sz val="20"/>
      <color theme="1"/>
      <name val="Calibri"/>
      <family val="2"/>
      <scheme val="minor"/>
    </font>
    <font>
      <sz val="18"/>
      <color theme="1"/>
      <name val="Calibri"/>
      <family val="2"/>
      <scheme val="minor"/>
    </font>
    <font>
      <sz val="9"/>
      <color theme="1"/>
      <name val="Calibri"/>
      <family val="2"/>
      <scheme val="minor"/>
    </font>
    <font>
      <b/>
      <i/>
      <sz val="11"/>
      <color theme="1"/>
      <name val="Calibri"/>
      <family val="2"/>
      <scheme val="minor"/>
    </font>
    <font>
      <b/>
      <i/>
      <sz val="10"/>
      <color theme="1"/>
      <name val="Calibri"/>
      <family val="2"/>
      <scheme val="minor"/>
    </font>
    <font>
      <i/>
      <sz val="10"/>
      <color theme="1"/>
      <name val="Calibri"/>
      <family val="2"/>
      <scheme val="minor"/>
    </font>
    <font>
      <b/>
      <sz val="9"/>
      <color theme="1"/>
      <name val="Calibri"/>
      <family val="2"/>
      <scheme val="minor"/>
    </font>
    <font>
      <i/>
      <sz val="6"/>
      <color theme="1"/>
      <name val="Calibri"/>
      <family val="2"/>
      <scheme val="minor"/>
    </font>
    <font>
      <sz val="26"/>
      <color theme="2"/>
      <name val="Wingdings"/>
      <charset val="2"/>
    </font>
    <font>
      <sz val="8"/>
      <color theme="1"/>
      <name val="Calibri"/>
      <family val="2"/>
      <scheme val="minor"/>
    </font>
  </fonts>
  <fills count="14">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92D050"/>
        <bgColor rgb="FF92D050"/>
      </patternFill>
    </fill>
    <fill>
      <patternFill patternType="solid">
        <fgColor rgb="FFFF0000"/>
        <bgColor rgb="FFFF0000"/>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E1E1E1"/>
        <bgColor indexed="64"/>
      </patternFill>
    </fill>
    <fill>
      <gradientFill degree="180">
        <stop position="0">
          <color theme="0"/>
        </stop>
        <stop position="1">
          <color theme="9" tint="0.59999389629810485"/>
        </stop>
      </gradientFill>
    </fill>
    <fill>
      <patternFill patternType="solid">
        <fgColor rgb="FFD2E6C4"/>
        <bgColor indexed="64"/>
      </patternFill>
    </fill>
    <fill>
      <patternFill patternType="solid">
        <fgColor theme="9" tint="0.59999389629810485"/>
        <bgColor indexed="64"/>
      </patternFill>
    </fill>
    <fill>
      <patternFill patternType="solid">
        <fgColor rgb="FF92D05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hair">
        <color theme="9" tint="-0.499984740745262"/>
      </left>
      <right/>
      <top style="hair">
        <color theme="9" tint="-0.499984740745262"/>
      </top>
      <bottom/>
      <diagonal/>
    </border>
    <border>
      <left/>
      <right/>
      <top style="hair">
        <color theme="9" tint="-0.499984740745262"/>
      </top>
      <bottom/>
      <diagonal/>
    </border>
    <border>
      <left/>
      <right style="hair">
        <color theme="9" tint="-0.499984740745262"/>
      </right>
      <top style="hair">
        <color theme="9" tint="-0.499984740745262"/>
      </top>
      <bottom/>
      <diagonal/>
    </border>
    <border>
      <left style="hair">
        <color theme="9" tint="-0.499984740745262"/>
      </left>
      <right/>
      <top/>
      <bottom/>
      <diagonal/>
    </border>
    <border>
      <left/>
      <right style="hair">
        <color theme="9" tint="-0.499984740745262"/>
      </right>
      <top/>
      <bottom/>
      <diagonal/>
    </border>
    <border>
      <left style="hair">
        <color theme="9" tint="-0.499984740745262"/>
      </left>
      <right/>
      <top/>
      <bottom style="hair">
        <color theme="9" tint="-0.499984740745262"/>
      </bottom>
      <diagonal/>
    </border>
    <border>
      <left/>
      <right/>
      <top/>
      <bottom style="hair">
        <color theme="9" tint="-0.499984740745262"/>
      </bottom>
      <diagonal/>
    </border>
    <border>
      <left/>
      <right style="hair">
        <color theme="9" tint="-0.499984740745262"/>
      </right>
      <top/>
      <bottom style="hair">
        <color theme="9" tint="-0.499984740745262"/>
      </bottom>
      <diagonal/>
    </border>
  </borders>
  <cellStyleXfs count="5">
    <xf numFmtId="0" fontId="0" fillId="0" borderId="0"/>
    <xf numFmtId="0" fontId="8" fillId="0" borderId="0"/>
    <xf numFmtId="0" fontId="8" fillId="0" borderId="0"/>
    <xf numFmtId="0" fontId="8" fillId="0" borderId="0"/>
    <xf numFmtId="9" fontId="8" fillId="0" borderId="0" applyFont="0" applyFill="0" applyBorder="0" applyAlignment="0" applyProtection="0"/>
  </cellStyleXfs>
  <cellXfs count="175">
    <xf numFmtId="0" fontId="0" fillId="0" borderId="0" xfId="0"/>
    <xf numFmtId="0" fontId="0" fillId="0" borderId="0" xfId="0" applyAlignment="1">
      <alignment horizontal="center" vertical="center"/>
    </xf>
    <xf numFmtId="49" fontId="0" fillId="0" borderId="0" xfId="0" applyNumberFormat="1"/>
    <xf numFmtId="2" fontId="0" fillId="0" borderId="0" xfId="0" applyNumberFormat="1"/>
    <xf numFmtId="0" fontId="3" fillId="0" borderId="0" xfId="0" applyFont="1" applyAlignment="1">
      <alignment horizontal="center" vertical="center"/>
    </xf>
    <xf numFmtId="9" fontId="0" fillId="0" borderId="0" xfId="0" applyNumberFormat="1" applyAlignment="1">
      <alignment horizontal="center" vertical="center"/>
    </xf>
    <xf numFmtId="0" fontId="4" fillId="0" borderId="0" xfId="0" applyFont="1" applyAlignment="1">
      <alignment horizontal="center" vertical="center"/>
    </xf>
    <xf numFmtId="0" fontId="6" fillId="0" borderId="0" xfId="0" applyFont="1"/>
    <xf numFmtId="0" fontId="6" fillId="0" borderId="0" xfId="0"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9" fontId="0" fillId="0" borderId="4" xfId="0" applyNumberFormat="1" applyBorder="1" applyAlignment="1">
      <alignment horizontal="center" vertical="center"/>
    </xf>
    <xf numFmtId="0" fontId="8" fillId="0" borderId="0" xfId="1"/>
    <xf numFmtId="0" fontId="9" fillId="0" borderId="0" xfId="1" applyFont="1"/>
    <xf numFmtId="0" fontId="9" fillId="0" borderId="0" xfId="1" applyFont="1" applyAlignment="1">
      <alignment wrapText="1"/>
    </xf>
    <xf numFmtId="0" fontId="9" fillId="2" borderId="0" xfId="1" applyFont="1" applyFill="1"/>
    <xf numFmtId="0" fontId="9" fillId="2" borderId="0" xfId="1" applyFont="1" applyFill="1" applyAlignment="1">
      <alignment wrapText="1"/>
    </xf>
    <xf numFmtId="0" fontId="9" fillId="3" borderId="0" xfId="1" applyFont="1" applyFill="1" applyAlignment="1">
      <alignment wrapText="1"/>
    </xf>
    <xf numFmtId="0" fontId="9" fillId="4" borderId="0" xfId="1" applyFont="1" applyFill="1"/>
    <xf numFmtId="0" fontId="8" fillId="0" borderId="0" xfId="1" applyAlignment="1">
      <alignment wrapText="1"/>
    </xf>
    <xf numFmtId="0" fontId="10" fillId="0" borderId="0" xfId="1" applyFont="1" applyAlignment="1">
      <alignment wrapText="1"/>
    </xf>
    <xf numFmtId="0" fontId="10" fillId="2" borderId="0" xfId="1" applyFont="1" applyFill="1" applyAlignment="1">
      <alignment wrapText="1"/>
    </xf>
    <xf numFmtId="0" fontId="10" fillId="0" borderId="0" xfId="1" applyFont="1"/>
    <xf numFmtId="0" fontId="10" fillId="5" borderId="0" xfId="1" applyFont="1" applyFill="1" applyAlignment="1">
      <alignment wrapText="1"/>
    </xf>
    <xf numFmtId="0" fontId="8" fillId="0" borderId="0" xfId="2"/>
    <xf numFmtId="10" fontId="9" fillId="0" borderId="0" xfId="2" applyNumberFormat="1" applyFont="1"/>
    <xf numFmtId="0" fontId="9" fillId="0" borderId="0" xfId="2" applyFont="1" applyAlignment="1">
      <alignment horizontal="left"/>
    </xf>
    <xf numFmtId="0" fontId="9" fillId="2" borderId="0" xfId="2" applyFont="1" applyFill="1"/>
    <xf numFmtId="164" fontId="9" fillId="0" borderId="0" xfId="2" applyNumberFormat="1" applyFont="1"/>
    <xf numFmtId="0" fontId="10" fillId="0" borderId="0" xfId="2" applyFont="1"/>
    <xf numFmtId="10" fontId="10" fillId="0" borderId="0" xfId="2" applyNumberFormat="1" applyFont="1"/>
    <xf numFmtId="0" fontId="8" fillId="0" borderId="0" xfId="3"/>
    <xf numFmtId="0" fontId="9" fillId="2" borderId="0" xfId="3" applyFont="1" applyFill="1"/>
    <xf numFmtId="0" fontId="11" fillId="0" borderId="0" xfId="3" applyFont="1" applyAlignment="1">
      <alignment wrapText="1"/>
    </xf>
    <xf numFmtId="0" fontId="10" fillId="0" borderId="0" xfId="3" applyFont="1"/>
    <xf numFmtId="0" fontId="10" fillId="5" borderId="0" xfId="3" applyFont="1" applyFill="1"/>
    <xf numFmtId="0" fontId="10" fillId="4" borderId="0" xfId="3" applyFont="1" applyFill="1"/>
    <xf numFmtId="0" fontId="12" fillId="0" borderId="0" xfId="0" applyFont="1"/>
    <xf numFmtId="0" fontId="2" fillId="0" borderId="0" xfId="0" applyFont="1"/>
    <xf numFmtId="0" fontId="2" fillId="6" borderId="0" xfId="0" applyFont="1" applyFill="1"/>
    <xf numFmtId="0" fontId="8" fillId="6" borderId="0" xfId="1" applyFill="1"/>
    <xf numFmtId="0" fontId="13" fillId="0" borderId="0" xfId="0" applyFont="1"/>
    <xf numFmtId="9" fontId="12" fillId="0" borderId="0" xfId="0" applyNumberFormat="1" applyFont="1"/>
    <xf numFmtId="0" fontId="12" fillId="0" borderId="0" xfId="0" applyFont="1" applyAlignment="1">
      <alignment horizontal="right"/>
    </xf>
    <xf numFmtId="0" fontId="14" fillId="0" borderId="0" xfId="0" applyFont="1"/>
    <xf numFmtId="14" fontId="0" fillId="0" borderId="0" xfId="0" applyNumberFormat="1"/>
    <xf numFmtId="0" fontId="14" fillId="0" borderId="0" xfId="1" applyFont="1"/>
    <xf numFmtId="0" fontId="15" fillId="0" borderId="0" xfId="0" applyFont="1"/>
    <xf numFmtId="0" fontId="7" fillId="0" borderId="0" xfId="0" applyFont="1" applyAlignment="1">
      <alignment horizontal="center" vertical="center"/>
    </xf>
    <xf numFmtId="0" fontId="0" fillId="0" borderId="0" xfId="0" applyAlignment="1">
      <alignment horizontal="left"/>
    </xf>
    <xf numFmtId="10" fontId="0" fillId="0" borderId="0" xfId="0" applyNumberFormat="1"/>
    <xf numFmtId="0" fontId="8" fillId="6" borderId="0" xfId="3" applyFill="1"/>
    <xf numFmtId="0" fontId="18" fillId="0" borderId="0" xfId="0" applyFont="1" applyAlignment="1">
      <alignment horizontal="left" vertical="center"/>
    </xf>
    <xf numFmtId="0" fontId="0" fillId="0" borderId="0" xfId="0" applyAlignment="1">
      <alignment horizontal="left" vertical="center"/>
    </xf>
    <xf numFmtId="49" fontId="14" fillId="7" borderId="0" xfId="0" applyNumberFormat="1" applyFont="1" applyFill="1" applyAlignment="1">
      <alignment horizontal="left" vertical="center"/>
    </xf>
    <xf numFmtId="49" fontId="0" fillId="0" borderId="0" xfId="0" applyNumberFormat="1" applyAlignment="1">
      <alignment vertical="center"/>
    </xf>
    <xf numFmtId="0" fontId="0" fillId="0" borderId="0" xfId="0" applyAlignment="1">
      <alignment vertical="center"/>
    </xf>
    <xf numFmtId="0" fontId="12" fillId="0" borderId="0" xfId="0" applyFont="1" applyAlignment="1">
      <alignment horizontal="center"/>
    </xf>
    <xf numFmtId="0" fontId="12" fillId="0" borderId="7" xfId="0" applyFont="1" applyBorder="1"/>
    <xf numFmtId="0" fontId="12" fillId="8" borderId="7" xfId="0" applyFont="1" applyFill="1" applyBorder="1"/>
    <xf numFmtId="0" fontId="18" fillId="9" borderId="8" xfId="0" applyFont="1" applyFill="1" applyBorder="1" applyAlignment="1">
      <alignment horizontal="left" vertical="center"/>
    </xf>
    <xf numFmtId="0" fontId="18" fillId="8" borderId="0" xfId="0" applyFont="1" applyFill="1" applyAlignment="1">
      <alignment horizontal="left" vertical="center"/>
    </xf>
    <xf numFmtId="0" fontId="18" fillId="9" borderId="10" xfId="0" applyFont="1" applyFill="1" applyBorder="1" applyAlignment="1">
      <alignment horizontal="center" vertical="center"/>
    </xf>
    <xf numFmtId="0" fontId="12" fillId="8" borderId="0" xfId="0" applyFont="1" applyFill="1" applyAlignment="1">
      <alignment horizontal="center"/>
    </xf>
    <xf numFmtId="0" fontId="12" fillId="8" borderId="0" xfId="0" applyFont="1" applyFill="1"/>
    <xf numFmtId="10" fontId="0" fillId="9" borderId="0" xfId="4" applyNumberFormat="1" applyFont="1" applyFill="1" applyBorder="1" applyAlignment="1">
      <alignment horizontal="center" vertical="center"/>
    </xf>
    <xf numFmtId="0" fontId="18" fillId="9" borderId="10" xfId="0" applyFont="1" applyFill="1" applyBorder="1" applyAlignment="1">
      <alignment horizontal="left" vertical="center"/>
    </xf>
    <xf numFmtId="0" fontId="18" fillId="7" borderId="12" xfId="0" applyFont="1" applyFill="1" applyBorder="1" applyAlignment="1">
      <alignment horizontal="left" vertical="center"/>
    </xf>
    <xf numFmtId="0" fontId="18" fillId="11" borderId="12" xfId="0" applyFont="1" applyFill="1" applyBorder="1" applyAlignment="1">
      <alignment horizontal="left" vertical="center"/>
    </xf>
    <xf numFmtId="0" fontId="22" fillId="12" borderId="13" xfId="0" applyFont="1" applyFill="1" applyBorder="1" applyAlignment="1">
      <alignment horizontal="center" vertical="center"/>
    </xf>
    <xf numFmtId="10" fontId="2" fillId="0" borderId="0" xfId="4" applyNumberFormat="1" applyFont="1" applyFill="1" applyBorder="1" applyAlignment="1">
      <alignment horizontal="center" vertical="center"/>
    </xf>
    <xf numFmtId="10" fontId="0" fillId="0" borderId="0" xfId="4" applyNumberFormat="1" applyFont="1" applyFill="1" applyBorder="1" applyAlignment="1">
      <alignment horizontal="center" vertical="center"/>
    </xf>
    <xf numFmtId="49" fontId="18" fillId="0" borderId="0" xfId="0" applyNumberFormat="1" applyFont="1" applyAlignment="1">
      <alignment horizontal="left" vertical="center"/>
    </xf>
    <xf numFmtId="49" fontId="18" fillId="9" borderId="8" xfId="0" applyNumberFormat="1" applyFont="1" applyFill="1" applyBorder="1" applyAlignment="1">
      <alignment horizontal="left" vertical="center"/>
    </xf>
    <xf numFmtId="0" fontId="18" fillId="8" borderId="12" xfId="0" applyFont="1" applyFill="1" applyBorder="1" applyAlignment="1">
      <alignment horizontal="left" vertical="center"/>
    </xf>
    <xf numFmtId="0" fontId="18" fillId="0" borderId="12" xfId="0" applyFont="1" applyBorder="1" applyAlignment="1">
      <alignment horizontal="left" vertical="center"/>
    </xf>
    <xf numFmtId="10" fontId="0" fillId="9" borderId="7" xfId="4" applyNumberFormat="1" applyFont="1" applyFill="1" applyBorder="1" applyAlignment="1">
      <alignment vertical="center"/>
    </xf>
    <xf numFmtId="0" fontId="23" fillId="0" borderId="0" xfId="0" applyFont="1" applyAlignment="1">
      <alignment vertical="top"/>
    </xf>
    <xf numFmtId="0" fontId="18" fillId="6" borderId="0" xfId="0" applyFont="1" applyFill="1" applyAlignment="1">
      <alignment horizontal="left" vertical="center"/>
    </xf>
    <xf numFmtId="0" fontId="18" fillId="6" borderId="10" xfId="0" applyFont="1" applyFill="1" applyBorder="1" applyAlignment="1">
      <alignment horizontal="center" vertical="center"/>
    </xf>
    <xf numFmtId="0" fontId="0" fillId="0" borderId="0" xfId="1" applyFont="1"/>
    <xf numFmtId="0" fontId="0" fillId="0" borderId="0" xfId="0" applyAlignment="1">
      <alignment horizontal="center"/>
    </xf>
    <xf numFmtId="0" fontId="5" fillId="0" borderId="0" xfId="0" applyFont="1" applyAlignment="1">
      <alignment horizontal="left"/>
    </xf>
    <xf numFmtId="0" fontId="2" fillId="0" borderId="0" xfId="0" applyFont="1" applyAlignment="1">
      <alignment horizontal="left"/>
    </xf>
    <xf numFmtId="0" fontId="0" fillId="0" borderId="0" xfId="0" applyAlignment="1">
      <alignment horizontal="center"/>
    </xf>
    <xf numFmtId="0" fontId="5" fillId="0" borderId="1" xfId="0" applyFont="1" applyBorder="1" applyAlignment="1">
      <alignment horizontal="left"/>
    </xf>
    <xf numFmtId="0" fontId="5" fillId="0" borderId="2" xfId="0" applyFont="1" applyBorder="1" applyAlignment="1">
      <alignment horizontal="left"/>
    </xf>
    <xf numFmtId="0" fontId="2" fillId="0" borderId="2"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23" fillId="9" borderId="0" xfId="0" applyFont="1" applyFill="1" applyAlignment="1">
      <alignment horizontal="left" vertical="top"/>
    </xf>
    <xf numFmtId="0" fontId="23" fillId="7" borderId="0" xfId="0" applyFont="1" applyFill="1" applyAlignment="1">
      <alignment horizontal="left" vertical="top"/>
    </xf>
    <xf numFmtId="0" fontId="18" fillId="0" borderId="11" xfId="0" applyFont="1" applyBorder="1" applyAlignment="1">
      <alignment horizontal="left"/>
    </xf>
    <xf numFmtId="0" fontId="18" fillId="0" borderId="12" xfId="0" applyFont="1" applyBorder="1" applyAlignment="1">
      <alignment horizontal="left"/>
    </xf>
    <xf numFmtId="0" fontId="0" fillId="0" borderId="12" xfId="0" applyBorder="1" applyAlignment="1">
      <alignment horizontal="center"/>
    </xf>
    <xf numFmtId="0" fontId="0" fillId="8" borderId="12" xfId="0" applyFill="1" applyBorder="1" applyAlignment="1">
      <alignment horizontal="center"/>
    </xf>
    <xf numFmtId="0" fontId="0" fillId="0" borderId="13" xfId="0" applyBorder="1" applyAlignment="1">
      <alignment horizontal="center"/>
    </xf>
    <xf numFmtId="0" fontId="18" fillId="0" borderId="9" xfId="0" applyFont="1" applyBorder="1" applyAlignment="1">
      <alignment horizontal="left"/>
    </xf>
    <xf numFmtId="0" fontId="18" fillId="0" borderId="0" xfId="0" applyFont="1" applyAlignment="1">
      <alignment horizontal="left"/>
    </xf>
    <xf numFmtId="0" fontId="0" fillId="8" borderId="0" xfId="0" applyFill="1" applyAlignment="1">
      <alignment horizontal="center"/>
    </xf>
    <xf numFmtId="0" fontId="0" fillId="0" borderId="10" xfId="0" applyBorder="1" applyAlignment="1">
      <alignment horizontal="center"/>
    </xf>
    <xf numFmtId="0" fontId="12" fillId="10" borderId="6" xfId="0" applyFont="1" applyFill="1" applyBorder="1" applyAlignment="1">
      <alignment horizontal="left" vertical="center"/>
    </xf>
    <xf numFmtId="0" fontId="12" fillId="10" borderId="7" xfId="0" applyFont="1" applyFill="1" applyBorder="1" applyAlignment="1">
      <alignment horizontal="left" vertical="center"/>
    </xf>
    <xf numFmtId="0" fontId="0" fillId="0" borderId="7" xfId="0" applyBorder="1" applyAlignment="1">
      <alignment horizontal="center"/>
    </xf>
    <xf numFmtId="0" fontId="0" fillId="8" borderId="7" xfId="0" applyFill="1" applyBorder="1" applyAlignment="1">
      <alignment horizontal="center"/>
    </xf>
    <xf numFmtId="0" fontId="0" fillId="0" borderId="8" xfId="0" applyBorder="1" applyAlignment="1">
      <alignment horizontal="center"/>
    </xf>
    <xf numFmtId="10" fontId="0" fillId="9" borderId="12" xfId="4" applyNumberFormat="1" applyFont="1" applyFill="1" applyBorder="1" applyAlignment="1">
      <alignment horizontal="center" vertical="center"/>
    </xf>
    <xf numFmtId="10" fontId="0" fillId="9" borderId="13" xfId="4" applyNumberFormat="1" applyFont="1" applyFill="1" applyBorder="1" applyAlignment="1">
      <alignment horizontal="center" vertical="center"/>
    </xf>
    <xf numFmtId="0" fontId="0" fillId="0" borderId="0" xfId="0" applyAlignment="1">
      <alignment horizontal="left"/>
    </xf>
    <xf numFmtId="10" fontId="2" fillId="0" borderId="0" xfId="4" applyNumberFormat="1" applyFont="1" applyBorder="1" applyAlignment="1">
      <alignment horizontal="center" vertical="center"/>
    </xf>
    <xf numFmtId="10" fontId="0" fillId="0" borderId="0" xfId="4" applyNumberFormat="1" applyFont="1" applyBorder="1" applyAlignment="1">
      <alignment horizontal="center" vertical="center"/>
    </xf>
    <xf numFmtId="0" fontId="0" fillId="0" borderId="11" xfId="0" applyBorder="1" applyAlignment="1">
      <alignment horizontal="left" vertical="center"/>
    </xf>
    <xf numFmtId="0" fontId="0" fillId="0" borderId="12" xfId="0" applyBorder="1" applyAlignment="1">
      <alignment horizontal="left" vertical="center"/>
    </xf>
    <xf numFmtId="10" fontId="2" fillId="0" borderId="12" xfId="4" applyNumberFormat="1" applyFont="1" applyBorder="1" applyAlignment="1">
      <alignment horizontal="center" vertical="center"/>
    </xf>
    <xf numFmtId="10" fontId="2" fillId="8" borderId="12" xfId="4" applyNumberFormat="1" applyFont="1" applyFill="1" applyBorder="1" applyAlignment="1">
      <alignment horizontal="center" vertical="center"/>
    </xf>
    <xf numFmtId="166" fontId="0" fillId="9" borderId="12" xfId="4" applyNumberFormat="1" applyFont="1" applyFill="1" applyBorder="1" applyAlignment="1">
      <alignment horizontal="center" vertical="center"/>
    </xf>
    <xf numFmtId="166" fontId="0" fillId="9" borderId="13" xfId="4" applyNumberFormat="1" applyFont="1" applyFill="1" applyBorder="1" applyAlignment="1">
      <alignment horizontal="center" vertical="center"/>
    </xf>
    <xf numFmtId="0" fontId="12" fillId="0" borderId="7" xfId="0" applyFont="1" applyBorder="1" applyAlignment="1">
      <alignment horizontal="center"/>
    </xf>
    <xf numFmtId="0" fontId="12" fillId="8" borderId="7" xfId="0" applyFont="1" applyFill="1" applyBorder="1" applyAlignment="1">
      <alignment horizontal="center"/>
    </xf>
    <xf numFmtId="10" fontId="0" fillId="9" borderId="7" xfId="4" applyNumberFormat="1" applyFont="1" applyFill="1" applyBorder="1" applyAlignment="1">
      <alignment horizontal="center" vertical="center"/>
    </xf>
    <xf numFmtId="10" fontId="0" fillId="9" borderId="8" xfId="4" applyNumberFormat="1" applyFont="1" applyFill="1" applyBorder="1" applyAlignment="1">
      <alignment horizontal="center" vertical="center"/>
    </xf>
    <xf numFmtId="166" fontId="2" fillId="0" borderId="12" xfId="4" applyNumberFormat="1" applyFont="1" applyBorder="1" applyAlignment="1">
      <alignment horizontal="center" vertical="center"/>
    </xf>
    <xf numFmtId="166" fontId="2" fillId="8" borderId="12" xfId="4" applyNumberFormat="1" applyFont="1" applyFill="1" applyBorder="1" applyAlignment="1">
      <alignment horizontal="center" vertical="center"/>
    </xf>
    <xf numFmtId="10" fontId="0" fillId="9" borderId="0" xfId="4" applyNumberFormat="1" applyFont="1" applyFill="1" applyBorder="1" applyAlignment="1">
      <alignment horizontal="center" vertical="center"/>
    </xf>
    <xf numFmtId="10" fontId="0" fillId="9" borderId="10" xfId="4" applyNumberFormat="1" applyFont="1" applyFill="1" applyBorder="1"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10" fontId="2" fillId="8" borderId="0" xfId="4" applyNumberFormat="1" applyFont="1" applyFill="1" applyBorder="1" applyAlignment="1">
      <alignment horizontal="center" vertical="center"/>
    </xf>
    <xf numFmtId="10" fontId="0" fillId="0" borderId="0" xfId="4" applyNumberFormat="1" applyFont="1" applyFill="1" applyBorder="1" applyAlignment="1">
      <alignment horizontal="center" vertical="center"/>
    </xf>
    <xf numFmtId="10" fontId="2" fillId="0" borderId="0" xfId="4" applyNumberFormat="1" applyFont="1" applyFill="1" applyBorder="1" applyAlignment="1">
      <alignment horizontal="center" vertical="center"/>
    </xf>
    <xf numFmtId="10" fontId="8" fillId="9" borderId="7" xfId="4" applyNumberFormat="1" applyFont="1" applyFill="1" applyBorder="1" applyAlignment="1">
      <alignment horizontal="center" vertical="center"/>
    </xf>
    <xf numFmtId="166" fontId="8" fillId="9" borderId="12" xfId="4" applyNumberFormat="1" applyFont="1" applyFill="1" applyBorder="1" applyAlignment="1">
      <alignment horizontal="center" vertical="center"/>
    </xf>
    <xf numFmtId="166" fontId="8" fillId="9" borderId="13" xfId="4" applyNumberFormat="1" applyFont="1" applyFill="1" applyBorder="1" applyAlignment="1">
      <alignment horizontal="center" vertical="center"/>
    </xf>
    <xf numFmtId="10" fontId="12" fillId="12" borderId="12" xfId="4" applyNumberFormat="1" applyFont="1" applyFill="1" applyBorder="1" applyAlignment="1">
      <alignment horizontal="center" vertical="center"/>
    </xf>
    <xf numFmtId="0" fontId="21" fillId="7" borderId="11" xfId="0" applyFont="1" applyFill="1" applyBorder="1" applyAlignment="1">
      <alignment horizontal="left"/>
    </xf>
    <xf numFmtId="0" fontId="21" fillId="7" borderId="12" xfId="0" applyFont="1" applyFill="1" applyBorder="1" applyAlignment="1">
      <alignment horizontal="left"/>
    </xf>
    <xf numFmtId="10" fontId="2" fillId="7" borderId="12" xfId="4" applyNumberFormat="1" applyFont="1" applyFill="1" applyBorder="1" applyAlignment="1">
      <alignment horizontal="center" vertical="center"/>
    </xf>
    <xf numFmtId="10" fontId="2" fillId="11" borderId="12" xfId="4" applyNumberFormat="1" applyFont="1" applyFill="1" applyBorder="1" applyAlignment="1">
      <alignment horizontal="center" vertical="center"/>
    </xf>
    <xf numFmtId="10" fontId="2" fillId="9" borderId="0" xfId="4" applyNumberFormat="1" applyFont="1" applyFill="1" applyBorder="1" applyAlignment="1">
      <alignment horizontal="center" vertical="center"/>
    </xf>
    <xf numFmtId="0" fontId="0" fillId="0" borderId="9" xfId="0" applyBorder="1" applyAlignment="1">
      <alignment horizontal="left"/>
    </xf>
    <xf numFmtId="9" fontId="2" fillId="0" borderId="0" xfId="4" applyFont="1" applyBorder="1" applyAlignment="1">
      <alignment horizontal="center" vertical="center"/>
    </xf>
    <xf numFmtId="0" fontId="19" fillId="6" borderId="0" xfId="0" applyFont="1" applyFill="1" applyAlignment="1">
      <alignment horizontal="center"/>
    </xf>
    <xf numFmtId="10" fontId="2" fillId="6" borderId="0" xfId="4" applyNumberFormat="1" applyFont="1" applyFill="1" applyBorder="1" applyAlignment="1">
      <alignment horizontal="center" vertical="center"/>
    </xf>
    <xf numFmtId="0" fontId="12" fillId="10" borderId="9" xfId="0" applyFont="1" applyFill="1" applyBorder="1" applyAlignment="1">
      <alignment horizontal="center" vertical="center"/>
    </xf>
    <xf numFmtId="0" fontId="12" fillId="10" borderId="0" xfId="0" applyFont="1" applyFill="1" applyAlignment="1">
      <alignment horizontal="center" vertical="center"/>
    </xf>
    <xf numFmtId="0" fontId="0" fillId="6" borderId="9" xfId="0" applyFill="1" applyBorder="1" applyAlignment="1">
      <alignment horizontal="left" vertical="center"/>
    </xf>
    <xf numFmtId="0" fontId="0" fillId="6" borderId="0" xfId="0" applyFill="1" applyAlignment="1">
      <alignment horizontal="left" vertical="center"/>
    </xf>
    <xf numFmtId="0" fontId="16" fillId="0" borderId="0" xfId="0" applyFont="1" applyAlignment="1">
      <alignment horizontal="center" vertical="center"/>
    </xf>
    <xf numFmtId="0" fontId="17" fillId="0" borderId="0" xfId="0" applyFont="1" applyAlignment="1">
      <alignment horizontal="center" vertical="center"/>
    </xf>
    <xf numFmtId="0" fontId="12" fillId="0" borderId="0" xfId="0" applyFont="1" applyAlignment="1">
      <alignment horizontal="center" vertical="top"/>
    </xf>
    <xf numFmtId="49" fontId="0" fillId="7" borderId="0" xfId="0" applyNumberFormat="1" applyFill="1" applyAlignment="1">
      <alignment horizontal="left" vertical="center"/>
    </xf>
    <xf numFmtId="49" fontId="14" fillId="7" borderId="0" xfId="0" applyNumberFormat="1" applyFont="1" applyFill="1" applyAlignment="1">
      <alignment horizontal="left" vertical="center"/>
    </xf>
    <xf numFmtId="0" fontId="20" fillId="6" borderId="0" xfId="0" applyFont="1" applyFill="1" applyAlignment="1">
      <alignment horizontal="center"/>
    </xf>
    <xf numFmtId="0" fontId="12" fillId="0" borderId="0" xfId="0" applyFont="1" applyAlignment="1">
      <alignment horizontal="center"/>
    </xf>
    <xf numFmtId="0" fontId="0" fillId="6" borderId="0" xfId="1" applyFont="1" applyFill="1"/>
    <xf numFmtId="0" fontId="0" fillId="0" borderId="0" xfId="3" applyFont="1"/>
    <xf numFmtId="0" fontId="10" fillId="0" borderId="0" xfId="0" applyFont="1"/>
    <xf numFmtId="0" fontId="8" fillId="0" borderId="0" xfId="0" applyFont="1"/>
    <xf numFmtId="168" fontId="12" fillId="0" borderId="0" xfId="0" applyNumberFormat="1" applyFont="1"/>
    <xf numFmtId="168" fontId="0" fillId="0" borderId="0" xfId="0" applyNumberFormat="1"/>
    <xf numFmtId="0" fontId="0" fillId="0" borderId="0" xfId="0" applyAlignment="1">
      <alignment wrapText="1"/>
    </xf>
    <xf numFmtId="0" fontId="12" fillId="0" borderId="0" xfId="0" applyFont="1" applyAlignment="1">
      <alignment wrapText="1"/>
    </xf>
    <xf numFmtId="0" fontId="24" fillId="0" borderId="0" xfId="0" applyFont="1" applyAlignment="1">
      <alignment horizontal="center" vertical="center"/>
    </xf>
    <xf numFmtId="173" fontId="9" fillId="0" borderId="0" xfId="0" applyNumberFormat="1" applyFont="1"/>
    <xf numFmtId="0" fontId="25" fillId="13" borderId="0" xfId="0" applyFont="1" applyFill="1"/>
    <xf numFmtId="0" fontId="0" fillId="0" borderId="0" xfId="0" applyFont="1"/>
    <xf numFmtId="0" fontId="0" fillId="0" borderId="4" xfId="0" applyNumberFormat="1" applyBorder="1" applyAlignment="1">
      <alignment horizontal="center" vertical="center"/>
    </xf>
    <xf numFmtId="0" fontId="4" fillId="0" borderId="4" xfId="0" applyNumberFormat="1" applyFont="1" applyBorder="1" applyAlignment="1">
      <alignment horizontal="center" vertical="center"/>
    </xf>
    <xf numFmtId="0" fontId="0" fillId="0" borderId="0" xfId="0" applyNumberFormat="1"/>
    <xf numFmtId="0" fontId="0" fillId="0" borderId="0" xfId="0" quotePrefix="1" applyNumberFormat="1"/>
    <xf numFmtId="174" fontId="0" fillId="0" borderId="0" xfId="0" applyNumberFormat="1"/>
    <xf numFmtId="0" fontId="0" fillId="0" borderId="0" xfId="0" applyBorder="1" applyAlignment="1">
      <alignment horizontal="center"/>
    </xf>
    <xf numFmtId="0" fontId="0" fillId="0" borderId="0" xfId="0" applyBorder="1" applyAlignment="1">
      <alignment horizontal="center" vertical="center"/>
    </xf>
    <xf numFmtId="9" fontId="0" fillId="0" borderId="0" xfId="0" applyNumberFormat="1" applyBorder="1" applyAlignment="1">
      <alignment horizontal="center" vertical="center"/>
    </xf>
    <xf numFmtId="0" fontId="4" fillId="0" borderId="0" xfId="0" applyNumberFormat="1" applyFont="1" applyBorder="1" applyAlignment="1">
      <alignment horizontal="center" vertical="center"/>
    </xf>
  </cellXfs>
  <cellStyles count="5">
    <cellStyle name="Normal" xfId="0" builtinId="0"/>
    <cellStyle name="Normal 2" xfId="1" xr:uid="{F09F2514-418F-E545-A4BD-590D861FCB99}"/>
    <cellStyle name="Normal 3" xfId="2" xr:uid="{24C185E1-2740-B247-98D5-5E065175F1ED}"/>
    <cellStyle name="Normal 4" xfId="3" xr:uid="{EDE4EFED-68B4-144D-9D78-50A72AD50FEB}"/>
    <cellStyle name="Percent" xfId="4" builtinId="5"/>
  </cellStyles>
  <dxfs count="346">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FF0000"/>
      </font>
    </dxf>
    <dxf>
      <font>
        <color rgb="FFFF000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FF0000"/>
      </font>
    </dxf>
    <dxf>
      <font>
        <color rgb="FFFF0000"/>
      </font>
    </dxf>
    <dxf>
      <font>
        <color rgb="FF7030A0"/>
      </font>
    </dxf>
    <dxf>
      <font>
        <color rgb="FF7030A0"/>
      </font>
    </dxf>
    <dxf>
      <font>
        <color rgb="FFFFFF00"/>
      </font>
    </dxf>
    <dxf>
      <font>
        <color theme="7"/>
      </font>
    </dxf>
    <dxf>
      <font>
        <color rgb="FF7030A0"/>
      </font>
    </dxf>
    <dxf>
      <font>
        <color rgb="FF0070C0"/>
      </font>
    </dxf>
    <dxf>
      <font>
        <color rgb="FFFF0000"/>
      </font>
    </dxf>
    <dxf>
      <font>
        <color rgb="FF92D05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92D050"/>
      </font>
    </dxf>
    <dxf>
      <font>
        <color rgb="FFFF0000"/>
      </font>
    </dxf>
    <dxf>
      <font>
        <color rgb="FF0070C0"/>
      </font>
    </dxf>
    <dxf>
      <font>
        <color rgb="FF7030A0"/>
      </font>
    </dxf>
    <dxf>
      <font>
        <color theme="7"/>
      </font>
    </dxf>
    <dxf>
      <font>
        <color rgb="FFFFFF00"/>
      </font>
    </dxf>
    <dxf>
      <font>
        <color rgb="FF7030A0"/>
      </font>
    </dxf>
    <dxf>
      <font>
        <color rgb="FF7030A0"/>
      </font>
    </dxf>
    <dxf>
      <font>
        <color rgb="FFFFFF00"/>
      </font>
    </dxf>
    <dxf>
      <font>
        <color rgb="FFFF0000"/>
      </font>
    </dxf>
    <dxf>
      <font>
        <color rgb="FF0070C0"/>
      </font>
    </dxf>
    <dxf>
      <font>
        <color rgb="FF7030A0"/>
      </font>
    </dxf>
    <dxf>
      <font>
        <color rgb="FFFFFF00"/>
      </font>
    </dxf>
    <dxf>
      <font>
        <color rgb="FFFF0000"/>
      </font>
    </dxf>
    <dxf>
      <font>
        <color rgb="FF0070C0"/>
      </font>
    </dxf>
    <dxf>
      <font>
        <color rgb="FF7030A0"/>
      </font>
    </dxf>
    <dxf>
      <font>
        <color rgb="FFFFFF00"/>
      </font>
    </dxf>
    <dxf>
      <font>
        <color rgb="FFFF0000"/>
      </font>
    </dxf>
    <dxf>
      <font>
        <color rgb="FF0070C0"/>
      </font>
    </dxf>
    <dxf>
      <font>
        <color rgb="FF7030A0"/>
      </font>
    </dxf>
    <dxf>
      <font>
        <color rgb="FFFFFF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7030A0"/>
      </font>
    </dxf>
    <dxf>
      <font>
        <color rgb="FF7030A0"/>
      </font>
    </dxf>
    <dxf>
      <font>
        <color rgb="FFFFFF00"/>
      </font>
    </dxf>
    <dxf>
      <font>
        <color theme="7"/>
      </font>
    </dxf>
    <dxf>
      <font>
        <color rgb="FF7030A0"/>
      </font>
    </dxf>
    <dxf>
      <font>
        <color rgb="FF0070C0"/>
      </font>
    </dxf>
    <dxf>
      <font>
        <color rgb="FFFF0000"/>
      </font>
    </dxf>
    <dxf>
      <font>
        <color rgb="FF92D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ocumenttasks/documenttask1.xml><?xml version="1.0" encoding="utf-8"?>
<Tasks xmlns="http://schemas.microsoft.com/office/tasks/2019/documenttasks">
  <Task id="{EF2613D5-74F3-8A46-8A27-44C0A63151DF}">
    <Anchor>
      <Comment id="{CAC05455-CBED-2B47-A5D3-4A9ABAC6F3E4}"/>
    </Anchor>
    <History>
      <Event time="2025-12-12T12:21:56.71" id="{A88BF0B8-9080-5D48-BF41-BA7DCFA32883}">
        <Attribution userId="S::a.yong@ceder.nl::45200129-7f3d-48ed-8cc8-0305ccf313ac" userName="Andrew Yong | ICS De Ceder" userProvider="AD"/>
        <Anchor>
          <Comment id="{CAC05455-CBED-2B47-A5D3-4A9ABAC6F3E4}"/>
        </Anchor>
        <Create/>
      </Event>
      <Event time="2025-12-12T12:21:56.71" id="{D89B3868-5052-1747-9B95-71590795AF64}">
        <Attribution userId="S::a.yong@ceder.nl::45200129-7f3d-48ed-8cc8-0305ccf313ac" userName="Andrew Yong | ICS De Ceder" userProvider="AD"/>
        <Anchor>
          <Comment id="{CAC05455-CBED-2B47-A5D3-4A9ABAC6F3E4}"/>
        </Anchor>
        <Assign userId="S::s.bezemer@ceder.nl::c1b1c798-b8f0-44f9-a404-eff9cd774e7e" userName="S. Bezemer | ICS De Ceder" userProvider="AD"/>
      </Event>
      <Event time="2025-12-12T12:21:56.71" id="{D1A4884F-42CF-4544-A002-3412081FC275}">
        <Attribution userId="S::a.yong@ceder.nl::45200129-7f3d-48ed-8cc8-0305ccf313ac" userName="Andrew Yong | ICS De Ceder" userProvider="AD"/>
        <Anchor>
          <Comment id="{CAC05455-CBED-2B47-A5D3-4A9ABAC6F3E4}"/>
        </Anchor>
        <SetTitle title="@S. Bezemer | ICS De Ceder ik kan deze niet vinden in de course list van ICCE. Is niet relevant voor nu, maar ik plaats alvast een opmerking hier."/>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28576</xdr:rowOff>
    </xdr:from>
    <xdr:to>
      <xdr:col>10</xdr:col>
      <xdr:colOff>74577</xdr:colOff>
      <xdr:row>2</xdr:row>
      <xdr:rowOff>161926</xdr:rowOff>
    </xdr:to>
    <xdr:pic>
      <xdr:nvPicPr>
        <xdr:cNvPr id="2" name="officeArt object">
          <a:extLst>
            <a:ext uri="{FF2B5EF4-FFF2-40B4-BE49-F238E27FC236}">
              <a16:creationId xmlns:a16="http://schemas.microsoft.com/office/drawing/2014/main" id="{6165D60B-D5E4-485C-AE2A-98FF250B93B2}"/>
            </a:ext>
          </a:extLst>
        </xdr:cNvPr>
        <xdr:cNvPicPr/>
      </xdr:nvPicPr>
      <xdr:blipFill rotWithShape="1">
        <a:blip xmlns:r="http://schemas.openxmlformats.org/officeDocument/2006/relationships" r:embed="rId1"/>
        <a:srcRect b="33113"/>
        <a:stretch/>
      </xdr:blipFill>
      <xdr:spPr>
        <a:xfrm>
          <a:off x="28575" y="28576"/>
          <a:ext cx="1665252" cy="514350"/>
        </a:xfrm>
        <a:prstGeom prst="rect">
          <a:avLst/>
        </a:prstGeom>
        <a:ln w="12700" cap="flat">
          <a:noFill/>
          <a:miter lim="400000"/>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andrewyong/Documents/GitHub/DatabACE/01.%20Data/Databace20241130.xlsx" TargetMode="External"/><Relationship Id="rId2" Type="http://schemas.openxmlformats.org/officeDocument/2006/relationships/externalLinkPath" Target="https://icsdeceder-my.sharepoint.com/Users/andrewyong/Documents/GitHub/DatabACE/01.%20Data/Databace20241130.xlsx" TargetMode="External"/><Relationship Id="rId1" Type="http://schemas.openxmlformats.org/officeDocument/2006/relationships/externalLinkPath" Target="/Users/andrewyong/Documents/GitHub/DatabACE/01.%20Data/Databace202411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ares"/>
      <sheetName val="Progress"/>
      <sheetName val="State"/>
      <sheetName val="Person"/>
      <sheetName val="Transaction"/>
      <sheetName val="Denomination"/>
      <sheetName val="Language"/>
      <sheetName val="Address"/>
      <sheetName val="Date"/>
      <sheetName val="Grade"/>
      <sheetName val="Class"/>
      <sheetName val="SubjectGroup"/>
      <sheetName val="Subject"/>
      <sheetName val="ICCE_Certificate"/>
      <sheetName val="Enrollment"/>
      <sheetName val="Course"/>
      <sheetName val="PaceCourse"/>
      <sheetName val="PACE"/>
      <sheetName val="Links"/>
      <sheetName val="CourseWorkICCE_Certificate"/>
      <sheetName val="EnrollmentCourses__"/>
      <sheetName val="PaceUnitResult"/>
      <sheetName val="OtherCourse"/>
      <sheetName val="OtherCourseUnit"/>
      <sheetName val="OtherUnitResults"/>
      <sheetName val="RecurringCourse"/>
      <sheetName val="RecurringResult"/>
      <sheetName val="DutchCourse"/>
      <sheetName val="DutchCourseUnits"/>
      <sheetName val="DutchUnitResults"/>
      <sheetName val="SubjectCourseEnrolment"/>
      <sheetName val="ExtraCurCourseEnrolment"/>
      <sheetName val="DutchCourseEnrolment"/>
      <sheetName val="Term"/>
      <sheetName val="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A2">
            <v>1</v>
          </cell>
          <cell r="B2" t="str">
            <v>Christian Studies</v>
          </cell>
        </row>
        <row r="3">
          <cell r="A3">
            <v>2</v>
          </cell>
          <cell r="B3" t="str">
            <v>Core Academic Studies</v>
          </cell>
        </row>
        <row r="4">
          <cell r="A4">
            <v>3</v>
          </cell>
          <cell r="B4" t="str">
            <v>Core Expanded Studies</v>
          </cell>
        </row>
        <row r="5">
          <cell r="A5">
            <v>4</v>
          </cell>
          <cell r="B5" t="str">
            <v>Applied Studies</v>
          </cell>
        </row>
        <row r="6">
          <cell r="A6">
            <v>5</v>
          </cell>
          <cell r="B6" t="str">
            <v>Dutch Language</v>
          </cell>
        </row>
        <row r="7">
          <cell r="A7">
            <v>6</v>
          </cell>
          <cell r="B7" t="str">
            <v>Supplementary Activities</v>
          </cell>
        </row>
        <row r="8">
          <cell r="A8">
            <v>7</v>
          </cell>
          <cell r="B8" t="str">
            <v>Coursework</v>
          </cell>
        </row>
      </sheetData>
      <sheetData sheetId="12">
        <row r="2">
          <cell r="A2">
            <v>1</v>
          </cell>
          <cell r="B2" t="str">
            <v>Maths</v>
          </cell>
          <cell r="C2" t="str">
            <v>Yellow</v>
          </cell>
          <cell r="D2" t="str">
            <v>Academic</v>
          </cell>
          <cell r="E2" t="str">
            <v>MA</v>
          </cell>
        </row>
        <row r="3">
          <cell r="A3">
            <v>2</v>
          </cell>
          <cell r="B3" t="str">
            <v>Language</v>
          </cell>
          <cell r="C3" t="str">
            <v>Red</v>
          </cell>
          <cell r="D3" t="str">
            <v>Academic</v>
          </cell>
          <cell r="E3" t="str">
            <v>LA</v>
          </cell>
        </row>
        <row r="4">
          <cell r="A4">
            <v>3</v>
          </cell>
          <cell r="B4" t="str">
            <v>Word Building</v>
          </cell>
          <cell r="C4" t="str">
            <v>Purple</v>
          </cell>
          <cell r="D4" t="str">
            <v>Academic</v>
          </cell>
          <cell r="E4" t="str">
            <v>WB</v>
          </cell>
        </row>
        <row r="5">
          <cell r="A5">
            <v>4</v>
          </cell>
          <cell r="B5" t="str">
            <v>Literature</v>
          </cell>
          <cell r="C5" t="str">
            <v>DarkRed</v>
          </cell>
          <cell r="D5" t="str">
            <v>Academic</v>
          </cell>
          <cell r="E5" t="str">
            <v>LI</v>
          </cell>
        </row>
        <row r="6">
          <cell r="A6">
            <v>5</v>
          </cell>
          <cell r="B6" t="str">
            <v>Science</v>
          </cell>
          <cell r="C6" t="str">
            <v>Blue</v>
          </cell>
          <cell r="D6" t="str">
            <v>Academic</v>
          </cell>
          <cell r="E6" t="str">
            <v>SC</v>
          </cell>
        </row>
        <row r="7">
          <cell r="A7">
            <v>6</v>
          </cell>
          <cell r="B7" t="str">
            <v>Social Studies</v>
          </cell>
          <cell r="C7" t="str">
            <v>Green</v>
          </cell>
          <cell r="D7" t="str">
            <v>Academic</v>
          </cell>
          <cell r="E7" t="str">
            <v>SS</v>
          </cell>
        </row>
        <row r="8">
          <cell r="A8">
            <v>7</v>
          </cell>
          <cell r="B8" t="str">
            <v>Biblical Studies</v>
          </cell>
          <cell r="C8" t="str">
            <v>SandOrange</v>
          </cell>
          <cell r="D8" t="str">
            <v>Christian</v>
          </cell>
          <cell r="E8" t="str">
            <v>BS</v>
          </cell>
        </row>
        <row r="9">
          <cell r="A9">
            <v>8</v>
          </cell>
          <cell r="B9" t="str">
            <v>Electives</v>
          </cell>
          <cell r="C9" t="str">
            <v>Grey</v>
          </cell>
          <cell r="D9" t="str">
            <v>Elective</v>
          </cell>
          <cell r="E9" t="str">
            <v>EL</v>
          </cell>
        </row>
        <row r="10">
          <cell r="A10">
            <v>9</v>
          </cell>
          <cell r="B10" t="str">
            <v>Dutch Language</v>
          </cell>
          <cell r="C10" t="str">
            <v>Orange</v>
          </cell>
          <cell r="D10" t="str">
            <v>Academic</v>
          </cell>
          <cell r="E10" t="str">
            <v>NL</v>
          </cell>
        </row>
        <row r="11">
          <cell r="A11">
            <v>10</v>
          </cell>
          <cell r="B11" t="str">
            <v>Supplementary</v>
          </cell>
          <cell r="C11" t="str">
            <v>White</v>
          </cell>
          <cell r="D11" t="str">
            <v>Elective</v>
          </cell>
          <cell r="E11" t="str">
            <v>SU</v>
          </cell>
        </row>
      </sheetData>
      <sheetData sheetId="13" refreshError="1"/>
      <sheetData sheetId="14" refreshError="1"/>
      <sheetData sheetId="15">
        <row r="1">
          <cell r="A1" t="str">
            <v>ID</v>
          </cell>
          <cell r="B1" t="str">
            <v>ICCEID</v>
          </cell>
          <cell r="C1" t="str">
            <v>ACE_Alias</v>
          </cell>
          <cell r="D1" t="str">
            <v>ICCE_Alias</v>
          </cell>
          <cell r="E1" t="str">
            <v>Level</v>
          </cell>
          <cell r="F1" t="str">
            <v>PaceNrStart</v>
          </cell>
          <cell r="G1" t="str">
            <v>PaceNrEnd</v>
          </cell>
          <cell r="H1" t="str">
            <v>PaceCount__</v>
          </cell>
          <cell r="I1" t="str">
            <v>StarValue</v>
          </cell>
          <cell r="J1" t="str">
            <v>SubjectID</v>
          </cell>
          <cell r="K1" t="str">
            <v>Subject_temp</v>
          </cell>
          <cell r="L1" t="str">
            <v>SubjectAbb</v>
          </cell>
          <cell r="M1" t="str">
            <v>Remarks</v>
          </cell>
          <cell r="N1" t="str">
            <v>Specification</v>
          </cell>
          <cell r="O1" t="str">
            <v>SubjectGroupID</v>
          </cell>
        </row>
        <row r="2">
          <cell r="A2">
            <v>1</v>
          </cell>
          <cell r="C2" t="str">
            <v>Maths Reading Readiness</v>
          </cell>
          <cell r="E2">
            <v>0</v>
          </cell>
          <cell r="F2">
            <v>1</v>
          </cell>
          <cell r="G2">
            <v>12</v>
          </cell>
          <cell r="H2">
            <v>12</v>
          </cell>
          <cell r="I2">
            <v>12</v>
          </cell>
          <cell r="J2">
            <v>1</v>
          </cell>
          <cell r="K2" t="str">
            <v>Maths</v>
          </cell>
          <cell r="L2" t="str">
            <v>MA</v>
          </cell>
          <cell r="N2" t="str">
            <v>RR</v>
          </cell>
          <cell r="O2">
            <v>2</v>
          </cell>
          <cell r="P2" t="str">
            <v>Core Academic Studies</v>
          </cell>
          <cell r="Q2" t="str">
            <v>Core</v>
          </cell>
          <cell r="R2" t="str">
            <v>Maths Reading Readiness</v>
          </cell>
        </row>
        <row r="3">
          <cell r="A3">
            <v>2</v>
          </cell>
          <cell r="C3" t="str">
            <v>Maths Level 1</v>
          </cell>
          <cell r="E3">
            <v>1</v>
          </cell>
          <cell r="F3">
            <v>1</v>
          </cell>
          <cell r="G3">
            <v>12</v>
          </cell>
          <cell r="H3">
            <v>12</v>
          </cell>
          <cell r="I3">
            <v>12</v>
          </cell>
          <cell r="J3">
            <v>1</v>
          </cell>
          <cell r="K3" t="str">
            <v>Maths</v>
          </cell>
          <cell r="L3" t="str">
            <v>MA</v>
          </cell>
          <cell r="N3" t="str">
            <v>MA</v>
          </cell>
          <cell r="O3">
            <v>2</v>
          </cell>
          <cell r="P3" t="str">
            <v>Core Academic Studies</v>
          </cell>
          <cell r="Q3" t="str">
            <v>Core</v>
          </cell>
          <cell r="R3" t="str">
            <v>Maths Level 1</v>
          </cell>
        </row>
        <row r="4">
          <cell r="A4">
            <v>3</v>
          </cell>
          <cell r="C4" t="str">
            <v>English Level 1</v>
          </cell>
          <cell r="E4">
            <v>1</v>
          </cell>
          <cell r="F4">
            <v>1</v>
          </cell>
          <cell r="G4">
            <v>12</v>
          </cell>
          <cell r="H4">
            <v>12</v>
          </cell>
          <cell r="I4">
            <v>12</v>
          </cell>
          <cell r="J4">
            <v>2</v>
          </cell>
          <cell r="K4" t="str">
            <v>Language</v>
          </cell>
          <cell r="L4" t="str">
            <v>LA</v>
          </cell>
          <cell r="N4" t="str">
            <v>EN</v>
          </cell>
          <cell r="O4">
            <v>2</v>
          </cell>
          <cell r="P4" t="str">
            <v>Core Academic Studies</v>
          </cell>
          <cell r="Q4" t="str">
            <v>Core</v>
          </cell>
          <cell r="R4" t="str">
            <v>English Level 1</v>
          </cell>
        </row>
        <row r="5">
          <cell r="A5">
            <v>4</v>
          </cell>
          <cell r="C5" t="str">
            <v>Word Building Level 1</v>
          </cell>
          <cell r="E5">
            <v>1</v>
          </cell>
          <cell r="F5">
            <v>1</v>
          </cell>
          <cell r="G5">
            <v>12</v>
          </cell>
          <cell r="H5">
            <v>12</v>
          </cell>
          <cell r="I5">
            <v>12</v>
          </cell>
          <cell r="J5">
            <v>3</v>
          </cell>
          <cell r="K5" t="str">
            <v>Word Building</v>
          </cell>
          <cell r="L5" t="str">
            <v>WB</v>
          </cell>
          <cell r="N5" t="str">
            <v>WB</v>
          </cell>
          <cell r="O5">
            <v>2</v>
          </cell>
          <cell r="P5" t="str">
            <v>Core Academic Studies</v>
          </cell>
          <cell r="Q5" t="str">
            <v>Core</v>
          </cell>
          <cell r="R5" t="str">
            <v>Word Building Level 1</v>
          </cell>
        </row>
        <row r="6">
          <cell r="A6">
            <v>5</v>
          </cell>
          <cell r="C6" t="str">
            <v>Literature and Creative Writing Level 1</v>
          </cell>
          <cell r="E6">
            <v>1</v>
          </cell>
          <cell r="F6">
            <v>1</v>
          </cell>
          <cell r="G6">
            <v>12</v>
          </cell>
          <cell r="H6">
            <v>12</v>
          </cell>
          <cell r="I6">
            <v>12</v>
          </cell>
          <cell r="J6">
            <v>4</v>
          </cell>
          <cell r="K6" t="str">
            <v>Literature</v>
          </cell>
          <cell r="L6" t="str">
            <v>LI</v>
          </cell>
          <cell r="N6" t="str">
            <v>LC</v>
          </cell>
          <cell r="O6">
            <v>2</v>
          </cell>
          <cell r="P6" t="str">
            <v>Core Academic Studies</v>
          </cell>
          <cell r="Q6" t="str">
            <v>Core</v>
          </cell>
          <cell r="R6" t="str">
            <v>Literature and Creative Writing Level 1</v>
          </cell>
        </row>
        <row r="7">
          <cell r="A7">
            <v>6</v>
          </cell>
          <cell r="B7" t="str">
            <v>Science 1</v>
          </cell>
          <cell r="C7" t="str">
            <v>Science Level 1</v>
          </cell>
          <cell r="E7">
            <v>1</v>
          </cell>
          <cell r="F7">
            <v>1</v>
          </cell>
          <cell r="G7">
            <v>12</v>
          </cell>
          <cell r="H7">
            <v>12</v>
          </cell>
          <cell r="I7">
            <v>12</v>
          </cell>
          <cell r="J7">
            <v>5</v>
          </cell>
          <cell r="K7" t="str">
            <v>Science</v>
          </cell>
          <cell r="L7" t="str">
            <v>SC</v>
          </cell>
          <cell r="N7" t="str">
            <v>SC</v>
          </cell>
          <cell r="O7">
            <v>2</v>
          </cell>
          <cell r="P7" t="str">
            <v>Core Academic Studies</v>
          </cell>
          <cell r="Q7" t="str">
            <v>Core</v>
          </cell>
          <cell r="R7" t="str">
            <v>Science Level 1</v>
          </cell>
        </row>
        <row r="8">
          <cell r="A8">
            <v>7</v>
          </cell>
          <cell r="C8" t="str">
            <v>Social Studies Level 1</v>
          </cell>
          <cell r="E8">
            <v>1</v>
          </cell>
          <cell r="F8">
            <v>1</v>
          </cell>
          <cell r="G8">
            <v>12</v>
          </cell>
          <cell r="H8">
            <v>12</v>
          </cell>
          <cell r="I8">
            <v>12</v>
          </cell>
          <cell r="J8">
            <v>6</v>
          </cell>
          <cell r="K8" t="str">
            <v>Social Studies</v>
          </cell>
          <cell r="L8" t="str">
            <v>SS</v>
          </cell>
          <cell r="N8" t="str">
            <v>SS</v>
          </cell>
          <cell r="O8">
            <v>2</v>
          </cell>
          <cell r="P8" t="str">
            <v>Core Academic Studies</v>
          </cell>
          <cell r="Q8" t="str">
            <v>Core</v>
          </cell>
          <cell r="R8" t="str">
            <v>Social Studies Level 1</v>
          </cell>
        </row>
        <row r="9">
          <cell r="A9">
            <v>8</v>
          </cell>
          <cell r="C9" t="str">
            <v>Bible Reading Level 1</v>
          </cell>
          <cell r="E9">
            <v>1</v>
          </cell>
          <cell r="F9">
            <v>1</v>
          </cell>
          <cell r="G9">
            <v>12</v>
          </cell>
          <cell r="H9">
            <v>12</v>
          </cell>
          <cell r="I9">
            <v>12</v>
          </cell>
          <cell r="J9">
            <v>7</v>
          </cell>
          <cell r="K9" t="str">
            <v>Biblical Studies</v>
          </cell>
          <cell r="L9" t="str">
            <v>BS</v>
          </cell>
          <cell r="N9" t="str">
            <v>BR</v>
          </cell>
          <cell r="O9">
            <v>1</v>
          </cell>
          <cell r="P9" t="str">
            <v>Christian Studies</v>
          </cell>
          <cell r="Q9" t="str">
            <v>Core</v>
          </cell>
          <cell r="R9" t="str">
            <v>Bible Reading Level 1</v>
          </cell>
        </row>
        <row r="10">
          <cell r="A10">
            <v>9</v>
          </cell>
          <cell r="C10" t="str">
            <v>Maths Level 2</v>
          </cell>
          <cell r="E10">
            <v>2</v>
          </cell>
          <cell r="F10">
            <v>13</v>
          </cell>
          <cell r="G10">
            <v>24</v>
          </cell>
          <cell r="H10">
            <v>12</v>
          </cell>
          <cell r="I10">
            <v>12</v>
          </cell>
          <cell r="J10">
            <v>1</v>
          </cell>
          <cell r="K10" t="str">
            <v>Maths</v>
          </cell>
          <cell r="L10" t="str">
            <v>MA</v>
          </cell>
          <cell r="N10" t="str">
            <v>MA</v>
          </cell>
          <cell r="O10">
            <v>2</v>
          </cell>
          <cell r="P10" t="str">
            <v>Core Academic Studies</v>
          </cell>
          <cell r="Q10" t="str">
            <v>Core</v>
          </cell>
          <cell r="R10" t="str">
            <v>Maths Level 2</v>
          </cell>
        </row>
        <row r="11">
          <cell r="A11">
            <v>10</v>
          </cell>
          <cell r="C11" t="str">
            <v>English Level 2</v>
          </cell>
          <cell r="E11">
            <v>2</v>
          </cell>
          <cell r="F11">
            <v>13</v>
          </cell>
          <cell r="G11">
            <v>24</v>
          </cell>
          <cell r="H11">
            <v>12</v>
          </cell>
          <cell r="I11">
            <v>12</v>
          </cell>
          <cell r="J11">
            <v>2</v>
          </cell>
          <cell r="K11" t="str">
            <v>Language</v>
          </cell>
          <cell r="L11" t="str">
            <v>LA</v>
          </cell>
          <cell r="N11" t="str">
            <v>EN</v>
          </cell>
          <cell r="O11">
            <v>2</v>
          </cell>
          <cell r="P11" t="str">
            <v>Core Academic Studies</v>
          </cell>
          <cell r="Q11" t="str">
            <v>Core</v>
          </cell>
          <cell r="R11" t="str">
            <v>English Level 2</v>
          </cell>
        </row>
        <row r="12">
          <cell r="A12">
            <v>11</v>
          </cell>
          <cell r="C12" t="str">
            <v>Word Building Level 2</v>
          </cell>
          <cell r="E12">
            <v>2</v>
          </cell>
          <cell r="F12">
            <v>13</v>
          </cell>
          <cell r="G12">
            <v>24</v>
          </cell>
          <cell r="H12">
            <v>12</v>
          </cell>
          <cell r="I12">
            <v>12</v>
          </cell>
          <cell r="J12">
            <v>3</v>
          </cell>
          <cell r="K12" t="str">
            <v>Word Building</v>
          </cell>
          <cell r="L12" t="str">
            <v>WB</v>
          </cell>
          <cell r="N12" t="str">
            <v>WB</v>
          </cell>
          <cell r="O12">
            <v>2</v>
          </cell>
          <cell r="P12" t="str">
            <v>Core Academic Studies</v>
          </cell>
          <cell r="Q12" t="str">
            <v>Core</v>
          </cell>
          <cell r="R12" t="str">
            <v>Word Building Level 2</v>
          </cell>
        </row>
        <row r="13">
          <cell r="A13">
            <v>12</v>
          </cell>
          <cell r="C13" t="str">
            <v>Literature and Creative Writing Level 2</v>
          </cell>
          <cell r="E13">
            <v>2</v>
          </cell>
          <cell r="F13">
            <v>13</v>
          </cell>
          <cell r="G13">
            <v>24</v>
          </cell>
          <cell r="H13">
            <v>12</v>
          </cell>
          <cell r="I13">
            <v>12</v>
          </cell>
          <cell r="J13">
            <v>4</v>
          </cell>
          <cell r="K13" t="str">
            <v>Literature</v>
          </cell>
          <cell r="L13" t="str">
            <v>LI</v>
          </cell>
          <cell r="N13" t="str">
            <v>LC</v>
          </cell>
          <cell r="O13">
            <v>2</v>
          </cell>
          <cell r="P13" t="str">
            <v>Core Academic Studies</v>
          </cell>
          <cell r="Q13" t="str">
            <v>Core</v>
          </cell>
          <cell r="R13" t="str">
            <v>Literature and Creative Writing Level 2</v>
          </cell>
        </row>
        <row r="14">
          <cell r="A14">
            <v>13</v>
          </cell>
          <cell r="B14" t="str">
            <v>Science 2</v>
          </cell>
          <cell r="C14" t="str">
            <v>Science Level 2</v>
          </cell>
          <cell r="E14">
            <v>2</v>
          </cell>
          <cell r="F14">
            <v>13</v>
          </cell>
          <cell r="G14">
            <v>24</v>
          </cell>
          <cell r="H14">
            <v>12</v>
          </cell>
          <cell r="I14">
            <v>12</v>
          </cell>
          <cell r="J14">
            <v>5</v>
          </cell>
          <cell r="K14" t="str">
            <v>Science</v>
          </cell>
          <cell r="L14" t="str">
            <v>SC</v>
          </cell>
          <cell r="N14" t="str">
            <v>SC</v>
          </cell>
          <cell r="O14">
            <v>2</v>
          </cell>
          <cell r="P14" t="str">
            <v>Core Academic Studies</v>
          </cell>
          <cell r="Q14" t="str">
            <v>Core</v>
          </cell>
          <cell r="R14" t="str">
            <v>Science Level 2</v>
          </cell>
        </row>
        <row r="15">
          <cell r="A15">
            <v>14</v>
          </cell>
          <cell r="C15" t="str">
            <v>Social Studies Level 2</v>
          </cell>
          <cell r="E15">
            <v>2</v>
          </cell>
          <cell r="F15">
            <v>13</v>
          </cell>
          <cell r="G15">
            <v>24</v>
          </cell>
          <cell r="H15">
            <v>12</v>
          </cell>
          <cell r="I15">
            <v>12</v>
          </cell>
          <cell r="J15">
            <v>6</v>
          </cell>
          <cell r="K15" t="str">
            <v>Social Studies</v>
          </cell>
          <cell r="L15" t="str">
            <v>SS</v>
          </cell>
          <cell r="N15" t="str">
            <v>SS</v>
          </cell>
          <cell r="O15">
            <v>2</v>
          </cell>
          <cell r="P15" t="str">
            <v>Core Academic Studies</v>
          </cell>
          <cell r="Q15" t="str">
            <v>Core</v>
          </cell>
          <cell r="R15" t="str">
            <v>Social Studies Level 2</v>
          </cell>
        </row>
        <row r="16">
          <cell r="A16">
            <v>15</v>
          </cell>
          <cell r="C16" t="str">
            <v>Bible Reading Level 2</v>
          </cell>
          <cell r="E16">
            <v>2</v>
          </cell>
          <cell r="F16">
            <v>13</v>
          </cell>
          <cell r="G16">
            <v>24</v>
          </cell>
          <cell r="H16">
            <v>12</v>
          </cell>
          <cell r="I16">
            <v>12</v>
          </cell>
          <cell r="J16">
            <v>7</v>
          </cell>
          <cell r="K16" t="str">
            <v>Biblical Studies</v>
          </cell>
          <cell r="L16" t="str">
            <v>BS</v>
          </cell>
          <cell r="N16" t="str">
            <v>BR</v>
          </cell>
          <cell r="O16">
            <v>1</v>
          </cell>
          <cell r="P16" t="str">
            <v>Christian Studies</v>
          </cell>
          <cell r="Q16" t="str">
            <v>Core</v>
          </cell>
          <cell r="R16" t="str">
            <v>Bible Reading Level 2</v>
          </cell>
        </row>
        <row r="17">
          <cell r="A17">
            <v>16</v>
          </cell>
          <cell r="C17" t="str">
            <v>Maths Level 3</v>
          </cell>
          <cell r="E17">
            <v>3</v>
          </cell>
          <cell r="F17">
            <v>25</v>
          </cell>
          <cell r="G17">
            <v>36</v>
          </cell>
          <cell r="H17">
            <v>12</v>
          </cell>
          <cell r="I17">
            <v>12</v>
          </cell>
          <cell r="J17">
            <v>1</v>
          </cell>
          <cell r="K17" t="str">
            <v>Maths</v>
          </cell>
          <cell r="L17" t="str">
            <v>MA</v>
          </cell>
          <cell r="N17" t="str">
            <v>MA</v>
          </cell>
          <cell r="O17">
            <v>2</v>
          </cell>
          <cell r="P17" t="str">
            <v>Core Academic Studies</v>
          </cell>
          <cell r="Q17" t="str">
            <v>Core</v>
          </cell>
          <cell r="R17" t="str">
            <v>Maths Level 3</v>
          </cell>
        </row>
        <row r="18">
          <cell r="A18">
            <v>17</v>
          </cell>
          <cell r="C18" t="str">
            <v>English Level 3</v>
          </cell>
          <cell r="E18">
            <v>3</v>
          </cell>
          <cell r="F18">
            <v>25</v>
          </cell>
          <cell r="G18">
            <v>36</v>
          </cell>
          <cell r="H18">
            <v>12</v>
          </cell>
          <cell r="I18">
            <v>12</v>
          </cell>
          <cell r="J18">
            <v>2</v>
          </cell>
          <cell r="K18" t="str">
            <v>Language</v>
          </cell>
          <cell r="L18" t="str">
            <v>LA</v>
          </cell>
          <cell r="N18" t="str">
            <v>EN</v>
          </cell>
          <cell r="O18">
            <v>2</v>
          </cell>
          <cell r="P18" t="str">
            <v>Core Academic Studies</v>
          </cell>
          <cell r="Q18" t="str">
            <v>Core</v>
          </cell>
          <cell r="R18" t="str">
            <v>English Level 3</v>
          </cell>
        </row>
        <row r="19">
          <cell r="A19">
            <v>18</v>
          </cell>
          <cell r="C19" t="str">
            <v>Word Building Level 3</v>
          </cell>
          <cell r="E19">
            <v>3</v>
          </cell>
          <cell r="F19">
            <v>25</v>
          </cell>
          <cell r="G19">
            <v>36</v>
          </cell>
          <cell r="H19">
            <v>12</v>
          </cell>
          <cell r="I19">
            <v>12</v>
          </cell>
          <cell r="J19">
            <v>3</v>
          </cell>
          <cell r="K19" t="str">
            <v>Word Building</v>
          </cell>
          <cell r="L19" t="str">
            <v>WB</v>
          </cell>
          <cell r="N19" t="str">
            <v>WB</v>
          </cell>
          <cell r="O19">
            <v>2</v>
          </cell>
          <cell r="P19" t="str">
            <v>Core Academic Studies</v>
          </cell>
          <cell r="Q19" t="str">
            <v>Core</v>
          </cell>
          <cell r="R19" t="str">
            <v>Word Building Level 3</v>
          </cell>
        </row>
        <row r="20">
          <cell r="A20">
            <v>19</v>
          </cell>
          <cell r="C20" t="str">
            <v>Literature and Creative Writing Level 3</v>
          </cell>
          <cell r="E20">
            <v>3</v>
          </cell>
          <cell r="F20">
            <v>25</v>
          </cell>
          <cell r="G20">
            <v>36</v>
          </cell>
          <cell r="H20">
            <v>12</v>
          </cell>
          <cell r="I20">
            <v>12</v>
          </cell>
          <cell r="J20">
            <v>4</v>
          </cell>
          <cell r="K20" t="str">
            <v>Literature</v>
          </cell>
          <cell r="L20" t="str">
            <v>LI</v>
          </cell>
          <cell r="N20" t="str">
            <v>LC</v>
          </cell>
          <cell r="O20">
            <v>2</v>
          </cell>
          <cell r="P20" t="str">
            <v>Core Academic Studies</v>
          </cell>
          <cell r="Q20" t="str">
            <v>Core</v>
          </cell>
          <cell r="R20" t="str">
            <v>Literature and Creative Writing Level 3</v>
          </cell>
        </row>
        <row r="21">
          <cell r="A21">
            <v>20</v>
          </cell>
          <cell r="B21" t="str">
            <v>Science 3</v>
          </cell>
          <cell r="C21" t="str">
            <v>Science Level 3</v>
          </cell>
          <cell r="E21">
            <v>3</v>
          </cell>
          <cell r="F21">
            <v>25</v>
          </cell>
          <cell r="G21">
            <v>36</v>
          </cell>
          <cell r="H21">
            <v>12</v>
          </cell>
          <cell r="I21">
            <v>12</v>
          </cell>
          <cell r="J21">
            <v>5</v>
          </cell>
          <cell r="K21" t="str">
            <v>Science</v>
          </cell>
          <cell r="L21" t="str">
            <v>SC</v>
          </cell>
          <cell r="N21" t="str">
            <v>SC</v>
          </cell>
          <cell r="O21">
            <v>2</v>
          </cell>
          <cell r="P21" t="str">
            <v>Core Academic Studies</v>
          </cell>
          <cell r="Q21" t="str">
            <v>Core</v>
          </cell>
          <cell r="R21" t="str">
            <v>Science Level 3</v>
          </cell>
        </row>
        <row r="22">
          <cell r="A22">
            <v>21</v>
          </cell>
          <cell r="C22" t="str">
            <v>Social Studies Level 3</v>
          </cell>
          <cell r="E22">
            <v>3</v>
          </cell>
          <cell r="F22">
            <v>25</v>
          </cell>
          <cell r="G22">
            <v>36</v>
          </cell>
          <cell r="H22">
            <v>12</v>
          </cell>
          <cell r="I22">
            <v>12</v>
          </cell>
          <cell r="J22">
            <v>6</v>
          </cell>
          <cell r="K22" t="str">
            <v>Social Studies</v>
          </cell>
          <cell r="L22" t="str">
            <v>SS</v>
          </cell>
          <cell r="N22" t="str">
            <v>SS</v>
          </cell>
          <cell r="O22">
            <v>2</v>
          </cell>
          <cell r="P22" t="str">
            <v>Core Academic Studies</v>
          </cell>
          <cell r="Q22" t="str">
            <v>Core</v>
          </cell>
          <cell r="R22" t="str">
            <v>Social Studies Level 3</v>
          </cell>
        </row>
        <row r="23">
          <cell r="A23">
            <v>22</v>
          </cell>
          <cell r="C23" t="str">
            <v>Bible Reading Level 3</v>
          </cell>
          <cell r="E23">
            <v>3</v>
          </cell>
          <cell r="F23">
            <v>25</v>
          </cell>
          <cell r="G23">
            <v>36</v>
          </cell>
          <cell r="H23">
            <v>12</v>
          </cell>
          <cell r="I23">
            <v>12</v>
          </cell>
          <cell r="J23">
            <v>7</v>
          </cell>
          <cell r="K23" t="str">
            <v>Biblical Studies</v>
          </cell>
          <cell r="L23" t="str">
            <v>BS</v>
          </cell>
          <cell r="N23" t="str">
            <v>BR</v>
          </cell>
          <cell r="O23">
            <v>1</v>
          </cell>
          <cell r="P23" t="str">
            <v>Christian Studies</v>
          </cell>
          <cell r="Q23" t="str">
            <v>Core</v>
          </cell>
          <cell r="R23" t="str">
            <v>Bible Reading Level 3</v>
          </cell>
        </row>
        <row r="24">
          <cell r="A24">
            <v>23</v>
          </cell>
          <cell r="C24" t="str">
            <v>Maths Level 4</v>
          </cell>
          <cell r="E24">
            <v>4</v>
          </cell>
          <cell r="F24">
            <v>37</v>
          </cell>
          <cell r="G24">
            <v>48</v>
          </cell>
          <cell r="H24">
            <v>12</v>
          </cell>
          <cell r="I24">
            <v>12</v>
          </cell>
          <cell r="J24">
            <v>1</v>
          </cell>
          <cell r="K24" t="str">
            <v>Maths</v>
          </cell>
          <cell r="L24" t="str">
            <v>MA</v>
          </cell>
          <cell r="N24" t="str">
            <v>MA</v>
          </cell>
          <cell r="O24">
            <v>2</v>
          </cell>
          <cell r="P24" t="str">
            <v>Core Academic Studies</v>
          </cell>
          <cell r="Q24" t="str">
            <v>Core</v>
          </cell>
          <cell r="R24" t="str">
            <v>Maths Level 4</v>
          </cell>
        </row>
        <row r="25">
          <cell r="A25">
            <v>24</v>
          </cell>
          <cell r="C25" t="str">
            <v>English Level 4</v>
          </cell>
          <cell r="E25">
            <v>4</v>
          </cell>
          <cell r="F25">
            <v>37</v>
          </cell>
          <cell r="G25">
            <v>48</v>
          </cell>
          <cell r="H25">
            <v>12</v>
          </cell>
          <cell r="I25">
            <v>12</v>
          </cell>
          <cell r="J25">
            <v>2</v>
          </cell>
          <cell r="K25" t="str">
            <v>Language</v>
          </cell>
          <cell r="L25" t="str">
            <v>LA</v>
          </cell>
          <cell r="N25" t="str">
            <v>EN</v>
          </cell>
          <cell r="O25">
            <v>2</v>
          </cell>
          <cell r="P25" t="str">
            <v>Core Academic Studies</v>
          </cell>
          <cell r="Q25" t="str">
            <v>Core</v>
          </cell>
          <cell r="R25" t="str">
            <v>English Level 4</v>
          </cell>
        </row>
        <row r="26">
          <cell r="A26">
            <v>25</v>
          </cell>
          <cell r="C26" t="str">
            <v>Word Building Level 4</v>
          </cell>
          <cell r="E26">
            <v>4</v>
          </cell>
          <cell r="F26">
            <v>37</v>
          </cell>
          <cell r="G26">
            <v>48</v>
          </cell>
          <cell r="H26">
            <v>12</v>
          </cell>
          <cell r="I26">
            <v>12</v>
          </cell>
          <cell r="J26">
            <v>3</v>
          </cell>
          <cell r="K26" t="str">
            <v>Word Building</v>
          </cell>
          <cell r="L26" t="str">
            <v>WB</v>
          </cell>
          <cell r="N26" t="str">
            <v>WB</v>
          </cell>
          <cell r="O26">
            <v>2</v>
          </cell>
          <cell r="P26" t="str">
            <v>Core Academic Studies</v>
          </cell>
          <cell r="Q26" t="str">
            <v>Core</v>
          </cell>
          <cell r="R26" t="str">
            <v>Word Building Level 4</v>
          </cell>
        </row>
        <row r="27">
          <cell r="A27">
            <v>26</v>
          </cell>
          <cell r="C27" t="str">
            <v>Literature and Creative Writing Level 4</v>
          </cell>
          <cell r="E27">
            <v>4</v>
          </cell>
          <cell r="F27">
            <v>37</v>
          </cell>
          <cell r="G27">
            <v>48</v>
          </cell>
          <cell r="H27">
            <v>12</v>
          </cell>
          <cell r="I27">
            <v>12</v>
          </cell>
          <cell r="J27">
            <v>4</v>
          </cell>
          <cell r="K27" t="str">
            <v>Literature</v>
          </cell>
          <cell r="L27" t="str">
            <v>LI</v>
          </cell>
          <cell r="N27" t="str">
            <v>LC</v>
          </cell>
          <cell r="O27">
            <v>2</v>
          </cell>
          <cell r="P27" t="str">
            <v>Core Academic Studies</v>
          </cell>
          <cell r="Q27" t="str">
            <v>Core</v>
          </cell>
          <cell r="R27" t="str">
            <v>Literature and Creative Writing Level 4</v>
          </cell>
        </row>
        <row r="28">
          <cell r="A28">
            <v>27</v>
          </cell>
          <cell r="B28" t="str">
            <v>Science 4</v>
          </cell>
          <cell r="C28" t="str">
            <v>Science Level 4</v>
          </cell>
          <cell r="E28">
            <v>4</v>
          </cell>
          <cell r="F28">
            <v>37</v>
          </cell>
          <cell r="G28">
            <v>48</v>
          </cell>
          <cell r="H28">
            <v>12</v>
          </cell>
          <cell r="I28">
            <v>12</v>
          </cell>
          <cell r="J28">
            <v>5</v>
          </cell>
          <cell r="K28" t="str">
            <v>Science</v>
          </cell>
          <cell r="L28" t="str">
            <v>SC</v>
          </cell>
          <cell r="N28" t="str">
            <v>SC</v>
          </cell>
          <cell r="O28">
            <v>2</v>
          </cell>
          <cell r="P28" t="str">
            <v>Core Academic Studies</v>
          </cell>
          <cell r="Q28" t="str">
            <v>Core</v>
          </cell>
          <cell r="R28" t="str">
            <v>Science Level 4</v>
          </cell>
        </row>
        <row r="29">
          <cell r="A29">
            <v>28</v>
          </cell>
          <cell r="C29" t="str">
            <v>Social Studies Level 4</v>
          </cell>
          <cell r="E29">
            <v>4</v>
          </cell>
          <cell r="F29">
            <v>37</v>
          </cell>
          <cell r="G29">
            <v>48</v>
          </cell>
          <cell r="H29">
            <v>12</v>
          </cell>
          <cell r="I29">
            <v>12</v>
          </cell>
          <cell r="J29">
            <v>6</v>
          </cell>
          <cell r="K29" t="str">
            <v>Social Studies</v>
          </cell>
          <cell r="L29" t="str">
            <v>SS</v>
          </cell>
          <cell r="N29" t="str">
            <v>SS</v>
          </cell>
          <cell r="O29">
            <v>2</v>
          </cell>
          <cell r="P29" t="str">
            <v>Core Academic Studies</v>
          </cell>
          <cell r="Q29" t="str">
            <v>Core</v>
          </cell>
          <cell r="R29" t="str">
            <v>Social Studies Level 4</v>
          </cell>
        </row>
        <row r="30">
          <cell r="A30">
            <v>29</v>
          </cell>
          <cell r="C30" t="str">
            <v>Bible Reading Level 4</v>
          </cell>
          <cell r="E30">
            <v>4</v>
          </cell>
          <cell r="F30">
            <v>37</v>
          </cell>
          <cell r="G30">
            <v>48</v>
          </cell>
          <cell r="H30">
            <v>12</v>
          </cell>
          <cell r="I30">
            <v>12</v>
          </cell>
          <cell r="J30">
            <v>7</v>
          </cell>
          <cell r="K30" t="str">
            <v>Biblical Studies</v>
          </cell>
          <cell r="L30" t="str">
            <v>BS</v>
          </cell>
          <cell r="N30" t="str">
            <v>BR</v>
          </cell>
          <cell r="O30">
            <v>1</v>
          </cell>
          <cell r="P30" t="str">
            <v>Christian Studies</v>
          </cell>
          <cell r="Q30" t="str">
            <v>Core</v>
          </cell>
          <cell r="R30" t="str">
            <v>Bible Reading Level 4</v>
          </cell>
        </row>
        <row r="31">
          <cell r="A31">
            <v>30</v>
          </cell>
          <cell r="C31" t="str">
            <v>Maths Level 5</v>
          </cell>
          <cell r="E31">
            <v>5</v>
          </cell>
          <cell r="F31">
            <v>49</v>
          </cell>
          <cell r="G31">
            <v>60</v>
          </cell>
          <cell r="H31">
            <v>12</v>
          </cell>
          <cell r="I31">
            <v>12</v>
          </cell>
          <cell r="J31">
            <v>1</v>
          </cell>
          <cell r="K31" t="str">
            <v>Maths</v>
          </cell>
          <cell r="L31" t="str">
            <v>MA</v>
          </cell>
          <cell r="N31" t="str">
            <v>MA</v>
          </cell>
          <cell r="O31">
            <v>2</v>
          </cell>
          <cell r="P31" t="str">
            <v>Core Academic Studies</v>
          </cell>
          <cell r="Q31" t="str">
            <v>Core</v>
          </cell>
          <cell r="R31" t="str">
            <v>Maths Level 5</v>
          </cell>
        </row>
        <row r="32">
          <cell r="A32">
            <v>31</v>
          </cell>
          <cell r="C32" t="str">
            <v>English Level 5</v>
          </cell>
          <cell r="E32">
            <v>5</v>
          </cell>
          <cell r="F32">
            <v>49</v>
          </cell>
          <cell r="G32">
            <v>60</v>
          </cell>
          <cell r="H32">
            <v>12</v>
          </cell>
          <cell r="I32">
            <v>12</v>
          </cell>
          <cell r="J32">
            <v>2</v>
          </cell>
          <cell r="K32" t="str">
            <v>Language</v>
          </cell>
          <cell r="L32" t="str">
            <v>LA</v>
          </cell>
          <cell r="N32" t="str">
            <v>EN</v>
          </cell>
          <cell r="O32">
            <v>2</v>
          </cell>
          <cell r="P32" t="str">
            <v>Core Academic Studies</v>
          </cell>
          <cell r="Q32" t="str">
            <v>Core</v>
          </cell>
          <cell r="R32" t="str">
            <v>English Level 5</v>
          </cell>
        </row>
        <row r="33">
          <cell r="A33">
            <v>32</v>
          </cell>
          <cell r="C33" t="str">
            <v>Word Building Level 5</v>
          </cell>
          <cell r="E33">
            <v>5</v>
          </cell>
          <cell r="F33">
            <v>49</v>
          </cell>
          <cell r="G33">
            <v>60</v>
          </cell>
          <cell r="H33">
            <v>12</v>
          </cell>
          <cell r="I33">
            <v>12</v>
          </cell>
          <cell r="J33">
            <v>3</v>
          </cell>
          <cell r="K33" t="str">
            <v>Word Building</v>
          </cell>
          <cell r="L33" t="str">
            <v>WB</v>
          </cell>
          <cell r="N33" t="str">
            <v>WB</v>
          </cell>
          <cell r="O33">
            <v>2</v>
          </cell>
          <cell r="P33" t="str">
            <v>Core Academic Studies</v>
          </cell>
          <cell r="Q33" t="str">
            <v>Core</v>
          </cell>
          <cell r="R33" t="str">
            <v>Word Building Level 5</v>
          </cell>
        </row>
        <row r="34">
          <cell r="A34">
            <v>33</v>
          </cell>
          <cell r="C34" t="str">
            <v>Literature and Creative Writing Level 5</v>
          </cell>
          <cell r="E34">
            <v>5</v>
          </cell>
          <cell r="F34">
            <v>49</v>
          </cell>
          <cell r="G34">
            <v>60</v>
          </cell>
          <cell r="H34">
            <v>12</v>
          </cell>
          <cell r="I34">
            <v>12</v>
          </cell>
          <cell r="J34">
            <v>4</v>
          </cell>
          <cell r="K34" t="str">
            <v>Literature</v>
          </cell>
          <cell r="L34" t="str">
            <v>LI</v>
          </cell>
          <cell r="N34" t="str">
            <v>LC</v>
          </cell>
          <cell r="O34">
            <v>2</v>
          </cell>
          <cell r="P34" t="str">
            <v>Core Academic Studies</v>
          </cell>
          <cell r="Q34" t="str">
            <v>Core</v>
          </cell>
          <cell r="R34" t="str">
            <v>Literature and Creative Writing Level 5</v>
          </cell>
        </row>
        <row r="35">
          <cell r="A35">
            <v>34</v>
          </cell>
          <cell r="B35" t="str">
            <v>Science 5</v>
          </cell>
          <cell r="C35" t="str">
            <v>Science Level 5</v>
          </cell>
          <cell r="E35">
            <v>5</v>
          </cell>
          <cell r="F35">
            <v>49</v>
          </cell>
          <cell r="G35">
            <v>60</v>
          </cell>
          <cell r="H35">
            <v>12</v>
          </cell>
          <cell r="I35">
            <v>12</v>
          </cell>
          <cell r="J35">
            <v>5</v>
          </cell>
          <cell r="K35" t="str">
            <v>Science</v>
          </cell>
          <cell r="L35" t="str">
            <v>SC</v>
          </cell>
          <cell r="N35" t="str">
            <v>SC</v>
          </cell>
          <cell r="O35">
            <v>2</v>
          </cell>
          <cell r="P35" t="str">
            <v>Core Academic Studies</v>
          </cell>
          <cell r="Q35" t="str">
            <v>Core</v>
          </cell>
          <cell r="R35" t="str">
            <v>Science Level 5</v>
          </cell>
        </row>
        <row r="36">
          <cell r="A36">
            <v>35</v>
          </cell>
          <cell r="C36" t="str">
            <v>Social Studies Level 5</v>
          </cell>
          <cell r="E36">
            <v>5</v>
          </cell>
          <cell r="F36">
            <v>49</v>
          </cell>
          <cell r="G36">
            <v>60</v>
          </cell>
          <cell r="H36">
            <v>12</v>
          </cell>
          <cell r="I36">
            <v>12</v>
          </cell>
          <cell r="J36">
            <v>6</v>
          </cell>
          <cell r="K36" t="str">
            <v>Social Studies</v>
          </cell>
          <cell r="L36" t="str">
            <v>SS</v>
          </cell>
          <cell r="N36" t="str">
            <v>SS</v>
          </cell>
          <cell r="O36">
            <v>2</v>
          </cell>
          <cell r="P36" t="str">
            <v>Core Academic Studies</v>
          </cell>
          <cell r="Q36" t="str">
            <v>Core</v>
          </cell>
          <cell r="R36" t="str">
            <v>Social Studies Level 5</v>
          </cell>
        </row>
        <row r="37">
          <cell r="A37">
            <v>36</v>
          </cell>
          <cell r="C37" t="str">
            <v>Bible Reading Level 5</v>
          </cell>
          <cell r="E37">
            <v>5</v>
          </cell>
          <cell r="F37">
            <v>49</v>
          </cell>
          <cell r="G37">
            <v>60</v>
          </cell>
          <cell r="H37">
            <v>12</v>
          </cell>
          <cell r="I37">
            <v>12</v>
          </cell>
          <cell r="J37">
            <v>7</v>
          </cell>
          <cell r="K37" t="str">
            <v>Biblical Studies</v>
          </cell>
          <cell r="L37" t="str">
            <v>BS</v>
          </cell>
          <cell r="N37" t="str">
            <v>BR</v>
          </cell>
          <cell r="O37">
            <v>1</v>
          </cell>
          <cell r="P37" t="str">
            <v>Christian Studies</v>
          </cell>
          <cell r="Q37" t="str">
            <v>Core</v>
          </cell>
          <cell r="R37" t="str">
            <v>Bible Reading Level 5</v>
          </cell>
        </row>
        <row r="38">
          <cell r="A38">
            <v>37</v>
          </cell>
          <cell r="C38" t="str">
            <v>Maths Level 6</v>
          </cell>
          <cell r="E38">
            <v>6</v>
          </cell>
          <cell r="F38">
            <v>61</v>
          </cell>
          <cell r="G38">
            <v>72</v>
          </cell>
          <cell r="H38">
            <v>12</v>
          </cell>
          <cell r="I38">
            <v>12</v>
          </cell>
          <cell r="J38">
            <v>1</v>
          </cell>
          <cell r="K38" t="str">
            <v>Maths</v>
          </cell>
          <cell r="L38" t="str">
            <v>MA</v>
          </cell>
          <cell r="N38" t="str">
            <v>MA</v>
          </cell>
          <cell r="O38">
            <v>2</v>
          </cell>
          <cell r="P38" t="str">
            <v>Core Academic Studies</v>
          </cell>
          <cell r="Q38" t="str">
            <v>Core</v>
          </cell>
          <cell r="R38" t="str">
            <v>Maths Level 6</v>
          </cell>
        </row>
        <row r="39">
          <cell r="A39">
            <v>38</v>
          </cell>
          <cell r="C39" t="str">
            <v>English Level 6</v>
          </cell>
          <cell r="E39">
            <v>6</v>
          </cell>
          <cell r="F39">
            <v>61</v>
          </cell>
          <cell r="G39">
            <v>72</v>
          </cell>
          <cell r="H39">
            <v>12</v>
          </cell>
          <cell r="I39">
            <v>12</v>
          </cell>
          <cell r="J39">
            <v>2</v>
          </cell>
          <cell r="K39" t="str">
            <v>Language</v>
          </cell>
          <cell r="L39" t="str">
            <v>LA</v>
          </cell>
          <cell r="N39" t="str">
            <v>EN</v>
          </cell>
          <cell r="O39">
            <v>2</v>
          </cell>
          <cell r="P39" t="str">
            <v>Core Academic Studies</v>
          </cell>
          <cell r="Q39" t="str">
            <v>Core</v>
          </cell>
          <cell r="R39" t="str">
            <v>English Level 6</v>
          </cell>
        </row>
        <row r="40">
          <cell r="A40">
            <v>39</v>
          </cell>
          <cell r="C40" t="str">
            <v>Word Building Level 6</v>
          </cell>
          <cell r="E40">
            <v>6</v>
          </cell>
          <cell r="F40">
            <v>61</v>
          </cell>
          <cell r="G40">
            <v>72</v>
          </cell>
          <cell r="H40">
            <v>12</v>
          </cell>
          <cell r="I40">
            <v>12</v>
          </cell>
          <cell r="J40">
            <v>3</v>
          </cell>
          <cell r="K40" t="str">
            <v>Word Building</v>
          </cell>
          <cell r="L40" t="str">
            <v>WB</v>
          </cell>
          <cell r="N40" t="str">
            <v>WB</v>
          </cell>
          <cell r="O40">
            <v>2</v>
          </cell>
          <cell r="P40" t="str">
            <v>Core Academic Studies</v>
          </cell>
          <cell r="Q40" t="str">
            <v>Core</v>
          </cell>
          <cell r="R40" t="str">
            <v>Word Building Level 6</v>
          </cell>
        </row>
        <row r="41">
          <cell r="A41">
            <v>40</v>
          </cell>
          <cell r="C41" t="str">
            <v>Literature and Creative Writing Level 6</v>
          </cell>
          <cell r="E41">
            <v>6</v>
          </cell>
          <cell r="F41">
            <v>61</v>
          </cell>
          <cell r="G41">
            <v>72</v>
          </cell>
          <cell r="H41">
            <v>12</v>
          </cell>
          <cell r="I41">
            <v>12</v>
          </cell>
          <cell r="J41">
            <v>4</v>
          </cell>
          <cell r="K41" t="str">
            <v>Literature</v>
          </cell>
          <cell r="L41" t="str">
            <v>LI</v>
          </cell>
          <cell r="N41" t="str">
            <v>LC</v>
          </cell>
          <cell r="O41">
            <v>2</v>
          </cell>
          <cell r="P41" t="str">
            <v>Core Academic Studies</v>
          </cell>
          <cell r="Q41" t="str">
            <v>Core</v>
          </cell>
          <cell r="R41" t="str">
            <v>Literature and Creative Writing Level 6</v>
          </cell>
        </row>
        <row r="42">
          <cell r="A42">
            <v>41</v>
          </cell>
          <cell r="B42" t="str">
            <v>Science 6</v>
          </cell>
          <cell r="C42" t="str">
            <v>Science Level 6</v>
          </cell>
          <cell r="E42">
            <v>6</v>
          </cell>
          <cell r="F42">
            <v>61</v>
          </cell>
          <cell r="G42">
            <v>72</v>
          </cell>
          <cell r="H42">
            <v>12</v>
          </cell>
          <cell r="I42">
            <v>12</v>
          </cell>
          <cell r="J42">
            <v>5</v>
          </cell>
          <cell r="K42" t="str">
            <v>Science</v>
          </cell>
          <cell r="L42" t="str">
            <v>SC</v>
          </cell>
          <cell r="N42" t="str">
            <v>SC</v>
          </cell>
          <cell r="O42">
            <v>2</v>
          </cell>
          <cell r="P42" t="str">
            <v>Core Academic Studies</v>
          </cell>
          <cell r="Q42" t="str">
            <v>Core</v>
          </cell>
          <cell r="R42" t="str">
            <v>Science Level 6</v>
          </cell>
        </row>
        <row r="43">
          <cell r="A43">
            <v>42</v>
          </cell>
          <cell r="C43" t="str">
            <v>Social Studies Level 6</v>
          </cell>
          <cell r="E43">
            <v>6</v>
          </cell>
          <cell r="F43">
            <v>61</v>
          </cell>
          <cell r="G43">
            <v>72</v>
          </cell>
          <cell r="H43">
            <v>12</v>
          </cell>
          <cell r="I43">
            <v>12</v>
          </cell>
          <cell r="J43">
            <v>6</v>
          </cell>
          <cell r="K43" t="str">
            <v>Social Studies</v>
          </cell>
          <cell r="L43" t="str">
            <v>SS</v>
          </cell>
          <cell r="N43" t="str">
            <v>SS</v>
          </cell>
          <cell r="O43">
            <v>2</v>
          </cell>
          <cell r="P43" t="str">
            <v>Core Academic Studies</v>
          </cell>
          <cell r="Q43" t="str">
            <v>Core</v>
          </cell>
          <cell r="R43" t="str">
            <v>Social Studies Level 6</v>
          </cell>
        </row>
        <row r="44">
          <cell r="A44">
            <v>43</v>
          </cell>
          <cell r="C44" t="str">
            <v>Bible Reading Level 6</v>
          </cell>
          <cell r="E44">
            <v>6</v>
          </cell>
          <cell r="F44">
            <v>61</v>
          </cell>
          <cell r="G44">
            <v>72</v>
          </cell>
          <cell r="H44">
            <v>12</v>
          </cell>
          <cell r="I44">
            <v>12</v>
          </cell>
          <cell r="J44">
            <v>7</v>
          </cell>
          <cell r="K44" t="str">
            <v>Biblical Studies</v>
          </cell>
          <cell r="L44" t="str">
            <v>BS</v>
          </cell>
          <cell r="N44" t="str">
            <v>BR</v>
          </cell>
          <cell r="O44">
            <v>1</v>
          </cell>
          <cell r="P44" t="str">
            <v>Christian Studies</v>
          </cell>
          <cell r="Q44" t="str">
            <v>Core</v>
          </cell>
          <cell r="R44" t="str">
            <v>Bible Reading Level 6</v>
          </cell>
        </row>
        <row r="45">
          <cell r="A45">
            <v>44</v>
          </cell>
          <cell r="C45" t="str">
            <v>Maths Level 7</v>
          </cell>
          <cell r="E45">
            <v>7</v>
          </cell>
          <cell r="F45">
            <v>73</v>
          </cell>
          <cell r="G45">
            <v>84</v>
          </cell>
          <cell r="H45">
            <v>12</v>
          </cell>
          <cell r="I45">
            <v>12</v>
          </cell>
          <cell r="J45">
            <v>1</v>
          </cell>
          <cell r="K45" t="str">
            <v>Maths</v>
          </cell>
          <cell r="L45" t="str">
            <v>MA</v>
          </cell>
          <cell r="N45" t="str">
            <v>MA</v>
          </cell>
          <cell r="O45">
            <v>2</v>
          </cell>
          <cell r="P45" t="str">
            <v>Core Academic Studies</v>
          </cell>
          <cell r="Q45" t="str">
            <v>Core</v>
          </cell>
          <cell r="R45" t="str">
            <v>Maths Level 7</v>
          </cell>
        </row>
        <row r="46">
          <cell r="A46">
            <v>45</v>
          </cell>
          <cell r="C46" t="str">
            <v>English Level 7</v>
          </cell>
          <cell r="E46">
            <v>7</v>
          </cell>
          <cell r="F46">
            <v>73</v>
          </cell>
          <cell r="G46">
            <v>84</v>
          </cell>
          <cell r="H46">
            <v>12</v>
          </cell>
          <cell r="I46">
            <v>12</v>
          </cell>
          <cell r="J46">
            <v>2</v>
          </cell>
          <cell r="K46" t="str">
            <v>Language</v>
          </cell>
          <cell r="L46" t="str">
            <v>LA</v>
          </cell>
          <cell r="N46" t="str">
            <v>EN</v>
          </cell>
          <cell r="O46">
            <v>2</v>
          </cell>
          <cell r="P46" t="str">
            <v>Core Academic Studies</v>
          </cell>
          <cell r="Q46" t="str">
            <v>Core</v>
          </cell>
          <cell r="R46" t="str">
            <v>English Level 7</v>
          </cell>
        </row>
        <row r="47">
          <cell r="A47">
            <v>46</v>
          </cell>
          <cell r="C47" t="str">
            <v>Beginning Art</v>
          </cell>
          <cell r="E47">
            <v>7</v>
          </cell>
          <cell r="F47">
            <v>73</v>
          </cell>
          <cell r="G47">
            <v>84</v>
          </cell>
          <cell r="H47">
            <v>12</v>
          </cell>
          <cell r="I47">
            <v>12</v>
          </cell>
          <cell r="J47">
            <v>3</v>
          </cell>
          <cell r="K47" t="str">
            <v>Word Building</v>
          </cell>
          <cell r="L47" t="str">
            <v>WB</v>
          </cell>
          <cell r="N47" t="str">
            <v>BA</v>
          </cell>
          <cell r="O47">
            <v>2</v>
          </cell>
          <cell r="P47" t="str">
            <v>Core Academic Studies</v>
          </cell>
          <cell r="Q47" t="str">
            <v>Core</v>
          </cell>
          <cell r="R47" t="str">
            <v>Beginning Art</v>
          </cell>
        </row>
        <row r="48">
          <cell r="A48">
            <v>47</v>
          </cell>
          <cell r="C48" t="str">
            <v>Word Building Level 7</v>
          </cell>
          <cell r="E48">
            <v>7</v>
          </cell>
          <cell r="F48">
            <v>73</v>
          </cell>
          <cell r="G48">
            <v>84</v>
          </cell>
          <cell r="H48">
            <v>12</v>
          </cell>
          <cell r="I48">
            <v>12</v>
          </cell>
          <cell r="J48">
            <v>3</v>
          </cell>
          <cell r="K48" t="str">
            <v>Word Building</v>
          </cell>
          <cell r="L48" t="str">
            <v>WB</v>
          </cell>
          <cell r="N48" t="str">
            <v>WB</v>
          </cell>
          <cell r="O48">
            <v>2</v>
          </cell>
          <cell r="P48" t="str">
            <v>Core Academic Studies</v>
          </cell>
          <cell r="Q48" t="str">
            <v>Core</v>
          </cell>
          <cell r="R48" t="str">
            <v>Word Building Level 7</v>
          </cell>
        </row>
        <row r="49">
          <cell r="A49">
            <v>48</v>
          </cell>
          <cell r="C49" t="str">
            <v>Literature Level 7</v>
          </cell>
          <cell r="E49">
            <v>7</v>
          </cell>
          <cell r="F49">
            <v>73</v>
          </cell>
          <cell r="G49">
            <v>84</v>
          </cell>
          <cell r="H49">
            <v>12</v>
          </cell>
          <cell r="I49" t="str">
            <v>?</v>
          </cell>
          <cell r="J49">
            <v>4</v>
          </cell>
          <cell r="K49" t="str">
            <v>Literature</v>
          </cell>
          <cell r="L49" t="str">
            <v>LI</v>
          </cell>
          <cell r="M49" t="str">
            <v>Alleen even getallen hebben PACE beschikbaar</v>
          </cell>
          <cell r="N49" t="str">
            <v>LC</v>
          </cell>
          <cell r="O49">
            <v>2</v>
          </cell>
          <cell r="P49" t="str">
            <v>Core Academic Studies</v>
          </cell>
          <cell r="Q49" t="str">
            <v>Core</v>
          </cell>
          <cell r="R49" t="str">
            <v>Literature Level 7</v>
          </cell>
        </row>
        <row r="50">
          <cell r="A50">
            <v>49</v>
          </cell>
          <cell r="B50" t="str">
            <v>Science 7</v>
          </cell>
          <cell r="C50" t="str">
            <v>Science Level 7</v>
          </cell>
          <cell r="E50">
            <v>7</v>
          </cell>
          <cell r="F50">
            <v>73</v>
          </cell>
          <cell r="G50">
            <v>84</v>
          </cell>
          <cell r="H50">
            <v>12</v>
          </cell>
          <cell r="I50">
            <v>12</v>
          </cell>
          <cell r="J50">
            <v>5</v>
          </cell>
          <cell r="K50" t="str">
            <v>Science</v>
          </cell>
          <cell r="L50" t="str">
            <v>SC</v>
          </cell>
          <cell r="N50" t="str">
            <v>SC</v>
          </cell>
          <cell r="O50">
            <v>2</v>
          </cell>
          <cell r="P50" t="str">
            <v>Core Academic Studies</v>
          </cell>
          <cell r="Q50" t="str">
            <v>Core</v>
          </cell>
          <cell r="R50" t="str">
            <v>Science Level 7</v>
          </cell>
        </row>
        <row r="51">
          <cell r="A51">
            <v>50</v>
          </cell>
          <cell r="C51" t="str">
            <v>Social Studies Level 7</v>
          </cell>
          <cell r="E51">
            <v>7</v>
          </cell>
          <cell r="F51">
            <v>73</v>
          </cell>
          <cell r="G51">
            <v>78</v>
          </cell>
          <cell r="H51">
            <v>6</v>
          </cell>
          <cell r="I51">
            <v>6</v>
          </cell>
          <cell r="J51">
            <v>6</v>
          </cell>
          <cell r="K51" t="str">
            <v>Social Studies</v>
          </cell>
          <cell r="L51" t="str">
            <v>SS</v>
          </cell>
          <cell r="M51" t="str">
            <v>Deze zes PACEs gaan over "Career" en de volgende zes (79-84) over "American Constitution", maar die worden niet gedaan in Nederland. In plaats daarvan worden drie PACEs "Staatsinrichting" gedaan.</v>
          </cell>
          <cell r="N51" t="str">
            <v>SS</v>
          </cell>
          <cell r="O51">
            <v>2</v>
          </cell>
          <cell r="P51" t="str">
            <v>Core Academic Studies</v>
          </cell>
          <cell r="Q51" t="str">
            <v>Core</v>
          </cell>
          <cell r="R51" t="str">
            <v>Social Studies Level 7</v>
          </cell>
        </row>
        <row r="52">
          <cell r="A52">
            <v>51</v>
          </cell>
          <cell r="C52" t="str">
            <v>Staatsinrichting</v>
          </cell>
          <cell r="E52">
            <v>7</v>
          </cell>
          <cell r="F52">
            <v>1</v>
          </cell>
          <cell r="G52">
            <v>3</v>
          </cell>
          <cell r="H52">
            <v>3</v>
          </cell>
          <cell r="I52">
            <v>3</v>
          </cell>
          <cell r="J52">
            <v>6</v>
          </cell>
          <cell r="K52" t="str">
            <v>Social Studies</v>
          </cell>
          <cell r="L52" t="str">
            <v>SS</v>
          </cell>
          <cell r="M52" t="str">
            <v xml:space="preserve">Bij bestellen rekening houden dat dit 1 boek is. </v>
          </cell>
          <cell r="N52" t="str">
            <v>SI</v>
          </cell>
          <cell r="O52">
            <v>2</v>
          </cell>
          <cell r="P52" t="str">
            <v>Core Academic Studies</v>
          </cell>
          <cell r="Q52" t="str">
            <v>Core</v>
          </cell>
          <cell r="R52" t="str">
            <v>Staatsinrichting</v>
          </cell>
        </row>
        <row r="53">
          <cell r="A53">
            <v>52</v>
          </cell>
          <cell r="C53" t="str">
            <v>Bible Reading Level 7</v>
          </cell>
          <cell r="E53">
            <v>7</v>
          </cell>
          <cell r="F53">
            <v>73</v>
          </cell>
          <cell r="G53">
            <v>84</v>
          </cell>
          <cell r="H53">
            <v>12</v>
          </cell>
          <cell r="I53">
            <v>12</v>
          </cell>
          <cell r="J53">
            <v>7</v>
          </cell>
          <cell r="K53" t="str">
            <v>Biblical Studies</v>
          </cell>
          <cell r="L53" t="str">
            <v>BS</v>
          </cell>
          <cell r="M53" t="str">
            <v xml:space="preserve">Dit bestaat nog niet. Misschien komt er later nog materiaal beschikbaar voor dit niveau. </v>
          </cell>
          <cell r="N53" t="str">
            <v>BR</v>
          </cell>
          <cell r="O53">
            <v>2</v>
          </cell>
          <cell r="P53" t="str">
            <v>Core Academic Studies</v>
          </cell>
          <cell r="Q53" t="str">
            <v>Core</v>
          </cell>
          <cell r="R53" t="str">
            <v>Bible Reading Level 7</v>
          </cell>
        </row>
        <row r="54">
          <cell r="A54">
            <v>53</v>
          </cell>
          <cell r="C54" t="str">
            <v>General Maths</v>
          </cell>
          <cell r="E54">
            <v>8</v>
          </cell>
          <cell r="F54">
            <v>85</v>
          </cell>
          <cell r="G54">
            <v>96</v>
          </cell>
          <cell r="H54">
            <v>12</v>
          </cell>
          <cell r="I54">
            <v>12</v>
          </cell>
          <cell r="J54">
            <v>1</v>
          </cell>
          <cell r="K54" t="str">
            <v>Maths</v>
          </cell>
          <cell r="L54" t="str">
            <v>MA</v>
          </cell>
          <cell r="N54" t="str">
            <v>GM</v>
          </cell>
          <cell r="O54">
            <v>2</v>
          </cell>
          <cell r="P54" t="str">
            <v>Core Academic Studies</v>
          </cell>
          <cell r="Q54" t="str">
            <v>Core</v>
          </cell>
          <cell r="R54" t="str">
            <v>General Maths</v>
          </cell>
        </row>
        <row r="55">
          <cell r="A55">
            <v>54</v>
          </cell>
          <cell r="C55" t="str">
            <v>General English</v>
          </cell>
          <cell r="E55">
            <v>8</v>
          </cell>
          <cell r="F55">
            <v>85</v>
          </cell>
          <cell r="G55">
            <v>96</v>
          </cell>
          <cell r="H55">
            <v>12</v>
          </cell>
          <cell r="I55">
            <v>12</v>
          </cell>
          <cell r="J55">
            <v>2</v>
          </cell>
          <cell r="K55" t="str">
            <v>Language</v>
          </cell>
          <cell r="L55" t="str">
            <v>LA</v>
          </cell>
          <cell r="N55" t="str">
            <v>EN</v>
          </cell>
          <cell r="O55">
            <v>1</v>
          </cell>
          <cell r="P55" t="str">
            <v>Christian Studies</v>
          </cell>
          <cell r="Q55" t="str">
            <v>Core</v>
          </cell>
          <cell r="R55" t="str">
            <v>General English</v>
          </cell>
        </row>
        <row r="56">
          <cell r="A56">
            <v>55</v>
          </cell>
          <cell r="C56" t="str">
            <v>Word Building Level 8</v>
          </cell>
          <cell r="E56">
            <v>8</v>
          </cell>
          <cell r="F56">
            <v>85</v>
          </cell>
          <cell r="G56">
            <v>96</v>
          </cell>
          <cell r="H56">
            <v>12</v>
          </cell>
          <cell r="I56">
            <v>12</v>
          </cell>
          <cell r="J56">
            <v>3</v>
          </cell>
          <cell r="K56" t="str">
            <v>Word Building</v>
          </cell>
          <cell r="L56" t="str">
            <v>WB</v>
          </cell>
          <cell r="N56" t="str">
            <v>WB</v>
          </cell>
          <cell r="O56">
            <v>1</v>
          </cell>
          <cell r="P56" t="str">
            <v>Christian Studies</v>
          </cell>
          <cell r="Q56" t="str">
            <v>Core</v>
          </cell>
          <cell r="R56" t="str">
            <v>Word Building Level 8</v>
          </cell>
        </row>
        <row r="57">
          <cell r="A57">
            <v>56</v>
          </cell>
          <cell r="C57" t="str">
            <v>Literature Level 8</v>
          </cell>
          <cell r="E57">
            <v>8</v>
          </cell>
          <cell r="F57">
            <v>86</v>
          </cell>
          <cell r="G57">
            <v>96</v>
          </cell>
          <cell r="H57">
            <v>11</v>
          </cell>
          <cell r="I57" t="str">
            <v>?</v>
          </cell>
          <cell r="J57">
            <v>4</v>
          </cell>
          <cell r="K57" t="str">
            <v>Literature</v>
          </cell>
          <cell r="L57" t="str">
            <v>LI</v>
          </cell>
          <cell r="M57" t="str">
            <v>Alleen even getallen hebben PACE beschikbaar</v>
          </cell>
          <cell r="N57" t="str">
            <v>LC</v>
          </cell>
          <cell r="O57">
            <v>1</v>
          </cell>
          <cell r="P57" t="str">
            <v>Christian Studies</v>
          </cell>
          <cell r="Q57" t="str">
            <v>Core</v>
          </cell>
          <cell r="R57" t="str">
            <v>Literature Level 8</v>
          </cell>
        </row>
        <row r="58">
          <cell r="A58">
            <v>57</v>
          </cell>
          <cell r="B58" t="str">
            <v>Science 8</v>
          </cell>
          <cell r="C58" t="str">
            <v>Earth Science</v>
          </cell>
          <cell r="E58">
            <v>8</v>
          </cell>
          <cell r="F58">
            <v>85</v>
          </cell>
          <cell r="G58">
            <v>96</v>
          </cell>
          <cell r="H58">
            <v>12</v>
          </cell>
          <cell r="I58">
            <v>12</v>
          </cell>
          <cell r="J58">
            <v>5</v>
          </cell>
          <cell r="K58" t="str">
            <v>Science</v>
          </cell>
          <cell r="L58" t="str">
            <v>SC</v>
          </cell>
          <cell r="N58" t="str">
            <v>ES</v>
          </cell>
          <cell r="O58">
            <v>2</v>
          </cell>
          <cell r="P58" t="str">
            <v>Core Academic Studies</v>
          </cell>
          <cell r="Q58" t="str">
            <v>Core</v>
          </cell>
          <cell r="R58" t="str">
            <v>Science Level 8</v>
          </cell>
        </row>
        <row r="59">
          <cell r="A59">
            <v>58</v>
          </cell>
          <cell r="C59" t="str">
            <v>British and European History</v>
          </cell>
          <cell r="D59" t="str">
            <v>Social Studies I-B</v>
          </cell>
          <cell r="E59">
            <v>8</v>
          </cell>
          <cell r="F59">
            <v>97</v>
          </cell>
          <cell r="G59">
            <v>108</v>
          </cell>
          <cell r="H59">
            <v>12</v>
          </cell>
          <cell r="I59">
            <v>12</v>
          </cell>
          <cell r="J59">
            <v>6</v>
          </cell>
          <cell r="K59" t="str">
            <v>Social Studies</v>
          </cell>
          <cell r="L59" t="str">
            <v>SS</v>
          </cell>
          <cell r="M59" t="str">
            <v>SS Level 8 bestaat uit History en Geography. Binnen History moet gekozen worden voor dit vak (British European) OF voor American History. Daarna volgt World Geography</v>
          </cell>
          <cell r="N59" t="str">
            <v>UK</v>
          </cell>
          <cell r="O59">
            <v>1</v>
          </cell>
          <cell r="P59" t="str">
            <v>Christian Studies</v>
          </cell>
          <cell r="Q59" t="str">
            <v>Further Credit Option</v>
          </cell>
          <cell r="R59" t="str">
            <v>Social Studies Level 8 British and European History</v>
          </cell>
        </row>
        <row r="60">
          <cell r="A60">
            <v>59</v>
          </cell>
          <cell r="B60" t="str">
            <v>World History</v>
          </cell>
          <cell r="C60" t="str">
            <v>World History</v>
          </cell>
          <cell r="D60" t="str">
            <v>Social Studies II-B</v>
          </cell>
          <cell r="E60">
            <v>10</v>
          </cell>
          <cell r="F60">
            <v>97</v>
          </cell>
          <cell r="G60">
            <v>108</v>
          </cell>
          <cell r="H60">
            <v>12</v>
          </cell>
          <cell r="I60">
            <v>12</v>
          </cell>
          <cell r="J60">
            <v>6</v>
          </cell>
          <cell r="K60" t="str">
            <v>Social Studies</v>
          </cell>
          <cell r="L60" t="str">
            <v>SS</v>
          </cell>
          <cell r="M60" t="str">
            <v>Dit was tot 1/1/2024 een optie voor het Enrollment-Course "British and European History /  World History" binnen General (level 8), waarbij de leerling mag kiezen tussen Eur. of World History (alleen de 3rd Edition mocht dan gebruikt worden). Na deze periode is dit een keuzevak geworden binnen Intermediate (level 10) en alleen met de 4th Editions.</v>
          </cell>
          <cell r="N60" t="str">
            <v>WH</v>
          </cell>
          <cell r="O60">
            <v>1</v>
          </cell>
          <cell r="P60" t="str">
            <v>Christian Studies</v>
          </cell>
          <cell r="Q60" t="str">
            <v>Further Credit Option</v>
          </cell>
          <cell r="R60" t="str">
            <v>Social Studies Level 9 World History</v>
          </cell>
        </row>
        <row r="61">
          <cell r="A61">
            <v>60</v>
          </cell>
          <cell r="B61" t="str">
            <v>Biblical Studies I: New Testament Survey</v>
          </cell>
          <cell r="C61" t="str">
            <v>New Testament Survey</v>
          </cell>
          <cell r="E61">
            <v>8</v>
          </cell>
          <cell r="F61">
            <v>97</v>
          </cell>
          <cell r="G61">
            <v>108</v>
          </cell>
          <cell r="H61">
            <v>12</v>
          </cell>
          <cell r="I61">
            <v>12</v>
          </cell>
          <cell r="J61">
            <v>7</v>
          </cell>
          <cell r="K61" t="str">
            <v>Biblical Studies</v>
          </cell>
          <cell r="L61" t="str">
            <v>BS</v>
          </cell>
          <cell r="N61" t="str">
            <v>NT</v>
          </cell>
          <cell r="O61">
            <v>1</v>
          </cell>
          <cell r="P61" t="str">
            <v>Christian Studies</v>
          </cell>
          <cell r="Q61" t="str">
            <v>Core</v>
          </cell>
          <cell r="R61" t="str">
            <v>New Testament Survey</v>
          </cell>
        </row>
        <row r="62">
          <cell r="A62">
            <v>61</v>
          </cell>
          <cell r="C62" t="str">
            <v>Algebra I</v>
          </cell>
          <cell r="D62" t="str">
            <v>Mathematics-IA</v>
          </cell>
          <cell r="E62">
            <v>9</v>
          </cell>
          <cell r="F62">
            <v>97</v>
          </cell>
          <cell r="G62">
            <v>108</v>
          </cell>
          <cell r="H62">
            <v>12</v>
          </cell>
          <cell r="I62">
            <v>12</v>
          </cell>
          <cell r="J62">
            <v>1</v>
          </cell>
          <cell r="K62" t="str">
            <v>Maths</v>
          </cell>
          <cell r="L62" t="str">
            <v>MA</v>
          </cell>
          <cell r="N62" t="str">
            <v>AL</v>
          </cell>
          <cell r="O62">
            <v>1</v>
          </cell>
          <cell r="P62" t="str">
            <v>Christian Studies</v>
          </cell>
          <cell r="Q62" t="str">
            <v>Core</v>
          </cell>
          <cell r="R62" t="str">
            <v>Algebra I</v>
          </cell>
        </row>
        <row r="63">
          <cell r="A63">
            <v>62</v>
          </cell>
          <cell r="C63" t="str">
            <v>English I</v>
          </cell>
          <cell r="E63">
            <v>9</v>
          </cell>
          <cell r="F63">
            <v>97</v>
          </cell>
          <cell r="G63">
            <v>108</v>
          </cell>
          <cell r="H63">
            <v>12</v>
          </cell>
          <cell r="I63">
            <v>12</v>
          </cell>
          <cell r="J63">
            <v>2</v>
          </cell>
          <cell r="K63" t="str">
            <v>Language</v>
          </cell>
          <cell r="L63" t="str">
            <v>LA</v>
          </cell>
          <cell r="N63" t="str">
            <v>EN</v>
          </cell>
          <cell r="O63">
            <v>1</v>
          </cell>
          <cell r="P63" t="str">
            <v>Christian Studies</v>
          </cell>
          <cell r="Q63" t="str">
            <v>Core</v>
          </cell>
          <cell r="R63" t="str">
            <v>English I</v>
          </cell>
        </row>
        <row r="64">
          <cell r="A64">
            <v>63</v>
          </cell>
          <cell r="C64" t="str">
            <v>French I</v>
          </cell>
          <cell r="E64">
            <v>9</v>
          </cell>
          <cell r="F64">
            <v>97</v>
          </cell>
          <cell r="G64">
            <v>108</v>
          </cell>
          <cell r="H64">
            <v>12</v>
          </cell>
          <cell r="I64">
            <v>12</v>
          </cell>
          <cell r="J64">
            <v>2</v>
          </cell>
          <cell r="K64" t="str">
            <v>Language</v>
          </cell>
          <cell r="L64" t="str">
            <v>LA</v>
          </cell>
          <cell r="N64" t="str">
            <v>FR</v>
          </cell>
          <cell r="O64">
            <v>1</v>
          </cell>
          <cell r="P64" t="str">
            <v>Christian Studies</v>
          </cell>
          <cell r="Q64" t="str">
            <v>Further Credit Option</v>
          </cell>
          <cell r="R64" t="str">
            <v>French I</v>
          </cell>
        </row>
        <row r="65">
          <cell r="A65">
            <v>64</v>
          </cell>
          <cell r="C65" t="str">
            <v>Rosetta Stone Level 9</v>
          </cell>
          <cell r="E65">
            <v>9</v>
          </cell>
          <cell r="F65">
            <v>1</v>
          </cell>
          <cell r="G65">
            <v>2</v>
          </cell>
          <cell r="H65">
            <v>2</v>
          </cell>
          <cell r="J65">
            <v>2</v>
          </cell>
          <cell r="K65" t="str">
            <v>Language</v>
          </cell>
          <cell r="L65" t="str">
            <v>LA</v>
          </cell>
          <cell r="M65" t="str">
            <v>Extended Levels only</v>
          </cell>
          <cell r="N65" t="str">
            <v>RS</v>
          </cell>
          <cell r="O65">
            <v>1</v>
          </cell>
          <cell r="P65" t="str">
            <v>Christian Studies</v>
          </cell>
          <cell r="Q65" t="str">
            <v>Further Credit Option</v>
          </cell>
          <cell r="R65" t="str">
            <v>Rosetta Stone Level 9</v>
          </cell>
        </row>
        <row r="66">
          <cell r="A66">
            <v>65</v>
          </cell>
          <cell r="C66" t="str">
            <v>Spanish I</v>
          </cell>
          <cell r="E66">
            <v>9</v>
          </cell>
          <cell r="F66">
            <v>1</v>
          </cell>
          <cell r="G66">
            <v>12</v>
          </cell>
          <cell r="H66">
            <v>12</v>
          </cell>
          <cell r="I66">
            <v>12</v>
          </cell>
          <cell r="J66">
            <v>2</v>
          </cell>
          <cell r="K66" t="str">
            <v>Language</v>
          </cell>
          <cell r="L66" t="str">
            <v>LA</v>
          </cell>
          <cell r="N66" t="str">
            <v>ES</v>
          </cell>
          <cell r="O66">
            <v>1</v>
          </cell>
          <cell r="P66" t="str">
            <v>Christian Studies</v>
          </cell>
          <cell r="Q66" t="str">
            <v>Further Credit Option</v>
          </cell>
          <cell r="R66" t="str">
            <v>Spanish I</v>
          </cell>
        </row>
        <row r="67">
          <cell r="A67">
            <v>66</v>
          </cell>
          <cell r="C67" t="str">
            <v>Advanced Art</v>
          </cell>
          <cell r="E67">
            <v>9</v>
          </cell>
          <cell r="F67">
            <v>97</v>
          </cell>
          <cell r="G67">
            <v>108</v>
          </cell>
          <cell r="H67">
            <v>12</v>
          </cell>
          <cell r="I67">
            <v>12</v>
          </cell>
          <cell r="J67">
            <v>10</v>
          </cell>
          <cell r="K67" t="str">
            <v>Supplementary</v>
          </cell>
          <cell r="L67" t="str">
            <v>SU</v>
          </cell>
          <cell r="N67" t="str">
            <v>AA</v>
          </cell>
          <cell r="O67">
            <v>2</v>
          </cell>
          <cell r="P67" t="str">
            <v>Core Academic Studies</v>
          </cell>
          <cell r="Q67" t="str">
            <v>Further Credit Option</v>
          </cell>
          <cell r="R67" t="str">
            <v>Advanced Art</v>
          </cell>
        </row>
        <row r="68">
          <cell r="A68">
            <v>67</v>
          </cell>
          <cell r="C68" t="str">
            <v>Complete Art</v>
          </cell>
          <cell r="E68">
            <v>9</v>
          </cell>
          <cell r="F68">
            <v>1</v>
          </cell>
          <cell r="G68">
            <v>10</v>
          </cell>
          <cell r="H68">
            <v>10</v>
          </cell>
          <cell r="J68">
            <v>10</v>
          </cell>
          <cell r="K68" t="str">
            <v>Supplementary</v>
          </cell>
          <cell r="L68" t="str">
            <v>SU</v>
          </cell>
          <cell r="N68" t="str">
            <v>CA</v>
          </cell>
          <cell r="O68">
            <v>2</v>
          </cell>
          <cell r="P68" t="str">
            <v>Core Academic Studies</v>
          </cell>
          <cell r="Q68" t="str">
            <v>Further Credit Option</v>
          </cell>
          <cell r="R68" t="str">
            <v>Complete Art</v>
          </cell>
        </row>
        <row r="69">
          <cell r="A69">
            <v>68</v>
          </cell>
          <cell r="C69" t="str">
            <v>Word Building / Etymology</v>
          </cell>
          <cell r="E69">
            <v>9</v>
          </cell>
          <cell r="F69">
            <v>97</v>
          </cell>
          <cell r="G69">
            <v>108</v>
          </cell>
          <cell r="H69">
            <v>12</v>
          </cell>
          <cell r="I69">
            <v>12</v>
          </cell>
          <cell r="J69">
            <v>3</v>
          </cell>
          <cell r="K69" t="str">
            <v>Word Building</v>
          </cell>
          <cell r="L69" t="str">
            <v>WB</v>
          </cell>
          <cell r="N69" t="str">
            <v>ET</v>
          </cell>
          <cell r="O69">
            <v>1</v>
          </cell>
          <cell r="P69" t="str">
            <v>Christian Studies</v>
          </cell>
          <cell r="Q69" t="str">
            <v>Core</v>
          </cell>
          <cell r="R69" t="str">
            <v>Word Building Level 9</v>
          </cell>
        </row>
        <row r="70">
          <cell r="A70">
            <v>69</v>
          </cell>
          <cell r="C70" t="str">
            <v>Music</v>
          </cell>
          <cell r="E70">
            <v>9</v>
          </cell>
          <cell r="F70">
            <v>1</v>
          </cell>
          <cell r="G70">
            <v>6</v>
          </cell>
          <cell r="H70">
            <v>6</v>
          </cell>
          <cell r="J70">
            <v>10</v>
          </cell>
          <cell r="K70" t="str">
            <v>Supplementary</v>
          </cell>
          <cell r="L70" t="str">
            <v>SU</v>
          </cell>
          <cell r="N70" t="str">
            <v>MU</v>
          </cell>
          <cell r="O70">
            <v>3</v>
          </cell>
          <cell r="P70" t="str">
            <v>Core Expanded Studies</v>
          </cell>
          <cell r="Q70" t="str">
            <v>Further Credit Option</v>
          </cell>
          <cell r="R70" t="str">
            <v>Music</v>
          </cell>
        </row>
        <row r="71">
          <cell r="A71">
            <v>70</v>
          </cell>
          <cell r="C71" t="str">
            <v>Music Theory/Performance Grade 5</v>
          </cell>
          <cell r="E71">
            <v>9</v>
          </cell>
          <cell r="F71">
            <v>5</v>
          </cell>
          <cell r="G71">
            <v>6</v>
          </cell>
          <cell r="H71">
            <v>2</v>
          </cell>
          <cell r="I71">
            <v>12</v>
          </cell>
          <cell r="J71">
            <v>10</v>
          </cell>
          <cell r="K71" t="str">
            <v>Supplementary</v>
          </cell>
          <cell r="L71" t="str">
            <v>SU</v>
          </cell>
          <cell r="N71" t="str">
            <v>MT</v>
          </cell>
          <cell r="O71">
            <v>3</v>
          </cell>
          <cell r="P71" t="str">
            <v>Core Expanded Studies</v>
          </cell>
          <cell r="Q71" t="str">
            <v>Further Credit Option</v>
          </cell>
          <cell r="R71" t="str">
            <v>Music Theory/Performance Grade 5</v>
          </cell>
        </row>
        <row r="72">
          <cell r="A72">
            <v>71</v>
          </cell>
          <cell r="C72" t="str">
            <v>Music Theory/Performance</v>
          </cell>
          <cell r="E72">
            <v>9</v>
          </cell>
          <cell r="F72">
            <v>5</v>
          </cell>
          <cell r="G72">
            <v>6</v>
          </cell>
          <cell r="H72">
            <v>2</v>
          </cell>
          <cell r="I72">
            <v>12</v>
          </cell>
          <cell r="J72">
            <v>10</v>
          </cell>
          <cell r="K72" t="str">
            <v>Supplementary</v>
          </cell>
          <cell r="L72" t="str">
            <v>SU</v>
          </cell>
          <cell r="M72" t="str">
            <v>Is duplicate of 70? Or perhaps the other one is theory and this one is performance</v>
          </cell>
          <cell r="N72" t="str">
            <v>MT</v>
          </cell>
          <cell r="O72">
            <v>3</v>
          </cell>
          <cell r="P72" t="str">
            <v>Core Expanded Studies</v>
          </cell>
          <cell r="Q72" t="str">
            <v>Further Credit Option</v>
          </cell>
          <cell r="R72" t="str">
            <v>Music Theory/Performance</v>
          </cell>
        </row>
        <row r="73">
          <cell r="A73">
            <v>72</v>
          </cell>
          <cell r="C73" t="str">
            <v>Speech</v>
          </cell>
          <cell r="E73">
            <v>9</v>
          </cell>
          <cell r="F73">
            <v>1</v>
          </cell>
          <cell r="G73">
            <v>6</v>
          </cell>
          <cell r="H73">
            <v>6</v>
          </cell>
          <cell r="J73">
            <v>3</v>
          </cell>
          <cell r="K73" t="str">
            <v>Word Building</v>
          </cell>
          <cell r="L73" t="str">
            <v>WB</v>
          </cell>
          <cell r="N73" t="str">
            <v>SP</v>
          </cell>
          <cell r="O73">
            <v>3</v>
          </cell>
          <cell r="P73" t="str">
            <v>Core Expanded Studies</v>
          </cell>
          <cell r="Q73" t="str">
            <v>Core</v>
          </cell>
          <cell r="R73" t="str">
            <v>Speech</v>
          </cell>
        </row>
        <row r="74">
          <cell r="A74">
            <v>73</v>
          </cell>
          <cell r="C74" t="str">
            <v>ICCE Literature Level 9</v>
          </cell>
          <cell r="E74">
            <v>9</v>
          </cell>
          <cell r="F74">
            <v>1</v>
          </cell>
          <cell r="G74">
            <v>4</v>
          </cell>
          <cell r="H74">
            <v>4</v>
          </cell>
          <cell r="I74">
            <v>6</v>
          </cell>
          <cell r="J74">
            <v>4</v>
          </cell>
          <cell r="K74" t="str">
            <v>Literature</v>
          </cell>
          <cell r="L74" t="str">
            <v>LI</v>
          </cell>
          <cell r="M74" t="str">
            <v>Voor Essays vanaf een bepaald niveau worden er geen sterren gegeven. Dit vak heeft geen lesmateriaal. Het zijn gewoon vier boeken waar een essay voor moet worden geschreven.</v>
          </cell>
          <cell r="N74" t="str">
            <v>I9</v>
          </cell>
          <cell r="O74">
            <v>2</v>
          </cell>
          <cell r="P74" t="str">
            <v>Core Academic Studies</v>
          </cell>
          <cell r="Q74" t="str">
            <v>Core</v>
          </cell>
          <cell r="R74" t="str">
            <v>ICCE Literature Level 9</v>
          </cell>
        </row>
        <row r="75">
          <cell r="A75">
            <v>74</v>
          </cell>
          <cell r="C75" t="str">
            <v>Astronomy</v>
          </cell>
          <cell r="E75">
            <v>9</v>
          </cell>
          <cell r="F75">
            <v>1</v>
          </cell>
          <cell r="G75">
            <v>5</v>
          </cell>
          <cell r="H75">
            <v>5</v>
          </cell>
          <cell r="J75">
            <v>5</v>
          </cell>
          <cell r="K75" t="str">
            <v>Science</v>
          </cell>
          <cell r="L75" t="str">
            <v>SC</v>
          </cell>
          <cell r="N75" t="str">
            <v>AS</v>
          </cell>
          <cell r="O75">
            <v>2</v>
          </cell>
          <cell r="P75" t="str">
            <v>Core Academic Studies</v>
          </cell>
          <cell r="Q75" t="str">
            <v>Further Credit Option</v>
          </cell>
          <cell r="R75" t="str">
            <v>Astronomy</v>
          </cell>
        </row>
        <row r="76">
          <cell r="A76">
            <v>75</v>
          </cell>
          <cell r="B76" t="str">
            <v>Science 9</v>
          </cell>
          <cell r="C76" t="str">
            <v>Biology / Science Level 9</v>
          </cell>
          <cell r="E76">
            <v>9</v>
          </cell>
          <cell r="F76">
            <v>97</v>
          </cell>
          <cell r="G76">
            <v>108</v>
          </cell>
          <cell r="H76">
            <v>12</v>
          </cell>
          <cell r="I76">
            <v>12</v>
          </cell>
          <cell r="J76">
            <v>5</v>
          </cell>
          <cell r="K76" t="str">
            <v>Science</v>
          </cell>
          <cell r="L76" t="str">
            <v>SC</v>
          </cell>
          <cell r="N76" t="str">
            <v>BI</v>
          </cell>
          <cell r="O76">
            <v>2</v>
          </cell>
          <cell r="P76" t="str">
            <v>Core Academic Studies</v>
          </cell>
          <cell r="Q76" t="str">
            <v>Core</v>
          </cell>
          <cell r="R76" t="str">
            <v>Science Level 9</v>
          </cell>
        </row>
        <row r="77">
          <cell r="A77">
            <v>76</v>
          </cell>
          <cell r="C77" t="str">
            <v>Health</v>
          </cell>
          <cell r="E77">
            <v>9</v>
          </cell>
          <cell r="F77">
            <v>1</v>
          </cell>
          <cell r="G77">
            <v>6</v>
          </cell>
          <cell r="H77">
            <v>6</v>
          </cell>
          <cell r="J77">
            <v>5</v>
          </cell>
          <cell r="K77" t="str">
            <v>Science</v>
          </cell>
          <cell r="L77" t="str">
            <v>SC</v>
          </cell>
          <cell r="N77" t="str">
            <v>HE</v>
          </cell>
          <cell r="O77">
            <v>2</v>
          </cell>
          <cell r="P77" t="str">
            <v>Core Academic Studies</v>
          </cell>
          <cell r="Q77" t="str">
            <v>Further Credit Option</v>
          </cell>
          <cell r="R77" t="str">
            <v>Health</v>
          </cell>
        </row>
        <row r="78">
          <cell r="A78">
            <v>77</v>
          </cell>
          <cell r="C78" t="str">
            <v>Nutrition Science</v>
          </cell>
          <cell r="E78">
            <v>9</v>
          </cell>
          <cell r="F78">
            <v>1</v>
          </cell>
          <cell r="G78">
            <v>6</v>
          </cell>
          <cell r="H78">
            <v>6</v>
          </cell>
          <cell r="J78">
            <v>5</v>
          </cell>
          <cell r="K78" t="str">
            <v>Science</v>
          </cell>
          <cell r="L78" t="str">
            <v>SC</v>
          </cell>
          <cell r="N78" t="str">
            <v>NS</v>
          </cell>
          <cell r="O78">
            <v>2</v>
          </cell>
          <cell r="P78" t="str">
            <v>Core Academic Studies</v>
          </cell>
          <cell r="Q78" t="str">
            <v>Further Credit Option</v>
          </cell>
          <cell r="R78" t="str">
            <v>Nutrition Science</v>
          </cell>
        </row>
        <row r="79">
          <cell r="A79">
            <v>78</v>
          </cell>
          <cell r="C79" t="str">
            <v>Sport + Health</v>
          </cell>
          <cell r="E79">
            <v>9</v>
          </cell>
          <cell r="F79">
            <v>1</v>
          </cell>
          <cell r="G79">
            <v>4</v>
          </cell>
          <cell r="H79">
            <v>4</v>
          </cell>
          <cell r="I79">
            <v>12</v>
          </cell>
          <cell r="J79">
            <v>5</v>
          </cell>
          <cell r="K79" t="str">
            <v>Science</v>
          </cell>
          <cell r="L79" t="str">
            <v>SC</v>
          </cell>
          <cell r="M79" t="str">
            <v>Is een combinatie vak dat alleen met Health samen gedaan kan worden? ON HOLD Informatie moet nog bevestigd worden</v>
          </cell>
          <cell r="N79" t="str">
            <v>SP</v>
          </cell>
          <cell r="O79">
            <v>3</v>
          </cell>
          <cell r="P79" t="str">
            <v>Core Expanded Studies</v>
          </cell>
          <cell r="Q79" t="str">
            <v>Further Credit Option</v>
          </cell>
          <cell r="R79" t="str">
            <v>Sport + Health</v>
          </cell>
        </row>
        <row r="80">
          <cell r="A80">
            <v>79</v>
          </cell>
          <cell r="C80" t="str">
            <v>A.C.E. Training</v>
          </cell>
          <cell r="E80">
            <v>9</v>
          </cell>
          <cell r="H80">
            <v>1</v>
          </cell>
          <cell r="I80">
            <v>6</v>
          </cell>
          <cell r="J80">
            <v>10</v>
          </cell>
          <cell r="K80" t="str">
            <v>Supplementary</v>
          </cell>
          <cell r="L80" t="str">
            <v>SU</v>
          </cell>
          <cell r="N80" t="str">
            <v>AC</v>
          </cell>
          <cell r="O80">
            <v>4</v>
          </cell>
          <cell r="P80" t="str">
            <v>Applied Studies</v>
          </cell>
          <cell r="Q80" t="str">
            <v>Further Credit Option</v>
          </cell>
          <cell r="R80" t="str">
            <v>A.C.E. Training</v>
          </cell>
        </row>
        <row r="81">
          <cell r="A81">
            <v>80</v>
          </cell>
          <cell r="C81" t="str">
            <v>World Geography</v>
          </cell>
          <cell r="D81" t="str">
            <v>Social Studies I-C</v>
          </cell>
          <cell r="E81">
            <v>9</v>
          </cell>
          <cell r="F81">
            <v>97</v>
          </cell>
          <cell r="G81">
            <v>108</v>
          </cell>
          <cell r="H81">
            <v>12</v>
          </cell>
          <cell r="I81">
            <v>12</v>
          </cell>
          <cell r="J81">
            <v>6</v>
          </cell>
          <cell r="K81" t="str">
            <v>Social Studies</v>
          </cell>
          <cell r="L81" t="str">
            <v>SS</v>
          </cell>
          <cell r="N81" t="str">
            <v>WG</v>
          </cell>
          <cell r="O81">
            <v>2</v>
          </cell>
          <cell r="P81" t="str">
            <v>Core Academic Studies</v>
          </cell>
          <cell r="Q81" t="str">
            <v>Core</v>
          </cell>
          <cell r="R81" t="str">
            <v>Social Studies Level 9 World Geography</v>
          </cell>
        </row>
        <row r="82">
          <cell r="A82">
            <v>81</v>
          </cell>
          <cell r="C82" t="str">
            <v>Apologetics I</v>
          </cell>
          <cell r="D82" t="str">
            <v>Apologetics I-A (2022)</v>
          </cell>
          <cell r="E82">
            <v>9</v>
          </cell>
          <cell r="F82">
            <v>1</v>
          </cell>
          <cell r="G82">
            <v>2</v>
          </cell>
          <cell r="H82">
            <v>2</v>
          </cell>
          <cell r="I82">
            <v>3</v>
          </cell>
          <cell r="J82">
            <v>7</v>
          </cell>
          <cell r="K82" t="str">
            <v>Biblical Studies</v>
          </cell>
          <cell r="L82" t="str">
            <v>BS</v>
          </cell>
          <cell r="M82" t="str">
            <v>Dit zijn resp. PACE's 97,102 in de oude editie (2018). 2 sterren voor de twee toetsen, en 1 ster voor het essay</v>
          </cell>
          <cell r="N82" t="str">
            <v>AP</v>
          </cell>
          <cell r="O82">
            <v>1</v>
          </cell>
          <cell r="P82" t="str">
            <v>Christian Studies</v>
          </cell>
          <cell r="Q82" t="str">
            <v>Core</v>
          </cell>
          <cell r="R82" t="str">
            <v>Apologetics I</v>
          </cell>
        </row>
        <row r="83">
          <cell r="A83">
            <v>82</v>
          </cell>
          <cell r="C83" t="str">
            <v>Missions</v>
          </cell>
          <cell r="E83">
            <v>9</v>
          </cell>
          <cell r="F83">
            <v>1</v>
          </cell>
          <cell r="G83">
            <v>6</v>
          </cell>
          <cell r="H83">
            <v>6</v>
          </cell>
          <cell r="I83">
            <v>6</v>
          </cell>
          <cell r="J83">
            <v>7</v>
          </cell>
          <cell r="K83" t="str">
            <v>Biblical Studies</v>
          </cell>
          <cell r="L83" t="str">
            <v>BS</v>
          </cell>
          <cell r="N83" t="str">
            <v>MI</v>
          </cell>
          <cell r="O83">
            <v>1</v>
          </cell>
          <cell r="P83" t="str">
            <v>Christian Studies</v>
          </cell>
          <cell r="Q83" t="str">
            <v>Further Credit Option</v>
          </cell>
          <cell r="R83" t="str">
            <v>Missions</v>
          </cell>
        </row>
        <row r="84">
          <cell r="A84">
            <v>83</v>
          </cell>
          <cell r="B84" t="str">
            <v>Successful Living</v>
          </cell>
          <cell r="C84" t="str">
            <v>Successful Living</v>
          </cell>
          <cell r="E84">
            <v>9</v>
          </cell>
          <cell r="F84">
            <v>1</v>
          </cell>
          <cell r="G84">
            <v>12</v>
          </cell>
          <cell r="H84">
            <v>12</v>
          </cell>
          <cell r="I84">
            <v>12</v>
          </cell>
          <cell r="J84">
            <v>7</v>
          </cell>
          <cell r="K84" t="str">
            <v>Biblical Studies</v>
          </cell>
          <cell r="L84" t="str">
            <v>BS</v>
          </cell>
          <cell r="M84" t="str">
            <v>Vroeger kwam dit na BS Level 9 (NTS). Dit is vanaf 2024-01 een keuze voor General en Intermediate geworden (verplichting is vervallen). In plaats daarvan is ICCE Phys Science verplicht geworden in Level 9.</v>
          </cell>
          <cell r="N84" t="str">
            <v>SL</v>
          </cell>
          <cell r="O84">
            <v>1</v>
          </cell>
          <cell r="P84" t="str">
            <v>Christian Studies</v>
          </cell>
          <cell r="Q84" t="str">
            <v>Core</v>
          </cell>
          <cell r="R84" t="str">
            <v>Successful Living</v>
          </cell>
        </row>
        <row r="85">
          <cell r="A85">
            <v>84</v>
          </cell>
          <cell r="C85" t="str">
            <v>A.C.E. Training + 30 hours of service</v>
          </cell>
          <cell r="E85">
            <v>9</v>
          </cell>
          <cell r="H85">
            <v>1</v>
          </cell>
          <cell r="I85">
            <v>12</v>
          </cell>
          <cell r="J85">
            <v>10</v>
          </cell>
          <cell r="K85" t="str">
            <v>Supplementary</v>
          </cell>
          <cell r="L85" t="str">
            <v>SU</v>
          </cell>
          <cell r="N85" t="str">
            <v>AT</v>
          </cell>
          <cell r="O85">
            <v>4</v>
          </cell>
          <cell r="P85" t="str">
            <v>Applied Studies</v>
          </cell>
          <cell r="Q85" t="str">
            <v>Further Credit Option</v>
          </cell>
          <cell r="R85" t="str">
            <v>A.C.E. Training + 30 hours of service</v>
          </cell>
        </row>
        <row r="86">
          <cell r="A86">
            <v>85</v>
          </cell>
          <cell r="C86" t="str">
            <v>ECDL Course</v>
          </cell>
          <cell r="E86">
            <v>9</v>
          </cell>
          <cell r="F86">
            <v>1</v>
          </cell>
          <cell r="G86">
            <v>8</v>
          </cell>
          <cell r="H86">
            <v>8</v>
          </cell>
          <cell r="J86">
            <v>10</v>
          </cell>
          <cell r="K86" t="str">
            <v>Supplementary</v>
          </cell>
          <cell r="L86" t="str">
            <v>SU</v>
          </cell>
          <cell r="M86" t="str">
            <v xml:space="preserve">Wat is dit? </v>
          </cell>
          <cell r="N86" t="str">
            <v>ED</v>
          </cell>
          <cell r="O86">
            <v>3</v>
          </cell>
          <cell r="P86" t="str">
            <v>Core Expanded Studies</v>
          </cell>
          <cell r="Q86" t="str">
            <v>Core</v>
          </cell>
          <cell r="R86" t="str">
            <v>ECDL Course</v>
          </cell>
        </row>
        <row r="87">
          <cell r="A87">
            <v>86</v>
          </cell>
          <cell r="C87" t="str">
            <v>Geometry</v>
          </cell>
          <cell r="D87" t="str">
            <v>Mathematics-IIA</v>
          </cell>
          <cell r="E87">
            <v>10</v>
          </cell>
          <cell r="F87">
            <v>109</v>
          </cell>
          <cell r="G87">
            <v>120</v>
          </cell>
          <cell r="H87">
            <v>12</v>
          </cell>
          <cell r="I87">
            <v>12</v>
          </cell>
          <cell r="J87">
            <v>1</v>
          </cell>
          <cell r="K87" t="str">
            <v>Maths</v>
          </cell>
          <cell r="L87" t="str">
            <v>MA</v>
          </cell>
          <cell r="N87" t="str">
            <v>GE</v>
          </cell>
          <cell r="O87">
            <v>2</v>
          </cell>
          <cell r="P87" t="str">
            <v>Core Academic Studies</v>
          </cell>
          <cell r="Q87" t="str">
            <v>Core</v>
          </cell>
          <cell r="R87" t="str">
            <v>Geometry</v>
          </cell>
        </row>
        <row r="88">
          <cell r="A88">
            <v>87</v>
          </cell>
          <cell r="C88" t="str">
            <v>English II</v>
          </cell>
          <cell r="E88">
            <v>10</v>
          </cell>
          <cell r="F88">
            <v>109</v>
          </cell>
          <cell r="G88">
            <v>120</v>
          </cell>
          <cell r="H88">
            <v>12</v>
          </cell>
          <cell r="I88">
            <v>12</v>
          </cell>
          <cell r="J88">
            <v>2</v>
          </cell>
          <cell r="K88" t="str">
            <v>Language</v>
          </cell>
          <cell r="L88" t="str">
            <v>LA</v>
          </cell>
          <cell r="N88" t="str">
            <v>EN</v>
          </cell>
          <cell r="O88">
            <v>2</v>
          </cell>
          <cell r="P88" t="str">
            <v>Core Academic Studies</v>
          </cell>
          <cell r="Q88" t="str">
            <v>Core</v>
          </cell>
          <cell r="R88" t="str">
            <v>English II</v>
          </cell>
        </row>
        <row r="89">
          <cell r="A89">
            <v>88</v>
          </cell>
          <cell r="C89" t="str">
            <v>Rosetta Stone Level 10</v>
          </cell>
          <cell r="E89">
            <v>10</v>
          </cell>
          <cell r="F89">
            <v>3</v>
          </cell>
          <cell r="G89">
            <v>5</v>
          </cell>
          <cell r="H89">
            <v>3</v>
          </cell>
          <cell r="I89">
            <v>6</v>
          </cell>
          <cell r="J89">
            <v>2</v>
          </cell>
          <cell r="K89" t="str">
            <v>Language</v>
          </cell>
          <cell r="L89" t="str">
            <v>LA</v>
          </cell>
          <cell r="M89" t="str">
            <v>Each six stars</v>
          </cell>
          <cell r="N89" t="str">
            <v>RS</v>
          </cell>
          <cell r="O89">
            <v>2</v>
          </cell>
          <cell r="P89" t="str">
            <v>Core Academic Studies</v>
          </cell>
          <cell r="Q89" t="str">
            <v>Further Credit Option</v>
          </cell>
          <cell r="R89" t="str">
            <v>Rosetta Stone Level 10</v>
          </cell>
        </row>
        <row r="90">
          <cell r="A90">
            <v>89</v>
          </cell>
          <cell r="C90" t="str">
            <v>Music Theory/Performance Grade 6</v>
          </cell>
          <cell r="E90">
            <v>10</v>
          </cell>
          <cell r="H90">
            <v>1</v>
          </cell>
          <cell r="I90">
            <v>12</v>
          </cell>
          <cell r="J90">
            <v>10</v>
          </cell>
          <cell r="K90" t="str">
            <v>Supplementary</v>
          </cell>
          <cell r="L90" t="str">
            <v>SU</v>
          </cell>
          <cell r="N90" t="str">
            <v>MT</v>
          </cell>
          <cell r="O90">
            <v>3</v>
          </cell>
          <cell r="P90" t="str">
            <v>Core Expanded Studies</v>
          </cell>
          <cell r="Q90" t="str">
            <v>Further Credit Option</v>
          </cell>
          <cell r="R90" t="str">
            <v>Music Theory/Performance Grade 6</v>
          </cell>
        </row>
        <row r="91">
          <cell r="A91">
            <v>90</v>
          </cell>
          <cell r="B91" t="str">
            <v>Science 10</v>
          </cell>
          <cell r="C91" t="str">
            <v>Physical Science</v>
          </cell>
          <cell r="E91">
            <v>10</v>
          </cell>
          <cell r="F91">
            <v>109</v>
          </cell>
          <cell r="G91">
            <v>120</v>
          </cell>
          <cell r="H91">
            <v>12</v>
          </cell>
          <cell r="I91">
            <v>12</v>
          </cell>
          <cell r="J91">
            <v>5</v>
          </cell>
          <cell r="K91" t="str">
            <v>Science</v>
          </cell>
          <cell r="L91" t="str">
            <v>SC</v>
          </cell>
          <cell r="M91" t="str">
            <v>Dat klopt</v>
          </cell>
          <cell r="N91" t="str">
            <v>PS</v>
          </cell>
          <cell r="O91">
            <v>2</v>
          </cell>
          <cell r="P91" t="str">
            <v>Core Academic Studies</v>
          </cell>
          <cell r="Q91" t="str">
            <v>Core</v>
          </cell>
          <cell r="R91" t="str">
            <v>Science Level 10</v>
          </cell>
        </row>
        <row r="92">
          <cell r="A92">
            <v>91</v>
          </cell>
          <cell r="B92" t="str">
            <v>History of Civilisation I</v>
          </cell>
          <cell r="C92" t="str">
            <v>History of Civilisation I</v>
          </cell>
          <cell r="D92" t="str">
            <v>Social Studies II-B</v>
          </cell>
          <cell r="E92">
            <v>10</v>
          </cell>
          <cell r="F92">
            <v>1</v>
          </cell>
          <cell r="G92">
            <v>10</v>
          </cell>
          <cell r="H92">
            <v>10</v>
          </cell>
          <cell r="I92">
            <v>12</v>
          </cell>
          <cell r="J92">
            <v>6</v>
          </cell>
          <cell r="K92" t="str">
            <v>Social Studies</v>
          </cell>
          <cell r="L92" t="str">
            <v>SS</v>
          </cell>
          <cell r="N92" t="str">
            <v>HC</v>
          </cell>
          <cell r="O92">
            <v>2</v>
          </cell>
          <cell r="P92" t="str">
            <v>Core Academic Studies</v>
          </cell>
          <cell r="Q92" t="str">
            <v>Core</v>
          </cell>
          <cell r="R92" t="str">
            <v>Social Studies Level 10</v>
          </cell>
        </row>
        <row r="93">
          <cell r="A93">
            <v>92</v>
          </cell>
          <cell r="C93" t="str">
            <v>Apologetics II</v>
          </cell>
          <cell r="D93" t="str">
            <v>Apologetics I-B (2022)</v>
          </cell>
          <cell r="E93">
            <v>10</v>
          </cell>
          <cell r="F93">
            <v>7</v>
          </cell>
          <cell r="G93">
            <v>10</v>
          </cell>
          <cell r="H93">
            <v>4</v>
          </cell>
          <cell r="I93">
            <v>3</v>
          </cell>
          <cell r="J93">
            <v>7</v>
          </cell>
          <cell r="K93" t="str">
            <v>Biblical Studies</v>
          </cell>
          <cell r="L93" t="str">
            <v>BS</v>
          </cell>
          <cell r="M93" t="str">
            <v xml:space="preserve">De oude nummering hiervan is resp. PACE's 98-101 (nu dus 7-10). Hier mag gekozen worden voor Apologetics II (i.e. boekjes 3 en 4) of uit Groep 1 (i.e. Christian Studies, van Intermediate). Klopt deze laatste opmerking (keuze uit Groep 1)? Er is geen toets bij Apologetics II, maar wel een essay, waar drie sterren voor worden gegeven.
</v>
          </cell>
          <cell r="N93" t="str">
            <v>AP</v>
          </cell>
          <cell r="O93">
            <v>1</v>
          </cell>
          <cell r="P93" t="str">
            <v>Christian Studies</v>
          </cell>
          <cell r="Q93" t="str">
            <v>Further Credit Option</v>
          </cell>
          <cell r="R93" t="str">
            <v>Apologetics II</v>
          </cell>
        </row>
        <row r="94">
          <cell r="A94">
            <v>93</v>
          </cell>
          <cell r="C94" t="str">
            <v>Christian Counselling I</v>
          </cell>
          <cell r="E94">
            <v>10</v>
          </cell>
          <cell r="F94">
            <v>1</v>
          </cell>
          <cell r="G94">
            <v>5</v>
          </cell>
          <cell r="H94">
            <v>5</v>
          </cell>
          <cell r="I94">
            <v>6</v>
          </cell>
          <cell r="J94">
            <v>7</v>
          </cell>
          <cell r="K94" t="str">
            <v>Biblical Studies</v>
          </cell>
          <cell r="L94" t="str">
            <v>BS</v>
          </cell>
          <cell r="M94" t="str">
            <v>Correct gespeld? Is Amerikaans materiaal maar Britse spelling?</v>
          </cell>
          <cell r="N94" t="str">
            <v>CC</v>
          </cell>
          <cell r="O94">
            <v>1</v>
          </cell>
          <cell r="P94" t="str">
            <v>Christian Studies</v>
          </cell>
          <cell r="Q94" t="str">
            <v>Further Credit Option</v>
          </cell>
          <cell r="R94" t="str">
            <v>Christian Counselling I</v>
          </cell>
        </row>
        <row r="95">
          <cell r="A95">
            <v>94</v>
          </cell>
          <cell r="C95" t="str">
            <v>Life of Christ I</v>
          </cell>
          <cell r="E95">
            <v>10</v>
          </cell>
          <cell r="F95">
            <v>133</v>
          </cell>
          <cell r="G95">
            <v>138</v>
          </cell>
          <cell r="H95">
            <v>6</v>
          </cell>
          <cell r="J95">
            <v>7</v>
          </cell>
          <cell r="K95" t="str">
            <v>Biblical Studies</v>
          </cell>
          <cell r="L95" t="str">
            <v>BS</v>
          </cell>
          <cell r="N95" t="str">
            <v>LC</v>
          </cell>
          <cell r="O95">
            <v>1</v>
          </cell>
          <cell r="P95" t="str">
            <v>Christian Studies</v>
          </cell>
          <cell r="Q95" t="str">
            <v>Further Credit Option</v>
          </cell>
          <cell r="R95" t="str">
            <v>Life of Christ I</v>
          </cell>
        </row>
        <row r="96">
          <cell r="A96">
            <v>95</v>
          </cell>
          <cell r="B96" t="str">
            <v>Biblical Studies II</v>
          </cell>
          <cell r="C96" t="str">
            <v>Old Testament Survey</v>
          </cell>
          <cell r="D96" t="str">
            <v>Biblical Studies II: Old Testament Survey ICCE-C25</v>
          </cell>
          <cell r="E96">
            <v>10</v>
          </cell>
          <cell r="F96">
            <v>109</v>
          </cell>
          <cell r="G96">
            <v>120</v>
          </cell>
          <cell r="H96">
            <v>12</v>
          </cell>
          <cell r="I96">
            <v>12</v>
          </cell>
          <cell r="J96">
            <v>7</v>
          </cell>
          <cell r="K96" t="str">
            <v>Biblical Studies</v>
          </cell>
          <cell r="L96" t="str">
            <v>BS</v>
          </cell>
          <cell r="M96" t="str">
            <v>Ik kan alleen PACEs 1-10 vinden, zijn waarschijnlijk oude edities</v>
          </cell>
          <cell r="N96" t="str">
            <v>OT</v>
          </cell>
          <cell r="O96">
            <v>1</v>
          </cell>
          <cell r="P96" t="str">
            <v>Christian Studies</v>
          </cell>
          <cell r="Q96" t="str">
            <v>Core</v>
          </cell>
          <cell r="R96" t="str">
            <v>Old Testament Survey</v>
          </cell>
        </row>
        <row r="97">
          <cell r="A97">
            <v>96</v>
          </cell>
          <cell r="C97" t="str">
            <v>Auto Mechanics</v>
          </cell>
          <cell r="E97">
            <v>10</v>
          </cell>
          <cell r="F97">
            <v>109</v>
          </cell>
          <cell r="G97">
            <v>114</v>
          </cell>
          <cell r="H97">
            <v>6</v>
          </cell>
          <cell r="J97">
            <v>10</v>
          </cell>
          <cell r="K97" t="str">
            <v>Supplementary</v>
          </cell>
          <cell r="L97" t="str">
            <v>SU</v>
          </cell>
          <cell r="N97" t="str">
            <v>AM</v>
          </cell>
          <cell r="O97">
            <v>3</v>
          </cell>
          <cell r="P97" t="str">
            <v>Core Expanded Studies</v>
          </cell>
          <cell r="Q97" t="str">
            <v>Further Credit Option</v>
          </cell>
          <cell r="R97" t="str">
            <v>Auto Mechanics</v>
          </cell>
        </row>
        <row r="98">
          <cell r="A98">
            <v>97</v>
          </cell>
          <cell r="C98" t="str">
            <v>ICT Course</v>
          </cell>
          <cell r="E98">
            <v>10</v>
          </cell>
          <cell r="H98">
            <v>1</v>
          </cell>
          <cell r="I98">
            <v>12</v>
          </cell>
          <cell r="J98">
            <v>10</v>
          </cell>
          <cell r="K98" t="str">
            <v>Supplementary</v>
          </cell>
          <cell r="L98" t="str">
            <v>SU</v>
          </cell>
          <cell r="M98" t="str">
            <v>From approved list</v>
          </cell>
          <cell r="N98" t="str">
            <v>IC</v>
          </cell>
          <cell r="O98">
            <v>3</v>
          </cell>
          <cell r="P98" t="str">
            <v>Core Expanded Studies</v>
          </cell>
          <cell r="Q98" t="str">
            <v>Further Credit Option</v>
          </cell>
          <cell r="R98" t="str">
            <v>ICT Course</v>
          </cell>
        </row>
        <row r="99">
          <cell r="A99">
            <v>98</v>
          </cell>
          <cell r="C99" t="str">
            <v>Algebra II</v>
          </cell>
          <cell r="E99">
            <v>11</v>
          </cell>
          <cell r="F99">
            <v>121</v>
          </cell>
          <cell r="G99">
            <v>132</v>
          </cell>
          <cell r="H99">
            <v>12</v>
          </cell>
          <cell r="I99">
            <v>12</v>
          </cell>
          <cell r="J99">
            <v>1</v>
          </cell>
          <cell r="K99" t="str">
            <v>Maths</v>
          </cell>
          <cell r="L99" t="str">
            <v>MA</v>
          </cell>
          <cell r="N99" t="str">
            <v>AL</v>
          </cell>
          <cell r="O99">
            <v>2</v>
          </cell>
          <cell r="P99" t="str">
            <v>Core Academic Studies</v>
          </cell>
          <cell r="Q99" t="str">
            <v>Core</v>
          </cell>
          <cell r="R99" t="str">
            <v>Algebra II</v>
          </cell>
        </row>
        <row r="100">
          <cell r="A100">
            <v>99</v>
          </cell>
          <cell r="C100" t="str">
            <v>British Literature</v>
          </cell>
          <cell r="E100">
            <v>11</v>
          </cell>
          <cell r="F100">
            <v>1</v>
          </cell>
          <cell r="G100">
            <v>5</v>
          </cell>
          <cell r="H100">
            <v>5</v>
          </cell>
          <cell r="I100" t="str">
            <v>?</v>
          </cell>
          <cell r="J100">
            <v>4</v>
          </cell>
          <cell r="K100" t="str">
            <v>Literature</v>
          </cell>
          <cell r="L100" t="str">
            <v>LI</v>
          </cell>
          <cell r="N100" t="str">
            <v>BL</v>
          </cell>
          <cell r="O100">
            <v>2</v>
          </cell>
          <cell r="P100" t="str">
            <v>Core Academic Studies</v>
          </cell>
          <cell r="Q100" t="str">
            <v>Core</v>
          </cell>
          <cell r="R100" t="str">
            <v>British Literature</v>
          </cell>
        </row>
        <row r="101">
          <cell r="A101">
            <v>100</v>
          </cell>
          <cell r="C101" t="str">
            <v>Dutch Language Staatsexamen HAVO</v>
          </cell>
          <cell r="E101">
            <v>11</v>
          </cell>
          <cell r="H101">
            <v>1</v>
          </cell>
          <cell r="I101">
            <v>18</v>
          </cell>
          <cell r="J101">
            <v>2</v>
          </cell>
          <cell r="K101" t="str">
            <v>Language</v>
          </cell>
          <cell r="L101" t="str">
            <v>LA</v>
          </cell>
          <cell r="M101" t="str">
            <v>Staatsexamen Havo, where is VWO?</v>
          </cell>
          <cell r="N101" t="str">
            <v>NL</v>
          </cell>
          <cell r="O101">
            <v>2</v>
          </cell>
          <cell r="P101" t="str">
            <v>Core Academic Studies</v>
          </cell>
          <cell r="Q101" t="str">
            <v>Core</v>
          </cell>
          <cell r="R101" t="str">
            <v>Dutch Language Staatsexamen HAVO</v>
          </cell>
        </row>
        <row r="102">
          <cell r="A102">
            <v>101</v>
          </cell>
          <cell r="C102" t="str">
            <v>English III</v>
          </cell>
          <cell r="E102">
            <v>11</v>
          </cell>
          <cell r="F102">
            <v>121</v>
          </cell>
          <cell r="G102">
            <v>132</v>
          </cell>
          <cell r="H102">
            <v>12</v>
          </cell>
          <cell r="I102">
            <v>12</v>
          </cell>
          <cell r="J102">
            <v>2</v>
          </cell>
          <cell r="K102" t="str">
            <v>Language</v>
          </cell>
          <cell r="L102" t="str">
            <v>LA</v>
          </cell>
          <cell r="N102" t="str">
            <v>EN</v>
          </cell>
          <cell r="O102">
            <v>2</v>
          </cell>
          <cell r="P102" t="str">
            <v>Core Academic Studies</v>
          </cell>
          <cell r="Q102" t="str">
            <v>Core</v>
          </cell>
          <cell r="R102" t="str">
            <v>English III</v>
          </cell>
        </row>
        <row r="103">
          <cell r="A103">
            <v>102</v>
          </cell>
          <cell r="C103" t="str">
            <v>ICCE Literature 10 Part 1</v>
          </cell>
          <cell r="E103">
            <v>10</v>
          </cell>
          <cell r="F103">
            <v>1</v>
          </cell>
          <cell r="G103">
            <v>3</v>
          </cell>
          <cell r="H103">
            <v>3</v>
          </cell>
          <cell r="I103">
            <v>6</v>
          </cell>
          <cell r="J103">
            <v>4</v>
          </cell>
          <cell r="K103" t="str">
            <v>Literature</v>
          </cell>
          <cell r="L103" t="str">
            <v>LI</v>
          </cell>
          <cell r="M103" t="str">
            <v xml:space="preserve">Beide vakken hebben dezelfde naam. Specification is niet duidelijk, is moeilijk met twee karakters. Beter is "I10" vs "I09". </v>
          </cell>
          <cell r="N103" t="str">
            <v>I1</v>
          </cell>
          <cell r="O103">
            <v>2</v>
          </cell>
          <cell r="P103" t="str">
            <v>Core Academic Studies</v>
          </cell>
          <cell r="Q103" t="str">
            <v>Further Credit Option</v>
          </cell>
          <cell r="R103" t="str">
            <v>ICCE Literature 10 Part 1</v>
          </cell>
        </row>
        <row r="104">
          <cell r="A104">
            <v>103</v>
          </cell>
          <cell r="C104" t="str">
            <v>ICCE Literature 10</v>
          </cell>
          <cell r="E104">
            <v>10</v>
          </cell>
          <cell r="F104">
            <v>1</v>
          </cell>
          <cell r="G104">
            <v>6</v>
          </cell>
          <cell r="H104">
            <v>6</v>
          </cell>
          <cell r="I104">
            <v>12</v>
          </cell>
          <cell r="J104">
            <v>4</v>
          </cell>
          <cell r="K104" t="str">
            <v>Literature</v>
          </cell>
          <cell r="L104" t="str">
            <v>LI</v>
          </cell>
          <cell r="M104" t="str">
            <v>Overlap with the previous one and the same name</v>
          </cell>
          <cell r="N104" t="str">
            <v>I1</v>
          </cell>
          <cell r="O104">
            <v>2</v>
          </cell>
          <cell r="P104" t="str">
            <v>Core Academic Studies</v>
          </cell>
          <cell r="Q104" t="str">
            <v>Further Credit Option</v>
          </cell>
          <cell r="R104" t="str">
            <v>ICCE Literature 10</v>
          </cell>
        </row>
        <row r="105">
          <cell r="A105">
            <v>104</v>
          </cell>
          <cell r="C105" t="str">
            <v>N.T. Greek I</v>
          </cell>
          <cell r="E105">
            <v>11</v>
          </cell>
          <cell r="F105">
            <v>121</v>
          </cell>
          <cell r="G105">
            <v>132</v>
          </cell>
          <cell r="H105">
            <v>12</v>
          </cell>
          <cell r="I105">
            <v>12</v>
          </cell>
          <cell r="J105">
            <v>2</v>
          </cell>
          <cell r="K105" t="str">
            <v>Language</v>
          </cell>
          <cell r="L105" t="str">
            <v>LA</v>
          </cell>
          <cell r="N105" t="str">
            <v>GR</v>
          </cell>
          <cell r="O105">
            <v>2</v>
          </cell>
          <cell r="P105" t="str">
            <v>Core Academic Studies</v>
          </cell>
          <cell r="Q105" t="str">
            <v>Further Credit Option</v>
          </cell>
          <cell r="R105" t="str">
            <v>N.T. Greek I</v>
          </cell>
        </row>
        <row r="106">
          <cell r="A106">
            <v>105</v>
          </cell>
          <cell r="B106" t="str">
            <v>Science 11</v>
          </cell>
          <cell r="C106" t="str">
            <v>Chemistry</v>
          </cell>
          <cell r="E106">
            <v>11</v>
          </cell>
          <cell r="F106">
            <v>121</v>
          </cell>
          <cell r="G106">
            <v>132</v>
          </cell>
          <cell r="H106">
            <v>12</v>
          </cell>
          <cell r="I106">
            <v>12</v>
          </cell>
          <cell r="J106">
            <v>5</v>
          </cell>
          <cell r="K106" t="str">
            <v>Science</v>
          </cell>
          <cell r="L106" t="str">
            <v>SC</v>
          </cell>
          <cell r="N106" t="str">
            <v>CH</v>
          </cell>
          <cell r="O106">
            <v>2</v>
          </cell>
          <cell r="P106" t="str">
            <v>Core Academic Studies</v>
          </cell>
          <cell r="Q106" t="str">
            <v>Core</v>
          </cell>
          <cell r="R106" t="str">
            <v>Science Level 11</v>
          </cell>
        </row>
        <row r="107">
          <cell r="A107">
            <v>106</v>
          </cell>
          <cell r="B107" t="str">
            <v>Basic New Testament Church History</v>
          </cell>
          <cell r="C107" t="str">
            <v>New Testament Church History</v>
          </cell>
          <cell r="D107" t="str">
            <v>ICCE-C26</v>
          </cell>
          <cell r="E107">
            <v>12</v>
          </cell>
          <cell r="F107">
            <v>121</v>
          </cell>
          <cell r="G107">
            <v>132</v>
          </cell>
          <cell r="H107">
            <v>12</v>
          </cell>
          <cell r="I107">
            <v>12</v>
          </cell>
          <cell r="J107">
            <v>7</v>
          </cell>
          <cell r="K107" t="str">
            <v>Biblical Studies</v>
          </cell>
          <cell r="L107" t="str">
            <v>BS</v>
          </cell>
          <cell r="N107" t="str">
            <v>NC</v>
          </cell>
          <cell r="O107">
            <v>1</v>
          </cell>
          <cell r="P107" t="str">
            <v>Christian Studies</v>
          </cell>
          <cell r="Q107" t="str">
            <v>Core</v>
          </cell>
          <cell r="R107" t="str">
            <v>New Testament Church History</v>
          </cell>
        </row>
        <row r="108">
          <cell r="A108">
            <v>107</v>
          </cell>
          <cell r="C108" t="str">
            <v>Accounting (US)</v>
          </cell>
          <cell r="E108">
            <v>12</v>
          </cell>
          <cell r="F108">
            <v>121</v>
          </cell>
          <cell r="G108">
            <v>132</v>
          </cell>
          <cell r="H108">
            <v>12</v>
          </cell>
          <cell r="I108">
            <v>12</v>
          </cell>
          <cell r="J108">
            <v>1</v>
          </cell>
          <cell r="K108" t="str">
            <v>Maths</v>
          </cell>
          <cell r="L108" t="str">
            <v>MA</v>
          </cell>
          <cell r="N108" t="str">
            <v>AC</v>
          </cell>
          <cell r="O108">
            <v>3</v>
          </cell>
          <cell r="P108" t="str">
            <v>Core Expanded Studies</v>
          </cell>
          <cell r="Q108" t="str">
            <v>Further Credit Option</v>
          </cell>
          <cell r="R108" t="str">
            <v>Accounting (US)</v>
          </cell>
        </row>
        <row r="109">
          <cell r="A109">
            <v>108</v>
          </cell>
          <cell r="B109" t="str">
            <v>Basic Mathematics I</v>
          </cell>
          <cell r="C109" t="str">
            <v>College Maths I</v>
          </cell>
          <cell r="E109">
            <v>12</v>
          </cell>
          <cell r="F109">
            <v>1</v>
          </cell>
          <cell r="G109">
            <v>10</v>
          </cell>
          <cell r="H109">
            <v>10</v>
          </cell>
          <cell r="I109" t="str">
            <v>?</v>
          </cell>
          <cell r="J109">
            <v>1</v>
          </cell>
          <cell r="K109" t="str">
            <v>Maths</v>
          </cell>
          <cell r="L109" t="str">
            <v>MA</v>
          </cell>
          <cell r="N109" t="str">
            <v>CM</v>
          </cell>
          <cell r="O109">
            <v>2</v>
          </cell>
          <cell r="P109" t="str">
            <v>Core Academic Studies</v>
          </cell>
          <cell r="Q109" t="str">
            <v>Further Credit Option</v>
          </cell>
          <cell r="R109" t="str">
            <v>College Maths I</v>
          </cell>
        </row>
        <row r="110">
          <cell r="A110">
            <v>109</v>
          </cell>
          <cell r="B110" t="str">
            <v>Basic Mathematics II Precalculus</v>
          </cell>
          <cell r="C110" t="str">
            <v>College Maths II</v>
          </cell>
          <cell r="E110">
            <v>12</v>
          </cell>
          <cell r="F110">
            <v>11</v>
          </cell>
          <cell r="G110">
            <v>20</v>
          </cell>
          <cell r="H110">
            <v>10</v>
          </cell>
          <cell r="I110" t="str">
            <v>?</v>
          </cell>
          <cell r="J110">
            <v>1</v>
          </cell>
          <cell r="K110" t="str">
            <v>Maths</v>
          </cell>
          <cell r="L110" t="str">
            <v>MA</v>
          </cell>
          <cell r="N110" t="str">
            <v>CM</v>
          </cell>
          <cell r="O110">
            <v>2</v>
          </cell>
          <cell r="P110" t="str">
            <v>Core Academic Studies</v>
          </cell>
          <cell r="Q110" t="str">
            <v>Further Credit Option</v>
          </cell>
          <cell r="R110" t="str">
            <v>College Maths II</v>
          </cell>
        </row>
        <row r="111">
          <cell r="A111">
            <v>110</v>
          </cell>
          <cell r="C111" t="str">
            <v>Higher Maths</v>
          </cell>
          <cell r="E111">
            <v>12</v>
          </cell>
          <cell r="F111">
            <v>139</v>
          </cell>
          <cell r="G111">
            <v>144</v>
          </cell>
          <cell r="H111">
            <v>6</v>
          </cell>
          <cell r="I111" t="str">
            <v>?</v>
          </cell>
          <cell r="J111">
            <v>1</v>
          </cell>
          <cell r="K111" t="str">
            <v>Maths</v>
          </cell>
          <cell r="L111" t="str">
            <v>MA</v>
          </cell>
          <cell r="N111" t="str">
            <v>HM</v>
          </cell>
          <cell r="O111">
            <v>2</v>
          </cell>
          <cell r="P111" t="str">
            <v>Core Academic Studies</v>
          </cell>
          <cell r="Q111" t="str">
            <v>Further Credit Option</v>
          </cell>
          <cell r="R111" t="str">
            <v>Higher Maths</v>
          </cell>
        </row>
        <row r="112">
          <cell r="A112">
            <v>111</v>
          </cell>
          <cell r="C112" t="str">
            <v>Trigonometry</v>
          </cell>
          <cell r="E112">
            <v>12</v>
          </cell>
          <cell r="F112">
            <v>133</v>
          </cell>
          <cell r="G112">
            <v>138</v>
          </cell>
          <cell r="H112">
            <v>6</v>
          </cell>
          <cell r="I112" t="str">
            <v>?</v>
          </cell>
          <cell r="J112">
            <v>1</v>
          </cell>
          <cell r="K112" t="str">
            <v>Maths</v>
          </cell>
          <cell r="L112" t="str">
            <v>MA</v>
          </cell>
          <cell r="N112" t="str">
            <v>TR</v>
          </cell>
          <cell r="O112">
            <v>2</v>
          </cell>
          <cell r="P112" t="str">
            <v>Core Academic Studies</v>
          </cell>
          <cell r="Q112" t="str">
            <v>Further Credit Option</v>
          </cell>
          <cell r="R112" t="str">
            <v>Trigonometry</v>
          </cell>
        </row>
        <row r="113">
          <cell r="A113">
            <v>112</v>
          </cell>
          <cell r="C113" t="str">
            <v>English Composition II</v>
          </cell>
          <cell r="E113">
            <v>12</v>
          </cell>
          <cell r="F113">
            <v>1</v>
          </cell>
          <cell r="G113">
            <v>10</v>
          </cell>
          <cell r="H113">
            <v>10</v>
          </cell>
          <cell r="J113">
            <v>2</v>
          </cell>
          <cell r="K113" t="str">
            <v>Language</v>
          </cell>
          <cell r="L113" t="str">
            <v>LA</v>
          </cell>
          <cell r="M113" t="str">
            <v>Where is English Composition I?</v>
          </cell>
          <cell r="N113" t="str">
            <v>EC</v>
          </cell>
          <cell r="O113">
            <v>2</v>
          </cell>
          <cell r="P113" t="str">
            <v>Core Academic Studies</v>
          </cell>
          <cell r="Q113" t="str">
            <v>Further Credit Option</v>
          </cell>
          <cell r="R113" t="str">
            <v>English Composition II</v>
          </cell>
        </row>
        <row r="114">
          <cell r="A114">
            <v>113</v>
          </cell>
          <cell r="C114" t="str">
            <v>English IV</v>
          </cell>
          <cell r="E114">
            <v>12</v>
          </cell>
          <cell r="F114">
            <v>133</v>
          </cell>
          <cell r="G114">
            <v>144</v>
          </cell>
          <cell r="H114">
            <v>12</v>
          </cell>
          <cell r="I114">
            <v>12</v>
          </cell>
          <cell r="J114">
            <v>2</v>
          </cell>
          <cell r="K114" t="str">
            <v>Language</v>
          </cell>
          <cell r="L114" t="str">
            <v>LA</v>
          </cell>
          <cell r="M114" t="str">
            <v xml:space="preserve">mogelijk English IV te kiezen als III nog niet gedaan is? </v>
          </cell>
          <cell r="N114" t="str">
            <v>EN</v>
          </cell>
          <cell r="O114">
            <v>2</v>
          </cell>
          <cell r="P114" t="str">
            <v>Core Academic Studies</v>
          </cell>
          <cell r="Q114" t="str">
            <v>Core</v>
          </cell>
          <cell r="R114" t="str">
            <v>English IV</v>
          </cell>
        </row>
        <row r="115">
          <cell r="A115">
            <v>114</v>
          </cell>
          <cell r="C115" t="str">
            <v>N.T. Greek II</v>
          </cell>
          <cell r="E115">
            <v>12</v>
          </cell>
          <cell r="F115">
            <v>11</v>
          </cell>
          <cell r="G115">
            <v>20</v>
          </cell>
          <cell r="H115">
            <v>10</v>
          </cell>
          <cell r="J115">
            <v>2</v>
          </cell>
          <cell r="K115" t="str">
            <v>Language</v>
          </cell>
          <cell r="L115" t="str">
            <v>LA</v>
          </cell>
          <cell r="M115" t="str">
            <v>Nieuwe nummering?</v>
          </cell>
          <cell r="N115" t="str">
            <v>GR</v>
          </cell>
          <cell r="O115">
            <v>2</v>
          </cell>
          <cell r="P115" t="str">
            <v>Core Academic Studies</v>
          </cell>
          <cell r="Q115" t="str">
            <v>Further Credit Option</v>
          </cell>
          <cell r="R115" t="str">
            <v>N.T. Greek II</v>
          </cell>
        </row>
        <row r="116">
          <cell r="A116">
            <v>115</v>
          </cell>
          <cell r="C116" t="str">
            <v>Music Theory/Performance Grade 7/8</v>
          </cell>
          <cell r="E116">
            <v>12</v>
          </cell>
          <cell r="F116">
            <v>7</v>
          </cell>
          <cell r="G116">
            <v>8</v>
          </cell>
          <cell r="H116">
            <v>2</v>
          </cell>
          <cell r="J116">
            <v>10</v>
          </cell>
          <cell r="K116" t="str">
            <v>Supplementary</v>
          </cell>
          <cell r="L116" t="str">
            <v>SU</v>
          </cell>
          <cell r="N116" t="str">
            <v>MT</v>
          </cell>
          <cell r="O116">
            <v>3</v>
          </cell>
          <cell r="P116" t="str">
            <v>Core Expanded Studies</v>
          </cell>
          <cell r="Q116" t="str">
            <v>Further Credit Option</v>
          </cell>
          <cell r="R116" t="str">
            <v>Music Theory/Performance Grade 7/8</v>
          </cell>
        </row>
        <row r="117">
          <cell r="A117">
            <v>116</v>
          </cell>
          <cell r="B117" t="str">
            <v>Basic Intro. to Physical Science</v>
          </cell>
          <cell r="C117" t="str">
            <v>College Physical Science</v>
          </cell>
          <cell r="E117">
            <v>12</v>
          </cell>
          <cell r="F117">
            <v>1</v>
          </cell>
          <cell r="G117">
            <v>10</v>
          </cell>
          <cell r="H117">
            <v>10</v>
          </cell>
          <cell r="I117">
            <v>12</v>
          </cell>
          <cell r="J117">
            <v>5</v>
          </cell>
          <cell r="K117" t="str">
            <v>Science</v>
          </cell>
          <cell r="L117" t="str">
            <v>SC</v>
          </cell>
          <cell r="N117" t="str">
            <v>CP</v>
          </cell>
          <cell r="O117">
            <v>2</v>
          </cell>
          <cell r="P117" t="str">
            <v>Core Academic Studies</v>
          </cell>
          <cell r="Q117" t="str">
            <v>Further Credit Option</v>
          </cell>
          <cell r="R117" t="str">
            <v>College Physical Science</v>
          </cell>
        </row>
        <row r="118">
          <cell r="A118">
            <v>117</v>
          </cell>
          <cell r="B118" t="str">
            <v>Science 12</v>
          </cell>
          <cell r="C118" t="str">
            <v>Physics</v>
          </cell>
          <cell r="E118">
            <v>12</v>
          </cell>
          <cell r="F118">
            <v>133</v>
          </cell>
          <cell r="G118">
            <v>144</v>
          </cell>
          <cell r="H118">
            <v>12</v>
          </cell>
          <cell r="I118">
            <v>12</v>
          </cell>
          <cell r="J118">
            <v>5</v>
          </cell>
          <cell r="K118" t="str">
            <v>Science</v>
          </cell>
          <cell r="L118" t="str">
            <v>SC</v>
          </cell>
          <cell r="N118" t="str">
            <v>PH</v>
          </cell>
          <cell r="O118">
            <v>2</v>
          </cell>
          <cell r="P118" t="str">
            <v>Core Academic Studies</v>
          </cell>
          <cell r="Q118" t="str">
            <v>Further Credit Option</v>
          </cell>
          <cell r="R118" t="str">
            <v>Science Level 12</v>
          </cell>
        </row>
        <row r="119">
          <cell r="A119">
            <v>118</v>
          </cell>
          <cell r="C119" t="str">
            <v>American History</v>
          </cell>
          <cell r="D119" t="str">
            <v>Social Studies I-A</v>
          </cell>
          <cell r="E119">
            <v>8</v>
          </cell>
          <cell r="F119">
            <v>85</v>
          </cell>
          <cell r="G119">
            <v>96</v>
          </cell>
          <cell r="H119">
            <v>12</v>
          </cell>
          <cell r="I119">
            <v>12</v>
          </cell>
          <cell r="J119">
            <v>6</v>
          </cell>
          <cell r="K119" t="str">
            <v>Social Studies</v>
          </cell>
          <cell r="L119" t="str">
            <v>SS</v>
          </cell>
          <cell r="M119" t="str">
            <v>Credit Option</v>
          </cell>
          <cell r="N119" t="str">
            <v>AH</v>
          </cell>
          <cell r="O119">
            <v>2</v>
          </cell>
          <cell r="P119" t="str">
            <v>Core Academic Studies</v>
          </cell>
          <cell r="Q119" t="str">
            <v>Further Credit Option</v>
          </cell>
          <cell r="R119" t="str">
            <v>Social Studies Level 8 American History</v>
          </cell>
        </row>
        <row r="120">
          <cell r="A120">
            <v>119</v>
          </cell>
          <cell r="B120" t="str">
            <v>Civics and Economics</v>
          </cell>
          <cell r="C120" t="str">
            <v>Civics and Economics</v>
          </cell>
          <cell r="E120">
            <v>12</v>
          </cell>
          <cell r="F120">
            <v>133</v>
          </cell>
          <cell r="G120">
            <v>144</v>
          </cell>
          <cell r="H120">
            <v>12</v>
          </cell>
          <cell r="I120">
            <v>12</v>
          </cell>
          <cell r="J120">
            <v>6</v>
          </cell>
          <cell r="K120" t="str">
            <v>Social Studies</v>
          </cell>
          <cell r="L120" t="str">
            <v>SS</v>
          </cell>
          <cell r="M120" t="str">
            <v>Is een combinatie van twee vakken</v>
          </cell>
          <cell r="N120" t="str">
            <v>CE</v>
          </cell>
          <cell r="O120">
            <v>2</v>
          </cell>
          <cell r="P120" t="str">
            <v>Core Academic Studies</v>
          </cell>
          <cell r="Q120" t="str">
            <v>Further Credit Option</v>
          </cell>
          <cell r="R120" t="str">
            <v>Social Studies Level 12</v>
          </cell>
        </row>
        <row r="121">
          <cell r="A121">
            <v>120</v>
          </cell>
          <cell r="C121" t="str">
            <v>Collectivism</v>
          </cell>
          <cell r="E121">
            <v>12</v>
          </cell>
          <cell r="F121">
            <v>133</v>
          </cell>
          <cell r="G121">
            <v>138</v>
          </cell>
          <cell r="H121">
            <v>6</v>
          </cell>
          <cell r="I121">
            <v>6</v>
          </cell>
          <cell r="J121">
            <v>6</v>
          </cell>
          <cell r="K121" t="str">
            <v>Social Studies</v>
          </cell>
          <cell r="L121" t="str">
            <v>SS</v>
          </cell>
          <cell r="M121" t="str">
            <v>Over communisme en zo</v>
          </cell>
          <cell r="N121" t="str">
            <v>CO</v>
          </cell>
          <cell r="O121">
            <v>1</v>
          </cell>
          <cell r="P121" t="str">
            <v>Christian Studies</v>
          </cell>
          <cell r="Q121" t="str">
            <v>Further Credit Option</v>
          </cell>
          <cell r="R121" t="str">
            <v>Social Studies Level 12 Collectivism</v>
          </cell>
        </row>
        <row r="122">
          <cell r="A122">
            <v>121</v>
          </cell>
          <cell r="B122" t="str">
            <v>History of Civilisation II</v>
          </cell>
          <cell r="C122" t="str">
            <v>History of Civilisation II</v>
          </cell>
          <cell r="E122">
            <v>11</v>
          </cell>
          <cell r="F122">
            <v>11</v>
          </cell>
          <cell r="G122">
            <v>20</v>
          </cell>
          <cell r="H122">
            <v>10</v>
          </cell>
          <cell r="I122">
            <v>12</v>
          </cell>
          <cell r="J122">
            <v>6</v>
          </cell>
          <cell r="K122" t="str">
            <v>Social Studies</v>
          </cell>
          <cell r="L122" t="str">
            <v>SS</v>
          </cell>
          <cell r="M122" t="str">
            <v>Dit staat ook onder FCO, maar is verplicht!?</v>
          </cell>
          <cell r="N122" t="str">
            <v>HC</v>
          </cell>
          <cell r="O122">
            <v>2</v>
          </cell>
          <cell r="P122" t="str">
            <v>Core Academic Studies</v>
          </cell>
          <cell r="Q122" t="str">
            <v>Core</v>
          </cell>
          <cell r="R122" t="str">
            <v>Social Studies Level 11</v>
          </cell>
        </row>
        <row r="123">
          <cell r="A123">
            <v>122</v>
          </cell>
          <cell r="C123" t="str">
            <v>US Constitution</v>
          </cell>
          <cell r="E123">
            <v>12</v>
          </cell>
          <cell r="F123">
            <v>133</v>
          </cell>
          <cell r="G123">
            <v>136</v>
          </cell>
          <cell r="H123">
            <v>4</v>
          </cell>
          <cell r="I123">
            <v>6</v>
          </cell>
          <cell r="J123">
            <v>6</v>
          </cell>
          <cell r="K123" t="str">
            <v>Social Studies</v>
          </cell>
          <cell r="L123" t="str">
            <v>SS</v>
          </cell>
          <cell r="N123" t="str">
            <v>UC</v>
          </cell>
          <cell r="O123">
            <v>2</v>
          </cell>
          <cell r="P123" t="str">
            <v>Core Academic Studies</v>
          </cell>
          <cell r="Q123" t="str">
            <v>Further Credit Option</v>
          </cell>
          <cell r="R123" t="str">
            <v>Social Studies Level 12 US Constitution</v>
          </cell>
        </row>
        <row r="124">
          <cell r="A124">
            <v>123</v>
          </cell>
          <cell r="C124" t="str">
            <v>Christian Counselling II</v>
          </cell>
          <cell r="E124">
            <v>12</v>
          </cell>
          <cell r="F124">
            <v>6</v>
          </cell>
          <cell r="G124">
            <v>10</v>
          </cell>
          <cell r="H124">
            <v>5</v>
          </cell>
          <cell r="I124">
            <v>6</v>
          </cell>
          <cell r="J124">
            <v>7</v>
          </cell>
          <cell r="K124" t="str">
            <v>Biblical Studies</v>
          </cell>
          <cell r="L124" t="str">
            <v>BS</v>
          </cell>
          <cell r="M124" t="str">
            <v>Apologetics option only?</v>
          </cell>
          <cell r="N124" t="str">
            <v>CC</v>
          </cell>
          <cell r="O124">
            <v>1</v>
          </cell>
          <cell r="P124" t="str">
            <v>Christian Studies</v>
          </cell>
          <cell r="Q124" t="str">
            <v>Further Credit Option</v>
          </cell>
          <cell r="R124" t="str">
            <v>Christian Counselling II</v>
          </cell>
        </row>
        <row r="125">
          <cell r="A125">
            <v>124</v>
          </cell>
          <cell r="B125" t="str">
            <v>Basic Christian Growth</v>
          </cell>
          <cell r="C125" t="str">
            <v>Christian Growth</v>
          </cell>
          <cell r="D125" t="str">
            <v>ICCE-C48</v>
          </cell>
          <cell r="E125">
            <v>12</v>
          </cell>
          <cell r="F125">
            <v>133</v>
          </cell>
          <cell r="G125">
            <v>138</v>
          </cell>
          <cell r="H125">
            <v>6</v>
          </cell>
          <cell r="I125">
            <v>6</v>
          </cell>
          <cell r="J125">
            <v>7</v>
          </cell>
          <cell r="K125" t="str">
            <v>Biblical Studies</v>
          </cell>
          <cell r="L125" t="str">
            <v>BS</v>
          </cell>
          <cell r="N125" t="str">
            <v>CG</v>
          </cell>
          <cell r="O125">
            <v>1</v>
          </cell>
          <cell r="P125" t="str">
            <v>Christian Studies</v>
          </cell>
          <cell r="Q125" t="str">
            <v>Further Credit Option</v>
          </cell>
          <cell r="R125" t="str">
            <v>Christian Growth</v>
          </cell>
        </row>
        <row r="126">
          <cell r="A126">
            <v>125</v>
          </cell>
          <cell r="C126" t="str">
            <v>Life of Christ II</v>
          </cell>
          <cell r="E126">
            <v>12</v>
          </cell>
          <cell r="F126">
            <v>139</v>
          </cell>
          <cell r="G126">
            <v>144</v>
          </cell>
          <cell r="H126">
            <v>6</v>
          </cell>
          <cell r="J126">
            <v>7</v>
          </cell>
          <cell r="K126" t="str">
            <v>Biblical Studies</v>
          </cell>
          <cell r="L126" t="str">
            <v>BS</v>
          </cell>
          <cell r="M126" t="str">
            <v>Only possible to choose this as an option for Apologetics III</v>
          </cell>
          <cell r="N126" t="str">
            <v>LC</v>
          </cell>
          <cell r="O126">
            <v>1</v>
          </cell>
          <cell r="P126" t="str">
            <v>Christian Studies</v>
          </cell>
          <cell r="Q126" t="str">
            <v>Further Credit Option</v>
          </cell>
          <cell r="R126" t="str">
            <v>Life of Christ II</v>
          </cell>
        </row>
        <row r="127">
          <cell r="A127">
            <v>126</v>
          </cell>
          <cell r="B127" t="str">
            <v>Basic New Testament Church History</v>
          </cell>
          <cell r="C127" t="str">
            <v>New Testament Church History II</v>
          </cell>
          <cell r="E127">
            <v>12</v>
          </cell>
          <cell r="F127">
            <v>127</v>
          </cell>
          <cell r="G127">
            <v>132</v>
          </cell>
          <cell r="H127">
            <v>6</v>
          </cell>
          <cell r="I127">
            <v>6</v>
          </cell>
          <cell r="J127">
            <v>7</v>
          </cell>
          <cell r="K127" t="str">
            <v>Biblical Studies</v>
          </cell>
          <cell r="L127" t="str">
            <v>BS</v>
          </cell>
          <cell r="M127" t="str">
            <v>Only possible to choose this as an option for Apologetics III</v>
          </cell>
          <cell r="N127" t="str">
            <v>NC</v>
          </cell>
          <cell r="O127">
            <v>1</v>
          </cell>
          <cell r="P127" t="str">
            <v>Christian Studies</v>
          </cell>
          <cell r="Q127" t="str">
            <v>Further Credit Option</v>
          </cell>
          <cell r="R127" t="str">
            <v>New Testament Church History II</v>
          </cell>
        </row>
        <row r="128">
          <cell r="A128">
            <v>127</v>
          </cell>
          <cell r="C128" t="str">
            <v>English Composition I</v>
          </cell>
          <cell r="E128">
            <v>10</v>
          </cell>
          <cell r="F128">
            <v>1</v>
          </cell>
          <cell r="G128">
            <v>10</v>
          </cell>
          <cell r="H128">
            <v>10</v>
          </cell>
          <cell r="J128">
            <v>2</v>
          </cell>
          <cell r="K128" t="str">
            <v>Language</v>
          </cell>
          <cell r="L128" t="str">
            <v>LA</v>
          </cell>
          <cell r="M128" t="str">
            <v>Welk level? Staat niet op het blad</v>
          </cell>
          <cell r="N128" t="str">
            <v>EC</v>
          </cell>
          <cell r="O128">
            <v>2</v>
          </cell>
          <cell r="P128" t="str">
            <v>Core Academic Studies</v>
          </cell>
          <cell r="Q128" t="str">
            <v>Core</v>
          </cell>
          <cell r="R128" t="str">
            <v>English Composition I</v>
          </cell>
        </row>
        <row r="129">
          <cell r="A129">
            <v>128</v>
          </cell>
        </row>
        <row r="130">
          <cell r="A130">
            <v>129</v>
          </cell>
          <cell r="C130" t="str">
            <v>ICCE Biology</v>
          </cell>
          <cell r="E130">
            <v>9</v>
          </cell>
          <cell r="F130">
            <v>1</v>
          </cell>
          <cell r="G130">
            <v>6</v>
          </cell>
          <cell r="H130">
            <v>6</v>
          </cell>
          <cell r="J130">
            <v>5</v>
          </cell>
          <cell r="K130" t="str">
            <v>Science</v>
          </cell>
          <cell r="L130" t="str">
            <v>SC</v>
          </cell>
          <cell r="N130" t="str">
            <v>IB</v>
          </cell>
          <cell r="O130">
            <v>2</v>
          </cell>
          <cell r="P130" t="str">
            <v>Core Academic Studies</v>
          </cell>
          <cell r="Q130" t="str">
            <v>Further Credit Option</v>
          </cell>
          <cell r="R130" t="str">
            <v>ICCE Biology</v>
          </cell>
        </row>
        <row r="131">
          <cell r="A131">
            <v>130</v>
          </cell>
          <cell r="C131" t="str">
            <v>Biology Apologia</v>
          </cell>
          <cell r="E131">
            <v>10</v>
          </cell>
          <cell r="F131">
            <v>1</v>
          </cell>
          <cell r="G131">
            <v>16</v>
          </cell>
          <cell r="H131">
            <v>16</v>
          </cell>
          <cell r="J131">
            <v>5</v>
          </cell>
          <cell r="K131" t="str">
            <v>Science</v>
          </cell>
          <cell r="L131" t="str">
            <v>SC</v>
          </cell>
          <cell r="N131" t="str">
            <v>BA</v>
          </cell>
          <cell r="O131">
            <v>2</v>
          </cell>
          <cell r="P131" t="str">
            <v>Core Academic Studies</v>
          </cell>
          <cell r="Q131" t="str">
            <v>Further Credit Option</v>
          </cell>
          <cell r="R131" t="str">
            <v>Biology Apologia</v>
          </cell>
        </row>
        <row r="132">
          <cell r="A132">
            <v>131</v>
          </cell>
          <cell r="C132" t="str">
            <v>Life of Christ</v>
          </cell>
          <cell r="E132">
            <v>12</v>
          </cell>
          <cell r="F132">
            <v>133</v>
          </cell>
          <cell r="G132">
            <v>144</v>
          </cell>
          <cell r="H132">
            <v>12</v>
          </cell>
          <cell r="I132">
            <v>12</v>
          </cell>
          <cell r="J132">
            <v>7</v>
          </cell>
          <cell r="K132" t="str">
            <v>Biblical Studies</v>
          </cell>
          <cell r="L132" t="str">
            <v>BS</v>
          </cell>
          <cell r="N132" t="str">
            <v>LC</v>
          </cell>
          <cell r="O132">
            <v>1</v>
          </cell>
          <cell r="P132" t="str">
            <v>Christian Studies</v>
          </cell>
          <cell r="Q132" t="str">
            <v>Further Credit Option</v>
          </cell>
          <cell r="R132" t="str">
            <v>Life of Christ</v>
          </cell>
        </row>
        <row r="133">
          <cell r="A133">
            <v>132</v>
          </cell>
          <cell r="C133" t="str">
            <v>Dutch Language Staatsexamen VMBO</v>
          </cell>
          <cell r="E133">
            <v>9</v>
          </cell>
          <cell r="H133">
            <v>1</v>
          </cell>
          <cell r="I133">
            <v>12</v>
          </cell>
          <cell r="J133">
            <v>2</v>
          </cell>
          <cell r="K133" t="str">
            <v>Language</v>
          </cell>
          <cell r="L133" t="str">
            <v>LA</v>
          </cell>
          <cell r="N133" t="str">
            <v>NL</v>
          </cell>
          <cell r="O133">
            <v>2</v>
          </cell>
          <cell r="P133" t="str">
            <v>Core Academic Studies</v>
          </cell>
          <cell r="Q133" t="str">
            <v>Further Credit Option</v>
          </cell>
          <cell r="R133" t="str">
            <v>Dutch Language Staatsexamen VMBO</v>
          </cell>
        </row>
        <row r="134">
          <cell r="A134">
            <v>133</v>
          </cell>
          <cell r="C134" t="str">
            <v>Social Studies Essay General</v>
          </cell>
          <cell r="E134">
            <v>9</v>
          </cell>
          <cell r="H134">
            <v>1</v>
          </cell>
          <cell r="I134">
            <v>3</v>
          </cell>
          <cell r="J134">
            <v>6</v>
          </cell>
          <cell r="K134" t="str">
            <v>Social Studies</v>
          </cell>
          <cell r="L134" t="str">
            <v>SS</v>
          </cell>
          <cell r="N134" t="str">
            <v>ES</v>
          </cell>
          <cell r="O134">
            <v>7</v>
          </cell>
          <cell r="P134" t="str">
            <v>Coursework</v>
          </cell>
          <cell r="Q134" t="str">
            <v>CourseWork</v>
          </cell>
          <cell r="R134" t="str">
            <v>Social Studies Essay General</v>
          </cell>
        </row>
        <row r="135">
          <cell r="A135">
            <v>134</v>
          </cell>
          <cell r="C135" t="str">
            <v>Science Essay General</v>
          </cell>
          <cell r="E135">
            <v>9</v>
          </cell>
          <cell r="H135">
            <v>1</v>
          </cell>
          <cell r="I135">
            <v>3</v>
          </cell>
          <cell r="J135">
            <v>5</v>
          </cell>
          <cell r="K135" t="str">
            <v>Science</v>
          </cell>
          <cell r="L135" t="str">
            <v>SC</v>
          </cell>
          <cell r="N135" t="str">
            <v>ES</v>
          </cell>
          <cell r="O135">
            <v>7</v>
          </cell>
          <cell r="P135" t="str">
            <v>Coursework</v>
          </cell>
          <cell r="Q135" t="str">
            <v>CourseWork</v>
          </cell>
          <cell r="R135" t="str">
            <v>Science Essay General</v>
          </cell>
        </row>
        <row r="136">
          <cell r="A136">
            <v>135</v>
          </cell>
          <cell r="C136" t="str">
            <v>Biblical Studies Essay Intermediate</v>
          </cell>
          <cell r="E136">
            <v>10</v>
          </cell>
          <cell r="H136">
            <v>1</v>
          </cell>
          <cell r="I136">
            <v>2</v>
          </cell>
          <cell r="J136">
            <v>7</v>
          </cell>
          <cell r="K136" t="str">
            <v>Biblical Studies</v>
          </cell>
          <cell r="L136" t="str">
            <v>BS</v>
          </cell>
          <cell r="N136" t="str">
            <v>ES</v>
          </cell>
          <cell r="O136">
            <v>7</v>
          </cell>
          <cell r="P136" t="str">
            <v>Coursework</v>
          </cell>
          <cell r="Q136" t="str">
            <v>CourseWork</v>
          </cell>
          <cell r="R136" t="str">
            <v>Biblical Studies Essay Intermediate</v>
          </cell>
        </row>
        <row r="137">
          <cell r="A137">
            <v>136</v>
          </cell>
          <cell r="C137" t="str">
            <v>English Essay Intermediate</v>
          </cell>
          <cell r="E137">
            <v>10</v>
          </cell>
          <cell r="H137">
            <v>1</v>
          </cell>
          <cell r="I137">
            <v>2</v>
          </cell>
          <cell r="J137">
            <v>2</v>
          </cell>
          <cell r="K137" t="str">
            <v>Language</v>
          </cell>
          <cell r="L137" t="str">
            <v>LA</v>
          </cell>
          <cell r="N137" t="str">
            <v>ES</v>
          </cell>
          <cell r="O137">
            <v>7</v>
          </cell>
          <cell r="P137" t="str">
            <v>Coursework</v>
          </cell>
          <cell r="Q137" t="str">
            <v>CourseWork</v>
          </cell>
          <cell r="R137" t="str">
            <v>English Essay Intermediate</v>
          </cell>
        </row>
        <row r="138">
          <cell r="A138">
            <v>137</v>
          </cell>
          <cell r="C138" t="str">
            <v>Social Studies Essay Intermediate</v>
          </cell>
          <cell r="E138">
            <v>10</v>
          </cell>
          <cell r="H138">
            <v>1</v>
          </cell>
          <cell r="I138">
            <v>2</v>
          </cell>
          <cell r="J138">
            <v>6</v>
          </cell>
          <cell r="K138" t="str">
            <v>Social Studies</v>
          </cell>
          <cell r="L138" t="str">
            <v>SS</v>
          </cell>
          <cell r="N138" t="str">
            <v>ES</v>
          </cell>
          <cell r="O138">
            <v>7</v>
          </cell>
          <cell r="P138" t="str">
            <v>Coursework</v>
          </cell>
          <cell r="Q138" t="str">
            <v>CourseWork</v>
          </cell>
          <cell r="R138" t="str">
            <v>Social Studies Essay Intermediate</v>
          </cell>
        </row>
        <row r="139">
          <cell r="A139">
            <v>138</v>
          </cell>
          <cell r="C139" t="str">
            <v>Science Essay Intermediate</v>
          </cell>
          <cell r="E139">
            <v>10</v>
          </cell>
          <cell r="H139">
            <v>1</v>
          </cell>
          <cell r="I139">
            <v>2</v>
          </cell>
          <cell r="J139">
            <v>5</v>
          </cell>
          <cell r="K139" t="str">
            <v>Science</v>
          </cell>
          <cell r="L139" t="str">
            <v>SC</v>
          </cell>
          <cell r="N139" t="str">
            <v>ES</v>
          </cell>
          <cell r="O139">
            <v>7</v>
          </cell>
          <cell r="P139" t="str">
            <v>Coursework</v>
          </cell>
          <cell r="Q139" t="str">
            <v>CourseWork</v>
          </cell>
          <cell r="R139" t="str">
            <v>Science Essay Intermediate</v>
          </cell>
        </row>
        <row r="140">
          <cell r="A140">
            <v>139</v>
          </cell>
          <cell r="C140" t="str">
            <v>Biblical Studies Essay Advanced</v>
          </cell>
          <cell r="E140">
            <v>12</v>
          </cell>
          <cell r="H140">
            <v>1</v>
          </cell>
          <cell r="I140">
            <v>2</v>
          </cell>
          <cell r="J140">
            <v>7</v>
          </cell>
          <cell r="K140" t="str">
            <v>Biblical Studies</v>
          </cell>
          <cell r="L140" t="str">
            <v>BS</v>
          </cell>
          <cell r="N140" t="str">
            <v>ES</v>
          </cell>
          <cell r="O140">
            <v>7</v>
          </cell>
          <cell r="P140" t="str">
            <v>Coursework</v>
          </cell>
          <cell r="Q140" t="str">
            <v>CourseWork</v>
          </cell>
          <cell r="R140" t="str">
            <v>Biblical Studies Essay Advanced</v>
          </cell>
        </row>
        <row r="141">
          <cell r="A141">
            <v>140</v>
          </cell>
          <cell r="C141" t="str">
            <v>Maths Paper Advanced</v>
          </cell>
          <cell r="E141">
            <v>12</v>
          </cell>
          <cell r="H141">
            <v>1</v>
          </cell>
          <cell r="I141">
            <v>2</v>
          </cell>
          <cell r="J141">
            <v>1</v>
          </cell>
          <cell r="K141" t="str">
            <v>Maths</v>
          </cell>
          <cell r="L141" t="str">
            <v>MA</v>
          </cell>
          <cell r="N141" t="str">
            <v>ES</v>
          </cell>
          <cell r="O141">
            <v>7</v>
          </cell>
          <cell r="P141" t="str">
            <v>Coursework</v>
          </cell>
          <cell r="Q141" t="str">
            <v>CourseWork</v>
          </cell>
          <cell r="R141" t="str">
            <v>Maths Paper Advanced</v>
          </cell>
        </row>
        <row r="142">
          <cell r="A142">
            <v>141</v>
          </cell>
          <cell r="C142" t="str">
            <v>English Essay Advanced</v>
          </cell>
          <cell r="E142">
            <v>12</v>
          </cell>
          <cell r="H142">
            <v>1</v>
          </cell>
          <cell r="I142">
            <v>2</v>
          </cell>
          <cell r="J142">
            <v>2</v>
          </cell>
          <cell r="K142" t="str">
            <v>Language</v>
          </cell>
          <cell r="L142" t="str">
            <v>LA</v>
          </cell>
          <cell r="N142" t="str">
            <v>ES</v>
          </cell>
          <cell r="O142">
            <v>7</v>
          </cell>
          <cell r="P142" t="str">
            <v>Coursework</v>
          </cell>
          <cell r="Q142" t="str">
            <v>CourseWork</v>
          </cell>
          <cell r="R142" t="str">
            <v>English Essay Advanced</v>
          </cell>
        </row>
        <row r="143">
          <cell r="A143">
            <v>142</v>
          </cell>
          <cell r="C143" t="str">
            <v>Social Studies Essay Advanced</v>
          </cell>
          <cell r="E143">
            <v>12</v>
          </cell>
          <cell r="H143">
            <v>1</v>
          </cell>
          <cell r="I143">
            <v>2</v>
          </cell>
          <cell r="J143">
            <v>6</v>
          </cell>
          <cell r="K143" t="str">
            <v>Social Studies</v>
          </cell>
          <cell r="L143" t="str">
            <v>SS</v>
          </cell>
          <cell r="N143" t="str">
            <v>ES</v>
          </cell>
          <cell r="O143">
            <v>7</v>
          </cell>
          <cell r="P143" t="str">
            <v>Coursework</v>
          </cell>
          <cell r="Q143" t="str">
            <v>CourseWork</v>
          </cell>
          <cell r="R143" t="str">
            <v>Social Studies Essay Advanced</v>
          </cell>
        </row>
        <row r="144">
          <cell r="A144">
            <v>143</v>
          </cell>
          <cell r="C144" t="str">
            <v>Sciences Project Advanced</v>
          </cell>
          <cell r="E144">
            <v>12</v>
          </cell>
          <cell r="H144">
            <v>1</v>
          </cell>
          <cell r="I144">
            <v>2</v>
          </cell>
          <cell r="J144">
            <v>5</v>
          </cell>
          <cell r="K144" t="str">
            <v>Science</v>
          </cell>
          <cell r="L144" t="str">
            <v>SC</v>
          </cell>
          <cell r="N144" t="str">
            <v>PR</v>
          </cell>
          <cell r="O144">
            <v>7</v>
          </cell>
          <cell r="P144" t="str">
            <v>Coursework</v>
          </cell>
          <cell r="Q144" t="str">
            <v>CourseWork</v>
          </cell>
          <cell r="R144" t="str">
            <v>Sciences Project Advanced</v>
          </cell>
        </row>
        <row r="145">
          <cell r="A145">
            <v>144</v>
          </cell>
          <cell r="C145" t="str">
            <v>Sciences Essay Advanced</v>
          </cell>
          <cell r="E145">
            <v>12</v>
          </cell>
          <cell r="H145">
            <v>1</v>
          </cell>
          <cell r="I145">
            <v>2</v>
          </cell>
          <cell r="J145">
            <v>5</v>
          </cell>
          <cell r="K145" t="str">
            <v>Science</v>
          </cell>
          <cell r="L145" t="str">
            <v>SC</v>
          </cell>
          <cell r="N145" t="str">
            <v>ES</v>
          </cell>
          <cell r="O145">
            <v>7</v>
          </cell>
          <cell r="P145" t="str">
            <v>Coursework</v>
          </cell>
          <cell r="Q145" t="str">
            <v>CourseWork</v>
          </cell>
          <cell r="R145" t="str">
            <v>Sciences Essay Advanced</v>
          </cell>
        </row>
        <row r="146">
          <cell r="A146">
            <v>145</v>
          </cell>
          <cell r="C146" t="str">
            <v>English III Dissertation</v>
          </cell>
          <cell r="E146">
            <v>12</v>
          </cell>
          <cell r="H146">
            <v>1</v>
          </cell>
          <cell r="I146">
            <v>2</v>
          </cell>
          <cell r="J146">
            <v>2</v>
          </cell>
          <cell r="K146" t="str">
            <v>Language</v>
          </cell>
          <cell r="L146" t="str">
            <v>LA</v>
          </cell>
          <cell r="N146" t="str">
            <v>DS</v>
          </cell>
          <cell r="O146">
            <v>7</v>
          </cell>
          <cell r="P146" t="str">
            <v>Coursework</v>
          </cell>
          <cell r="Q146" t="str">
            <v>CourseWork</v>
          </cell>
          <cell r="R146" t="str">
            <v>English III Dissertation</v>
          </cell>
        </row>
        <row r="147">
          <cell r="A147">
            <v>146</v>
          </cell>
          <cell r="C147" t="str">
            <v>Literature Level 9</v>
          </cell>
          <cell r="E147">
            <v>9</v>
          </cell>
          <cell r="F147">
            <v>98</v>
          </cell>
          <cell r="G147">
            <v>108</v>
          </cell>
          <cell r="H147">
            <v>11</v>
          </cell>
          <cell r="I147">
            <v>6</v>
          </cell>
          <cell r="J147">
            <v>4</v>
          </cell>
          <cell r="K147" t="str">
            <v>Literature</v>
          </cell>
          <cell r="L147" t="str">
            <v>LI</v>
          </cell>
          <cell r="M147" t="str">
            <v xml:space="preserve">Alleen even getallen hebben PACE beschikbaar. 106 is niet meer te verkrijgen, dus is vervangen door Poetry of After the Flood. Daarom staat er ipv 106 "106P". Er moeten zes PACEs in totaal worden gedaan met de keuze uit deze vijf beschikbare, of Poetry 1 of 2, of After the Flood. </v>
          </cell>
          <cell r="N147" t="str">
            <v>LC</v>
          </cell>
          <cell r="O147">
            <v>2</v>
          </cell>
          <cell r="P147" t="str">
            <v>Core Academic Studies</v>
          </cell>
          <cell r="Q147" t="str">
            <v>Core</v>
          </cell>
          <cell r="R147" t="str">
            <v>Literature Level 9</v>
          </cell>
        </row>
        <row r="148">
          <cell r="A148">
            <v>147</v>
          </cell>
          <cell r="C148" t="str">
            <v>UK Social Studies</v>
          </cell>
          <cell r="E148">
            <v>5</v>
          </cell>
          <cell r="F148">
            <v>49</v>
          </cell>
          <cell r="G148">
            <v>60</v>
          </cell>
          <cell r="H148">
            <v>12</v>
          </cell>
          <cell r="I148">
            <v>12</v>
          </cell>
          <cell r="J148">
            <v>6</v>
          </cell>
          <cell r="K148" t="str">
            <v>Social Studies</v>
          </cell>
          <cell r="L148" t="str">
            <v>SS</v>
          </cell>
          <cell r="N148" t="str">
            <v>UK</v>
          </cell>
          <cell r="O148">
            <v>2</v>
          </cell>
          <cell r="P148" t="str">
            <v>Core Academic Studies</v>
          </cell>
          <cell r="Q148" t="str">
            <v>Core</v>
          </cell>
          <cell r="R148" t="str">
            <v>Social Studies Level 5 UK</v>
          </cell>
        </row>
        <row r="149">
          <cell r="A149">
            <v>148</v>
          </cell>
          <cell r="C149" t="str">
            <v>US History</v>
          </cell>
          <cell r="E149">
            <v>10</v>
          </cell>
          <cell r="F149">
            <v>109</v>
          </cell>
          <cell r="G149">
            <v>120</v>
          </cell>
          <cell r="H149">
            <v>12</v>
          </cell>
          <cell r="I149">
            <v>12</v>
          </cell>
          <cell r="J149">
            <v>6</v>
          </cell>
          <cell r="K149" t="str">
            <v>Social Studies</v>
          </cell>
          <cell r="L149" t="str">
            <v>SS</v>
          </cell>
          <cell r="N149" t="str">
            <v>UH</v>
          </cell>
          <cell r="O149">
            <v>2</v>
          </cell>
          <cell r="P149" t="str">
            <v>Core Academic Studies</v>
          </cell>
          <cell r="Q149" t="str">
            <v>Further Credit Option</v>
          </cell>
          <cell r="R149" t="str">
            <v>Social Studies Level 10 American History</v>
          </cell>
        </row>
        <row r="150">
          <cell r="A150">
            <v>149</v>
          </cell>
          <cell r="C150" t="str">
            <v>Animal Science</v>
          </cell>
          <cell r="E150">
            <v>2</v>
          </cell>
          <cell r="F150">
            <v>13</v>
          </cell>
          <cell r="G150">
            <v>24</v>
          </cell>
          <cell r="H150">
            <v>12</v>
          </cell>
          <cell r="I150">
            <v>12</v>
          </cell>
          <cell r="J150">
            <v>5</v>
          </cell>
          <cell r="K150" t="str">
            <v>Science</v>
          </cell>
          <cell r="L150" t="str">
            <v>SC</v>
          </cell>
          <cell r="N150" t="str">
            <v>AS</v>
          </cell>
          <cell r="O150">
            <v>2</v>
          </cell>
          <cell r="P150" t="str">
            <v>Core Academic Studies</v>
          </cell>
          <cell r="Q150" t="str">
            <v>Core</v>
          </cell>
          <cell r="R150" t="str">
            <v>Science Level 2 Animal</v>
          </cell>
        </row>
        <row r="151">
          <cell r="A151">
            <v>150</v>
          </cell>
          <cell r="B151" t="str">
            <v>English Grammar</v>
          </cell>
          <cell r="C151" t="str">
            <v>Grammar</v>
          </cell>
          <cell r="E151">
            <v>6</v>
          </cell>
          <cell r="F151">
            <v>1</v>
          </cell>
          <cell r="G151">
            <v>6</v>
          </cell>
          <cell r="H151">
            <v>6</v>
          </cell>
          <cell r="I151">
            <v>6</v>
          </cell>
          <cell r="J151">
            <v>2</v>
          </cell>
          <cell r="K151" t="str">
            <v>Language</v>
          </cell>
          <cell r="L151" t="str">
            <v>GR</v>
          </cell>
          <cell r="M151" t="str">
            <v>Elective</v>
          </cell>
          <cell r="N151" t="str">
            <v>EG</v>
          </cell>
          <cell r="O151">
            <v>2</v>
          </cell>
          <cell r="P151" t="str">
            <v>Core Academic Studies</v>
          </cell>
          <cell r="Q151" t="str">
            <v>Further Credit Option</v>
          </cell>
          <cell r="R151" t="str">
            <v>English Grammar</v>
          </cell>
        </row>
        <row r="152">
          <cell r="A152">
            <v>151</v>
          </cell>
          <cell r="C152" t="str">
            <v>Apologetics I</v>
          </cell>
          <cell r="D152" t="str">
            <v>Apologetics I-A (2019)</v>
          </cell>
          <cell r="E152">
            <v>9</v>
          </cell>
          <cell r="F152">
            <v>97</v>
          </cell>
          <cell r="G152">
            <v>102</v>
          </cell>
          <cell r="H152">
            <v>2</v>
          </cell>
          <cell r="I152">
            <v>6</v>
          </cell>
          <cell r="J152">
            <v>7</v>
          </cell>
          <cell r="K152" t="str">
            <v>Biblical Studies</v>
          </cell>
          <cell r="L152" t="str">
            <v>BS</v>
          </cell>
          <cell r="M152" t="str">
            <v>Dit zijn alleen twee PACE's 97,102. Vroeger waren dit aparte PACEs, maar nu gebundeld in één PACE "Apologetics 01".</v>
          </cell>
          <cell r="N152" t="str">
            <v>AP</v>
          </cell>
          <cell r="O152">
            <v>1</v>
          </cell>
          <cell r="P152" t="str">
            <v>Christian Studies</v>
          </cell>
          <cell r="Q152" t="str">
            <v>Core</v>
          </cell>
        </row>
        <row r="153">
          <cell r="A153">
            <v>152</v>
          </cell>
          <cell r="C153" t="str">
            <v>Apologetics II</v>
          </cell>
          <cell r="D153" t="str">
            <v>Apologetics I-B (2019)</v>
          </cell>
          <cell r="E153">
            <v>10</v>
          </cell>
          <cell r="F153">
            <v>98</v>
          </cell>
          <cell r="G153">
            <v>101</v>
          </cell>
          <cell r="H153">
            <v>4</v>
          </cell>
          <cell r="I153">
            <v>6</v>
          </cell>
          <cell r="J153">
            <v>7</v>
          </cell>
          <cell r="K153" t="str">
            <v>Biblical Studies</v>
          </cell>
          <cell r="L153" t="str">
            <v>BS</v>
          </cell>
          <cell r="M153" t="str">
            <v>Dit zijn alleen vier PACE's 98-101. De sterren worden niet gegeven voor de toetsen maar voor de essays voor de boeken die ze moeten lezen. Vroeger waren dit aparte PACEs, maar nu gebundeld in één PACE "Apologetics 02".</v>
          </cell>
          <cell r="N153" t="str">
            <v>AP</v>
          </cell>
          <cell r="O153">
            <v>1</v>
          </cell>
          <cell r="P153" t="str">
            <v>Christian Studies</v>
          </cell>
          <cell r="Q153" t="str">
            <v>Core</v>
          </cell>
        </row>
        <row r="154">
          <cell r="A154">
            <v>153</v>
          </cell>
          <cell r="B154" t="str">
            <v>World History</v>
          </cell>
          <cell r="C154" t="str">
            <v>World History</v>
          </cell>
          <cell r="E154">
            <v>10</v>
          </cell>
          <cell r="F154">
            <v>97</v>
          </cell>
          <cell r="G154">
            <v>108</v>
          </cell>
          <cell r="H154">
            <v>12</v>
          </cell>
          <cell r="I154">
            <v>12</v>
          </cell>
          <cell r="J154">
            <v>6</v>
          </cell>
          <cell r="K154" t="str">
            <v>Social Studies</v>
          </cell>
          <cell r="L154" t="str">
            <v>SS</v>
          </cell>
          <cell r="M154" t="str">
            <v xml:space="preserve">Dit lijkt op ID59 maar zie opmerking daar. Dit valt ook onder een andere SubjectGroupID (klopt dat?). </v>
          </cell>
          <cell r="N154" t="str">
            <v>WH</v>
          </cell>
          <cell r="O154">
            <v>2</v>
          </cell>
          <cell r="P154" t="str">
            <v>Core Academic Studies</v>
          </cell>
          <cell r="Q154" t="str">
            <v>Core</v>
          </cell>
          <cell r="R154" t="str">
            <v>Social Studies Level 12 World History</v>
          </cell>
        </row>
        <row r="155">
          <cell r="A155">
            <v>154</v>
          </cell>
          <cell r="C155" t="str">
            <v>Algebra I &amp; Geometry I</v>
          </cell>
          <cell r="D155" t="str">
            <v>Mathematics-IB</v>
          </cell>
          <cell r="E155">
            <v>12</v>
          </cell>
          <cell r="H155">
            <v>12</v>
          </cell>
          <cell r="I155">
            <v>2</v>
          </cell>
          <cell r="J155">
            <v>1</v>
          </cell>
          <cell r="K155" t="str">
            <v>Maths</v>
          </cell>
          <cell r="L155" t="str">
            <v>MA</v>
          </cell>
          <cell r="M155" t="str">
            <v xml:space="preserve">Dit is een nieuwe optie waarbij de leerling de eerste helft van Algebra 1 en Geometry I mag doen, en dan bij Intermediate de tweede helft van Algebra 1 en Geometry. </v>
          </cell>
          <cell r="N155" t="str">
            <v>MA</v>
          </cell>
          <cell r="O155">
            <v>2</v>
          </cell>
          <cell r="P155" t="str">
            <v>Core Academic Studies</v>
          </cell>
          <cell r="Q155" t="str">
            <v>Core</v>
          </cell>
          <cell r="R155" t="str">
            <v>Algebra I &amp; Geometry I</v>
          </cell>
        </row>
        <row r="156">
          <cell r="A156">
            <v>155</v>
          </cell>
          <cell r="C156" t="str">
            <v>Algebra I &amp; Geometry II</v>
          </cell>
          <cell r="D156" t="str">
            <v>Mathematics-IIB</v>
          </cell>
          <cell r="E156">
            <v>12</v>
          </cell>
          <cell r="H156">
            <v>12</v>
          </cell>
          <cell r="I156">
            <v>2</v>
          </cell>
          <cell r="J156">
            <v>1</v>
          </cell>
          <cell r="K156" t="str">
            <v>Maths</v>
          </cell>
          <cell r="L156" t="str">
            <v>MA</v>
          </cell>
          <cell r="M156" t="str">
            <v>De naamgeving is misleidend, er staat "Geometry II" maar hiermee wordt bedoeld de tweede helft van Geometry</v>
          </cell>
          <cell r="N156" t="str">
            <v>MA</v>
          </cell>
          <cell r="O156">
            <v>2</v>
          </cell>
          <cell r="P156" t="str">
            <v>Core Academic Studies</v>
          </cell>
          <cell r="Q156" t="str">
            <v>Core</v>
          </cell>
          <cell r="R156" t="str">
            <v>Algebra I &amp; Geometry II</v>
          </cell>
        </row>
        <row r="157">
          <cell r="A157">
            <v>159</v>
          </cell>
          <cell r="C157" t="str">
            <v>ICCE Physical Science</v>
          </cell>
          <cell r="D157" t="str">
            <v>AEE Physical Science I-B (part 1)</v>
          </cell>
          <cell r="E157">
            <v>9</v>
          </cell>
          <cell r="F157">
            <v>85</v>
          </cell>
          <cell r="G157">
            <v>88</v>
          </cell>
          <cell r="H157">
            <v>4</v>
          </cell>
          <cell r="I157">
            <v>6</v>
          </cell>
          <cell r="J157">
            <v>5</v>
          </cell>
          <cell r="K157" t="str">
            <v>Science</v>
          </cell>
          <cell r="L157" t="str">
            <v>SC</v>
          </cell>
          <cell r="M157" t="str">
            <v xml:space="preserve">Dit is verplicht vanaf 2024-01 voor General. De formele naam is "ICCE …" maar de publisher is "AEE", dit is samen met vak ID=160 één vak. </v>
          </cell>
          <cell r="N157" t="str">
            <v>SC</v>
          </cell>
          <cell r="O157">
            <v>2</v>
          </cell>
          <cell r="P157" t="str">
            <v>Core Academic Studies</v>
          </cell>
          <cell r="Q157" t="str">
            <v>Core</v>
          </cell>
          <cell r="R157" t="str">
            <v>AEE Physical Science</v>
          </cell>
        </row>
        <row r="158">
          <cell r="A158">
            <v>160</v>
          </cell>
          <cell r="C158" t="str">
            <v>ICCE Physical Science</v>
          </cell>
          <cell r="D158" t="str">
            <v>AEE Physical Science I-B (part 2)</v>
          </cell>
          <cell r="E158">
            <v>9</v>
          </cell>
          <cell r="F158">
            <v>97</v>
          </cell>
          <cell r="G158">
            <v>100</v>
          </cell>
          <cell r="H158">
            <v>4</v>
          </cell>
          <cell r="I158">
            <v>6</v>
          </cell>
          <cell r="J158">
            <v>5</v>
          </cell>
          <cell r="K158" t="str">
            <v>Science</v>
          </cell>
          <cell r="L158" t="str">
            <v>SC</v>
          </cell>
          <cell r="M158" t="str">
            <v xml:space="preserve">Dit is verplicht vanaf 2024-01 voor General. De formele naam is "ICCE …" maar de publisher is "AEE", dit is samen met vak ID=159 één vak. </v>
          </cell>
          <cell r="N158" t="str">
            <v>SC</v>
          </cell>
          <cell r="O158">
            <v>2</v>
          </cell>
          <cell r="P158" t="str">
            <v>Core Academic Studies</v>
          </cell>
          <cell r="Q158" t="str">
            <v>Core</v>
          </cell>
          <cell r="R158" t="str">
            <v>AEE Physical Science</v>
          </cell>
        </row>
        <row r="159">
          <cell r="A159">
            <v>999</v>
          </cell>
          <cell r="C159" t="str">
            <v>Rosetta Stone Language X</v>
          </cell>
          <cell r="K159" t="str">
            <v>Language</v>
          </cell>
          <cell r="L159" t="e">
            <v>#N/A</v>
          </cell>
          <cell r="M159" t="str">
            <v>Moet ik dit toevoegen voor elke unit en taal?</v>
          </cell>
          <cell r="N159" t="str">
            <v>RS</v>
          </cell>
          <cell r="O159">
            <v>2</v>
          </cell>
          <cell r="P159" t="str">
            <v>Core Academic Studies</v>
          </cell>
          <cell r="Q159" t="str">
            <v>Core</v>
          </cell>
        </row>
        <row r="160">
          <cell r="A160">
            <v>161</v>
          </cell>
          <cell r="B160" t="str">
            <v>Basic New Testament Church History</v>
          </cell>
          <cell r="C160" t="str">
            <v>New Testament Church History I</v>
          </cell>
          <cell r="E160">
            <v>12</v>
          </cell>
          <cell r="F160">
            <v>121</v>
          </cell>
          <cell r="G160">
            <v>126</v>
          </cell>
          <cell r="H160">
            <v>6</v>
          </cell>
          <cell r="I160">
            <v>6</v>
          </cell>
          <cell r="J160">
            <v>7</v>
          </cell>
          <cell r="K160" t="str">
            <v>Biblical Studies</v>
          </cell>
          <cell r="L160" t="str">
            <v>BS</v>
          </cell>
          <cell r="M160" t="str">
            <v>Only possible to choose this as an option for Apologetics II</v>
          </cell>
          <cell r="N160" t="str">
            <v>NC</v>
          </cell>
          <cell r="O160">
            <v>1</v>
          </cell>
          <cell r="P160" t="str">
            <v>Christian Studies</v>
          </cell>
          <cell r="Q160" t="str">
            <v>Further Credit Option</v>
          </cell>
          <cell r="R160" t="str">
            <v>New Testament Church History I</v>
          </cell>
        </row>
        <row r="161">
          <cell r="A161">
            <v>162</v>
          </cell>
          <cell r="B161" t="str">
            <v>Basic Biographies of Christians</v>
          </cell>
          <cell r="C161" t="str">
            <v>Biographies of Christians</v>
          </cell>
          <cell r="E161">
            <v>12</v>
          </cell>
          <cell r="F161">
            <v>1</v>
          </cell>
          <cell r="G161">
            <v>10</v>
          </cell>
          <cell r="H161">
            <v>10</v>
          </cell>
          <cell r="I161">
            <v>12</v>
          </cell>
          <cell r="J161">
            <v>7</v>
          </cell>
          <cell r="K161" t="str">
            <v>Biblical Studies</v>
          </cell>
          <cell r="L161" t="str">
            <v>BS</v>
          </cell>
          <cell r="N161" t="str">
            <v>BC</v>
          </cell>
          <cell r="O161">
            <v>1</v>
          </cell>
          <cell r="P161" t="str">
            <v>Christian Studies</v>
          </cell>
          <cell r="Q161" t="str">
            <v>Further Credit Option</v>
          </cell>
          <cell r="R161" t="str">
            <v>Biographies of Christians</v>
          </cell>
        </row>
        <row r="162">
          <cell r="A162">
            <v>163</v>
          </cell>
          <cell r="B162" t="str">
            <v>College Basic Old Testament Survey</v>
          </cell>
          <cell r="C162" t="str">
            <v>College Old Testament Survey</v>
          </cell>
          <cell r="E162">
            <v>12</v>
          </cell>
          <cell r="F162">
            <v>1</v>
          </cell>
          <cell r="G162">
            <v>10</v>
          </cell>
          <cell r="H162">
            <v>10</v>
          </cell>
          <cell r="I162">
            <v>12</v>
          </cell>
          <cell r="J162">
            <v>7</v>
          </cell>
          <cell r="K162" t="str">
            <v>Biblical Studies</v>
          </cell>
          <cell r="L162" t="str">
            <v>BS</v>
          </cell>
          <cell r="N162" t="str">
            <v>COTS</v>
          </cell>
          <cell r="O162">
            <v>1</v>
          </cell>
          <cell r="P162" t="str">
            <v>Christian Studies</v>
          </cell>
          <cell r="Q162" t="str">
            <v>Further Credit Option</v>
          </cell>
          <cell r="R162" t="str">
            <v>College Old Testament Survey</v>
          </cell>
        </row>
        <row r="163">
          <cell r="A163">
            <v>164</v>
          </cell>
          <cell r="B163" t="str">
            <v>U.S. Civics</v>
          </cell>
          <cell r="C163" t="str">
            <v>Civics</v>
          </cell>
          <cell r="E163">
            <v>12</v>
          </cell>
          <cell r="F163">
            <v>133</v>
          </cell>
          <cell r="G163">
            <v>138</v>
          </cell>
          <cell r="H163">
            <v>6</v>
          </cell>
          <cell r="I163">
            <v>6</v>
          </cell>
          <cell r="J163">
            <v>6</v>
          </cell>
          <cell r="K163" t="str">
            <v>Social Studies</v>
          </cell>
          <cell r="L163" t="str">
            <v>SS</v>
          </cell>
          <cell r="N163" t="str">
            <v>USCI</v>
          </cell>
          <cell r="O163">
            <v>2</v>
          </cell>
          <cell r="P163" t="str">
            <v>Core Academic Studies</v>
          </cell>
          <cell r="Q163" t="str">
            <v>Further Credit Option</v>
          </cell>
          <cell r="R163" t="str">
            <v>Social Studies Level 12</v>
          </cell>
        </row>
        <row r="164">
          <cell r="A164">
            <v>165</v>
          </cell>
          <cell r="B164" t="str">
            <v>Economics</v>
          </cell>
          <cell r="C164" t="str">
            <v>Economics</v>
          </cell>
          <cell r="E164">
            <v>12</v>
          </cell>
          <cell r="F164">
            <v>139</v>
          </cell>
          <cell r="G164">
            <v>144</v>
          </cell>
          <cell r="H164">
            <v>6</v>
          </cell>
          <cell r="I164">
            <v>6</v>
          </cell>
          <cell r="J164">
            <v>6</v>
          </cell>
          <cell r="K164" t="str">
            <v>Social Studies</v>
          </cell>
          <cell r="L164" t="str">
            <v>SS</v>
          </cell>
          <cell r="N164" t="str">
            <v>ECON</v>
          </cell>
          <cell r="O164">
            <v>2</v>
          </cell>
          <cell r="P164" t="str">
            <v>Core Academic Studies</v>
          </cell>
          <cell r="Q164" t="str">
            <v>Further Credit Option</v>
          </cell>
          <cell r="R164" t="str">
            <v>Social Studies Level 12</v>
          </cell>
        </row>
        <row r="165">
          <cell r="A165">
            <v>166</v>
          </cell>
          <cell r="B165" t="str">
            <v>Business Math</v>
          </cell>
          <cell r="C165" t="str">
            <v>Business Math</v>
          </cell>
          <cell r="E165">
            <v>10</v>
          </cell>
          <cell r="F165">
            <v>1</v>
          </cell>
          <cell r="G165">
            <v>12</v>
          </cell>
          <cell r="H165">
            <v>12</v>
          </cell>
          <cell r="I165">
            <v>12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persons/person.xml><?xml version="1.0" encoding="utf-8"?>
<personList xmlns="http://schemas.microsoft.com/office/spreadsheetml/2018/threadedcomments" xmlns:x="http://schemas.openxmlformats.org/spreadsheetml/2006/main">
  <person displayName="S. Bezemer | ICS De Ceder" id="{0115B79B-B702-174A-A99A-2753490B94EB}" userId="s.bezemer@ceder.nl" providerId="PeoplePicker"/>
  <person displayName="Andrew Yong | ICS De Ceder" id="{871434CB-E1B0-4149-A746-53FA30ACA2CA}" userId="S::a.yong@ceder.nl::45200129-7f3d-48ed-8cc8-0305ccf313a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62" dT="2025-12-12T12:21:56.73" personId="{871434CB-E1B0-4149-A746-53FA30ACA2CA}" id="{CAC05455-CBED-2B47-A5D3-4A9ABAC6F3E4}">
    <text>@S. Bezemer | ICS De Ceder ik kan deze niet vinden in de course list van ICCE. Is niet relevant voor nu, maar ik plaats alvast een opmerking hier.</text>
    <mentions>
      <mention mentionpersonId="{0115B79B-B702-174A-A99A-2753490B94EB}" mentionId="{58203638-4437-6644-B537-FD04FED59B6A}" startIndex="0" length="26"/>
    </mentions>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06BF-286A-AF42-953F-7A741BA16CD6}">
  <dimension ref="A1:D12"/>
  <sheetViews>
    <sheetView tabSelected="1" zoomScale="223" workbookViewId="0">
      <pane xSplit="1" ySplit="1" topLeftCell="B2" activePane="bottomRight" state="frozen"/>
      <selection pane="topRight" activeCell="B1" sqref="B1"/>
      <selection pane="bottomLeft" activeCell="A2" sqref="A2"/>
      <selection pane="bottomRight" activeCell="A13" sqref="A13"/>
    </sheetView>
  </sheetViews>
  <sheetFormatPr baseColWidth="10" defaultRowHeight="15" x14ac:dyDescent="0.2"/>
  <cols>
    <col min="1" max="1" width="3.1640625" bestFit="1" customWidth="1"/>
    <col min="2" max="2" width="37" style="160" customWidth="1"/>
    <col min="3" max="3" width="27.6640625" customWidth="1"/>
  </cols>
  <sheetData>
    <row r="1" spans="1:4" ht="16" x14ac:dyDescent="0.2">
      <c r="A1" s="37" t="s">
        <v>372</v>
      </c>
      <c r="B1" s="161" t="s">
        <v>1682</v>
      </c>
      <c r="C1" s="37" t="s">
        <v>1753</v>
      </c>
      <c r="D1" s="37" t="s">
        <v>355</v>
      </c>
    </row>
    <row r="2" spans="1:4" ht="32" x14ac:dyDescent="0.2">
      <c r="A2">
        <v>1</v>
      </c>
      <c r="B2" s="160" t="s">
        <v>1782</v>
      </c>
      <c r="D2" t="s">
        <v>1762</v>
      </c>
    </row>
    <row r="3" spans="1:4" ht="32" x14ac:dyDescent="0.2">
      <c r="A3">
        <v>2</v>
      </c>
      <c r="B3" s="160" t="s">
        <v>1751</v>
      </c>
      <c r="D3" t="s">
        <v>1762</v>
      </c>
    </row>
    <row r="4" spans="1:4" ht="32" x14ac:dyDescent="0.2">
      <c r="A4">
        <v>3</v>
      </c>
      <c r="B4" s="160" t="s">
        <v>1752</v>
      </c>
      <c r="C4" s="160"/>
      <c r="D4" t="s">
        <v>1761</v>
      </c>
    </row>
    <row r="5" spans="1:4" ht="32" x14ac:dyDescent="0.2">
      <c r="A5">
        <v>4</v>
      </c>
      <c r="B5" s="160" t="s">
        <v>1763</v>
      </c>
      <c r="D5" t="s">
        <v>1761</v>
      </c>
    </row>
    <row r="6" spans="1:4" ht="32" x14ac:dyDescent="0.2">
      <c r="B6" s="160" t="s">
        <v>1764</v>
      </c>
      <c r="D6" t="s">
        <v>1761</v>
      </c>
    </row>
    <row r="7" spans="1:4" ht="16" x14ac:dyDescent="0.2">
      <c r="A7">
        <v>5</v>
      </c>
      <c r="B7" s="160" t="s">
        <v>1765</v>
      </c>
      <c r="D7" t="s">
        <v>1761</v>
      </c>
    </row>
    <row r="8" spans="1:4" ht="32" x14ac:dyDescent="0.2">
      <c r="A8">
        <v>6</v>
      </c>
      <c r="B8" s="160" t="s">
        <v>1781</v>
      </c>
      <c r="D8" t="s">
        <v>1762</v>
      </c>
    </row>
    <row r="9" spans="1:4" ht="16" x14ac:dyDescent="0.2">
      <c r="A9">
        <v>7</v>
      </c>
      <c r="B9" s="160" t="s">
        <v>1783</v>
      </c>
      <c r="D9" t="s">
        <v>1762</v>
      </c>
    </row>
    <row r="10" spans="1:4" ht="32" x14ac:dyDescent="0.2">
      <c r="A10">
        <v>8</v>
      </c>
      <c r="B10" s="160" t="s">
        <v>1784</v>
      </c>
      <c r="D10" t="s">
        <v>1762</v>
      </c>
    </row>
    <row r="11" spans="1:4" ht="16" x14ac:dyDescent="0.2">
      <c r="A11">
        <v>9</v>
      </c>
      <c r="B11" s="160" t="s">
        <v>1785</v>
      </c>
    </row>
    <row r="12" spans="1:4" ht="16" x14ac:dyDescent="0.2">
      <c r="A12">
        <v>10</v>
      </c>
      <c r="B12" s="160" t="s">
        <v>1786</v>
      </c>
      <c r="C12" t="s">
        <v>1787</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A13B-3856-4D4A-AE7A-12E2B2B9AD38}">
  <sheetPr>
    <pageSetUpPr fitToPage="1"/>
  </sheetPr>
  <dimension ref="A1:AN70"/>
  <sheetViews>
    <sheetView view="pageLayout" topLeftCell="A2" zoomScale="218" zoomScaleNormal="115" zoomScalePageLayoutView="218" workbookViewId="0">
      <selection activeCell="A24" sqref="A24:J24"/>
    </sheetView>
  </sheetViews>
  <sheetFormatPr baseColWidth="10" defaultColWidth="9.1640625" defaultRowHeight="15" x14ac:dyDescent="0.2"/>
  <cols>
    <col min="1" max="14" width="2.33203125" customWidth="1"/>
    <col min="15" max="15" width="2.33203125" style="52" customWidth="1"/>
    <col min="16" max="19" width="2.33203125" customWidth="1"/>
    <col min="20" max="20" width="2.33203125" style="53" customWidth="1"/>
    <col min="21" max="24" width="2.33203125" customWidth="1"/>
    <col min="25" max="25" width="2.33203125" style="53" customWidth="1"/>
    <col min="26" max="29" width="2.33203125" customWidth="1"/>
    <col min="30" max="30" width="2.33203125" style="53" customWidth="1"/>
    <col min="31" max="34" width="2.33203125" customWidth="1"/>
    <col min="35" max="35" width="2.33203125" style="53" customWidth="1"/>
    <col min="36" max="39" width="2.33203125" customWidth="1"/>
    <col min="40" max="40" width="2.33203125" style="53" customWidth="1"/>
    <col min="41" max="56" width="0.5" customWidth="1"/>
  </cols>
  <sheetData>
    <row r="1" spans="1:40" ht="15" customHeight="1" x14ac:dyDescent="0.2">
      <c r="K1" s="147" t="s">
        <v>1613</v>
      </c>
      <c r="L1" s="147"/>
      <c r="M1" s="147"/>
      <c r="N1" s="147"/>
      <c r="O1" s="147"/>
      <c r="P1" s="147"/>
      <c r="Q1" s="147"/>
      <c r="R1" s="147"/>
      <c r="S1" s="147"/>
      <c r="T1" s="147"/>
      <c r="U1" s="147"/>
      <c r="V1" s="147"/>
      <c r="W1" s="147"/>
      <c r="X1" s="147"/>
      <c r="Y1" s="147"/>
      <c r="Z1" s="147"/>
      <c r="AA1" s="147"/>
      <c r="AB1" s="147"/>
      <c r="AC1" s="147"/>
      <c r="AD1" s="147"/>
      <c r="AE1" s="148" t="s">
        <v>1614</v>
      </c>
      <c r="AF1" s="148"/>
      <c r="AG1" s="148"/>
      <c r="AH1" s="148"/>
      <c r="AI1" s="148"/>
      <c r="AJ1" s="148"/>
      <c r="AK1" s="148"/>
      <c r="AL1" s="148"/>
      <c r="AM1" s="148"/>
      <c r="AN1" s="148"/>
    </row>
    <row r="2" spans="1:40" ht="15" customHeight="1" x14ac:dyDescent="0.2">
      <c r="K2" s="147"/>
      <c r="L2" s="147"/>
      <c r="M2" s="147"/>
      <c r="N2" s="147"/>
      <c r="O2" s="147"/>
      <c r="P2" s="147"/>
      <c r="Q2" s="147"/>
      <c r="R2" s="147"/>
      <c r="S2" s="147"/>
      <c r="T2" s="147"/>
      <c r="U2" s="147"/>
      <c r="V2" s="147"/>
      <c r="W2" s="147"/>
      <c r="X2" s="147"/>
      <c r="Y2" s="147"/>
      <c r="Z2" s="147"/>
      <c r="AA2" s="147"/>
      <c r="AB2" s="147"/>
      <c r="AC2" s="147"/>
      <c r="AD2" s="147"/>
      <c r="AE2" s="148"/>
      <c r="AF2" s="148"/>
      <c r="AG2" s="148"/>
      <c r="AH2" s="148"/>
      <c r="AI2" s="148"/>
      <c r="AJ2" s="148"/>
      <c r="AK2" s="148"/>
      <c r="AL2" s="148"/>
      <c r="AM2" s="148"/>
      <c r="AN2" s="148"/>
    </row>
    <row r="3" spans="1:40" ht="15" customHeight="1" x14ac:dyDescent="0.2">
      <c r="K3" s="149" t="s">
        <v>1615</v>
      </c>
      <c r="L3" s="149"/>
      <c r="M3" s="149"/>
      <c r="N3" s="149"/>
      <c r="O3" s="149"/>
      <c r="P3" s="149"/>
      <c r="Q3" s="149"/>
      <c r="R3" s="149"/>
      <c r="S3" s="149"/>
      <c r="T3" s="149"/>
      <c r="U3" s="149"/>
      <c r="V3" s="149"/>
      <c r="W3" s="149"/>
      <c r="X3" s="149"/>
      <c r="Y3" s="149"/>
      <c r="Z3" s="149"/>
      <c r="AA3" s="149"/>
      <c r="AB3" s="149"/>
      <c r="AC3" s="149"/>
      <c r="AD3" s="149"/>
      <c r="AE3" s="149" t="s">
        <v>1616</v>
      </c>
      <c r="AF3" s="149"/>
      <c r="AG3" s="149"/>
      <c r="AH3" s="149"/>
      <c r="AI3" s="149"/>
      <c r="AJ3" s="149"/>
      <c r="AK3" s="149"/>
      <c r="AL3" s="149"/>
      <c r="AM3" s="149"/>
      <c r="AN3" s="149"/>
    </row>
    <row r="4" spans="1:40" ht="7" customHeight="1" x14ac:dyDescent="0.2"/>
    <row r="5" spans="1:40" s="56" customFormat="1" ht="18.5" customHeight="1" x14ac:dyDescent="0.2">
      <c r="A5" s="150" t="s">
        <v>1617</v>
      </c>
      <c r="B5" s="150"/>
      <c r="C5" s="150"/>
      <c r="D5" s="150"/>
      <c r="E5" s="150"/>
      <c r="F5" s="150"/>
      <c r="G5" s="151" t="s">
        <v>1618</v>
      </c>
      <c r="H5" s="151"/>
      <c r="I5" s="151"/>
      <c r="J5" s="151"/>
      <c r="K5" s="151"/>
      <c r="L5" s="151"/>
      <c r="M5" s="151"/>
      <c r="N5" s="151"/>
      <c r="O5" s="151"/>
      <c r="P5" s="151"/>
      <c r="Q5" s="151"/>
      <c r="R5" s="151"/>
      <c r="S5" s="151"/>
      <c r="T5" s="53"/>
      <c r="U5" s="55"/>
      <c r="V5" s="150" t="s">
        <v>1619</v>
      </c>
      <c r="W5" s="150"/>
      <c r="X5" s="150"/>
      <c r="Y5" s="150"/>
      <c r="Z5" s="150"/>
      <c r="AA5" s="150"/>
      <c r="AB5" s="54" t="s">
        <v>1620</v>
      </c>
      <c r="AC5" s="54"/>
      <c r="AD5" s="54"/>
      <c r="AE5" s="54"/>
      <c r="AF5" s="54"/>
      <c r="AG5" s="54"/>
      <c r="AH5" s="54"/>
      <c r="AI5" s="54"/>
      <c r="AJ5" s="54"/>
      <c r="AK5" s="54"/>
      <c r="AL5" s="54"/>
      <c r="AM5" s="54"/>
      <c r="AN5" s="54"/>
    </row>
    <row r="6" spans="1:40" s="56" customFormat="1" ht="18.5" customHeight="1" x14ac:dyDescent="0.2">
      <c r="A6" s="150" t="s">
        <v>1621</v>
      </c>
      <c r="B6" s="150"/>
      <c r="C6" s="150"/>
      <c r="D6" s="150"/>
      <c r="E6" s="150"/>
      <c r="F6" s="150"/>
      <c r="G6" s="151" t="s">
        <v>1622</v>
      </c>
      <c r="H6" s="151"/>
      <c r="I6" s="151"/>
      <c r="J6" s="151"/>
      <c r="K6" s="151"/>
      <c r="L6" s="151"/>
      <c r="M6" s="151"/>
      <c r="N6" s="151"/>
      <c r="O6" s="151"/>
      <c r="P6" s="151"/>
      <c r="Q6" s="151"/>
      <c r="R6" s="151"/>
      <c r="S6" s="151"/>
      <c r="T6" s="53"/>
      <c r="U6" s="55"/>
      <c r="V6" s="150" t="s">
        <v>1623</v>
      </c>
      <c r="W6" s="150"/>
      <c r="X6" s="150"/>
      <c r="Y6" s="150"/>
      <c r="Z6" s="150"/>
      <c r="AA6" s="150"/>
      <c r="AB6" s="151" t="s">
        <v>1624</v>
      </c>
      <c r="AC6" s="151"/>
      <c r="AD6" s="151"/>
      <c r="AE6" s="151"/>
      <c r="AF6" s="151"/>
      <c r="AG6" s="151"/>
      <c r="AH6" s="151"/>
      <c r="AI6" s="151"/>
      <c r="AJ6" s="151"/>
      <c r="AK6" s="151"/>
      <c r="AL6" s="151"/>
      <c r="AM6" s="151"/>
      <c r="AN6" s="151"/>
    </row>
    <row r="7" spans="1:40" ht="11.25" customHeight="1" x14ac:dyDescent="0.2"/>
    <row r="8" spans="1:40" ht="14" customHeight="1" x14ac:dyDescent="0.2">
      <c r="A8" s="153"/>
      <c r="B8" s="153"/>
      <c r="C8" s="153"/>
      <c r="D8" s="153"/>
      <c r="E8" s="153"/>
      <c r="F8" s="153"/>
      <c r="G8" s="153"/>
      <c r="H8" s="153"/>
      <c r="I8" s="153"/>
      <c r="J8" s="153"/>
      <c r="K8" s="141" t="s">
        <v>1616</v>
      </c>
      <c r="L8" s="141"/>
      <c r="M8" s="141"/>
      <c r="N8" s="141"/>
      <c r="O8" s="141"/>
      <c r="P8" s="141" t="s">
        <v>1625</v>
      </c>
      <c r="Q8" s="141"/>
      <c r="R8" s="141"/>
      <c r="S8" s="141"/>
      <c r="T8" s="141"/>
      <c r="U8" s="141" t="s">
        <v>1626</v>
      </c>
      <c r="V8" s="141"/>
      <c r="W8" s="141"/>
      <c r="X8" s="141"/>
      <c r="Y8" s="141"/>
      <c r="Z8" s="141" t="s">
        <v>1627</v>
      </c>
      <c r="AA8" s="141"/>
      <c r="AB8" s="141"/>
      <c r="AC8" s="141"/>
      <c r="AD8" s="141"/>
      <c r="AE8" s="141" t="s">
        <v>1628</v>
      </c>
      <c r="AF8" s="141"/>
      <c r="AG8" s="141"/>
      <c r="AH8" s="141"/>
      <c r="AI8" s="141"/>
      <c r="AJ8" s="152" t="s">
        <v>1629</v>
      </c>
      <c r="AK8" s="152"/>
      <c r="AL8" s="152"/>
      <c r="AM8" s="152"/>
      <c r="AN8" s="152"/>
    </row>
    <row r="9" spans="1:40" s="37" customFormat="1" ht="14" customHeight="1" x14ac:dyDescent="0.2">
      <c r="A9" s="101" t="s">
        <v>1630</v>
      </c>
      <c r="B9" s="102"/>
      <c r="C9" s="102"/>
      <c r="D9" s="102"/>
      <c r="E9" s="102"/>
      <c r="F9" s="102"/>
      <c r="G9" s="102"/>
      <c r="H9" s="102"/>
      <c r="I9" s="102"/>
      <c r="J9" s="102"/>
      <c r="K9" s="117"/>
      <c r="L9" s="117"/>
      <c r="M9" s="117"/>
      <c r="N9" s="117"/>
      <c r="O9" s="58"/>
      <c r="P9" s="118"/>
      <c r="Q9" s="118"/>
      <c r="R9" s="118"/>
      <c r="S9" s="118"/>
      <c r="T9" s="59"/>
      <c r="U9" s="117"/>
      <c r="V9" s="117"/>
      <c r="W9" s="117"/>
      <c r="X9" s="117"/>
      <c r="Y9" s="58"/>
      <c r="Z9" s="118"/>
      <c r="AA9" s="118"/>
      <c r="AB9" s="118"/>
      <c r="AC9" s="118"/>
      <c r="AD9" s="59"/>
      <c r="AE9" s="117"/>
      <c r="AF9" s="117"/>
      <c r="AG9" s="117"/>
      <c r="AH9" s="117"/>
      <c r="AI9" s="58"/>
      <c r="AJ9" s="119"/>
      <c r="AK9" s="119"/>
      <c r="AL9" s="119"/>
      <c r="AM9" s="119"/>
      <c r="AN9" s="60"/>
    </row>
    <row r="10" spans="1:40" s="37" customFormat="1" ht="22.5" customHeight="1" x14ac:dyDescent="0.2">
      <c r="A10" s="145" t="s">
        <v>1631</v>
      </c>
      <c r="B10" s="146"/>
      <c r="C10" s="146"/>
      <c r="D10" s="146"/>
      <c r="E10" s="146"/>
      <c r="F10" s="146"/>
      <c r="G10" s="146"/>
      <c r="H10" s="146"/>
      <c r="I10" s="146"/>
      <c r="J10" s="146"/>
      <c r="K10" s="142">
        <v>0.99</v>
      </c>
      <c r="L10" s="142"/>
      <c r="M10" s="142"/>
      <c r="N10" s="142"/>
      <c r="O10" s="78">
        <v>1</v>
      </c>
      <c r="P10" s="127"/>
      <c r="Q10" s="127"/>
      <c r="R10" s="127"/>
      <c r="S10" s="127"/>
      <c r="T10" s="61"/>
      <c r="U10" s="109"/>
      <c r="V10" s="109"/>
      <c r="W10" s="109"/>
      <c r="X10" s="109"/>
      <c r="Y10" s="52"/>
      <c r="Z10" s="127"/>
      <c r="AA10" s="127"/>
      <c r="AB10" s="127"/>
      <c r="AC10" s="127"/>
      <c r="AD10" s="61"/>
      <c r="AE10" s="109"/>
      <c r="AF10" s="109"/>
      <c r="AG10" s="109"/>
      <c r="AH10" s="109"/>
      <c r="AI10" s="52"/>
      <c r="AJ10" s="142">
        <f>((K10*O10)+(P10*T10)+(U10*Y10)+(Z10*AD10)+(AE10*AI10))/AN10</f>
        <v>0.99</v>
      </c>
      <c r="AK10" s="142"/>
      <c r="AL10" s="142"/>
      <c r="AM10" s="142"/>
      <c r="AN10" s="79">
        <f t="shared" ref="AN10" si="0">SUM(O10,T10,Y10,AD10,AI10)</f>
        <v>1</v>
      </c>
    </row>
    <row r="11" spans="1:40" s="37" customFormat="1" ht="14" customHeight="1" x14ac:dyDescent="0.2">
      <c r="A11" s="143"/>
      <c r="B11" s="144"/>
      <c r="C11" s="144"/>
      <c r="D11" s="144"/>
      <c r="E11" s="144"/>
      <c r="F11" s="144"/>
      <c r="G11" s="144"/>
      <c r="H11" s="144"/>
      <c r="I11" s="144"/>
      <c r="J11" s="144"/>
      <c r="K11" s="57"/>
      <c r="L11" s="57"/>
      <c r="M11" s="57"/>
      <c r="N11" s="57"/>
      <c r="P11" s="63"/>
      <c r="Q11" s="63"/>
      <c r="R11" s="63"/>
      <c r="S11" s="63"/>
      <c r="T11" s="64"/>
      <c r="U11" s="57"/>
      <c r="V11" s="57"/>
      <c r="W11" s="57"/>
      <c r="X11" s="57"/>
      <c r="Z11" s="63"/>
      <c r="AA11" s="63"/>
      <c r="AB11" s="63"/>
      <c r="AC11" s="63"/>
      <c r="AD11" s="64"/>
      <c r="AE11" s="57"/>
      <c r="AF11" s="57"/>
      <c r="AG11" s="57"/>
      <c r="AH11" s="57"/>
      <c r="AJ11" s="65"/>
      <c r="AK11" s="65"/>
      <c r="AL11" s="65"/>
      <c r="AM11" s="65"/>
      <c r="AN11" s="66"/>
    </row>
    <row r="12" spans="1:40" ht="22.5" customHeight="1" x14ac:dyDescent="0.2">
      <c r="A12" s="125" t="s">
        <v>1632</v>
      </c>
      <c r="B12" s="126"/>
      <c r="C12" s="126"/>
      <c r="D12" s="126"/>
      <c r="E12" s="126"/>
      <c r="F12" s="126"/>
      <c r="G12" s="126"/>
      <c r="H12" s="126"/>
      <c r="I12" s="126"/>
      <c r="J12" s="126"/>
      <c r="K12" s="109">
        <v>0.97499999999999998</v>
      </c>
      <c r="L12" s="109"/>
      <c r="M12" s="109"/>
      <c r="N12" s="109"/>
      <c r="O12" s="52">
        <v>1</v>
      </c>
      <c r="P12" s="127"/>
      <c r="Q12" s="127"/>
      <c r="R12" s="127"/>
      <c r="S12" s="127"/>
      <c r="T12" s="61"/>
      <c r="U12" s="109"/>
      <c r="V12" s="109"/>
      <c r="W12" s="109"/>
      <c r="X12" s="109"/>
      <c r="Y12" s="52"/>
      <c r="Z12" s="127"/>
      <c r="AA12" s="127"/>
      <c r="AB12" s="127"/>
      <c r="AC12" s="127"/>
      <c r="AD12" s="61"/>
      <c r="AE12" s="109"/>
      <c r="AF12" s="109"/>
      <c r="AG12" s="109"/>
      <c r="AH12" s="109"/>
      <c r="AI12" s="52"/>
      <c r="AJ12" s="138">
        <f>((K12*O12)+(P12*T12)+(U12*Y12)+(Z12*AD12)+(AE12*AI12))/AN12</f>
        <v>0.97499999999999998</v>
      </c>
      <c r="AK12" s="138"/>
      <c r="AL12" s="138"/>
      <c r="AM12" s="138"/>
      <c r="AN12" s="62">
        <f t="shared" ref="AN12:AN21" si="1">SUM(O12,T12,Y12,AD12,AI12)</f>
        <v>1</v>
      </c>
    </row>
    <row r="13" spans="1:40" ht="22.5" customHeight="1" x14ac:dyDescent="0.2">
      <c r="A13" s="125" t="s">
        <v>1633</v>
      </c>
      <c r="B13" s="126"/>
      <c r="C13" s="126"/>
      <c r="D13" s="126"/>
      <c r="E13" s="126"/>
      <c r="F13" s="126"/>
      <c r="G13" s="126"/>
      <c r="H13" s="126"/>
      <c r="I13" s="126"/>
      <c r="J13" s="126"/>
      <c r="K13" s="140">
        <v>1</v>
      </c>
      <c r="L13" s="140"/>
      <c r="M13" s="140"/>
      <c r="N13" s="140"/>
      <c r="O13" s="52">
        <v>2</v>
      </c>
      <c r="P13" s="127"/>
      <c r="Q13" s="127"/>
      <c r="R13" s="127"/>
      <c r="S13" s="127"/>
      <c r="T13" s="61"/>
      <c r="U13" s="109"/>
      <c r="V13" s="109"/>
      <c r="W13" s="109"/>
      <c r="X13" s="109"/>
      <c r="Y13" s="52"/>
      <c r="Z13" s="127"/>
      <c r="AA13" s="127"/>
      <c r="AB13" s="127"/>
      <c r="AC13" s="127"/>
      <c r="AD13" s="61"/>
      <c r="AE13" s="109"/>
      <c r="AF13" s="109"/>
      <c r="AG13" s="109"/>
      <c r="AH13" s="109"/>
      <c r="AI13" s="52"/>
      <c r="AJ13" s="138">
        <f t="shared" ref="AJ13:AJ21" si="2">((K13*O13)+(P13*T13)+(U13*Y13)+(Z13*AD13)+(AE13*AI13))/AN13</f>
        <v>1</v>
      </c>
      <c r="AK13" s="138"/>
      <c r="AL13" s="138"/>
      <c r="AM13" s="138"/>
      <c r="AN13" s="62">
        <f t="shared" si="1"/>
        <v>2</v>
      </c>
    </row>
    <row r="14" spans="1:40" ht="22.5" customHeight="1" x14ac:dyDescent="0.2">
      <c r="A14" s="125" t="s">
        <v>1634</v>
      </c>
      <c r="B14" s="126"/>
      <c r="C14" s="126"/>
      <c r="D14" s="126"/>
      <c r="E14" s="126"/>
      <c r="F14" s="126"/>
      <c r="G14" s="126"/>
      <c r="H14" s="126"/>
      <c r="I14" s="126"/>
      <c r="J14" s="126"/>
      <c r="K14" s="109">
        <v>0.99750000000000005</v>
      </c>
      <c r="L14" s="109"/>
      <c r="M14" s="109"/>
      <c r="N14" s="109"/>
      <c r="O14" s="52">
        <v>2</v>
      </c>
      <c r="P14" s="127"/>
      <c r="Q14" s="127"/>
      <c r="R14" s="127"/>
      <c r="S14" s="127"/>
      <c r="T14" s="61"/>
      <c r="U14" s="109"/>
      <c r="V14" s="109"/>
      <c r="W14" s="109"/>
      <c r="X14" s="109"/>
      <c r="Y14" s="52"/>
      <c r="Z14" s="127"/>
      <c r="AA14" s="127"/>
      <c r="AB14" s="127"/>
      <c r="AC14" s="127"/>
      <c r="AD14" s="61"/>
      <c r="AE14" s="109"/>
      <c r="AF14" s="109"/>
      <c r="AG14" s="109"/>
      <c r="AH14" s="109"/>
      <c r="AI14" s="52"/>
      <c r="AJ14" s="138">
        <f t="shared" si="2"/>
        <v>0.99750000000000005</v>
      </c>
      <c r="AK14" s="138"/>
      <c r="AL14" s="138"/>
      <c r="AM14" s="138"/>
      <c r="AN14" s="62">
        <f t="shared" si="1"/>
        <v>2</v>
      </c>
    </row>
    <row r="15" spans="1:40" ht="22.5" customHeight="1" x14ac:dyDescent="0.2">
      <c r="A15" s="125" t="s">
        <v>1635</v>
      </c>
      <c r="B15" s="126"/>
      <c r="C15" s="126"/>
      <c r="D15" s="126"/>
      <c r="E15" s="126"/>
      <c r="F15" s="126"/>
      <c r="G15" s="126"/>
      <c r="H15" s="126"/>
      <c r="I15" s="126"/>
      <c r="J15" s="126"/>
      <c r="K15" s="109"/>
      <c r="L15" s="109"/>
      <c r="M15" s="109"/>
      <c r="N15" s="109"/>
      <c r="P15" s="127"/>
      <c r="Q15" s="127"/>
      <c r="R15" s="127"/>
      <c r="S15" s="127"/>
      <c r="T15" s="61"/>
      <c r="U15" s="109"/>
      <c r="V15" s="109"/>
      <c r="W15" s="109"/>
      <c r="X15" s="109"/>
      <c r="Y15" s="52"/>
      <c r="Z15" s="127"/>
      <c r="AA15" s="127"/>
      <c r="AB15" s="127"/>
      <c r="AC15" s="127"/>
      <c r="AD15" s="61"/>
      <c r="AE15" s="109"/>
      <c r="AF15" s="109"/>
      <c r="AG15" s="109"/>
      <c r="AH15" s="109"/>
      <c r="AI15" s="52"/>
      <c r="AJ15" s="138"/>
      <c r="AK15" s="138"/>
      <c r="AL15" s="138"/>
      <c r="AM15" s="138"/>
      <c r="AN15" s="62"/>
    </row>
    <row r="16" spans="1:40" ht="22.5" customHeight="1" x14ac:dyDescent="0.2">
      <c r="A16" s="125" t="s">
        <v>1636</v>
      </c>
      <c r="B16" s="126"/>
      <c r="C16" s="126"/>
      <c r="D16" s="126"/>
      <c r="E16" s="126"/>
      <c r="F16" s="126"/>
      <c r="G16" s="126"/>
      <c r="H16" s="126"/>
      <c r="I16" s="126"/>
      <c r="J16" s="126"/>
      <c r="K16" s="109">
        <v>0.97499999999999998</v>
      </c>
      <c r="L16" s="109"/>
      <c r="M16" s="109"/>
      <c r="N16" s="109"/>
      <c r="O16" s="52">
        <v>1</v>
      </c>
      <c r="P16" s="127"/>
      <c r="Q16" s="127"/>
      <c r="R16" s="127"/>
      <c r="S16" s="127"/>
      <c r="T16" s="61"/>
      <c r="U16" s="109"/>
      <c r="V16" s="109"/>
      <c r="W16" s="109"/>
      <c r="X16" s="109"/>
      <c r="Y16" s="52"/>
      <c r="Z16" s="127"/>
      <c r="AA16" s="127"/>
      <c r="AB16" s="127"/>
      <c r="AC16" s="127"/>
      <c r="AD16" s="61"/>
      <c r="AE16" s="109"/>
      <c r="AF16" s="109"/>
      <c r="AG16" s="109"/>
      <c r="AH16" s="109"/>
      <c r="AI16" s="52"/>
      <c r="AJ16" s="138">
        <f t="shared" si="2"/>
        <v>0.97499999999999998</v>
      </c>
      <c r="AK16" s="138"/>
      <c r="AL16" s="138"/>
      <c r="AM16" s="138"/>
      <c r="AN16" s="62">
        <f t="shared" si="1"/>
        <v>1</v>
      </c>
    </row>
    <row r="17" spans="1:40" ht="22.5" customHeight="1" x14ac:dyDescent="0.2">
      <c r="A17" s="125" t="s">
        <v>1637</v>
      </c>
      <c r="B17" s="126"/>
      <c r="C17" s="126"/>
      <c r="D17" s="126"/>
      <c r="E17" s="126"/>
      <c r="F17" s="126"/>
      <c r="G17" s="126"/>
      <c r="H17" s="126"/>
      <c r="I17" s="126"/>
      <c r="J17" s="126"/>
      <c r="K17" s="140">
        <v>1</v>
      </c>
      <c r="L17" s="140"/>
      <c r="M17" s="140"/>
      <c r="N17" s="140"/>
      <c r="O17" s="52">
        <v>1</v>
      </c>
      <c r="P17" s="127"/>
      <c r="Q17" s="127"/>
      <c r="R17" s="127"/>
      <c r="S17" s="127"/>
      <c r="T17" s="61"/>
      <c r="U17" s="109"/>
      <c r="V17" s="109"/>
      <c r="W17" s="109"/>
      <c r="X17" s="109"/>
      <c r="Y17" s="52"/>
      <c r="Z17" s="127"/>
      <c r="AA17" s="127"/>
      <c r="AB17" s="127"/>
      <c r="AC17" s="127"/>
      <c r="AD17" s="61"/>
      <c r="AE17" s="109"/>
      <c r="AF17" s="109"/>
      <c r="AG17" s="109"/>
      <c r="AH17" s="109"/>
      <c r="AI17" s="52"/>
      <c r="AJ17" s="138">
        <f t="shared" si="2"/>
        <v>1</v>
      </c>
      <c r="AK17" s="138"/>
      <c r="AL17" s="138"/>
      <c r="AM17" s="138"/>
      <c r="AN17" s="62">
        <f t="shared" si="1"/>
        <v>1</v>
      </c>
    </row>
    <row r="18" spans="1:40" ht="22.5" customHeight="1" x14ac:dyDescent="0.2">
      <c r="A18" s="125" t="s">
        <v>1638</v>
      </c>
      <c r="B18" s="126"/>
      <c r="C18" s="126"/>
      <c r="D18" s="126"/>
      <c r="E18" s="126"/>
      <c r="F18" s="126"/>
      <c r="G18" s="126"/>
      <c r="H18" s="126"/>
      <c r="I18" s="126"/>
      <c r="J18" s="126"/>
      <c r="K18" s="140">
        <v>1</v>
      </c>
      <c r="L18" s="140"/>
      <c r="M18" s="140"/>
      <c r="N18" s="140"/>
      <c r="O18" s="52">
        <v>2</v>
      </c>
      <c r="P18" s="127"/>
      <c r="Q18" s="127"/>
      <c r="R18" s="127"/>
      <c r="S18" s="127"/>
      <c r="T18" s="61"/>
      <c r="U18" s="109"/>
      <c r="V18" s="109"/>
      <c r="W18" s="109"/>
      <c r="X18" s="109"/>
      <c r="Y18" s="52"/>
      <c r="Z18" s="127"/>
      <c r="AA18" s="127"/>
      <c r="AB18" s="127"/>
      <c r="AC18" s="127"/>
      <c r="AD18" s="61"/>
      <c r="AE18" s="109"/>
      <c r="AF18" s="109"/>
      <c r="AG18" s="109"/>
      <c r="AH18" s="109"/>
      <c r="AI18" s="52"/>
      <c r="AJ18" s="138">
        <f t="shared" si="2"/>
        <v>1</v>
      </c>
      <c r="AK18" s="138"/>
      <c r="AL18" s="138"/>
      <c r="AM18" s="138"/>
      <c r="AN18" s="62">
        <f t="shared" si="1"/>
        <v>2</v>
      </c>
    </row>
    <row r="19" spans="1:40" ht="22.5" customHeight="1" x14ac:dyDescent="0.2">
      <c r="A19" s="125" t="s">
        <v>1639</v>
      </c>
      <c r="B19" s="126"/>
      <c r="C19" s="126"/>
      <c r="D19" s="126"/>
      <c r="E19" s="126"/>
      <c r="F19" s="126"/>
      <c r="G19" s="126"/>
      <c r="H19" s="126"/>
      <c r="I19" s="126"/>
      <c r="J19" s="126"/>
      <c r="K19" s="140">
        <v>1</v>
      </c>
      <c r="L19" s="140"/>
      <c r="M19" s="140"/>
      <c r="N19" s="140"/>
      <c r="O19" s="52">
        <v>1</v>
      </c>
      <c r="P19" s="127"/>
      <c r="Q19" s="127"/>
      <c r="R19" s="127"/>
      <c r="S19" s="127"/>
      <c r="T19" s="61"/>
      <c r="U19" s="109"/>
      <c r="V19" s="109"/>
      <c r="W19" s="109"/>
      <c r="X19" s="109"/>
      <c r="Y19" s="52"/>
      <c r="Z19" s="127"/>
      <c r="AA19" s="127"/>
      <c r="AB19" s="127"/>
      <c r="AC19" s="127"/>
      <c r="AD19" s="61"/>
      <c r="AE19" s="109"/>
      <c r="AF19" s="109"/>
      <c r="AG19" s="109"/>
      <c r="AH19" s="109"/>
      <c r="AI19" s="52"/>
      <c r="AJ19" s="138">
        <f t="shared" si="2"/>
        <v>1</v>
      </c>
      <c r="AK19" s="138"/>
      <c r="AL19" s="138"/>
      <c r="AM19" s="138"/>
      <c r="AN19" s="62">
        <f t="shared" si="1"/>
        <v>1</v>
      </c>
    </row>
    <row r="20" spans="1:40" ht="22.5" customHeight="1" x14ac:dyDescent="0.2">
      <c r="A20" s="125" t="s">
        <v>1640</v>
      </c>
      <c r="B20" s="126"/>
      <c r="C20" s="126"/>
      <c r="D20" s="126"/>
      <c r="E20" s="126"/>
      <c r="F20" s="126"/>
      <c r="G20" s="126"/>
      <c r="H20" s="126"/>
      <c r="I20" s="126"/>
      <c r="J20" s="126"/>
      <c r="K20" s="109">
        <v>0.98</v>
      </c>
      <c r="L20" s="109"/>
      <c r="M20" s="109"/>
      <c r="N20" s="109"/>
      <c r="O20" s="52">
        <v>1</v>
      </c>
      <c r="P20" s="127"/>
      <c r="Q20" s="127"/>
      <c r="R20" s="127"/>
      <c r="S20" s="127"/>
      <c r="T20" s="61"/>
      <c r="U20" s="109"/>
      <c r="V20" s="109"/>
      <c r="W20" s="109"/>
      <c r="X20" s="109"/>
      <c r="Y20" s="52"/>
      <c r="Z20" s="127"/>
      <c r="AA20" s="127"/>
      <c r="AB20" s="127"/>
      <c r="AC20" s="127"/>
      <c r="AD20" s="61"/>
      <c r="AE20" s="109"/>
      <c r="AF20" s="109"/>
      <c r="AG20" s="109"/>
      <c r="AH20" s="109"/>
      <c r="AI20" s="52"/>
      <c r="AJ20" s="138">
        <f t="shared" si="2"/>
        <v>0.98</v>
      </c>
      <c r="AK20" s="138"/>
      <c r="AL20" s="138"/>
      <c r="AM20" s="138"/>
      <c r="AN20" s="62">
        <f t="shared" si="1"/>
        <v>1</v>
      </c>
    </row>
    <row r="21" spans="1:40" ht="22.5" customHeight="1" x14ac:dyDescent="0.2">
      <c r="A21" s="125" t="s">
        <v>1641</v>
      </c>
      <c r="B21" s="126"/>
      <c r="C21" s="126"/>
      <c r="D21" s="126"/>
      <c r="E21" s="126"/>
      <c r="F21" s="126"/>
      <c r="G21" s="126"/>
      <c r="H21" s="126"/>
      <c r="I21" s="126"/>
      <c r="J21" s="126"/>
      <c r="K21" s="140">
        <v>1</v>
      </c>
      <c r="L21" s="140"/>
      <c r="M21" s="140"/>
      <c r="N21" s="140"/>
      <c r="O21" s="52">
        <v>1</v>
      </c>
      <c r="P21" s="127"/>
      <c r="Q21" s="127"/>
      <c r="R21" s="127"/>
      <c r="S21" s="127"/>
      <c r="T21" s="61"/>
      <c r="U21" s="109"/>
      <c r="V21" s="109"/>
      <c r="W21" s="109"/>
      <c r="X21" s="109"/>
      <c r="Y21" s="52"/>
      <c r="Z21" s="127"/>
      <c r="AA21" s="127"/>
      <c r="AB21" s="127"/>
      <c r="AC21" s="127"/>
      <c r="AD21" s="61"/>
      <c r="AE21" s="109"/>
      <c r="AF21" s="109"/>
      <c r="AG21" s="109"/>
      <c r="AH21" s="109"/>
      <c r="AI21" s="52"/>
      <c r="AJ21" s="138">
        <f t="shared" si="2"/>
        <v>1</v>
      </c>
      <c r="AK21" s="138"/>
      <c r="AL21" s="138"/>
      <c r="AM21" s="138"/>
      <c r="AN21" s="62">
        <f t="shared" si="1"/>
        <v>1</v>
      </c>
    </row>
    <row r="22" spans="1:40" s="37" customFormat="1" ht="7" customHeight="1" x14ac:dyDescent="0.2">
      <c r="A22" s="139"/>
      <c r="B22" s="108"/>
      <c r="C22" s="108"/>
      <c r="D22" s="108"/>
      <c r="E22" s="108"/>
      <c r="F22" s="108"/>
      <c r="G22" s="108"/>
      <c r="H22" s="108"/>
      <c r="I22" s="108"/>
      <c r="J22" s="108"/>
      <c r="K22" s="109"/>
      <c r="L22" s="109"/>
      <c r="M22" s="109"/>
      <c r="N22" s="109"/>
      <c r="O22" s="52"/>
      <c r="P22" s="127"/>
      <c r="Q22" s="127"/>
      <c r="R22" s="127"/>
      <c r="S22" s="127"/>
      <c r="T22" s="61"/>
      <c r="U22" s="109"/>
      <c r="V22" s="109"/>
      <c r="W22" s="109"/>
      <c r="X22" s="109"/>
      <c r="Y22" s="52"/>
      <c r="Z22" s="127"/>
      <c r="AA22" s="127"/>
      <c r="AB22" s="127"/>
      <c r="AC22" s="127"/>
      <c r="AD22" s="61"/>
      <c r="AE22" s="109"/>
      <c r="AF22" s="109"/>
      <c r="AG22" s="109"/>
      <c r="AH22" s="109"/>
      <c r="AI22" s="52"/>
      <c r="AJ22" s="123"/>
      <c r="AK22" s="123"/>
      <c r="AL22" s="123"/>
      <c r="AM22" s="123"/>
      <c r="AN22" s="62"/>
    </row>
    <row r="23" spans="1:40" x14ac:dyDescent="0.2">
      <c r="A23" s="134" t="s">
        <v>1642</v>
      </c>
      <c r="B23" s="135"/>
      <c r="C23" s="135"/>
      <c r="D23" s="135"/>
      <c r="E23" s="135"/>
      <c r="F23" s="135"/>
      <c r="G23" s="135"/>
      <c r="H23" s="135"/>
      <c r="I23" s="135"/>
      <c r="J23" s="135"/>
      <c r="K23" s="136">
        <f>((K10*O10)+(K12*O12)+(K13*O13)+(K14*O14)+(K15*O15)+(K16*O16)+(K17*O17)+(K18*O18)+(K19*O19)+(K20*O20)+(K21*O21))/SUM(O10:O21)</f>
        <v>0.9934615384615384</v>
      </c>
      <c r="L23" s="136"/>
      <c r="M23" s="136"/>
      <c r="N23" s="136"/>
      <c r="O23" s="67">
        <f>SUM(O10:O21)</f>
        <v>13</v>
      </c>
      <c r="P23" s="137"/>
      <c r="Q23" s="137"/>
      <c r="R23" s="137"/>
      <c r="S23" s="137"/>
      <c r="T23" s="68"/>
      <c r="U23" s="136"/>
      <c r="V23" s="136"/>
      <c r="W23" s="136"/>
      <c r="X23" s="136"/>
      <c r="Y23" s="67"/>
      <c r="Z23" s="137"/>
      <c r="AA23" s="137"/>
      <c r="AB23" s="137"/>
      <c r="AC23" s="137"/>
      <c r="AD23" s="68"/>
      <c r="AE23" s="136"/>
      <c r="AF23" s="136"/>
      <c r="AG23" s="136"/>
      <c r="AH23" s="136"/>
      <c r="AI23" s="67"/>
      <c r="AJ23" s="133">
        <f>((AJ10*AN10)+(AJ12*AN12)+(AJ13*AN13)+(AJ14*AN14)+(AJ15*AN15)+(AJ16*AN16)+(AJ17*AN17)+(AJ18*AN18)+(AJ19*AN19)+(AJ20*AN20)+(AJ21*AN21))/SUM(AN10:AN21)</f>
        <v>0.9934615384615384</v>
      </c>
      <c r="AK23" s="133"/>
      <c r="AL23" s="133"/>
      <c r="AM23" s="133"/>
      <c r="AN23" s="69">
        <f>SUM(AN10:AN21)</f>
        <v>13</v>
      </c>
    </row>
    <row r="24" spans="1:40" ht="11.25" customHeight="1" x14ac:dyDescent="0.2">
      <c r="A24" s="108"/>
      <c r="B24" s="108"/>
      <c r="C24" s="108"/>
      <c r="D24" s="108"/>
      <c r="E24" s="108"/>
      <c r="F24" s="108"/>
      <c r="G24" s="108"/>
      <c r="H24" s="108"/>
      <c r="I24" s="108"/>
      <c r="J24" s="108"/>
      <c r="K24" s="129"/>
      <c r="L24" s="129"/>
      <c r="M24" s="129"/>
      <c r="N24" s="129"/>
      <c r="P24" s="129"/>
      <c r="Q24" s="129"/>
      <c r="R24" s="129"/>
      <c r="S24" s="129"/>
      <c r="T24" s="52"/>
      <c r="U24" s="129"/>
      <c r="V24" s="129"/>
      <c r="W24" s="129"/>
      <c r="X24" s="129"/>
      <c r="Y24" s="52"/>
      <c r="Z24" s="129"/>
      <c r="AA24" s="129"/>
      <c r="AB24" s="129"/>
      <c r="AC24" s="129"/>
      <c r="AD24" s="52"/>
      <c r="AE24" s="129"/>
      <c r="AF24" s="129"/>
      <c r="AG24" s="129"/>
      <c r="AH24" s="129"/>
      <c r="AI24" s="52"/>
      <c r="AJ24" s="128"/>
      <c r="AK24" s="128"/>
      <c r="AL24" s="128"/>
      <c r="AM24" s="128"/>
      <c r="AN24" s="72"/>
    </row>
    <row r="25" spans="1:40" ht="14" customHeight="1" x14ac:dyDescent="0.2">
      <c r="A25" s="101" t="s">
        <v>1643</v>
      </c>
      <c r="B25" s="102"/>
      <c r="C25" s="102"/>
      <c r="D25" s="102"/>
      <c r="E25" s="102"/>
      <c r="F25" s="102"/>
      <c r="G25" s="102"/>
      <c r="H25" s="102"/>
      <c r="I25" s="102"/>
      <c r="J25" s="102"/>
      <c r="K25" s="117"/>
      <c r="L25" s="117"/>
      <c r="M25" s="117"/>
      <c r="N25" s="117"/>
      <c r="O25" s="117"/>
      <c r="P25" s="118"/>
      <c r="Q25" s="118"/>
      <c r="R25" s="118"/>
      <c r="S25" s="118"/>
      <c r="T25" s="118"/>
      <c r="U25" s="117"/>
      <c r="V25" s="117"/>
      <c r="W25" s="117"/>
      <c r="X25" s="117"/>
      <c r="Y25" s="58"/>
      <c r="Z25" s="118"/>
      <c r="AA25" s="118"/>
      <c r="AB25" s="118"/>
      <c r="AC25" s="118"/>
      <c r="AD25" s="59"/>
      <c r="AE25" s="117"/>
      <c r="AF25" s="117"/>
      <c r="AG25" s="117"/>
      <c r="AH25" s="117"/>
      <c r="AI25" s="117"/>
      <c r="AJ25" s="130"/>
      <c r="AK25" s="130"/>
      <c r="AL25" s="130"/>
      <c r="AM25" s="130"/>
      <c r="AN25" s="73"/>
    </row>
    <row r="26" spans="1:40" ht="22.5" customHeight="1" x14ac:dyDescent="0.2">
      <c r="A26" s="111" t="s">
        <v>1644</v>
      </c>
      <c r="B26" s="112"/>
      <c r="C26" s="112"/>
      <c r="D26" s="112"/>
      <c r="E26" s="112"/>
      <c r="F26" s="112"/>
      <c r="G26" s="112"/>
      <c r="H26" s="112"/>
      <c r="I26" s="112"/>
      <c r="J26" s="112"/>
      <c r="K26" s="121"/>
      <c r="L26" s="121"/>
      <c r="M26" s="121"/>
      <c r="N26" s="121"/>
      <c r="O26" s="121"/>
      <c r="P26" s="122"/>
      <c r="Q26" s="122"/>
      <c r="R26" s="122"/>
      <c r="S26" s="122"/>
      <c r="T26" s="74"/>
      <c r="U26" s="121"/>
      <c r="V26" s="121"/>
      <c r="W26" s="121"/>
      <c r="X26" s="121"/>
      <c r="Y26" s="75"/>
      <c r="Z26" s="122"/>
      <c r="AA26" s="122"/>
      <c r="AB26" s="122"/>
      <c r="AC26" s="122"/>
      <c r="AD26" s="74"/>
      <c r="AE26" s="121"/>
      <c r="AF26" s="121"/>
      <c r="AG26" s="121"/>
      <c r="AH26" s="121"/>
      <c r="AI26" s="75"/>
      <c r="AJ26" s="131" t="e">
        <f>SUM(K26:AI26)/COUNT(K26:AI26)</f>
        <v>#DIV/0!</v>
      </c>
      <c r="AK26" s="131"/>
      <c r="AL26" s="131"/>
      <c r="AM26" s="131"/>
      <c r="AN26" s="132"/>
    </row>
    <row r="27" spans="1:40" ht="11.25" customHeight="1" x14ac:dyDescent="0.2">
      <c r="A27" s="108"/>
      <c r="B27" s="108"/>
      <c r="C27" s="108"/>
      <c r="D27" s="108"/>
      <c r="E27" s="108"/>
      <c r="F27" s="108"/>
      <c r="G27" s="108"/>
      <c r="H27" s="108"/>
      <c r="I27" s="108"/>
      <c r="J27" s="108"/>
      <c r="K27" s="129"/>
      <c r="L27" s="129"/>
      <c r="M27" s="129"/>
      <c r="N27" s="129"/>
      <c r="P27" s="129"/>
      <c r="Q27" s="129"/>
      <c r="R27" s="129"/>
      <c r="S27" s="129"/>
      <c r="T27" s="52"/>
      <c r="U27" s="129"/>
      <c r="V27" s="129"/>
      <c r="W27" s="129"/>
      <c r="X27" s="129"/>
      <c r="Y27" s="52"/>
      <c r="Z27" s="129"/>
      <c r="AA27" s="129"/>
      <c r="AB27" s="129"/>
      <c r="AC27" s="129"/>
      <c r="AD27" s="52"/>
      <c r="AE27" s="129"/>
      <c r="AF27" s="129"/>
      <c r="AG27" s="129"/>
      <c r="AH27" s="129"/>
      <c r="AI27" s="52"/>
      <c r="AJ27" s="128"/>
      <c r="AK27" s="128"/>
      <c r="AL27" s="128"/>
      <c r="AM27" s="128"/>
      <c r="AN27" s="72"/>
    </row>
    <row r="28" spans="1:40" ht="14" customHeight="1" x14ac:dyDescent="0.2">
      <c r="A28" s="101" t="s">
        <v>1645</v>
      </c>
      <c r="B28" s="102"/>
      <c r="C28" s="102"/>
      <c r="D28" s="102"/>
      <c r="E28" s="102"/>
      <c r="F28" s="102"/>
      <c r="G28" s="102"/>
      <c r="H28" s="102"/>
      <c r="I28" s="102"/>
      <c r="J28" s="102"/>
      <c r="K28" s="117"/>
      <c r="L28" s="117"/>
      <c r="M28" s="117"/>
      <c r="N28" s="117"/>
      <c r="O28" s="117"/>
      <c r="P28" s="118"/>
      <c r="Q28" s="118"/>
      <c r="R28" s="118"/>
      <c r="S28" s="118"/>
      <c r="T28" s="118"/>
      <c r="U28" s="117"/>
      <c r="V28" s="117"/>
      <c r="W28" s="117"/>
      <c r="X28" s="117"/>
      <c r="Y28" s="58"/>
      <c r="Z28" s="118"/>
      <c r="AA28" s="118"/>
      <c r="AB28" s="118"/>
      <c r="AC28" s="118"/>
      <c r="AD28" s="59"/>
      <c r="AE28" s="117"/>
      <c r="AF28" s="117"/>
      <c r="AG28" s="117"/>
      <c r="AH28" s="117"/>
      <c r="AI28" s="117"/>
      <c r="AJ28" s="76"/>
      <c r="AK28" s="76"/>
      <c r="AL28" s="76"/>
      <c r="AM28" s="76"/>
      <c r="AN28" s="73"/>
    </row>
    <row r="29" spans="1:40" ht="22.5" customHeight="1" x14ac:dyDescent="0.2">
      <c r="A29" s="125" t="s">
        <v>1646</v>
      </c>
      <c r="B29" s="126"/>
      <c r="C29" s="126"/>
      <c r="D29" s="126"/>
      <c r="E29" s="126"/>
      <c r="F29" s="126"/>
      <c r="G29" s="126"/>
      <c r="H29" s="126"/>
      <c r="I29" s="126"/>
      <c r="J29" s="126"/>
      <c r="K29" s="109" t="s">
        <v>1647</v>
      </c>
      <c r="L29" s="109"/>
      <c r="M29" s="109"/>
      <c r="N29" s="109"/>
      <c r="O29" s="109"/>
      <c r="P29" s="127"/>
      <c r="Q29" s="127"/>
      <c r="R29" s="127"/>
      <c r="S29" s="127"/>
      <c r="T29" s="127"/>
      <c r="U29" s="109"/>
      <c r="V29" s="109"/>
      <c r="W29" s="109"/>
      <c r="X29" s="109"/>
      <c r="Y29" s="109"/>
      <c r="Z29" s="127"/>
      <c r="AA29" s="127"/>
      <c r="AB29" s="127"/>
      <c r="AC29" s="127"/>
      <c r="AD29" s="127"/>
      <c r="AE29" s="109"/>
      <c r="AF29" s="109"/>
      <c r="AG29" s="109"/>
      <c r="AH29" s="109"/>
      <c r="AI29" s="109"/>
      <c r="AJ29" s="123" t="s">
        <v>1647</v>
      </c>
      <c r="AK29" s="123"/>
      <c r="AL29" s="123"/>
      <c r="AM29" s="123"/>
      <c r="AN29" s="124"/>
    </row>
    <row r="30" spans="1:40" ht="22.5" customHeight="1" x14ac:dyDescent="0.2">
      <c r="A30" s="125" t="s">
        <v>1648</v>
      </c>
      <c r="B30" s="126"/>
      <c r="C30" s="126"/>
      <c r="D30" s="126"/>
      <c r="E30" s="126"/>
      <c r="F30" s="126"/>
      <c r="G30" s="126"/>
      <c r="H30" s="126"/>
      <c r="I30" s="126"/>
      <c r="J30" s="126"/>
      <c r="K30" s="109" t="s">
        <v>1647</v>
      </c>
      <c r="L30" s="109"/>
      <c r="M30" s="109"/>
      <c r="N30" s="109"/>
      <c r="O30" s="109"/>
      <c r="P30" s="127"/>
      <c r="Q30" s="127"/>
      <c r="R30" s="127"/>
      <c r="S30" s="127"/>
      <c r="T30" s="127"/>
      <c r="U30" s="109"/>
      <c r="V30" s="109"/>
      <c r="W30" s="109"/>
      <c r="X30" s="109"/>
      <c r="Y30" s="109"/>
      <c r="Z30" s="127"/>
      <c r="AA30" s="127"/>
      <c r="AB30" s="127"/>
      <c r="AC30" s="127"/>
      <c r="AD30" s="127"/>
      <c r="AE30" s="109"/>
      <c r="AF30" s="109"/>
      <c r="AG30" s="109"/>
      <c r="AH30" s="109"/>
      <c r="AI30" s="109"/>
      <c r="AJ30" s="123" t="s">
        <v>1647</v>
      </c>
      <c r="AK30" s="123"/>
      <c r="AL30" s="123"/>
      <c r="AM30" s="123"/>
      <c r="AN30" s="124"/>
    </row>
    <row r="31" spans="1:40" ht="22.5" customHeight="1" x14ac:dyDescent="0.2">
      <c r="A31" s="111" t="s">
        <v>1649</v>
      </c>
      <c r="B31" s="112"/>
      <c r="C31" s="112"/>
      <c r="D31" s="112"/>
      <c r="E31" s="112"/>
      <c r="F31" s="112"/>
      <c r="G31" s="112"/>
      <c r="H31" s="112"/>
      <c r="I31" s="112"/>
      <c r="J31" s="112"/>
      <c r="K31" s="121" t="s">
        <v>1647</v>
      </c>
      <c r="L31" s="121"/>
      <c r="M31" s="121"/>
      <c r="N31" s="121"/>
      <c r="O31" s="121"/>
      <c r="P31" s="122"/>
      <c r="Q31" s="122"/>
      <c r="R31" s="122"/>
      <c r="S31" s="122"/>
      <c r="T31" s="122"/>
      <c r="U31" s="121"/>
      <c r="V31" s="121"/>
      <c r="W31" s="121"/>
      <c r="X31" s="121"/>
      <c r="Y31" s="121"/>
      <c r="Z31" s="122"/>
      <c r="AA31" s="122"/>
      <c r="AB31" s="122"/>
      <c r="AC31" s="122"/>
      <c r="AD31" s="122"/>
      <c r="AE31" s="121"/>
      <c r="AF31" s="121"/>
      <c r="AG31" s="121"/>
      <c r="AH31" s="121"/>
      <c r="AI31" s="121"/>
      <c r="AJ31" s="115" t="s">
        <v>1647</v>
      </c>
      <c r="AK31" s="115"/>
      <c r="AL31" s="115"/>
      <c r="AM31" s="115"/>
      <c r="AN31" s="116"/>
    </row>
    <row r="32" spans="1:40" ht="11.25" customHeight="1" x14ac:dyDescent="0.2">
      <c r="A32" s="49"/>
      <c r="B32" s="49"/>
      <c r="C32" s="49"/>
      <c r="D32" s="49"/>
      <c r="E32" s="49"/>
      <c r="F32" s="49"/>
      <c r="G32" s="49"/>
      <c r="H32" s="49"/>
      <c r="I32" s="49"/>
      <c r="J32" s="49"/>
      <c r="K32" s="70"/>
      <c r="L32" s="70"/>
      <c r="M32" s="70"/>
      <c r="N32" s="70"/>
      <c r="P32" s="70"/>
      <c r="Q32" s="70"/>
      <c r="R32" s="70"/>
      <c r="S32" s="70"/>
      <c r="T32" s="52"/>
      <c r="U32" s="70"/>
      <c r="V32" s="70"/>
      <c r="W32" s="70"/>
      <c r="X32" s="70"/>
      <c r="Y32" s="52"/>
      <c r="Z32" s="70"/>
      <c r="AA32" s="70"/>
      <c r="AB32" s="70"/>
      <c r="AC32" s="70"/>
      <c r="AD32" s="52"/>
      <c r="AE32" s="70"/>
      <c r="AF32" s="70"/>
      <c r="AG32" s="70"/>
      <c r="AH32" s="70"/>
      <c r="AI32" s="52"/>
      <c r="AJ32" s="71"/>
      <c r="AK32" s="71"/>
      <c r="AL32" s="71"/>
      <c r="AM32" s="71"/>
      <c r="AN32" s="72"/>
    </row>
    <row r="33" spans="1:40" ht="14" customHeight="1" x14ac:dyDescent="0.2">
      <c r="A33" s="101" t="s">
        <v>1650</v>
      </c>
      <c r="B33" s="102"/>
      <c r="C33" s="102"/>
      <c r="D33" s="102"/>
      <c r="E33" s="102"/>
      <c r="F33" s="102"/>
      <c r="G33" s="102"/>
      <c r="H33" s="102"/>
      <c r="I33" s="102"/>
      <c r="J33" s="102"/>
      <c r="K33" s="117"/>
      <c r="L33" s="117"/>
      <c r="M33" s="117"/>
      <c r="N33" s="117"/>
      <c r="O33" s="117"/>
      <c r="P33" s="118"/>
      <c r="Q33" s="118"/>
      <c r="R33" s="118"/>
      <c r="S33" s="118"/>
      <c r="T33" s="118"/>
      <c r="U33" s="117"/>
      <c r="V33" s="117"/>
      <c r="W33" s="117"/>
      <c r="X33" s="117"/>
      <c r="Y33" s="58"/>
      <c r="Z33" s="118"/>
      <c r="AA33" s="118"/>
      <c r="AB33" s="118"/>
      <c r="AC33" s="118"/>
      <c r="AD33" s="59"/>
      <c r="AE33" s="117"/>
      <c r="AF33" s="117"/>
      <c r="AG33" s="117"/>
      <c r="AH33" s="117"/>
      <c r="AI33" s="117"/>
      <c r="AJ33" s="119"/>
      <c r="AK33" s="119"/>
      <c r="AL33" s="119"/>
      <c r="AM33" s="119"/>
      <c r="AN33" s="120"/>
    </row>
    <row r="34" spans="1:40" ht="22.5" customHeight="1" x14ac:dyDescent="0.2">
      <c r="A34" s="111" t="s">
        <v>1651</v>
      </c>
      <c r="B34" s="112"/>
      <c r="C34" s="112"/>
      <c r="D34" s="112"/>
      <c r="E34" s="112"/>
      <c r="F34" s="112"/>
      <c r="G34" s="112"/>
      <c r="H34" s="112"/>
      <c r="I34" s="112"/>
      <c r="J34" s="112"/>
      <c r="K34" s="113">
        <v>0.82</v>
      </c>
      <c r="L34" s="113"/>
      <c r="M34" s="113"/>
      <c r="N34" s="113"/>
      <c r="O34" s="113"/>
      <c r="P34" s="114"/>
      <c r="Q34" s="114"/>
      <c r="R34" s="114"/>
      <c r="S34" s="114"/>
      <c r="T34" s="114"/>
      <c r="U34" s="113"/>
      <c r="V34" s="113"/>
      <c r="W34" s="113"/>
      <c r="X34" s="113"/>
      <c r="Y34" s="113"/>
      <c r="Z34" s="114"/>
      <c r="AA34" s="114"/>
      <c r="AB34" s="114"/>
      <c r="AC34" s="114"/>
      <c r="AD34" s="114"/>
      <c r="AE34" s="113"/>
      <c r="AF34" s="113"/>
      <c r="AG34" s="113"/>
      <c r="AH34" s="113"/>
      <c r="AI34" s="113"/>
      <c r="AJ34" s="106">
        <f>SUM(K34:AI34)/COUNT(K34:AI34)</f>
        <v>0.82</v>
      </c>
      <c r="AK34" s="106"/>
      <c r="AL34" s="106"/>
      <c r="AM34" s="106"/>
      <c r="AN34" s="107"/>
    </row>
    <row r="35" spans="1:40" ht="11.25" customHeight="1" x14ac:dyDescent="0.2">
      <c r="A35" s="108"/>
      <c r="B35" s="108"/>
      <c r="C35" s="108"/>
      <c r="D35" s="108"/>
      <c r="E35" s="108"/>
      <c r="F35" s="108"/>
      <c r="G35" s="108"/>
      <c r="H35" s="108"/>
      <c r="I35" s="108"/>
      <c r="J35" s="108"/>
      <c r="K35" s="109"/>
      <c r="L35" s="109"/>
      <c r="M35" s="109"/>
      <c r="N35" s="109"/>
      <c r="P35" s="109"/>
      <c r="Q35" s="109"/>
      <c r="R35" s="109"/>
      <c r="S35" s="109"/>
      <c r="T35" s="52"/>
      <c r="U35" s="109"/>
      <c r="V35" s="109"/>
      <c r="W35" s="109"/>
      <c r="X35" s="109"/>
      <c r="Y35" s="52"/>
      <c r="Z35" s="109"/>
      <c r="AA35" s="109"/>
      <c r="AB35" s="109"/>
      <c r="AC35" s="109"/>
      <c r="AD35" s="52"/>
      <c r="AE35" s="109"/>
      <c r="AF35" s="109"/>
      <c r="AG35" s="109"/>
      <c r="AH35" s="109"/>
      <c r="AI35" s="52"/>
      <c r="AJ35" s="110"/>
      <c r="AK35" s="110"/>
      <c r="AL35" s="110"/>
      <c r="AM35" s="110"/>
      <c r="AN35" s="72"/>
    </row>
    <row r="36" spans="1:40" ht="13.5" customHeight="1" x14ac:dyDescent="0.2">
      <c r="A36" s="101" t="s">
        <v>1652</v>
      </c>
      <c r="B36" s="102"/>
      <c r="C36" s="102"/>
      <c r="D36" s="102"/>
      <c r="E36" s="102"/>
      <c r="F36" s="102"/>
      <c r="G36" s="102"/>
      <c r="H36" s="102"/>
      <c r="I36" s="102"/>
      <c r="J36" s="103" t="s">
        <v>1611</v>
      </c>
      <c r="K36" s="103"/>
      <c r="L36" s="104" t="s">
        <v>1612</v>
      </c>
      <c r="M36" s="104"/>
      <c r="N36" s="103" t="s">
        <v>1653</v>
      </c>
      <c r="O36" s="103"/>
      <c r="P36" s="104" t="s">
        <v>1654</v>
      </c>
      <c r="Q36" s="104"/>
      <c r="R36" s="103" t="s">
        <v>1655</v>
      </c>
      <c r="S36" s="105"/>
      <c r="V36" s="101" t="s">
        <v>1656</v>
      </c>
      <c r="W36" s="102"/>
      <c r="X36" s="102"/>
      <c r="Y36" s="102"/>
      <c r="Z36" s="102"/>
      <c r="AA36" s="102"/>
      <c r="AB36" s="102"/>
      <c r="AC36" s="102"/>
      <c r="AD36" s="102"/>
      <c r="AE36" s="103" t="s">
        <v>1611</v>
      </c>
      <c r="AF36" s="103"/>
      <c r="AG36" s="104" t="s">
        <v>1612</v>
      </c>
      <c r="AH36" s="104"/>
      <c r="AI36" s="103" t="s">
        <v>1653</v>
      </c>
      <c r="AJ36" s="103"/>
      <c r="AK36" s="104" t="s">
        <v>1654</v>
      </c>
      <c r="AL36" s="104"/>
      <c r="AM36" s="103" t="s">
        <v>1655</v>
      </c>
      <c r="AN36" s="105"/>
    </row>
    <row r="37" spans="1:40" ht="15.75" customHeight="1" x14ac:dyDescent="0.2">
      <c r="A37" s="97" t="s">
        <v>1657</v>
      </c>
      <c r="B37" s="98"/>
      <c r="C37" s="98"/>
      <c r="D37" s="98"/>
      <c r="E37" s="98"/>
      <c r="F37" s="98"/>
      <c r="G37" s="98"/>
      <c r="H37" s="98"/>
      <c r="I37" s="98"/>
      <c r="J37" s="84" t="s">
        <v>1658</v>
      </c>
      <c r="K37" s="84"/>
      <c r="L37" s="99"/>
      <c r="M37" s="99"/>
      <c r="N37" s="84"/>
      <c r="O37" s="84"/>
      <c r="P37" s="99"/>
      <c r="Q37" s="99"/>
      <c r="R37" s="84"/>
      <c r="S37" s="100"/>
      <c r="V37" s="97" t="s">
        <v>1659</v>
      </c>
      <c r="W37" s="98"/>
      <c r="X37" s="98"/>
      <c r="Y37" s="98"/>
      <c r="Z37" s="98"/>
      <c r="AA37" s="98"/>
      <c r="AB37" s="98"/>
      <c r="AC37" s="98"/>
      <c r="AD37" s="98"/>
      <c r="AE37" s="84" t="s">
        <v>1658</v>
      </c>
      <c r="AF37" s="84"/>
      <c r="AG37" s="99"/>
      <c r="AH37" s="99"/>
      <c r="AI37" s="84"/>
      <c r="AJ37" s="84"/>
      <c r="AK37" s="99"/>
      <c r="AL37" s="99"/>
      <c r="AM37" s="84"/>
      <c r="AN37" s="100"/>
    </row>
    <row r="38" spans="1:40" ht="15.75" customHeight="1" x14ac:dyDescent="0.2">
      <c r="A38" s="97" t="s">
        <v>1660</v>
      </c>
      <c r="B38" s="98"/>
      <c r="C38" s="98"/>
      <c r="D38" s="98"/>
      <c r="E38" s="98"/>
      <c r="F38" s="98"/>
      <c r="G38" s="98"/>
      <c r="H38" s="98"/>
      <c r="I38" s="98"/>
      <c r="J38" s="84" t="s">
        <v>1658</v>
      </c>
      <c r="K38" s="84"/>
      <c r="L38" s="99"/>
      <c r="M38" s="99"/>
      <c r="N38" s="84"/>
      <c r="O38" s="84"/>
      <c r="P38" s="99"/>
      <c r="Q38" s="99"/>
      <c r="R38" s="84"/>
      <c r="S38" s="100"/>
      <c r="V38" s="97" t="s">
        <v>1661</v>
      </c>
      <c r="W38" s="98"/>
      <c r="X38" s="98"/>
      <c r="Y38" s="98"/>
      <c r="Z38" s="98"/>
      <c r="AA38" s="98"/>
      <c r="AB38" s="98"/>
      <c r="AC38" s="98"/>
      <c r="AD38" s="98"/>
      <c r="AE38" s="84" t="s">
        <v>1647</v>
      </c>
      <c r="AF38" s="84"/>
      <c r="AG38" s="99"/>
      <c r="AH38" s="99"/>
      <c r="AI38" s="84"/>
      <c r="AJ38" s="84"/>
      <c r="AK38" s="99"/>
      <c r="AL38" s="99"/>
      <c r="AM38" s="84"/>
      <c r="AN38" s="100"/>
    </row>
    <row r="39" spans="1:40" ht="15.75" customHeight="1" x14ac:dyDescent="0.2">
      <c r="A39" s="97" t="s">
        <v>1662</v>
      </c>
      <c r="B39" s="98"/>
      <c r="C39" s="98"/>
      <c r="D39" s="98"/>
      <c r="E39" s="98"/>
      <c r="F39" s="98"/>
      <c r="G39" s="98"/>
      <c r="H39" s="98"/>
      <c r="I39" s="98"/>
      <c r="J39" s="84" t="s">
        <v>1658</v>
      </c>
      <c r="K39" s="84"/>
      <c r="L39" s="99"/>
      <c r="M39" s="99"/>
      <c r="N39" s="84"/>
      <c r="O39" s="84"/>
      <c r="P39" s="99"/>
      <c r="Q39" s="99"/>
      <c r="R39" s="84"/>
      <c r="S39" s="100"/>
      <c r="V39" s="97" t="s">
        <v>1663</v>
      </c>
      <c r="W39" s="98"/>
      <c r="X39" s="98"/>
      <c r="Y39" s="98"/>
      <c r="Z39" s="98"/>
      <c r="AA39" s="98"/>
      <c r="AB39" s="98"/>
      <c r="AC39" s="98"/>
      <c r="AD39" s="98"/>
      <c r="AE39" s="84" t="s">
        <v>1647</v>
      </c>
      <c r="AF39" s="84"/>
      <c r="AG39" s="99"/>
      <c r="AH39" s="99"/>
      <c r="AI39" s="84"/>
      <c r="AJ39" s="84"/>
      <c r="AK39" s="99"/>
      <c r="AL39" s="99"/>
      <c r="AM39" s="84"/>
      <c r="AN39" s="100"/>
    </row>
    <row r="40" spans="1:40" ht="15.75" customHeight="1" x14ac:dyDescent="0.2">
      <c r="A40" s="97" t="s">
        <v>1664</v>
      </c>
      <c r="B40" s="98"/>
      <c r="C40" s="98"/>
      <c r="D40" s="98"/>
      <c r="E40" s="98"/>
      <c r="F40" s="98"/>
      <c r="G40" s="98"/>
      <c r="H40" s="98"/>
      <c r="I40" s="98"/>
      <c r="J40" s="84" t="s">
        <v>1658</v>
      </c>
      <c r="K40" s="84"/>
      <c r="L40" s="99"/>
      <c r="M40" s="99"/>
      <c r="N40" s="84"/>
      <c r="O40" s="84"/>
      <c r="P40" s="99"/>
      <c r="Q40" s="99"/>
      <c r="R40" s="84"/>
      <c r="S40" s="100"/>
      <c r="V40" s="97" t="s">
        <v>1665</v>
      </c>
      <c r="W40" s="98"/>
      <c r="X40" s="98"/>
      <c r="Y40" s="98"/>
      <c r="Z40" s="98"/>
      <c r="AA40" s="98"/>
      <c r="AB40" s="98"/>
      <c r="AC40" s="98"/>
      <c r="AD40" s="98"/>
      <c r="AE40" s="84" t="s">
        <v>1647</v>
      </c>
      <c r="AF40" s="84"/>
      <c r="AG40" s="99"/>
      <c r="AH40" s="99"/>
      <c r="AI40" s="84"/>
      <c r="AJ40" s="84"/>
      <c r="AK40" s="99"/>
      <c r="AL40" s="99"/>
      <c r="AM40" s="84"/>
      <c r="AN40" s="100"/>
    </row>
    <row r="41" spans="1:40" ht="15.75" customHeight="1" x14ac:dyDescent="0.2">
      <c r="A41" s="97" t="s">
        <v>1666</v>
      </c>
      <c r="B41" s="98"/>
      <c r="C41" s="98"/>
      <c r="D41" s="98"/>
      <c r="E41" s="98"/>
      <c r="F41" s="98"/>
      <c r="G41" s="98"/>
      <c r="H41" s="98"/>
      <c r="I41" s="98"/>
      <c r="J41" s="84" t="s">
        <v>1647</v>
      </c>
      <c r="K41" s="84"/>
      <c r="L41" s="99"/>
      <c r="M41" s="99"/>
      <c r="N41" s="84"/>
      <c r="O41" s="84"/>
      <c r="P41" s="99"/>
      <c r="Q41" s="99"/>
      <c r="R41" s="84"/>
      <c r="S41" s="100"/>
      <c r="V41" s="97" t="s">
        <v>1667</v>
      </c>
      <c r="W41" s="98"/>
      <c r="X41" s="98"/>
      <c r="Y41" s="98"/>
      <c r="Z41" s="98"/>
      <c r="AA41" s="98"/>
      <c r="AB41" s="98"/>
      <c r="AC41" s="98"/>
      <c r="AD41" s="98"/>
      <c r="AE41" s="84" t="s">
        <v>1647</v>
      </c>
      <c r="AF41" s="84"/>
      <c r="AG41" s="99"/>
      <c r="AH41" s="99"/>
      <c r="AI41" s="84"/>
      <c r="AJ41" s="84"/>
      <c r="AK41" s="99"/>
      <c r="AL41" s="99"/>
      <c r="AM41" s="84"/>
      <c r="AN41" s="100"/>
    </row>
    <row r="42" spans="1:40" ht="15.75" customHeight="1" x14ac:dyDescent="0.2">
      <c r="A42" s="97" t="s">
        <v>1668</v>
      </c>
      <c r="B42" s="98"/>
      <c r="C42" s="98"/>
      <c r="D42" s="98"/>
      <c r="E42" s="98"/>
      <c r="F42" s="98"/>
      <c r="G42" s="98"/>
      <c r="H42" s="98"/>
      <c r="I42" s="98"/>
      <c r="J42" s="84" t="s">
        <v>1647</v>
      </c>
      <c r="K42" s="84"/>
      <c r="L42" s="99"/>
      <c r="M42" s="99"/>
      <c r="N42" s="84"/>
      <c r="O42" s="84"/>
      <c r="P42" s="99"/>
      <c r="Q42" s="99"/>
      <c r="R42" s="84"/>
      <c r="S42" s="100"/>
      <c r="V42" s="97" t="s">
        <v>1669</v>
      </c>
      <c r="W42" s="98"/>
      <c r="X42" s="98"/>
      <c r="Y42" s="98"/>
      <c r="Z42" s="98"/>
      <c r="AA42" s="98"/>
      <c r="AB42" s="98"/>
      <c r="AC42" s="98"/>
      <c r="AD42" s="98"/>
      <c r="AE42" s="84" t="s">
        <v>1647</v>
      </c>
      <c r="AF42" s="84"/>
      <c r="AG42" s="99"/>
      <c r="AH42" s="99"/>
      <c r="AI42" s="84"/>
      <c r="AJ42" s="84"/>
      <c r="AK42" s="99"/>
      <c r="AL42" s="99"/>
      <c r="AM42" s="84"/>
      <c r="AN42" s="100"/>
    </row>
    <row r="43" spans="1:40" ht="15.75" customHeight="1" x14ac:dyDescent="0.2">
      <c r="A43" s="92" t="s">
        <v>1670</v>
      </c>
      <c r="B43" s="93"/>
      <c r="C43" s="93"/>
      <c r="D43" s="93"/>
      <c r="E43" s="93"/>
      <c r="F43" s="93"/>
      <c r="G43" s="93"/>
      <c r="H43" s="93"/>
      <c r="I43" s="93"/>
      <c r="J43" s="94" t="s">
        <v>1647</v>
      </c>
      <c r="K43" s="94"/>
      <c r="L43" s="95"/>
      <c r="M43" s="95"/>
      <c r="N43" s="94"/>
      <c r="O43" s="94"/>
      <c r="P43" s="95"/>
      <c r="Q43" s="95"/>
      <c r="R43" s="94"/>
      <c r="S43" s="96"/>
      <c r="V43" s="92" t="s">
        <v>1671</v>
      </c>
      <c r="W43" s="93"/>
      <c r="X43" s="93"/>
      <c r="Y43" s="93"/>
      <c r="Z43" s="93"/>
      <c r="AA43" s="93"/>
      <c r="AB43" s="93"/>
      <c r="AC43" s="93"/>
      <c r="AD43" s="93"/>
      <c r="AE43" s="94" t="s">
        <v>1647</v>
      </c>
      <c r="AF43" s="94"/>
      <c r="AG43" s="95"/>
      <c r="AH43" s="95"/>
      <c r="AI43" s="94"/>
      <c r="AJ43" s="94"/>
      <c r="AK43" s="95"/>
      <c r="AL43" s="95"/>
      <c r="AM43" s="94"/>
      <c r="AN43" s="96"/>
    </row>
    <row r="44" spans="1:40" ht="11.25" customHeight="1" x14ac:dyDescent="0.2"/>
    <row r="45" spans="1:40" ht="14" customHeight="1" x14ac:dyDescent="0.2">
      <c r="A45" s="90" t="s">
        <v>1672</v>
      </c>
      <c r="B45" s="90"/>
      <c r="C45" s="90"/>
      <c r="D45" s="90"/>
      <c r="E45" s="90"/>
      <c r="F45" s="90"/>
      <c r="G45" s="90"/>
      <c r="H45" s="90"/>
      <c r="I45" s="90"/>
      <c r="J45" s="90"/>
      <c r="K45" s="90"/>
      <c r="L45" s="90"/>
      <c r="O45" s="90" t="s">
        <v>1673</v>
      </c>
      <c r="P45" s="90"/>
      <c r="Q45" s="90"/>
      <c r="R45" s="90"/>
      <c r="S45" s="90"/>
      <c r="T45" s="90"/>
      <c r="U45" s="90"/>
      <c r="V45" s="90"/>
      <c r="W45" s="90"/>
      <c r="X45" s="90"/>
      <c r="Y45" s="90"/>
      <c r="AC45" s="91" t="s">
        <v>1674</v>
      </c>
      <c r="AD45" s="91"/>
      <c r="AE45" s="91"/>
      <c r="AF45" s="91"/>
      <c r="AG45" s="91"/>
      <c r="AH45" s="91"/>
      <c r="AI45" s="91"/>
      <c r="AJ45" s="91"/>
      <c r="AK45" s="91"/>
      <c r="AL45" s="91"/>
      <c r="AM45" s="91"/>
      <c r="AN45" s="91"/>
    </row>
    <row r="46" spans="1:40" ht="14" customHeight="1" x14ac:dyDescent="0.2">
      <c r="A46" s="90"/>
      <c r="B46" s="90"/>
      <c r="C46" s="90"/>
      <c r="D46" s="90"/>
      <c r="E46" s="90"/>
      <c r="F46" s="90"/>
      <c r="G46" s="90"/>
      <c r="H46" s="90"/>
      <c r="I46" s="90"/>
      <c r="J46" s="90"/>
      <c r="K46" s="90"/>
      <c r="L46" s="90"/>
      <c r="O46" s="90"/>
      <c r="P46" s="90"/>
      <c r="Q46" s="90"/>
      <c r="R46" s="90"/>
      <c r="S46" s="90"/>
      <c r="T46" s="90"/>
      <c r="U46" s="90"/>
      <c r="V46" s="90"/>
      <c r="W46" s="90"/>
      <c r="X46" s="90"/>
      <c r="Y46" s="90"/>
      <c r="AC46" s="91"/>
      <c r="AD46" s="91"/>
      <c r="AE46" s="91"/>
      <c r="AF46" s="91"/>
      <c r="AG46" s="91"/>
      <c r="AH46" s="91"/>
      <c r="AI46" s="91"/>
      <c r="AJ46" s="91"/>
      <c r="AK46" s="91"/>
      <c r="AL46" s="91"/>
      <c r="AM46" s="91"/>
      <c r="AN46" s="91"/>
    </row>
    <row r="47" spans="1:40" ht="14" customHeight="1" x14ac:dyDescent="0.2">
      <c r="A47" s="90"/>
      <c r="B47" s="90"/>
      <c r="C47" s="90"/>
      <c r="D47" s="90"/>
      <c r="E47" s="90"/>
      <c r="F47" s="90"/>
      <c r="G47" s="90"/>
      <c r="H47" s="90"/>
      <c r="I47" s="90"/>
      <c r="J47" s="90"/>
      <c r="K47" s="90"/>
      <c r="L47" s="90"/>
      <c r="O47" s="90"/>
      <c r="P47" s="90"/>
      <c r="Q47" s="90"/>
      <c r="R47" s="90"/>
      <c r="S47" s="90"/>
      <c r="T47" s="90"/>
      <c r="U47" s="90"/>
      <c r="V47" s="90"/>
      <c r="W47" s="90"/>
      <c r="X47" s="90"/>
      <c r="Y47" s="90"/>
      <c r="AC47" s="91"/>
      <c r="AD47" s="91"/>
      <c r="AE47" s="91"/>
      <c r="AF47" s="91"/>
      <c r="AG47" s="91"/>
      <c r="AH47" s="91"/>
      <c r="AI47" s="91"/>
      <c r="AJ47" s="91"/>
      <c r="AK47" s="91"/>
      <c r="AL47" s="91"/>
      <c r="AM47" s="91"/>
      <c r="AN47" s="91"/>
    </row>
    <row r="48" spans="1:40" s="53" customFormat="1" ht="2.75" customHeight="1" x14ac:dyDescent="0.2">
      <c r="A48" s="77"/>
      <c r="B48" s="77"/>
      <c r="C48" s="77"/>
      <c r="D48" s="77"/>
      <c r="E48" s="77"/>
      <c r="F48" s="77"/>
      <c r="G48" s="77"/>
      <c r="H48" s="77"/>
      <c r="I48" s="77"/>
      <c r="J48" s="77"/>
      <c r="K48" s="77"/>
      <c r="L48" s="77"/>
      <c r="O48" s="77"/>
      <c r="P48" s="77"/>
      <c r="Q48" s="77"/>
      <c r="R48" s="77"/>
      <c r="S48" s="77"/>
      <c r="T48" s="77"/>
      <c r="U48" s="77"/>
      <c r="V48" s="77"/>
      <c r="W48" s="77"/>
      <c r="X48" s="77"/>
      <c r="Y48" s="77"/>
      <c r="AC48" s="77"/>
      <c r="AD48" s="77"/>
      <c r="AE48" s="77"/>
      <c r="AF48" s="77"/>
      <c r="AG48" s="77"/>
      <c r="AH48" s="77"/>
      <c r="AI48" s="77"/>
      <c r="AJ48" s="77"/>
      <c r="AK48" s="77"/>
      <c r="AL48" s="77"/>
      <c r="AM48" s="77"/>
      <c r="AN48" s="77"/>
    </row>
    <row r="49" spans="15:15" ht="2.75" customHeight="1" x14ac:dyDescent="0.2"/>
    <row r="50" spans="15:15" s="53" customFormat="1" ht="2.75" customHeight="1" x14ac:dyDescent="0.2">
      <c r="O50" s="52"/>
    </row>
    <row r="51" spans="15:15" s="53" customFormat="1" ht="2.75" customHeight="1" x14ac:dyDescent="0.2">
      <c r="O51" s="52"/>
    </row>
    <row r="52" spans="15:15" s="53" customFormat="1" ht="2.75" customHeight="1" x14ac:dyDescent="0.2">
      <c r="O52" s="52"/>
    </row>
    <row r="53" spans="15:15" s="53" customFormat="1" ht="2.75" customHeight="1" x14ac:dyDescent="0.2">
      <c r="O53" s="52"/>
    </row>
    <row r="55" spans="15:15" s="53" customFormat="1" ht="23.75" customHeight="1" x14ac:dyDescent="0.2">
      <c r="O55" s="52"/>
    </row>
    <row r="57" spans="15:15" s="53" customFormat="1" ht="23.75" customHeight="1" x14ac:dyDescent="0.2">
      <c r="O57" s="52"/>
    </row>
    <row r="59" spans="15:15" ht="5.75" customHeight="1" x14ac:dyDescent="0.2"/>
    <row r="61" spans="15:15" s="53" customFormat="1" ht="23.75" customHeight="1" x14ac:dyDescent="0.2">
      <c r="O61" s="52"/>
    </row>
    <row r="62" spans="15:15" s="53" customFormat="1" ht="23.75" customHeight="1" x14ac:dyDescent="0.2">
      <c r="O62" s="52"/>
    </row>
    <row r="63" spans="15:15" s="53" customFormat="1" ht="23.75" customHeight="1" x14ac:dyDescent="0.2">
      <c r="O63" s="52"/>
    </row>
    <row r="64" spans="15:15" s="53" customFormat="1" ht="23.75" customHeight="1" x14ac:dyDescent="0.2">
      <c r="O64" s="52"/>
    </row>
    <row r="66" ht="5.75" customHeight="1" x14ac:dyDescent="0.2"/>
    <row r="68" ht="23.75" customHeight="1" x14ac:dyDescent="0.2"/>
    <row r="69" ht="23.75" customHeight="1" x14ac:dyDescent="0.2"/>
    <row r="70" ht="23.75" customHeight="1" x14ac:dyDescent="0.2"/>
  </sheetData>
  <mergeCells count="292">
    <mergeCell ref="K1:AD2"/>
    <mergeCell ref="AE1:AN2"/>
    <mergeCell ref="K3:AD3"/>
    <mergeCell ref="AE3:AN3"/>
    <mergeCell ref="A5:F5"/>
    <mergeCell ref="G5:S5"/>
    <mergeCell ref="V5:AA5"/>
    <mergeCell ref="AJ8:AN8"/>
    <mergeCell ref="A9:J9"/>
    <mergeCell ref="K9:N9"/>
    <mergeCell ref="P9:S9"/>
    <mergeCell ref="U9:X9"/>
    <mergeCell ref="Z9:AC9"/>
    <mergeCell ref="AE9:AH9"/>
    <mergeCell ref="AJ9:AM9"/>
    <mergeCell ref="A6:F6"/>
    <mergeCell ref="G6:S6"/>
    <mergeCell ref="V6:AA6"/>
    <mergeCell ref="AB6:AN6"/>
    <mergeCell ref="A8:J8"/>
    <mergeCell ref="K8:O8"/>
    <mergeCell ref="P8:T8"/>
    <mergeCell ref="U8:Y8"/>
    <mergeCell ref="Z8:AD8"/>
    <mergeCell ref="AE8:AI8"/>
    <mergeCell ref="AJ10:AM10"/>
    <mergeCell ref="A11:J11"/>
    <mergeCell ref="A12:J12"/>
    <mergeCell ref="K12:N12"/>
    <mergeCell ref="P12:S12"/>
    <mergeCell ref="U12:X12"/>
    <mergeCell ref="Z12:AC12"/>
    <mergeCell ref="AE12:AH12"/>
    <mergeCell ref="AJ12:AM12"/>
    <mergeCell ref="A10:J10"/>
    <mergeCell ref="K10:N10"/>
    <mergeCell ref="P10:S10"/>
    <mergeCell ref="U10:X10"/>
    <mergeCell ref="Z10:AC10"/>
    <mergeCell ref="AE10:AH10"/>
    <mergeCell ref="AJ13:AM13"/>
    <mergeCell ref="A14:J14"/>
    <mergeCell ref="K14:N14"/>
    <mergeCell ref="P14:S14"/>
    <mergeCell ref="U14:X14"/>
    <mergeCell ref="Z14:AC14"/>
    <mergeCell ref="AE14:AH14"/>
    <mergeCell ref="AJ14:AM14"/>
    <mergeCell ref="A13:J13"/>
    <mergeCell ref="K13:N13"/>
    <mergeCell ref="P13:S13"/>
    <mergeCell ref="U13:X13"/>
    <mergeCell ref="Z13:AC13"/>
    <mergeCell ref="AE13:AH13"/>
    <mergeCell ref="AJ15:AM15"/>
    <mergeCell ref="A16:J16"/>
    <mergeCell ref="K16:N16"/>
    <mergeCell ref="P16:S16"/>
    <mergeCell ref="U16:X16"/>
    <mergeCell ref="Z16:AC16"/>
    <mergeCell ref="AE16:AH16"/>
    <mergeCell ref="AJ16:AM16"/>
    <mergeCell ref="A15:J15"/>
    <mergeCell ref="K15:N15"/>
    <mergeCell ref="P15:S15"/>
    <mergeCell ref="U15:X15"/>
    <mergeCell ref="Z15:AC15"/>
    <mergeCell ref="AE15:AH15"/>
    <mergeCell ref="AJ17:AM17"/>
    <mergeCell ref="A18:J18"/>
    <mergeCell ref="K18:N18"/>
    <mergeCell ref="P18:S18"/>
    <mergeCell ref="U18:X18"/>
    <mergeCell ref="Z18:AC18"/>
    <mergeCell ref="AE18:AH18"/>
    <mergeCell ref="AJ18:AM18"/>
    <mergeCell ref="A17:J17"/>
    <mergeCell ref="K17:N17"/>
    <mergeCell ref="P17:S17"/>
    <mergeCell ref="U17:X17"/>
    <mergeCell ref="Z17:AC17"/>
    <mergeCell ref="AE17:AH17"/>
    <mergeCell ref="AJ19:AM19"/>
    <mergeCell ref="A20:J20"/>
    <mergeCell ref="K20:N20"/>
    <mergeCell ref="P20:S20"/>
    <mergeCell ref="U20:X20"/>
    <mergeCell ref="Z20:AC20"/>
    <mergeCell ref="AE20:AH20"/>
    <mergeCell ref="AJ20:AM20"/>
    <mergeCell ref="A19:J19"/>
    <mergeCell ref="K19:N19"/>
    <mergeCell ref="P19:S19"/>
    <mergeCell ref="U19:X19"/>
    <mergeCell ref="Z19:AC19"/>
    <mergeCell ref="AE19:AH19"/>
    <mergeCell ref="AJ21:AM21"/>
    <mergeCell ref="A22:J22"/>
    <mergeCell ref="K22:N22"/>
    <mergeCell ref="P22:S22"/>
    <mergeCell ref="U22:X22"/>
    <mergeCell ref="Z22:AC22"/>
    <mergeCell ref="AE22:AH22"/>
    <mergeCell ref="AJ22:AM22"/>
    <mergeCell ref="A21:J21"/>
    <mergeCell ref="K21:N21"/>
    <mergeCell ref="P21:S21"/>
    <mergeCell ref="U21:X21"/>
    <mergeCell ref="Z21:AC21"/>
    <mergeCell ref="AE21:AH21"/>
    <mergeCell ref="AJ23:AM23"/>
    <mergeCell ref="A24:J24"/>
    <mergeCell ref="K24:N24"/>
    <mergeCell ref="P24:S24"/>
    <mergeCell ref="U24:X24"/>
    <mergeCell ref="Z24:AC24"/>
    <mergeCell ref="AE24:AH24"/>
    <mergeCell ref="AJ24:AM24"/>
    <mergeCell ref="A23:J23"/>
    <mergeCell ref="K23:N23"/>
    <mergeCell ref="P23:S23"/>
    <mergeCell ref="U23:X23"/>
    <mergeCell ref="Z23:AC23"/>
    <mergeCell ref="AE23:AH23"/>
    <mergeCell ref="AJ25:AM25"/>
    <mergeCell ref="A26:J26"/>
    <mergeCell ref="K26:O26"/>
    <mergeCell ref="P26:S26"/>
    <mergeCell ref="U26:X26"/>
    <mergeCell ref="Z26:AC26"/>
    <mergeCell ref="AE26:AH26"/>
    <mergeCell ref="AJ26:AN26"/>
    <mergeCell ref="A25:J25"/>
    <mergeCell ref="K25:O25"/>
    <mergeCell ref="P25:T25"/>
    <mergeCell ref="U25:X25"/>
    <mergeCell ref="Z25:AC25"/>
    <mergeCell ref="AE25:AI25"/>
    <mergeCell ref="AJ27:AM27"/>
    <mergeCell ref="A28:J28"/>
    <mergeCell ref="K28:O28"/>
    <mergeCell ref="P28:T28"/>
    <mergeCell ref="U28:X28"/>
    <mergeCell ref="Z28:AC28"/>
    <mergeCell ref="AE28:AI28"/>
    <mergeCell ref="A27:J27"/>
    <mergeCell ref="K27:N27"/>
    <mergeCell ref="P27:S27"/>
    <mergeCell ref="U27:X27"/>
    <mergeCell ref="Z27:AC27"/>
    <mergeCell ref="AE27:AH27"/>
    <mergeCell ref="AJ29:AN29"/>
    <mergeCell ref="A30:J30"/>
    <mergeCell ref="K30:O30"/>
    <mergeCell ref="P30:T30"/>
    <mergeCell ref="U30:Y30"/>
    <mergeCell ref="Z30:AD30"/>
    <mergeCell ref="AE30:AI30"/>
    <mergeCell ref="AJ30:AN30"/>
    <mergeCell ref="A29:J29"/>
    <mergeCell ref="K29:O29"/>
    <mergeCell ref="P29:T29"/>
    <mergeCell ref="U29:Y29"/>
    <mergeCell ref="Z29:AD29"/>
    <mergeCell ref="AE29:AI29"/>
    <mergeCell ref="AJ31:AN31"/>
    <mergeCell ref="A33:J33"/>
    <mergeCell ref="K33:O33"/>
    <mergeCell ref="P33:T33"/>
    <mergeCell ref="U33:X33"/>
    <mergeCell ref="Z33:AC33"/>
    <mergeCell ref="AE33:AI33"/>
    <mergeCell ref="AJ33:AN33"/>
    <mergeCell ref="A31:J31"/>
    <mergeCell ref="K31:O31"/>
    <mergeCell ref="P31:T31"/>
    <mergeCell ref="U31:Y31"/>
    <mergeCell ref="Z31:AD31"/>
    <mergeCell ref="AE31:AI31"/>
    <mergeCell ref="AJ34:AN34"/>
    <mergeCell ref="A35:J35"/>
    <mergeCell ref="K35:N35"/>
    <mergeCell ref="P35:S35"/>
    <mergeCell ref="U35:X35"/>
    <mergeCell ref="Z35:AC35"/>
    <mergeCell ref="AE35:AH35"/>
    <mergeCell ref="AJ35:AM35"/>
    <mergeCell ref="A34:J34"/>
    <mergeCell ref="K34:O34"/>
    <mergeCell ref="P34:T34"/>
    <mergeCell ref="U34:Y34"/>
    <mergeCell ref="Z34:AD34"/>
    <mergeCell ref="AE34:AI34"/>
    <mergeCell ref="V36:AD36"/>
    <mergeCell ref="AE36:AF36"/>
    <mergeCell ref="AG36:AH36"/>
    <mergeCell ref="AI36:AJ36"/>
    <mergeCell ref="AK36:AL36"/>
    <mergeCell ref="AM36:AN36"/>
    <mergeCell ref="A36:I36"/>
    <mergeCell ref="J36:K36"/>
    <mergeCell ref="L36:M36"/>
    <mergeCell ref="N36:O36"/>
    <mergeCell ref="P36:Q36"/>
    <mergeCell ref="R36:S36"/>
    <mergeCell ref="V37:AD37"/>
    <mergeCell ref="AE37:AF37"/>
    <mergeCell ref="AG37:AH37"/>
    <mergeCell ref="AI37:AJ37"/>
    <mergeCell ref="AK37:AL37"/>
    <mergeCell ref="AM37:AN37"/>
    <mergeCell ref="A37:I37"/>
    <mergeCell ref="J37:K37"/>
    <mergeCell ref="L37:M37"/>
    <mergeCell ref="N37:O37"/>
    <mergeCell ref="P37:Q37"/>
    <mergeCell ref="R37:S37"/>
    <mergeCell ref="V38:AD38"/>
    <mergeCell ref="AE38:AF38"/>
    <mergeCell ref="AG38:AH38"/>
    <mergeCell ref="AI38:AJ38"/>
    <mergeCell ref="AK38:AL38"/>
    <mergeCell ref="AM38:AN38"/>
    <mergeCell ref="A38:I38"/>
    <mergeCell ref="J38:K38"/>
    <mergeCell ref="L38:M38"/>
    <mergeCell ref="N38:O38"/>
    <mergeCell ref="P38:Q38"/>
    <mergeCell ref="R38:S38"/>
    <mergeCell ref="V39:AD39"/>
    <mergeCell ref="AE39:AF39"/>
    <mergeCell ref="AG39:AH39"/>
    <mergeCell ref="AI39:AJ39"/>
    <mergeCell ref="AK39:AL39"/>
    <mergeCell ref="AM39:AN39"/>
    <mergeCell ref="A39:I39"/>
    <mergeCell ref="J39:K39"/>
    <mergeCell ref="L39:M39"/>
    <mergeCell ref="N39:O39"/>
    <mergeCell ref="P39:Q39"/>
    <mergeCell ref="R39:S39"/>
    <mergeCell ref="V40:AD40"/>
    <mergeCell ref="AE40:AF40"/>
    <mergeCell ref="AG40:AH40"/>
    <mergeCell ref="AI40:AJ40"/>
    <mergeCell ref="AK40:AL40"/>
    <mergeCell ref="AM40:AN40"/>
    <mergeCell ref="A40:I40"/>
    <mergeCell ref="J40:K40"/>
    <mergeCell ref="L40:M40"/>
    <mergeCell ref="N40:O40"/>
    <mergeCell ref="P40:Q40"/>
    <mergeCell ref="R40:S40"/>
    <mergeCell ref="V41:AD41"/>
    <mergeCell ref="AE41:AF41"/>
    <mergeCell ref="AG41:AH41"/>
    <mergeCell ref="AI41:AJ41"/>
    <mergeCell ref="AK41:AL41"/>
    <mergeCell ref="AM41:AN41"/>
    <mergeCell ref="A41:I41"/>
    <mergeCell ref="J41:K41"/>
    <mergeCell ref="L41:M41"/>
    <mergeCell ref="N41:O41"/>
    <mergeCell ref="P41:Q41"/>
    <mergeCell ref="R41:S41"/>
    <mergeCell ref="V42:AD42"/>
    <mergeCell ref="AE42:AF42"/>
    <mergeCell ref="AG42:AH42"/>
    <mergeCell ref="AI42:AJ42"/>
    <mergeCell ref="AK42:AL42"/>
    <mergeCell ref="AM42:AN42"/>
    <mergeCell ref="A42:I42"/>
    <mergeCell ref="J42:K42"/>
    <mergeCell ref="L42:M42"/>
    <mergeCell ref="N42:O42"/>
    <mergeCell ref="P42:Q42"/>
    <mergeCell ref="R42:S42"/>
    <mergeCell ref="A45:L47"/>
    <mergeCell ref="O45:Y47"/>
    <mergeCell ref="AC45:AN47"/>
    <mergeCell ref="V43:AD43"/>
    <mergeCell ref="AE43:AF43"/>
    <mergeCell ref="AG43:AH43"/>
    <mergeCell ref="AI43:AJ43"/>
    <mergeCell ref="AK43:AL43"/>
    <mergeCell ref="AM43:AN43"/>
    <mergeCell ref="A43:I43"/>
    <mergeCell ref="J43:K43"/>
    <mergeCell ref="L43:M43"/>
    <mergeCell ref="N43:O43"/>
    <mergeCell ref="P43:Q43"/>
    <mergeCell ref="R43:S43"/>
  </mergeCells>
  <pageMargins left="0.55118110236220474" right="0.55118110236220474" top="0.55118110236220474" bottom="0.39370078740157483" header="0" footer="0"/>
  <pageSetup paperSize="9" scale="9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16061-45BC-4372-B850-FACAE980663A}">
  <dimension ref="B1:D4"/>
  <sheetViews>
    <sheetView zoomScale="265" zoomScaleNormal="265" workbookViewId="0">
      <selection activeCell="F24" sqref="F24"/>
    </sheetView>
  </sheetViews>
  <sheetFormatPr baseColWidth="10" defaultColWidth="8.83203125" defaultRowHeight="15" x14ac:dyDescent="0.2"/>
  <cols>
    <col min="2" max="2" width="17.1640625" bestFit="1" customWidth="1"/>
    <col min="4" max="4" width="10.83203125" customWidth="1"/>
  </cols>
  <sheetData>
    <row r="1" spans="2:4" x14ac:dyDescent="0.2">
      <c r="B1" s="37" t="s">
        <v>1573</v>
      </c>
      <c r="C1" s="37" t="s">
        <v>1574</v>
      </c>
      <c r="D1" s="37" t="s">
        <v>4</v>
      </c>
    </row>
    <row r="2" spans="2:4" x14ac:dyDescent="0.2">
      <c r="B2" s="12" t="s">
        <v>20</v>
      </c>
      <c r="C2">
        <v>1</v>
      </c>
      <c r="D2" t="s">
        <v>22</v>
      </c>
    </row>
    <row r="3" spans="2:4" x14ac:dyDescent="0.2">
      <c r="B3" t="s">
        <v>3</v>
      </c>
      <c r="C3">
        <v>1</v>
      </c>
      <c r="D3" t="s">
        <v>6</v>
      </c>
    </row>
    <row r="4" spans="2:4" x14ac:dyDescent="0.2">
      <c r="B4" t="s">
        <v>3</v>
      </c>
      <c r="C4">
        <v>1</v>
      </c>
      <c r="D4" t="s">
        <v>23</v>
      </c>
    </row>
  </sheetData>
  <phoneticPr fontId="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A1C6-03E0-408F-BD46-DBFC5858AE71}">
  <dimension ref="A1:N21"/>
  <sheetViews>
    <sheetView zoomScale="214" zoomScaleNormal="145" workbookViewId="0">
      <pane xSplit="2" ySplit="1" topLeftCell="C2" activePane="bottomRight" state="frozen"/>
      <selection activeCell="F24" sqref="F24"/>
      <selection pane="topRight" activeCell="F24" sqref="F24"/>
      <selection pane="bottomLeft" activeCell="F24" sqref="F24"/>
      <selection pane="bottomRight" activeCell="C11" sqref="C11"/>
    </sheetView>
  </sheetViews>
  <sheetFormatPr baseColWidth="10" defaultColWidth="8.83203125" defaultRowHeight="15" x14ac:dyDescent="0.2"/>
  <cols>
    <col min="1" max="1" width="6.1640625" customWidth="1"/>
    <col min="2" max="2" width="18.83203125" bestFit="1" customWidth="1"/>
  </cols>
  <sheetData>
    <row r="1" spans="1:14" x14ac:dyDescent="0.2">
      <c r="A1" s="37" t="s">
        <v>372</v>
      </c>
      <c r="B1" s="37" t="s">
        <v>1577</v>
      </c>
      <c r="C1" s="37">
        <v>1</v>
      </c>
      <c r="D1" s="37">
        <v>2</v>
      </c>
      <c r="E1" s="37">
        <v>3</v>
      </c>
      <c r="F1" s="37">
        <v>4</v>
      </c>
      <c r="G1" s="37">
        <v>5</v>
      </c>
      <c r="H1" s="37">
        <v>6</v>
      </c>
      <c r="I1" s="37">
        <v>7</v>
      </c>
      <c r="J1" s="37">
        <v>8</v>
      </c>
      <c r="K1" s="37">
        <v>9</v>
      </c>
      <c r="L1" s="37">
        <v>10</v>
      </c>
      <c r="M1" s="37">
        <v>11</v>
      </c>
      <c r="N1" s="37">
        <v>12</v>
      </c>
    </row>
    <row r="2" spans="1:14" x14ac:dyDescent="0.2">
      <c r="A2">
        <v>1</v>
      </c>
      <c r="B2" s="12" t="s">
        <v>288</v>
      </c>
      <c r="C2">
        <v>85</v>
      </c>
      <c r="D2">
        <v>86</v>
      </c>
      <c r="E2">
        <v>87</v>
      </c>
      <c r="F2">
        <v>88</v>
      </c>
      <c r="G2">
        <v>89</v>
      </c>
      <c r="H2">
        <v>90</v>
      </c>
      <c r="I2">
        <v>91</v>
      </c>
      <c r="J2">
        <v>92</v>
      </c>
      <c r="K2">
        <v>93</v>
      </c>
      <c r="L2">
        <v>94</v>
      </c>
      <c r="M2">
        <v>95</v>
      </c>
      <c r="N2">
        <v>96</v>
      </c>
    </row>
    <row r="3" spans="1:14" x14ac:dyDescent="0.2">
      <c r="A3">
        <v>2</v>
      </c>
      <c r="B3" s="12" t="s">
        <v>286</v>
      </c>
      <c r="C3">
        <v>85</v>
      </c>
      <c r="D3">
        <v>86</v>
      </c>
      <c r="E3">
        <v>87</v>
      </c>
      <c r="F3">
        <v>88</v>
      </c>
      <c r="G3">
        <v>89</v>
      </c>
      <c r="H3">
        <v>90</v>
      </c>
      <c r="I3">
        <v>91</v>
      </c>
      <c r="J3">
        <v>92</v>
      </c>
      <c r="K3">
        <v>93</v>
      </c>
      <c r="L3">
        <v>94</v>
      </c>
      <c r="M3">
        <v>95</v>
      </c>
      <c r="N3">
        <v>96</v>
      </c>
    </row>
    <row r="4" spans="1:14" x14ac:dyDescent="0.2">
      <c r="A4">
        <v>3</v>
      </c>
      <c r="B4" s="12" t="s">
        <v>285</v>
      </c>
      <c r="C4">
        <v>85</v>
      </c>
      <c r="D4">
        <v>86</v>
      </c>
      <c r="E4">
        <v>87</v>
      </c>
      <c r="F4">
        <v>88</v>
      </c>
      <c r="G4">
        <v>89</v>
      </c>
      <c r="H4">
        <v>90</v>
      </c>
      <c r="I4">
        <v>91</v>
      </c>
      <c r="J4">
        <v>92</v>
      </c>
      <c r="K4">
        <v>93</v>
      </c>
      <c r="L4">
        <v>94</v>
      </c>
      <c r="M4">
        <v>95</v>
      </c>
      <c r="N4">
        <v>96</v>
      </c>
    </row>
    <row r="5" spans="1:14" x14ac:dyDescent="0.2">
      <c r="A5">
        <v>4</v>
      </c>
      <c r="B5" s="12" t="s">
        <v>281</v>
      </c>
      <c r="C5">
        <v>85</v>
      </c>
      <c r="D5">
        <v>86</v>
      </c>
      <c r="E5">
        <v>87</v>
      </c>
      <c r="F5">
        <v>88</v>
      </c>
      <c r="G5">
        <v>89</v>
      </c>
      <c r="H5">
        <v>90</v>
      </c>
      <c r="I5">
        <v>91</v>
      </c>
      <c r="J5">
        <v>92</v>
      </c>
      <c r="K5">
        <v>93</v>
      </c>
      <c r="L5">
        <v>94</v>
      </c>
      <c r="M5">
        <v>95</v>
      </c>
      <c r="N5">
        <v>96</v>
      </c>
    </row>
    <row r="6" spans="1:14" x14ac:dyDescent="0.2">
      <c r="A6">
        <v>5</v>
      </c>
      <c r="B6" s="12" t="s">
        <v>20</v>
      </c>
      <c r="C6">
        <v>85</v>
      </c>
      <c r="D6">
        <v>86</v>
      </c>
      <c r="E6">
        <v>86</v>
      </c>
      <c r="F6">
        <v>87</v>
      </c>
      <c r="G6">
        <v>88</v>
      </c>
      <c r="H6">
        <v>88</v>
      </c>
      <c r="I6">
        <v>97</v>
      </c>
      <c r="J6">
        <v>98</v>
      </c>
      <c r="K6">
        <v>98</v>
      </c>
      <c r="L6">
        <v>99</v>
      </c>
      <c r="M6">
        <v>100</v>
      </c>
      <c r="N6">
        <v>100</v>
      </c>
    </row>
    <row r="7" spans="1:14" x14ac:dyDescent="0.2">
      <c r="A7">
        <v>6</v>
      </c>
      <c r="B7" s="12" t="s">
        <v>143</v>
      </c>
      <c r="C7">
        <v>85</v>
      </c>
      <c r="D7">
        <v>86</v>
      </c>
      <c r="E7">
        <v>87</v>
      </c>
      <c r="F7">
        <v>88</v>
      </c>
      <c r="G7">
        <v>89</v>
      </c>
      <c r="H7">
        <v>90</v>
      </c>
      <c r="I7">
        <v>91</v>
      </c>
      <c r="J7">
        <v>92</v>
      </c>
      <c r="K7">
        <v>93</v>
      </c>
      <c r="L7">
        <v>94</v>
      </c>
      <c r="M7">
        <v>95</v>
      </c>
      <c r="N7">
        <v>96</v>
      </c>
    </row>
    <row r="8" spans="1:14" x14ac:dyDescent="0.2">
      <c r="A8">
        <v>7</v>
      </c>
      <c r="B8" s="12" t="s">
        <v>272</v>
      </c>
      <c r="C8">
        <v>97</v>
      </c>
      <c r="D8">
        <v>98</v>
      </c>
      <c r="E8">
        <v>99</v>
      </c>
      <c r="F8">
        <v>100</v>
      </c>
      <c r="G8">
        <v>101</v>
      </c>
      <c r="H8">
        <v>102</v>
      </c>
      <c r="I8">
        <v>103</v>
      </c>
      <c r="J8">
        <v>104</v>
      </c>
      <c r="K8">
        <v>105</v>
      </c>
      <c r="L8">
        <v>106</v>
      </c>
      <c r="M8">
        <v>107</v>
      </c>
      <c r="N8">
        <v>108</v>
      </c>
    </row>
    <row r="9" spans="1:14" x14ac:dyDescent="0.2">
      <c r="A9">
        <v>8</v>
      </c>
      <c r="B9" s="12" t="s">
        <v>270</v>
      </c>
      <c r="C9">
        <v>97</v>
      </c>
      <c r="D9">
        <v>98</v>
      </c>
      <c r="E9">
        <v>99</v>
      </c>
      <c r="F9">
        <v>100</v>
      </c>
      <c r="G9">
        <v>101</v>
      </c>
      <c r="H9">
        <v>102</v>
      </c>
      <c r="I9">
        <v>103</v>
      </c>
      <c r="J9">
        <v>104</v>
      </c>
      <c r="K9">
        <v>105</v>
      </c>
      <c r="L9">
        <v>106</v>
      </c>
      <c r="M9">
        <v>107</v>
      </c>
      <c r="N9">
        <v>108</v>
      </c>
    </row>
    <row r="10" spans="1:14" x14ac:dyDescent="0.2">
      <c r="A10">
        <v>9</v>
      </c>
      <c r="B10" s="12" t="s">
        <v>268</v>
      </c>
      <c r="C10">
        <v>97</v>
      </c>
      <c r="D10">
        <v>98</v>
      </c>
      <c r="E10">
        <v>99</v>
      </c>
      <c r="F10">
        <v>100</v>
      </c>
      <c r="G10">
        <v>101</v>
      </c>
      <c r="H10">
        <v>102</v>
      </c>
      <c r="I10">
        <v>103</v>
      </c>
      <c r="J10">
        <v>104</v>
      </c>
      <c r="K10">
        <v>105</v>
      </c>
      <c r="L10">
        <v>106</v>
      </c>
      <c r="M10">
        <v>107</v>
      </c>
      <c r="N10">
        <v>108</v>
      </c>
    </row>
    <row r="11" spans="1:14" x14ac:dyDescent="0.2">
      <c r="A11">
        <v>10</v>
      </c>
      <c r="B11" s="12" t="s">
        <v>258</v>
      </c>
      <c r="C11">
        <v>97</v>
      </c>
      <c r="D11">
        <v>98</v>
      </c>
      <c r="E11">
        <v>99</v>
      </c>
      <c r="F11">
        <v>100</v>
      </c>
      <c r="G11">
        <v>101</v>
      </c>
      <c r="H11">
        <v>102</v>
      </c>
      <c r="I11">
        <v>103</v>
      </c>
      <c r="J11">
        <v>104</v>
      </c>
      <c r="K11">
        <v>105</v>
      </c>
      <c r="L11">
        <v>106</v>
      </c>
      <c r="M11">
        <v>107</v>
      </c>
      <c r="N11">
        <v>108</v>
      </c>
    </row>
    <row r="12" spans="1:14" x14ac:dyDescent="0.2">
      <c r="A12">
        <v>11</v>
      </c>
      <c r="B12" s="12" t="s">
        <v>244</v>
      </c>
      <c r="C12">
        <v>97</v>
      </c>
      <c r="D12">
        <v>98</v>
      </c>
      <c r="E12">
        <v>99</v>
      </c>
      <c r="F12">
        <v>100</v>
      </c>
      <c r="G12">
        <v>101</v>
      </c>
      <c r="H12">
        <v>102</v>
      </c>
      <c r="I12">
        <v>103</v>
      </c>
      <c r="J12">
        <v>104</v>
      </c>
      <c r="K12">
        <v>105</v>
      </c>
      <c r="L12">
        <v>106</v>
      </c>
      <c r="M12">
        <v>107</v>
      </c>
      <c r="N12">
        <v>108</v>
      </c>
    </row>
    <row r="13" spans="1:14" x14ac:dyDescent="0.2">
      <c r="A13">
        <v>12</v>
      </c>
      <c r="B13" s="12" t="s">
        <v>233</v>
      </c>
      <c r="C13">
        <v>97</v>
      </c>
      <c r="D13">
        <v>98</v>
      </c>
      <c r="E13">
        <v>99</v>
      </c>
      <c r="F13">
        <v>100</v>
      </c>
      <c r="G13">
        <v>101</v>
      </c>
      <c r="H13">
        <v>102</v>
      </c>
      <c r="I13">
        <v>103</v>
      </c>
      <c r="J13">
        <v>104</v>
      </c>
      <c r="K13">
        <v>105</v>
      </c>
      <c r="L13">
        <v>106</v>
      </c>
      <c r="M13">
        <v>107</v>
      </c>
      <c r="N13">
        <v>108</v>
      </c>
    </row>
    <row r="14" spans="1:14" x14ac:dyDescent="0.2">
      <c r="A14">
        <v>13</v>
      </c>
      <c r="B14" s="12" t="s">
        <v>255</v>
      </c>
      <c r="C14">
        <v>1</v>
      </c>
      <c r="D14">
        <v>2</v>
      </c>
      <c r="E14">
        <v>3</v>
      </c>
      <c r="F14">
        <v>4</v>
      </c>
      <c r="G14">
        <v>5</v>
      </c>
      <c r="H14">
        <v>6</v>
      </c>
    </row>
    <row r="15" spans="1:14" x14ac:dyDescent="0.2">
      <c r="A15">
        <v>14</v>
      </c>
      <c r="B15" s="12" t="s">
        <v>246</v>
      </c>
      <c r="C15">
        <v>1</v>
      </c>
      <c r="D15">
        <v>2</v>
      </c>
      <c r="E15">
        <v>3</v>
      </c>
      <c r="F15">
        <v>4</v>
      </c>
      <c r="G15">
        <v>5</v>
      </c>
      <c r="H15">
        <v>5</v>
      </c>
    </row>
    <row r="16" spans="1:14" x14ac:dyDescent="0.2">
      <c r="A16">
        <v>15</v>
      </c>
      <c r="B16" s="12" t="s">
        <v>1605</v>
      </c>
      <c r="C16" t="s">
        <v>1696</v>
      </c>
      <c r="D16" t="s">
        <v>1697</v>
      </c>
    </row>
    <row r="17" spans="2:2" x14ac:dyDescent="0.2">
      <c r="B17" s="12"/>
    </row>
    <row r="18" spans="2:2" x14ac:dyDescent="0.2">
      <c r="B18" s="12"/>
    </row>
    <row r="19" spans="2:2" x14ac:dyDescent="0.2">
      <c r="B19" s="12"/>
    </row>
    <row r="20" spans="2:2" x14ac:dyDescent="0.2">
      <c r="B20" s="12"/>
    </row>
    <row r="21" spans="2:2" x14ac:dyDescent="0.2">
      <c r="B21" s="12"/>
    </row>
  </sheetData>
  <phoneticPr fontId="1" type="noConversion"/>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6DD04543-F099-BC4D-AA51-6AB1092E524F}">
          <x14:formula1>
            <xm:f>Course!$B$2:$B$165</xm:f>
          </x14:formula1>
          <xm:sqref>B2:B21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75C2-EA30-461A-BE50-D1CA178C9B3F}">
  <dimension ref="A1:AC61"/>
  <sheetViews>
    <sheetView zoomScale="230" zoomScaleNormal="175" workbookViewId="0">
      <pane xSplit="1" ySplit="1" topLeftCell="B36" activePane="bottomRight" state="frozen"/>
      <selection pane="topRight" activeCell="B1" sqref="B1"/>
      <selection pane="bottomLeft" activeCell="A2" sqref="A2"/>
      <selection pane="bottomRight" activeCell="B52" sqref="B52:F52"/>
    </sheetView>
  </sheetViews>
  <sheetFormatPr baseColWidth="10" defaultColWidth="8.83203125" defaultRowHeight="15" x14ac:dyDescent="0.2"/>
  <cols>
    <col min="1" max="1" width="22.83203125" bestFit="1" customWidth="1"/>
    <col min="2" max="2" width="8.6640625" bestFit="1" customWidth="1"/>
    <col min="3" max="12" width="5.5" customWidth="1"/>
    <col min="13" max="14" width="12.6640625" customWidth="1"/>
    <col min="15" max="16" width="9.5" customWidth="1"/>
    <col min="17" max="17" width="9" bestFit="1" customWidth="1"/>
    <col min="18" max="19" width="11" bestFit="1" customWidth="1"/>
  </cols>
  <sheetData>
    <row r="1" spans="1:29" x14ac:dyDescent="0.2">
      <c r="A1" s="44" t="s">
        <v>1577</v>
      </c>
      <c r="B1" s="44">
        <v>1</v>
      </c>
      <c r="C1" s="44">
        <v>2</v>
      </c>
      <c r="D1" s="44">
        <v>3</v>
      </c>
      <c r="E1" s="44">
        <v>4</v>
      </c>
      <c r="F1" s="44">
        <v>5</v>
      </c>
      <c r="G1" s="44">
        <v>6</v>
      </c>
      <c r="H1" s="44">
        <v>7</v>
      </c>
      <c r="I1" s="44">
        <v>8</v>
      </c>
      <c r="J1" s="44">
        <v>9</v>
      </c>
      <c r="K1" s="44">
        <v>10</v>
      </c>
      <c r="L1" s="44">
        <v>11</v>
      </c>
      <c r="M1" s="44">
        <v>12</v>
      </c>
      <c r="N1" s="44"/>
    </row>
    <row r="2" spans="1:29" ht="19" x14ac:dyDescent="0.25">
      <c r="A2" s="46" t="s">
        <v>288</v>
      </c>
      <c r="B2" s="85" t="str">
        <f>IF(VLOOKUP($A2,Course!$B$2:$C$165, 2, FALSE)=0, VLOOKUP($A2,Course!$B$2:$C$165, 1, FALSE), VLOOKUP($A2,Course!$B$2:$C$165, 2, FALSE))</f>
        <v>General Maths</v>
      </c>
      <c r="C2" s="86"/>
      <c r="D2" s="86"/>
      <c r="E2" s="86"/>
      <c r="F2" s="86"/>
      <c r="G2" s="87" t="str">
        <f>A2</f>
        <v>General Maths</v>
      </c>
      <c r="H2" s="87"/>
      <c r="I2" s="87"/>
      <c r="J2" s="87"/>
      <c r="K2" s="87"/>
      <c r="L2" s="88" t="str">
        <f>IF(VLOOKUP($A2, Course!$B$2:$E$165, 3, FALSE)=0, "", VLOOKUP($A2, Course!$B$2:$E$165, 3, FALSE))</f>
        <v>General Maths</v>
      </c>
      <c r="M2" s="89"/>
      <c r="N2" s="171"/>
      <c r="O2" s="43" t="s">
        <v>1576</v>
      </c>
      <c r="P2" s="43"/>
      <c r="Q2" s="37" t="s">
        <v>1578</v>
      </c>
      <c r="R2" s="45">
        <v>45925</v>
      </c>
    </row>
    <row r="3" spans="1:29" x14ac:dyDescent="0.2">
      <c r="A3" s="44"/>
      <c r="B3" s="166">
        <f>VLOOKUP($A2,Enrolment!$B$2:$N$15, B$1+1, FALSE)</f>
        <v>85</v>
      </c>
      <c r="C3" s="1">
        <f>VLOOKUP($A2,Enrolment!$B$2:$N$15, C$1+1, FALSE)</f>
        <v>86</v>
      </c>
      <c r="D3" s="1">
        <f>VLOOKUP($A2,Enrolment!$B$2:$N$15, D$1+1, FALSE)</f>
        <v>87</v>
      </c>
      <c r="E3" s="1">
        <f>VLOOKUP($A2,Enrolment!$B$2:$N$15, E$1+1, FALSE)</f>
        <v>88</v>
      </c>
      <c r="F3" s="1">
        <f>VLOOKUP($A2,Enrolment!$B$2:$N$15, F$1+1, FALSE)</f>
        <v>89</v>
      </c>
      <c r="G3" s="1">
        <f>VLOOKUP($A2,Enrolment!$B$2:$N$15, G$1+1, FALSE)</f>
        <v>90</v>
      </c>
      <c r="H3" s="1">
        <f>VLOOKUP($A2,Enrolment!$B$2:$N$15, H$1+1, FALSE)</f>
        <v>91</v>
      </c>
      <c r="I3" s="1">
        <f>VLOOKUP($A2,Enrolment!$B$2:$N$15, I$1+1, FALSE)</f>
        <v>92</v>
      </c>
      <c r="J3" s="1">
        <f>VLOOKUP($A2,Enrolment!$B$2:$N$15, J$1+1, FALSE)</f>
        <v>93</v>
      </c>
      <c r="K3" s="1">
        <f>VLOOKUP($A2,Enrolment!$B$2:$N$15, K$1+1, FALSE)</f>
        <v>94</v>
      </c>
      <c r="L3" s="1">
        <f>VLOOKUP($A2,Enrolment!$B$2:$N$15, L$1+1, FALSE)</f>
        <v>95</v>
      </c>
      <c r="M3" s="10">
        <f>VLOOKUP($A2,Enrolment!$B$2:$N$15, M$1+1, FALSE)</f>
        <v>96</v>
      </c>
      <c r="N3" s="172"/>
      <c r="O3" s="37"/>
      <c r="P3" s="37"/>
    </row>
    <row r="4" spans="1:29" s="7" customFormat="1" ht="20" customHeight="1" x14ac:dyDescent="0.4">
      <c r="A4" s="47"/>
      <c r="B4" s="48" t="s">
        <v>19</v>
      </c>
      <c r="C4" s="48" t="s">
        <v>19</v>
      </c>
      <c r="D4" s="48" t="s">
        <v>19</v>
      </c>
      <c r="E4" s="48" t="s">
        <v>19</v>
      </c>
      <c r="F4" s="48" t="s">
        <v>19</v>
      </c>
      <c r="G4" s="48" t="s">
        <v>19</v>
      </c>
      <c r="H4" s="48" t="s">
        <v>19</v>
      </c>
      <c r="I4" s="48" t="s">
        <v>19</v>
      </c>
      <c r="J4" s="48" t="s">
        <v>19</v>
      </c>
      <c r="K4" s="48" t="s">
        <v>19</v>
      </c>
      <c r="L4" s="162" t="s">
        <v>19</v>
      </c>
      <c r="M4" s="48" t="s">
        <v>19</v>
      </c>
      <c r="N4" s="48"/>
      <c r="O4" s="41"/>
      <c r="P4" s="41"/>
    </row>
    <row r="5" spans="1:29" x14ac:dyDescent="0.2">
      <c r="A5" s="44"/>
      <c r="B5" s="11" t="str" cm="1">
        <f t="array" ref="B5">IFERROR(_xlfn.XLOOKUP(1, (PACEs!$C$2:$C$1000=$A2) * (PACEs!$D$2:$D$1000=B3), PACEs!$E$2:$E$1000), "")</f>
        <v/>
      </c>
      <c r="C5" s="11" t="str" cm="1">
        <f t="array" ref="C5">IFERROR(_xlfn.XLOOKUP(1, (PACEs!$C$2:$C$1000=$A2) * (PACEs!$D$2:$D$1000=C3), PACEs!$E$2:$E$1000), "")</f>
        <v/>
      </c>
      <c r="D5" s="11" t="str" cm="1">
        <f t="array" ref="D5">IFERROR(_xlfn.XLOOKUP(1, (PACEs!$C$2:$C$1000=$A2) * (PACEs!$D$2:$D$1000=D3), PACEs!$E$2:$E$1000), "")</f>
        <v/>
      </c>
      <c r="E5" s="11" t="str" cm="1">
        <f t="array" ref="E5">IFERROR(_xlfn.XLOOKUP(1, (PACEs!$C$2:$C$1000=$A2) * (PACEs!$D$2:$D$1000=E3), PACEs!$E$2:$E$1000), "")</f>
        <v/>
      </c>
      <c r="F5" s="11" t="str" cm="1">
        <f t="array" ref="F5">IFERROR(_xlfn.XLOOKUP(1, (PACEs!$C$2:$C$1000=$A2) * (PACEs!$D$2:$D$1000=F3), PACEs!$E$2:$E$1000), "")</f>
        <v/>
      </c>
      <c r="G5" s="11" t="str" cm="1">
        <f t="array" ref="G5">IFERROR(_xlfn.XLOOKUP(1, (PACEs!$C$2:$C$1000=$A2) * (PACEs!$D$2:$D$1000=G3), PACEs!$E$2:$E$1000), "")</f>
        <v/>
      </c>
      <c r="H5" s="11" t="str" cm="1">
        <f t="array" ref="H5">IFERROR(_xlfn.XLOOKUP(1, (PACEs!$C$2:$C$1000=$A2) * (PACEs!$D$2:$D$1000=H3), PACEs!$E$2:$E$1000), "")</f>
        <v/>
      </c>
      <c r="I5" s="11" t="str" cm="1">
        <f t="array" ref="I5">IFERROR(_xlfn.XLOOKUP(1, (PACEs!$C$2:$C$1000=$A2) * (PACEs!$D$2:$D$1000=I3), PACEs!$E$2:$E$1000), "")</f>
        <v/>
      </c>
      <c r="J5" s="11" t="str" cm="1">
        <f t="array" ref="J5">IFERROR(_xlfn.XLOOKUP(1, (PACEs!$C$2:$C$1000=$A2) * (PACEs!$D$2:$D$1000=J3), PACEs!$E$2:$E$1000), "")</f>
        <v/>
      </c>
      <c r="K5" s="11" t="str" cm="1">
        <f t="array" ref="K5">IFERROR(_xlfn.XLOOKUP(1, (PACEs!$C$2:$C$1000=$A2) * (PACEs!$D$2:$D$1000=K3), PACEs!$E$2:$E$1000), "")</f>
        <v/>
      </c>
      <c r="L5" s="11" t="str" cm="1">
        <f t="array" ref="L5">IFERROR(_xlfn.XLOOKUP(1, (PACEs!$C$2:$C$1000=$A2) * (PACEs!$D$2:$D$1000=L3), PACEs!$E$2:$E$1000), "")</f>
        <v/>
      </c>
      <c r="M5" s="11" cm="1">
        <f t="array" ref="M5">IFERROR(_xlfn.XLOOKUP(1, (PACEs!$C$2:$C$1000=$A2) * (PACEs!$D$2:$D$1000=M3), PACEs!$E$2:$E$1000), "")</f>
        <v>0.97499999999999998</v>
      </c>
      <c r="N5" s="173"/>
      <c r="O5" s="42">
        <f>AVERAGE(B5:M5)</f>
        <v>0.97499999999999998</v>
      </c>
      <c r="P5" s="42"/>
    </row>
    <row r="6" spans="1:29" x14ac:dyDescent="0.2">
      <c r="A6" s="44"/>
      <c r="B6" s="167" t="str" cm="1">
        <f t="array" ref="B6">IF(ISERROR(_xlfn.XLOOKUP(1,(PACEs!$C$2:$C$1000=$A2)*(PACEs!$D$2:$D$1000=B3),PACEs!$F$2:$F$1000)),"",VLOOKUP(_xlfn.XLOOKUP(1,(PACEs!$C$2:$C$1000=$A2)*(PACEs!$D$2:$D$1000=B3),PACEs!$F$2:$F$1000),Date!$B$2:$K$1623,10,FALSE)&amp;".T"&amp;VLOOKUP(_xlfn.XLOOKUP(1,(PACEs!$C$2:$C$1000=$A2)*(PACEs!$D$2:$D$1000=B3),PACEs!$F$2:$F$1000),Date!$B$2:$K$1623,7,FALSE))</f>
        <v/>
      </c>
      <c r="C6" s="167" t="str" cm="1">
        <f t="array" ref="C6">IF(ISERROR(_xlfn.XLOOKUP(1,(PACEs!$C$2:$C$1000=$A2)*(PACEs!$D$2:$D$1000=C3),PACEs!$F$2:$F$1000)),"",VLOOKUP(_xlfn.XLOOKUP(1,(PACEs!$C$2:$C$1000=$A2)*(PACEs!$D$2:$D$1000=C3),PACEs!$F$2:$F$1000),Date!$B$2:$K$1623,10,FALSE)&amp;".T"&amp;VLOOKUP(_xlfn.XLOOKUP(1,(PACEs!$C$2:$C$1000=$A2)*(PACEs!$D$2:$D$1000=C3),PACEs!$F$2:$F$1000),Date!$B$2:$K$1623,7,FALSE))</f>
        <v/>
      </c>
      <c r="D6" s="167" t="str" cm="1">
        <f t="array" ref="D6">IF(ISERROR(_xlfn.XLOOKUP(1,(PACEs!$C$2:$C$1000=$A2)*(PACEs!$D$2:$D$1000=D3),PACEs!$F$2:$F$1000)),"",VLOOKUP(_xlfn.XLOOKUP(1,(PACEs!$C$2:$C$1000=$A2)*(PACEs!$D$2:$D$1000=D3),PACEs!$F$2:$F$1000),Date!$B$2:$K$1623,10,FALSE)&amp;".T"&amp;VLOOKUP(_xlfn.XLOOKUP(1,(PACEs!$C$2:$C$1000=$A2)*(PACEs!$D$2:$D$1000=D3),PACEs!$F$2:$F$1000),Date!$B$2:$K$1623,7,FALSE))</f>
        <v/>
      </c>
      <c r="E6" s="167" t="str" cm="1">
        <f t="array" ref="E6">IF(ISERROR(_xlfn.XLOOKUP(1,(PACEs!$C$2:$C$1000=$A2)*(PACEs!$D$2:$D$1000=E3),PACEs!$F$2:$F$1000)),"",VLOOKUP(_xlfn.XLOOKUP(1,(PACEs!$C$2:$C$1000=$A2)*(PACEs!$D$2:$D$1000=E3),PACEs!$F$2:$F$1000),Date!$B$2:$K$1623,10,FALSE)&amp;".T"&amp;VLOOKUP(_xlfn.XLOOKUP(1,(PACEs!$C$2:$C$1000=$A2)*(PACEs!$D$2:$D$1000=E3),PACEs!$F$2:$F$1000),Date!$B$2:$K$1623,7,FALSE))</f>
        <v/>
      </c>
      <c r="F6" s="167" t="str" cm="1">
        <f t="array" ref="F6">IF(ISERROR(_xlfn.XLOOKUP(1,(PACEs!$C$2:$C$1000=$A2)*(PACEs!$D$2:$D$1000=F3),PACEs!$F$2:$F$1000)),"",VLOOKUP(_xlfn.XLOOKUP(1,(PACEs!$C$2:$C$1000=$A2)*(PACEs!$D$2:$D$1000=F3),PACEs!$F$2:$F$1000),Date!$B$2:$K$1623,10,FALSE)&amp;".T"&amp;VLOOKUP(_xlfn.XLOOKUP(1,(PACEs!$C$2:$C$1000=$A2)*(PACEs!$D$2:$D$1000=F3),PACEs!$F$2:$F$1000),Date!$B$2:$K$1623,7,FALSE))</f>
        <v/>
      </c>
      <c r="G6" s="167" t="str" cm="1">
        <f t="array" ref="G6">IF(ISERROR(_xlfn.XLOOKUP(1,(PACEs!$C$2:$C$1000=$A2)*(PACEs!$D$2:$D$1000=G3),PACEs!$F$2:$F$1000)),"",VLOOKUP(_xlfn.XLOOKUP(1,(PACEs!$C$2:$C$1000=$A2)*(PACEs!$D$2:$D$1000=G3),PACEs!$F$2:$F$1000),Date!$B$2:$K$1623,10,FALSE)&amp;".T"&amp;VLOOKUP(_xlfn.XLOOKUP(1,(PACEs!$C$2:$C$1000=$A2)*(PACEs!$D$2:$D$1000=G3),PACEs!$F$2:$F$1000),Date!$B$2:$K$1623,7,FALSE))</f>
        <v/>
      </c>
      <c r="H6" s="167" t="str" cm="1">
        <f t="array" ref="H6">IF(ISERROR(_xlfn.XLOOKUP(1,(PACEs!$C$2:$C$1000=$A2)*(PACEs!$D$2:$D$1000=H3),PACEs!$F$2:$F$1000)),"",VLOOKUP(_xlfn.XLOOKUP(1,(PACEs!$C$2:$C$1000=$A2)*(PACEs!$D$2:$D$1000=H3),PACEs!$F$2:$F$1000),Date!$B$2:$K$1623,10,FALSE)&amp;".T"&amp;VLOOKUP(_xlfn.XLOOKUP(1,(PACEs!$C$2:$C$1000=$A2)*(PACEs!$D$2:$D$1000=H3),PACEs!$F$2:$F$1000),Date!$B$2:$K$1623,7,FALSE))</f>
        <v/>
      </c>
      <c r="I6" s="167" t="str" cm="1">
        <f t="array" ref="I6">IF(ISERROR(_xlfn.XLOOKUP(1,(PACEs!$C$2:$C$1000=$A2)*(PACEs!$D$2:$D$1000=I3),PACEs!$F$2:$F$1000)),"",VLOOKUP(_xlfn.XLOOKUP(1,(PACEs!$C$2:$C$1000=$A2)*(PACEs!$D$2:$D$1000=I3),PACEs!$F$2:$F$1000),Date!$B$2:$K$1623,10,FALSE)&amp;".T"&amp;VLOOKUP(_xlfn.XLOOKUP(1,(PACEs!$C$2:$C$1000=$A2)*(PACEs!$D$2:$D$1000=I3),PACEs!$F$2:$F$1000),Date!$B$2:$K$1623,7,FALSE))</f>
        <v/>
      </c>
      <c r="J6" s="167" t="str" cm="1">
        <f t="array" ref="J6">IF(ISERROR(_xlfn.XLOOKUP(1,(PACEs!$C$2:$C$1000=$A2)*(PACEs!$D$2:$D$1000=J3),PACEs!$F$2:$F$1000)),"",VLOOKUP(_xlfn.XLOOKUP(1,(PACEs!$C$2:$C$1000=$A2)*(PACEs!$D$2:$D$1000=J3),PACEs!$F$2:$F$1000),Date!$B$2:$K$1623,10,FALSE)&amp;".T"&amp;VLOOKUP(_xlfn.XLOOKUP(1,(PACEs!$C$2:$C$1000=$A2)*(PACEs!$D$2:$D$1000=J3),PACEs!$F$2:$F$1000),Date!$B$2:$K$1623,7,FALSE))</f>
        <v/>
      </c>
      <c r="K6" s="167" t="str" cm="1">
        <f t="array" ref="K6">IF(ISERROR(_xlfn.XLOOKUP(1,(PACEs!$C$2:$C$1000=$A2)*(PACEs!$D$2:$D$1000=K3),PACEs!$F$2:$F$1000)),"",VLOOKUP(_xlfn.XLOOKUP(1,(PACEs!$C$2:$C$1000=$A2)*(PACEs!$D$2:$D$1000=K3),PACEs!$F$2:$F$1000),Date!$B$2:$K$1623,10,FALSE)&amp;".T"&amp;VLOOKUP(_xlfn.XLOOKUP(1,(PACEs!$C$2:$C$1000=$A2)*(PACEs!$D$2:$D$1000=K3),PACEs!$F$2:$F$1000),Date!$B$2:$K$1623,7,FALSE))</f>
        <v/>
      </c>
      <c r="L6" s="167" t="str" cm="1">
        <f t="array" ref="L6">IF(ISERROR(_xlfn.XLOOKUP(1,(PACEs!$C$2:$C$1000=$A2)*(PACEs!$D$2:$D$1000=L3),PACEs!$F$2:$F$1000)),"",VLOOKUP(_xlfn.XLOOKUP(1,(PACEs!$C$2:$C$1000=$A2)*(PACEs!$D$2:$D$1000=L3),PACEs!$F$2:$F$1000),Date!$B$2:$K$1623,10,FALSE)&amp;".T"&amp;VLOOKUP(_xlfn.XLOOKUP(1,(PACEs!$C$2:$C$1000=$A2)*(PACEs!$D$2:$D$1000=L3),PACEs!$F$2:$F$1000),Date!$B$2:$K$1623,7,FALSE))</f>
        <v/>
      </c>
      <c r="M6" s="167" t="str" cm="1">
        <f t="array" ref="M6">IF(ISERROR(_xlfn.XLOOKUP(1,(PACEs!$C$2:$C$1000=$A2)*(PACEs!$D$2:$D$1000=M3),PACEs!$F$2:$F$1000)),"",VLOOKUP(_xlfn.XLOOKUP(1,(PACEs!$C$2:$C$1000=$A2)*(PACEs!$D$2:$D$1000=M3),PACEs!$F$2:$F$1000),Date!$B$2:$K$1623,10,FALSE)&amp;".T"&amp;VLOOKUP(_xlfn.XLOOKUP(1,(PACEs!$C$2:$C$1000=$A2)*(PACEs!$D$2:$D$1000=M3),PACEs!$F$2:$F$1000),Date!$B$2:$K$1623,7,FALSE))</f>
        <v>25–26.T1</v>
      </c>
      <c r="N6" s="174"/>
      <c r="Q6" t="s">
        <v>5</v>
      </c>
    </row>
    <row r="7" spans="1:29" ht="19" x14ac:dyDescent="0.25">
      <c r="A7" s="46" t="s">
        <v>286</v>
      </c>
      <c r="B7" s="85" t="str">
        <f>IF(VLOOKUP($A7,Course!$B$2:$C$165, 2, FALSE)=0, VLOOKUP($A7,Course!$B$2:$C$165, 1, FALSE), VLOOKUP($A7,Course!$B$2:$C$165, 2, FALSE))</f>
        <v>General English</v>
      </c>
      <c r="C7" s="86"/>
      <c r="D7" s="86"/>
      <c r="E7" s="86"/>
      <c r="F7" s="86"/>
      <c r="G7" s="87" t="str">
        <f>A7</f>
        <v>General English</v>
      </c>
      <c r="H7" s="87"/>
      <c r="I7" s="87"/>
      <c r="J7" s="87"/>
      <c r="K7" s="87"/>
      <c r="L7" s="88" t="str">
        <f>IF(VLOOKUP($A7, Course!$B$2:$E$165, 3, FALSE)=0, "", VLOOKUP($A7, Course!$B$2:$E$165, 3, FALSE))</f>
        <v>General English</v>
      </c>
      <c r="M7" s="89"/>
      <c r="N7" s="171"/>
      <c r="Q7" t="s">
        <v>3</v>
      </c>
      <c r="R7">
        <v>1</v>
      </c>
      <c r="S7">
        <v>2</v>
      </c>
      <c r="T7" s="2" t="s">
        <v>8</v>
      </c>
      <c r="U7" s="2" t="s">
        <v>9</v>
      </c>
      <c r="V7" s="2" t="s">
        <v>10</v>
      </c>
      <c r="W7" s="2" t="s">
        <v>11</v>
      </c>
      <c r="X7" s="2" t="s">
        <v>12</v>
      </c>
      <c r="Y7" s="2" t="s">
        <v>13</v>
      </c>
      <c r="Z7" s="2" t="s">
        <v>14</v>
      </c>
      <c r="AA7" s="2" t="s">
        <v>15</v>
      </c>
      <c r="AB7" s="2" t="s">
        <v>16</v>
      </c>
      <c r="AC7" s="2" t="s">
        <v>17</v>
      </c>
    </row>
    <row r="8" spans="1:29" x14ac:dyDescent="0.2">
      <c r="B8" s="9">
        <f>VLOOKUP($A7,Enrolment!$B$2:$N$15, B$1+1, FALSE)</f>
        <v>85</v>
      </c>
      <c r="C8" s="1">
        <f>VLOOKUP($A7,Enrolment!$B$2:$N$15, C$1+1, FALSE)</f>
        <v>86</v>
      </c>
      <c r="D8" s="1">
        <f>VLOOKUP($A7,Enrolment!$B$2:$N$15, D$1+1, FALSE)</f>
        <v>87</v>
      </c>
      <c r="E8" s="1">
        <f>VLOOKUP($A7,Enrolment!$B$2:$N$15, E$1+1, FALSE)</f>
        <v>88</v>
      </c>
      <c r="F8" s="1">
        <f>VLOOKUP($A7,Enrolment!$B$2:$N$15, F$1+1, FALSE)</f>
        <v>89</v>
      </c>
      <c r="G8" s="1">
        <f>VLOOKUP($A7,Enrolment!$B$2:$N$15, G$1+1, FALSE)</f>
        <v>90</v>
      </c>
      <c r="H8" s="1">
        <f>VLOOKUP($A7,Enrolment!$B$2:$N$15, H$1+1, FALSE)</f>
        <v>91</v>
      </c>
      <c r="I8" s="1">
        <f>VLOOKUP($A7,Enrolment!$B$2:$N$15, I$1+1, FALSE)</f>
        <v>92</v>
      </c>
      <c r="J8" s="1">
        <f>VLOOKUP($A7,Enrolment!$B$2:$N$15, J$1+1, FALSE)</f>
        <v>93</v>
      </c>
      <c r="K8" s="1">
        <f>VLOOKUP($A7,Enrolment!$B$2:$N$15, K$1+1, FALSE)</f>
        <v>94</v>
      </c>
      <c r="L8" s="1">
        <f>VLOOKUP($A7,Enrolment!$B$2:$N$15, L$1+1, FALSE)</f>
        <v>95</v>
      </c>
      <c r="M8" s="10">
        <f>VLOOKUP($A7,Enrolment!$B$2:$N$15, M$1+1, FALSE)</f>
        <v>96</v>
      </c>
      <c r="N8" s="172"/>
      <c r="R8" s="2" t="s">
        <v>7</v>
      </c>
      <c r="S8" s="2"/>
      <c r="T8" s="2"/>
      <c r="U8" s="2"/>
      <c r="V8" s="2"/>
      <c r="W8" s="2"/>
      <c r="X8" s="2"/>
      <c r="Y8" s="2"/>
      <c r="Z8" s="2"/>
      <c r="AA8" s="2"/>
      <c r="AB8" s="2"/>
      <c r="AC8" s="2"/>
    </row>
    <row r="9" spans="1:29" s="7" customFormat="1" ht="20" customHeight="1" x14ac:dyDescent="0.4">
      <c r="B9" s="48" t="s">
        <v>19</v>
      </c>
      <c r="C9" s="48" t="s">
        <v>19</v>
      </c>
      <c r="D9" s="48" t="s">
        <v>19</v>
      </c>
      <c r="E9" s="48" t="s">
        <v>19</v>
      </c>
      <c r="F9" s="48" t="s">
        <v>19</v>
      </c>
      <c r="G9" s="48" t="s">
        <v>19</v>
      </c>
      <c r="H9" s="48" t="s">
        <v>19</v>
      </c>
      <c r="I9" s="48" t="s">
        <v>19</v>
      </c>
      <c r="J9" s="48" t="s">
        <v>19</v>
      </c>
      <c r="K9" s="48" t="s">
        <v>19</v>
      </c>
      <c r="L9" s="162" t="s">
        <v>19</v>
      </c>
      <c r="M9" s="48" t="s">
        <v>19</v>
      </c>
      <c r="N9" s="48"/>
      <c r="Q9" s="8" t="s">
        <v>0</v>
      </c>
      <c r="R9" s="7" t="e">
        <f>VLOOKUP($Q7, Enrolment!$B$2:$N$11, R7 + 1, FALSE)</f>
        <v>#N/A</v>
      </c>
      <c r="S9" s="7" t="e">
        <f>VLOOKUP($Q7, Enrolment!$B$2:$N$11, S7 + 1, FALSE)</f>
        <v>#N/A</v>
      </c>
    </row>
    <row r="10" spans="1:29" x14ac:dyDescent="0.2">
      <c r="B10" s="11" t="str" cm="1">
        <f t="array" ref="B10">IFERROR(_xlfn.XLOOKUP(1, (PACEs!$C$2:$C$1000=$A7) * (PACEs!$D$2:$D$1000=B8), PACEs!$E$2:$E$1000), "")</f>
        <v/>
      </c>
      <c r="C10" s="11" t="str" cm="1">
        <f t="array" ref="C10">IFERROR(_xlfn.XLOOKUP(1, (PACEs!$C$2:$C$1000=$A7) * (PACEs!$D$2:$D$1000=C8), PACEs!$E$2:$E$1000), "")</f>
        <v/>
      </c>
      <c r="D10" s="11" t="str" cm="1">
        <f t="array" ref="D10">IFERROR(_xlfn.XLOOKUP(1, (PACEs!$C$2:$C$1000=$A7) * (PACEs!$D$2:$D$1000=D8), PACEs!$E$2:$E$1000), "")</f>
        <v/>
      </c>
      <c r="E10" s="11" t="str" cm="1">
        <f t="array" ref="E10">IFERROR(_xlfn.XLOOKUP(1, (PACEs!$C$2:$C$1000=$A7) * (PACEs!$D$2:$D$1000=E8), PACEs!$E$2:$E$1000), "")</f>
        <v/>
      </c>
      <c r="F10" s="11" t="str" cm="1">
        <f t="array" ref="F10">IFERROR(_xlfn.XLOOKUP(1, (PACEs!$C$2:$C$1000=$A7) * (PACEs!$D$2:$D$1000=F8), PACEs!$E$2:$E$1000), "")</f>
        <v/>
      </c>
      <c r="G10" s="11" t="str" cm="1">
        <f t="array" ref="G10">IFERROR(_xlfn.XLOOKUP(1, (PACEs!$C$2:$C$1000=$A7) * (PACEs!$D$2:$D$1000=G8), PACEs!$E$2:$E$1000), "")</f>
        <v/>
      </c>
      <c r="H10" s="11" t="str" cm="1">
        <f t="array" ref="H10">IFERROR(_xlfn.XLOOKUP(1, (PACEs!$C$2:$C$1000=$A7) * (PACEs!$D$2:$D$1000=H8), PACEs!$E$2:$E$1000), "")</f>
        <v/>
      </c>
      <c r="I10" s="11" t="str" cm="1">
        <f t="array" ref="I10">IFERROR(_xlfn.XLOOKUP(1, (PACEs!$C$2:$C$1000=$A7) * (PACEs!$D$2:$D$1000=I8), PACEs!$E$2:$E$1000), "")</f>
        <v/>
      </c>
      <c r="J10" s="11" t="str" cm="1">
        <f t="array" ref="J10">IFERROR(_xlfn.XLOOKUP(1, (PACEs!$C$2:$C$1000=$A7) * (PACEs!$D$2:$D$1000=J8), PACEs!$E$2:$E$1000), "")</f>
        <v/>
      </c>
      <c r="K10" s="11" t="str" cm="1">
        <f t="array" ref="K10">IFERROR(_xlfn.XLOOKUP(1, (PACEs!$C$2:$C$1000=$A7) * (PACEs!$D$2:$D$1000=K8), PACEs!$E$2:$E$1000), "")</f>
        <v/>
      </c>
      <c r="L10" s="11" cm="1">
        <f t="array" ref="L10">IFERROR(_xlfn.XLOOKUP(1, (PACEs!$C$2:$C$1000=$A7) * (PACEs!$D$2:$D$1000=L8), PACEs!$E$2:$E$1000), "")</f>
        <v>1</v>
      </c>
      <c r="M10" s="11" cm="1">
        <f t="array" ref="M10">IFERROR(_xlfn.XLOOKUP(1, (PACEs!$C$2:$C$1000=$A7) * (PACEs!$D$2:$D$1000=M8), PACEs!$E$2:$E$1000), "")</f>
        <v>1</v>
      </c>
      <c r="N10" s="173"/>
      <c r="O10" s="42">
        <f>AVERAGE(B10:M10)</f>
        <v>1</v>
      </c>
      <c r="P10" s="42"/>
      <c r="Q10" s="1" t="s">
        <v>18</v>
      </c>
      <c r="R10" s="1">
        <v>1</v>
      </c>
      <c r="S10" s="1">
        <v>2</v>
      </c>
    </row>
    <row r="11" spans="1:29" x14ac:dyDescent="0.2">
      <c r="B11" s="167" t="str" cm="1">
        <f t="array" ref="B11">IF(ISERROR(_xlfn.XLOOKUP(1,(PACEs!$C$2:$C$1000=$A7)*(PACEs!$D$2:$D$1000=B8),PACEs!$F$2:$F$1000)),"",VLOOKUP(_xlfn.XLOOKUP(1,(PACEs!$C$2:$C$1000=$A7)*(PACEs!$D$2:$D$1000=B8),PACEs!$F$2:$F$1000),Date!$B$2:$K$1623,10,FALSE)&amp;".T"&amp;VLOOKUP(_xlfn.XLOOKUP(1,(PACEs!$C$2:$C$1000=$A7)*(PACEs!$D$2:$D$1000=B8),PACEs!$F$2:$F$1000),Date!$B$2:$K$1623,7,FALSE))</f>
        <v/>
      </c>
      <c r="C11" s="167" t="str" cm="1">
        <f t="array" ref="C11">IF(ISERROR(_xlfn.XLOOKUP(1,(PACEs!$C$2:$C$1000=$A7)*(PACEs!$D$2:$D$1000=C8),PACEs!$F$2:$F$1000)),"",VLOOKUP(_xlfn.XLOOKUP(1,(PACEs!$C$2:$C$1000=$A7)*(PACEs!$D$2:$D$1000=C8),PACEs!$F$2:$F$1000),Date!$B$2:$K$1623,10,FALSE)&amp;".T"&amp;VLOOKUP(_xlfn.XLOOKUP(1,(PACEs!$C$2:$C$1000=$A7)*(PACEs!$D$2:$D$1000=C8),PACEs!$F$2:$F$1000),Date!$B$2:$K$1623,7,FALSE))</f>
        <v/>
      </c>
      <c r="D11" s="167" t="str" cm="1">
        <f t="array" ref="D11">IF(ISERROR(_xlfn.XLOOKUP(1,(PACEs!$C$2:$C$1000=$A7)*(PACEs!$D$2:$D$1000=D8),PACEs!$F$2:$F$1000)),"",VLOOKUP(_xlfn.XLOOKUP(1,(PACEs!$C$2:$C$1000=$A7)*(PACEs!$D$2:$D$1000=D8),PACEs!$F$2:$F$1000),Date!$B$2:$K$1623,10,FALSE)&amp;".T"&amp;VLOOKUP(_xlfn.XLOOKUP(1,(PACEs!$C$2:$C$1000=$A7)*(PACEs!$D$2:$D$1000=D8),PACEs!$F$2:$F$1000),Date!$B$2:$K$1623,7,FALSE))</f>
        <v/>
      </c>
      <c r="E11" s="167" t="str" cm="1">
        <f t="array" ref="E11">IF(ISERROR(_xlfn.XLOOKUP(1,(PACEs!$C$2:$C$1000=$A7)*(PACEs!$D$2:$D$1000=E8),PACEs!$F$2:$F$1000)),"",VLOOKUP(_xlfn.XLOOKUP(1,(PACEs!$C$2:$C$1000=$A7)*(PACEs!$D$2:$D$1000=E8),PACEs!$F$2:$F$1000),Date!$B$2:$K$1623,10,FALSE)&amp;".T"&amp;VLOOKUP(_xlfn.XLOOKUP(1,(PACEs!$C$2:$C$1000=$A7)*(PACEs!$D$2:$D$1000=E8),PACEs!$F$2:$F$1000),Date!$B$2:$K$1623,7,FALSE))</f>
        <v/>
      </c>
      <c r="F11" s="167" t="str" cm="1">
        <f t="array" ref="F11">IF(ISERROR(_xlfn.XLOOKUP(1,(PACEs!$C$2:$C$1000=$A7)*(PACEs!$D$2:$D$1000=F8),PACEs!$F$2:$F$1000)),"",VLOOKUP(_xlfn.XLOOKUP(1,(PACEs!$C$2:$C$1000=$A7)*(PACEs!$D$2:$D$1000=F8),PACEs!$F$2:$F$1000),Date!$B$2:$K$1623,10,FALSE)&amp;".T"&amp;VLOOKUP(_xlfn.XLOOKUP(1,(PACEs!$C$2:$C$1000=$A7)*(PACEs!$D$2:$D$1000=F8),PACEs!$F$2:$F$1000),Date!$B$2:$K$1623,7,FALSE))</f>
        <v/>
      </c>
      <c r="G11" s="167" t="str" cm="1">
        <f t="array" ref="G11">IF(ISERROR(_xlfn.XLOOKUP(1,(PACEs!$C$2:$C$1000=$A7)*(PACEs!$D$2:$D$1000=G8),PACEs!$F$2:$F$1000)),"",VLOOKUP(_xlfn.XLOOKUP(1,(PACEs!$C$2:$C$1000=$A7)*(PACEs!$D$2:$D$1000=G8),PACEs!$F$2:$F$1000),Date!$B$2:$K$1623,10,FALSE)&amp;".T"&amp;VLOOKUP(_xlfn.XLOOKUP(1,(PACEs!$C$2:$C$1000=$A7)*(PACEs!$D$2:$D$1000=G8),PACEs!$F$2:$F$1000),Date!$B$2:$K$1623,7,FALSE))</f>
        <v/>
      </c>
      <c r="H11" s="167" t="str" cm="1">
        <f t="array" ref="H11">IF(ISERROR(_xlfn.XLOOKUP(1,(PACEs!$C$2:$C$1000=$A7)*(PACEs!$D$2:$D$1000=H8),PACEs!$F$2:$F$1000)),"",VLOOKUP(_xlfn.XLOOKUP(1,(PACEs!$C$2:$C$1000=$A7)*(PACEs!$D$2:$D$1000=H8),PACEs!$F$2:$F$1000),Date!$B$2:$K$1623,10,FALSE)&amp;".T"&amp;VLOOKUP(_xlfn.XLOOKUP(1,(PACEs!$C$2:$C$1000=$A7)*(PACEs!$D$2:$D$1000=H8),PACEs!$F$2:$F$1000),Date!$B$2:$K$1623,7,FALSE))</f>
        <v/>
      </c>
      <c r="I11" s="167" t="str" cm="1">
        <f t="array" ref="I11">IF(ISERROR(_xlfn.XLOOKUP(1,(PACEs!$C$2:$C$1000=$A7)*(PACEs!$D$2:$D$1000=I8),PACEs!$F$2:$F$1000)),"",VLOOKUP(_xlfn.XLOOKUP(1,(PACEs!$C$2:$C$1000=$A7)*(PACEs!$D$2:$D$1000=I8),PACEs!$F$2:$F$1000),Date!$B$2:$K$1623,10,FALSE)&amp;".T"&amp;VLOOKUP(_xlfn.XLOOKUP(1,(PACEs!$C$2:$C$1000=$A7)*(PACEs!$D$2:$D$1000=I8),PACEs!$F$2:$F$1000),Date!$B$2:$K$1623,7,FALSE))</f>
        <v/>
      </c>
      <c r="J11" s="167" t="str" cm="1">
        <f t="array" ref="J11">IF(ISERROR(_xlfn.XLOOKUP(1,(PACEs!$C$2:$C$1000=$A7)*(PACEs!$D$2:$D$1000=J8),PACEs!$F$2:$F$1000)),"",VLOOKUP(_xlfn.XLOOKUP(1,(PACEs!$C$2:$C$1000=$A7)*(PACEs!$D$2:$D$1000=J8),PACEs!$F$2:$F$1000),Date!$B$2:$K$1623,10,FALSE)&amp;".T"&amp;VLOOKUP(_xlfn.XLOOKUP(1,(PACEs!$C$2:$C$1000=$A7)*(PACEs!$D$2:$D$1000=J8),PACEs!$F$2:$F$1000),Date!$B$2:$K$1623,7,FALSE))</f>
        <v/>
      </c>
      <c r="K11" s="167" t="str" cm="1">
        <f t="array" ref="K11">IF(ISERROR(_xlfn.XLOOKUP(1,(PACEs!$C$2:$C$1000=$A7)*(PACEs!$D$2:$D$1000=K8),PACEs!$F$2:$F$1000)),"",VLOOKUP(_xlfn.XLOOKUP(1,(PACEs!$C$2:$C$1000=$A7)*(PACEs!$D$2:$D$1000=K8),PACEs!$F$2:$F$1000),Date!$B$2:$K$1623,10,FALSE)&amp;".T"&amp;VLOOKUP(_xlfn.XLOOKUP(1,(PACEs!$C$2:$C$1000=$A7)*(PACEs!$D$2:$D$1000=K8),PACEs!$F$2:$F$1000),Date!$B$2:$K$1623,7,FALSE))</f>
        <v/>
      </c>
      <c r="L11" s="167" t="str" cm="1">
        <f t="array" ref="L11">IF(ISERROR(_xlfn.XLOOKUP(1,(PACEs!$C$2:$C$1000=$A7)*(PACEs!$D$2:$D$1000=L8),PACEs!$F$2:$F$1000)),"",VLOOKUP(_xlfn.XLOOKUP(1,(PACEs!$C$2:$C$1000=$A7)*(PACEs!$D$2:$D$1000=L8),PACEs!$F$2:$F$1000),Date!$B$2:$K$1623,10,FALSE)&amp;".T"&amp;VLOOKUP(_xlfn.XLOOKUP(1,(PACEs!$C$2:$C$1000=$A7)*(PACEs!$D$2:$D$1000=L8),PACEs!$F$2:$F$1000),Date!$B$2:$K$1623,7,FALSE))</f>
        <v>25–26.T1</v>
      </c>
      <c r="M11" s="167" t="str" cm="1">
        <f t="array" ref="M11">IF(ISERROR(_xlfn.XLOOKUP(1,(PACEs!$C$2:$C$1000=$A7)*(PACEs!$D$2:$D$1000=M8),PACEs!$F$2:$F$1000)),"",VLOOKUP(_xlfn.XLOOKUP(1,(PACEs!$C$2:$C$1000=$A7)*(PACEs!$D$2:$D$1000=M8),PACEs!$F$2:$F$1000),Date!$B$2:$K$1623,10,FALSE)&amp;".T"&amp;VLOOKUP(_xlfn.XLOOKUP(1,(PACEs!$C$2:$C$1000=$A7)*(PACEs!$D$2:$D$1000=M8),PACEs!$F$2:$F$1000),Date!$B$2:$K$1623,7,FALSE))</f>
        <v>25–26.T1</v>
      </c>
      <c r="N11" s="174"/>
      <c r="Q11" s="1" t="s">
        <v>2</v>
      </c>
    </row>
    <row r="12" spans="1:29" ht="19" x14ac:dyDescent="0.25">
      <c r="A12" s="46" t="s">
        <v>285</v>
      </c>
      <c r="B12" s="85" t="str">
        <f>IF(VLOOKUP($A12,Course!$B$2:$C$165, 2, FALSE)=0, VLOOKUP($A12,Course!$B$2:$C$165, 1, FALSE), VLOOKUP($A12,Course!$B$2:$C$165, 2, FALSE))</f>
        <v>Word Building Level 8</v>
      </c>
      <c r="C12" s="86"/>
      <c r="D12" s="86"/>
      <c r="E12" s="86"/>
      <c r="F12" s="86"/>
      <c r="G12" s="87" t="str">
        <f>A12</f>
        <v>Word Building Level 8</v>
      </c>
      <c r="H12" s="87"/>
      <c r="I12" s="87"/>
      <c r="J12" s="87"/>
      <c r="K12" s="87"/>
      <c r="L12" s="88" t="str">
        <f>IF(VLOOKUP($A12, Course!$B$2:$E$165, 3, FALSE)=0, "", VLOOKUP($A12, Course!$B$2:$E$165, 3, FALSE))</f>
        <v/>
      </c>
      <c r="M12" s="89"/>
      <c r="N12" s="171"/>
      <c r="Q12" t="s">
        <v>1</v>
      </c>
    </row>
    <row r="13" spans="1:29" x14ac:dyDescent="0.2">
      <c r="B13" s="9">
        <f>VLOOKUP($A12,Enrolment!$B$2:$N$15, B$1+1, FALSE)</f>
        <v>85</v>
      </c>
      <c r="C13" s="1">
        <f>VLOOKUP($A12,Enrolment!$B$2:$N$15, C$1+1, FALSE)</f>
        <v>86</v>
      </c>
      <c r="D13" s="1">
        <f>VLOOKUP($A12,Enrolment!$B$2:$N$15, D$1+1, FALSE)</f>
        <v>87</v>
      </c>
      <c r="E13" s="1">
        <f>VLOOKUP($A12,Enrolment!$B$2:$N$15, E$1+1, FALSE)</f>
        <v>88</v>
      </c>
      <c r="F13" s="1">
        <f>VLOOKUP($A12,Enrolment!$B$2:$N$15, F$1+1, FALSE)</f>
        <v>89</v>
      </c>
      <c r="G13" s="1">
        <f>VLOOKUP($A12,Enrolment!$B$2:$N$15, G$1+1, FALSE)</f>
        <v>90</v>
      </c>
      <c r="H13" s="1">
        <f>VLOOKUP($A12,Enrolment!$B$2:$N$15, H$1+1, FALSE)</f>
        <v>91</v>
      </c>
      <c r="I13" s="1">
        <f>VLOOKUP($A12,Enrolment!$B$2:$N$15, I$1+1, FALSE)</f>
        <v>92</v>
      </c>
      <c r="J13" s="1">
        <f>VLOOKUP($A12,Enrolment!$B$2:$N$15, J$1+1, FALSE)</f>
        <v>93</v>
      </c>
      <c r="K13" s="1">
        <f>VLOOKUP($A12,Enrolment!$B$2:$N$15, K$1+1, FALSE)</f>
        <v>94</v>
      </c>
      <c r="L13" s="1">
        <f>VLOOKUP($A12,Enrolment!$B$2:$N$15, L$1+1, FALSE)</f>
        <v>95</v>
      </c>
      <c r="M13" s="10">
        <f>VLOOKUP($A12,Enrolment!$B$2:$N$15, M$1+1, FALSE)</f>
        <v>96</v>
      </c>
      <c r="N13" s="172"/>
    </row>
    <row r="14" spans="1:29" s="7" customFormat="1" ht="20" customHeight="1" x14ac:dyDescent="0.4">
      <c r="B14" s="48" t="s">
        <v>19</v>
      </c>
      <c r="C14" s="48" t="s">
        <v>19</v>
      </c>
      <c r="D14" s="48" t="s">
        <v>19</v>
      </c>
      <c r="E14" s="48" t="s">
        <v>19</v>
      </c>
      <c r="F14" s="48" t="s">
        <v>19</v>
      </c>
      <c r="G14" s="48" t="s">
        <v>19</v>
      </c>
      <c r="H14" s="48" t="s">
        <v>19</v>
      </c>
      <c r="I14" s="48" t="s">
        <v>19</v>
      </c>
      <c r="J14" s="48" t="s">
        <v>19</v>
      </c>
      <c r="K14" s="48" t="s">
        <v>19</v>
      </c>
      <c r="L14" s="162" t="s">
        <v>19</v>
      </c>
      <c r="M14" s="48" t="s">
        <v>19</v>
      </c>
      <c r="N14" s="48"/>
      <c r="Q14" s="164">
        <f>COUNTIFS(PACEs!$C$2:$C$28,A2,          PACEs!$D$2:$D$28,M3)</f>
        <v>1</v>
      </c>
    </row>
    <row r="15" spans="1:29" x14ac:dyDescent="0.2">
      <c r="B15" s="11" t="str" cm="1">
        <f t="array" ref="B15">IFERROR(_xlfn.XLOOKUP(1, (PACEs!$C$2:$C$1000=$A12) * (PACEs!$D$2:$D$1000=B13), PACEs!$E$2:$E$1000), "")</f>
        <v/>
      </c>
      <c r="C15" s="11" t="str" cm="1">
        <f t="array" ref="C15">IFERROR(_xlfn.XLOOKUP(1, (PACEs!$C$2:$C$1000=$A12) * (PACEs!$D$2:$D$1000=C13), PACEs!$E$2:$E$1000), "")</f>
        <v/>
      </c>
      <c r="D15" s="11" t="str" cm="1">
        <f t="array" ref="D15">IFERROR(_xlfn.XLOOKUP(1, (PACEs!$C$2:$C$1000=$A12) * (PACEs!$D$2:$D$1000=D13), PACEs!$E$2:$E$1000), "")</f>
        <v/>
      </c>
      <c r="E15" s="11" t="str" cm="1">
        <f t="array" ref="E15">IFERROR(_xlfn.XLOOKUP(1, (PACEs!$C$2:$C$1000=$A12) * (PACEs!$D$2:$D$1000=E13), PACEs!$E$2:$E$1000), "")</f>
        <v/>
      </c>
      <c r="F15" s="11" t="str" cm="1">
        <f t="array" ref="F15">IFERROR(_xlfn.XLOOKUP(1, (PACEs!$C$2:$C$1000=$A12) * (PACEs!$D$2:$D$1000=F13), PACEs!$E$2:$E$1000), "")</f>
        <v/>
      </c>
      <c r="G15" s="11" t="str" cm="1">
        <f t="array" ref="G15">IFERROR(_xlfn.XLOOKUP(1, (PACEs!$C$2:$C$1000=$A12) * (PACEs!$D$2:$D$1000=G13), PACEs!$E$2:$E$1000), "")</f>
        <v/>
      </c>
      <c r="H15" s="11" t="str" cm="1">
        <f t="array" ref="H15">IFERROR(_xlfn.XLOOKUP(1, (PACEs!$C$2:$C$1000=$A12) * (PACEs!$D$2:$D$1000=H13), PACEs!$E$2:$E$1000), "")</f>
        <v/>
      </c>
      <c r="I15" s="11" t="str" cm="1">
        <f t="array" ref="I15">IFERROR(_xlfn.XLOOKUP(1, (PACEs!$C$2:$C$1000=$A12) * (PACEs!$D$2:$D$1000=I13), PACEs!$E$2:$E$1000), "")</f>
        <v/>
      </c>
      <c r="J15" s="11" t="str" cm="1">
        <f t="array" ref="J15">IFERROR(_xlfn.XLOOKUP(1, (PACEs!$C$2:$C$1000=$A12) * (PACEs!$D$2:$D$1000=J13), PACEs!$E$2:$E$1000), "")</f>
        <v/>
      </c>
      <c r="K15" s="11" t="str" cm="1">
        <f t="array" ref="K15">IFERROR(_xlfn.XLOOKUP(1, (PACEs!$C$2:$C$1000=$A12) * (PACEs!$D$2:$D$1000=K13), PACEs!$E$2:$E$1000), "")</f>
        <v/>
      </c>
      <c r="L15" s="11" cm="1">
        <f t="array" ref="L15">IFERROR(_xlfn.XLOOKUP(1, (PACEs!$C$2:$C$1000=$A12) * (PACEs!$D$2:$D$1000=L13), PACEs!$E$2:$E$1000), "")</f>
        <v>0.995</v>
      </c>
      <c r="M15" s="11" cm="1">
        <f t="array" ref="M15">IFERROR(_xlfn.XLOOKUP(1, (PACEs!$C$2:$C$1000=$A12) * (PACEs!$D$2:$D$1000=M13), PACEs!$E$2:$E$1000), "")</f>
        <v>1</v>
      </c>
      <c r="N15" s="173"/>
    </row>
    <row r="16" spans="1:29" x14ac:dyDescent="0.2">
      <c r="B16" s="167" t="str" cm="1">
        <f t="array" ref="B16">IF(ISERROR(_xlfn.XLOOKUP(1,(PACEs!$C$2:$C$1000=$A12)*(PACEs!$D$2:$D$1000=B13),PACEs!$F$2:$F$1000)),"",VLOOKUP(_xlfn.XLOOKUP(1,(PACEs!$C$2:$C$1000=$A12)*(PACEs!$D$2:$D$1000=B13),PACEs!$F$2:$F$1000),Date!$B$2:$K$1623,10,FALSE)&amp;".T"&amp;VLOOKUP(_xlfn.XLOOKUP(1,(PACEs!$C$2:$C$1000=$A12)*(PACEs!$D$2:$D$1000=B13),PACEs!$F$2:$F$1000),Date!$B$2:$K$1623,7,FALSE))</f>
        <v/>
      </c>
      <c r="C16" s="167" t="str" cm="1">
        <f t="array" ref="C16">IF(ISERROR(_xlfn.XLOOKUP(1,(PACEs!$C$2:$C$1000=$A12)*(PACEs!$D$2:$D$1000=C13),PACEs!$F$2:$F$1000)),"",VLOOKUP(_xlfn.XLOOKUP(1,(PACEs!$C$2:$C$1000=$A12)*(PACEs!$D$2:$D$1000=C13),PACEs!$F$2:$F$1000),Date!$B$2:$K$1623,10,FALSE)&amp;".T"&amp;VLOOKUP(_xlfn.XLOOKUP(1,(PACEs!$C$2:$C$1000=$A12)*(PACEs!$D$2:$D$1000=C13),PACEs!$F$2:$F$1000),Date!$B$2:$K$1623,7,FALSE))</f>
        <v/>
      </c>
      <c r="D16" s="167" t="str" cm="1">
        <f t="array" ref="D16">IF(ISERROR(_xlfn.XLOOKUP(1,(PACEs!$C$2:$C$1000=$A12)*(PACEs!$D$2:$D$1000=D13),PACEs!$F$2:$F$1000)),"",VLOOKUP(_xlfn.XLOOKUP(1,(PACEs!$C$2:$C$1000=$A12)*(PACEs!$D$2:$D$1000=D13),PACEs!$F$2:$F$1000),Date!$B$2:$K$1623,10,FALSE)&amp;".T"&amp;VLOOKUP(_xlfn.XLOOKUP(1,(PACEs!$C$2:$C$1000=$A12)*(PACEs!$D$2:$D$1000=D13),PACEs!$F$2:$F$1000),Date!$B$2:$K$1623,7,FALSE))</f>
        <v/>
      </c>
      <c r="E16" s="167" t="str" cm="1">
        <f t="array" ref="E16">IF(ISERROR(_xlfn.XLOOKUP(1,(PACEs!$C$2:$C$1000=$A12)*(PACEs!$D$2:$D$1000=E13),PACEs!$F$2:$F$1000)),"",VLOOKUP(_xlfn.XLOOKUP(1,(PACEs!$C$2:$C$1000=$A12)*(PACEs!$D$2:$D$1000=E13),PACEs!$F$2:$F$1000),Date!$B$2:$K$1623,10,FALSE)&amp;".T"&amp;VLOOKUP(_xlfn.XLOOKUP(1,(PACEs!$C$2:$C$1000=$A12)*(PACEs!$D$2:$D$1000=E13),PACEs!$F$2:$F$1000),Date!$B$2:$K$1623,7,FALSE))</f>
        <v/>
      </c>
      <c r="F16" s="167" t="str" cm="1">
        <f t="array" ref="F16">IF(ISERROR(_xlfn.XLOOKUP(1,(PACEs!$C$2:$C$1000=$A12)*(PACEs!$D$2:$D$1000=F13),PACEs!$F$2:$F$1000)),"",VLOOKUP(_xlfn.XLOOKUP(1,(PACEs!$C$2:$C$1000=$A12)*(PACEs!$D$2:$D$1000=F13),PACEs!$F$2:$F$1000),Date!$B$2:$K$1623,10,FALSE)&amp;".T"&amp;VLOOKUP(_xlfn.XLOOKUP(1,(PACEs!$C$2:$C$1000=$A12)*(PACEs!$D$2:$D$1000=F13),PACEs!$F$2:$F$1000),Date!$B$2:$K$1623,7,FALSE))</f>
        <v/>
      </c>
      <c r="G16" s="167" t="str" cm="1">
        <f t="array" ref="G16">IF(ISERROR(_xlfn.XLOOKUP(1,(PACEs!$C$2:$C$1000=$A12)*(PACEs!$D$2:$D$1000=G13),PACEs!$F$2:$F$1000)),"",VLOOKUP(_xlfn.XLOOKUP(1,(PACEs!$C$2:$C$1000=$A12)*(PACEs!$D$2:$D$1000=G13),PACEs!$F$2:$F$1000),Date!$B$2:$K$1623,10,FALSE)&amp;".T"&amp;VLOOKUP(_xlfn.XLOOKUP(1,(PACEs!$C$2:$C$1000=$A12)*(PACEs!$D$2:$D$1000=G13),PACEs!$F$2:$F$1000),Date!$B$2:$K$1623,7,FALSE))</f>
        <v/>
      </c>
      <c r="H16" s="167" t="str" cm="1">
        <f t="array" ref="H16">IF(ISERROR(_xlfn.XLOOKUP(1,(PACEs!$C$2:$C$1000=$A12)*(PACEs!$D$2:$D$1000=H13),PACEs!$F$2:$F$1000)),"",VLOOKUP(_xlfn.XLOOKUP(1,(PACEs!$C$2:$C$1000=$A12)*(PACEs!$D$2:$D$1000=H13),PACEs!$F$2:$F$1000),Date!$B$2:$K$1623,10,FALSE)&amp;".T"&amp;VLOOKUP(_xlfn.XLOOKUP(1,(PACEs!$C$2:$C$1000=$A12)*(PACEs!$D$2:$D$1000=H13),PACEs!$F$2:$F$1000),Date!$B$2:$K$1623,7,FALSE))</f>
        <v/>
      </c>
      <c r="I16" s="167" t="str" cm="1">
        <f t="array" ref="I16">IF(ISERROR(_xlfn.XLOOKUP(1,(PACEs!$C$2:$C$1000=$A12)*(PACEs!$D$2:$D$1000=I13),PACEs!$F$2:$F$1000)),"",VLOOKUP(_xlfn.XLOOKUP(1,(PACEs!$C$2:$C$1000=$A12)*(PACEs!$D$2:$D$1000=I13),PACEs!$F$2:$F$1000),Date!$B$2:$K$1623,10,FALSE)&amp;".T"&amp;VLOOKUP(_xlfn.XLOOKUP(1,(PACEs!$C$2:$C$1000=$A12)*(PACEs!$D$2:$D$1000=I13),PACEs!$F$2:$F$1000),Date!$B$2:$K$1623,7,FALSE))</f>
        <v/>
      </c>
      <c r="J16" s="167" t="str" cm="1">
        <f t="array" ref="J16">IF(ISERROR(_xlfn.XLOOKUP(1,(PACEs!$C$2:$C$1000=$A12)*(PACEs!$D$2:$D$1000=J13),PACEs!$F$2:$F$1000)),"",VLOOKUP(_xlfn.XLOOKUP(1,(PACEs!$C$2:$C$1000=$A12)*(PACEs!$D$2:$D$1000=J13),PACEs!$F$2:$F$1000),Date!$B$2:$K$1623,10,FALSE)&amp;".T"&amp;VLOOKUP(_xlfn.XLOOKUP(1,(PACEs!$C$2:$C$1000=$A12)*(PACEs!$D$2:$D$1000=J13),PACEs!$F$2:$F$1000),Date!$B$2:$K$1623,7,FALSE))</f>
        <v/>
      </c>
      <c r="K16" s="167" t="str" cm="1">
        <f t="array" ref="K16">IF(ISERROR(_xlfn.XLOOKUP(1,(PACEs!$C$2:$C$1000=$A12)*(PACEs!$D$2:$D$1000=K13),PACEs!$F$2:$F$1000)),"",VLOOKUP(_xlfn.XLOOKUP(1,(PACEs!$C$2:$C$1000=$A12)*(PACEs!$D$2:$D$1000=K13),PACEs!$F$2:$F$1000),Date!$B$2:$K$1623,10,FALSE)&amp;".T"&amp;VLOOKUP(_xlfn.XLOOKUP(1,(PACEs!$C$2:$C$1000=$A12)*(PACEs!$D$2:$D$1000=K13),PACEs!$F$2:$F$1000),Date!$B$2:$K$1623,7,FALSE))</f>
        <v/>
      </c>
      <c r="L16" s="167" t="str" cm="1">
        <f t="array" ref="L16">IF(ISERROR(_xlfn.XLOOKUP(1,(PACEs!$C$2:$C$1000=$A12)*(PACEs!$D$2:$D$1000=L13),PACEs!$F$2:$F$1000)),"",VLOOKUP(_xlfn.XLOOKUP(1,(PACEs!$C$2:$C$1000=$A12)*(PACEs!$D$2:$D$1000=L13),PACEs!$F$2:$F$1000),Date!$B$2:$K$1623,10,FALSE)&amp;".T"&amp;VLOOKUP(_xlfn.XLOOKUP(1,(PACEs!$C$2:$C$1000=$A12)*(PACEs!$D$2:$D$1000=L13),PACEs!$F$2:$F$1000),Date!$B$2:$K$1623,7,FALSE))</f>
        <v>25–26.T1</v>
      </c>
      <c r="M16" s="167" t="str" cm="1">
        <f t="array" ref="M16">IF(ISERROR(_xlfn.XLOOKUP(1,(PACEs!$C$2:$C$1000=$A12)*(PACEs!$D$2:$D$1000=M13),PACEs!$F$2:$F$1000)),"",VLOOKUP(_xlfn.XLOOKUP(1,(PACEs!$C$2:$C$1000=$A12)*(PACEs!$D$2:$D$1000=M13),PACEs!$F$2:$F$1000),Date!$B$2:$K$1623,10,FALSE)&amp;".T"&amp;VLOOKUP(_xlfn.XLOOKUP(1,(PACEs!$C$2:$C$1000=$A12)*(PACEs!$D$2:$D$1000=M13),PACEs!$F$2:$F$1000),Date!$B$2:$K$1623,7,FALSE))</f>
        <v>25–26.T1</v>
      </c>
      <c r="N16" s="174"/>
    </row>
    <row r="17" spans="1:16" ht="19" x14ac:dyDescent="0.25">
      <c r="A17" s="46" t="s">
        <v>281</v>
      </c>
      <c r="B17" s="85" t="str">
        <f>IF(VLOOKUP($A17,Course!$B$2:$C$165, 2, FALSE)=0, VLOOKUP($A17,Course!$B$2:$C$165, 1, FALSE), VLOOKUP($A17,Course!$B$2:$C$165, 2, FALSE))</f>
        <v>Earth Science</v>
      </c>
      <c r="C17" s="86"/>
      <c r="D17" s="86"/>
      <c r="E17" s="86"/>
      <c r="F17" s="86"/>
      <c r="G17" s="87" t="str">
        <f>A17</f>
        <v>Earth Science</v>
      </c>
      <c r="H17" s="87"/>
      <c r="I17" s="87"/>
      <c r="J17" s="87"/>
      <c r="K17" s="87"/>
      <c r="L17" s="88" t="str">
        <f>IF(VLOOKUP($A17, Course!$B$2:$E$165, 3, FALSE)=0, "", VLOOKUP($A17, Course!$B$2:$E$165, 3, FALSE))</f>
        <v>Earth Science</v>
      </c>
      <c r="M17" s="89"/>
      <c r="N17" s="171"/>
    </row>
    <row r="18" spans="1:16" x14ac:dyDescent="0.2">
      <c r="B18" s="9">
        <f>VLOOKUP($A17,Enrolment!$B$2:$N$15, B$1+1, FALSE)</f>
        <v>85</v>
      </c>
      <c r="C18" s="1">
        <f>VLOOKUP($A17,Enrolment!$B$2:$N$15, C$1+1, FALSE)</f>
        <v>86</v>
      </c>
      <c r="D18" s="1">
        <f>VLOOKUP($A17,Enrolment!$B$2:$N$15, D$1+1, FALSE)</f>
        <v>87</v>
      </c>
      <c r="E18" s="1">
        <f>VLOOKUP($A17,Enrolment!$B$2:$N$15, E$1+1, FALSE)</f>
        <v>88</v>
      </c>
      <c r="F18" s="1">
        <f>VLOOKUP($A17,Enrolment!$B$2:$N$15, F$1+1, FALSE)</f>
        <v>89</v>
      </c>
      <c r="G18" s="1">
        <f>VLOOKUP($A17,Enrolment!$B$2:$N$15, G$1+1, FALSE)</f>
        <v>90</v>
      </c>
      <c r="H18" s="1">
        <f>VLOOKUP($A17,Enrolment!$B$2:$N$15, H$1+1, FALSE)</f>
        <v>91</v>
      </c>
      <c r="I18" s="1">
        <f>VLOOKUP($A17,Enrolment!$B$2:$N$15, I$1+1, FALSE)</f>
        <v>92</v>
      </c>
      <c r="J18" s="1">
        <f>VLOOKUP($A17,Enrolment!$B$2:$N$15, J$1+1, FALSE)</f>
        <v>93</v>
      </c>
      <c r="K18" s="1">
        <f>VLOOKUP($A17,Enrolment!$B$2:$N$15, K$1+1, FALSE)</f>
        <v>94</v>
      </c>
      <c r="L18" s="1">
        <f>VLOOKUP($A17,Enrolment!$B$2:$N$15, L$1+1, FALSE)</f>
        <v>95</v>
      </c>
      <c r="M18" s="10">
        <f>VLOOKUP($A17,Enrolment!$B$2:$N$15, M$1+1, FALSE)</f>
        <v>96</v>
      </c>
      <c r="N18" s="172"/>
      <c r="O18" s="3"/>
      <c r="P18" s="3"/>
    </row>
    <row r="19" spans="1:16" s="7" customFormat="1" ht="20" customHeight="1" x14ac:dyDescent="0.4">
      <c r="B19" s="48" t="s">
        <v>19</v>
      </c>
      <c r="C19" s="48" t="s">
        <v>19</v>
      </c>
      <c r="D19" s="48" t="s">
        <v>19</v>
      </c>
      <c r="E19" s="48" t="s">
        <v>19</v>
      </c>
      <c r="F19" s="48" t="s">
        <v>19</v>
      </c>
      <c r="G19" s="48" t="s">
        <v>19</v>
      </c>
      <c r="H19" s="48" t="s">
        <v>19</v>
      </c>
      <c r="I19" s="48" t="s">
        <v>19</v>
      </c>
      <c r="J19" s="48" t="s">
        <v>19</v>
      </c>
      <c r="K19" s="48" t="s">
        <v>19</v>
      </c>
      <c r="L19" s="162" t="s">
        <v>19</v>
      </c>
      <c r="M19" s="48" t="s">
        <v>19</v>
      </c>
      <c r="N19" s="48"/>
    </row>
    <row r="20" spans="1:16" x14ac:dyDescent="0.2">
      <c r="B20" s="11" t="str" cm="1">
        <f t="array" ref="B20">IFERROR(_xlfn.XLOOKUP(1, (PACEs!$C$2:$C$1000=$A17) * (PACEs!$D$2:$D$1000=B18), PACEs!$E$2:$E$1000), "")</f>
        <v/>
      </c>
      <c r="C20" s="11" t="str" cm="1">
        <f t="array" ref="C20">IFERROR(_xlfn.XLOOKUP(1, (PACEs!$C$2:$C$1000=$A17) * (PACEs!$D$2:$D$1000=C18), PACEs!$E$2:$E$1000), "")</f>
        <v/>
      </c>
      <c r="D20" s="11" t="str" cm="1">
        <f t="array" ref="D20">IFERROR(_xlfn.XLOOKUP(1, (PACEs!$C$2:$C$1000=$A17) * (PACEs!$D$2:$D$1000=D18), PACEs!$E$2:$E$1000), "")</f>
        <v/>
      </c>
      <c r="E20" s="11" t="str" cm="1">
        <f t="array" ref="E20">IFERROR(_xlfn.XLOOKUP(1, (PACEs!$C$2:$C$1000=$A17) * (PACEs!$D$2:$D$1000=E18), PACEs!$E$2:$E$1000), "")</f>
        <v/>
      </c>
      <c r="F20" s="11" t="str" cm="1">
        <f t="array" ref="F20">IFERROR(_xlfn.XLOOKUP(1, (PACEs!$C$2:$C$1000=$A17) * (PACEs!$D$2:$D$1000=F18), PACEs!$E$2:$E$1000), "")</f>
        <v/>
      </c>
      <c r="G20" s="11" t="str" cm="1">
        <f t="array" ref="G20">IFERROR(_xlfn.XLOOKUP(1, (PACEs!$C$2:$C$1000=$A17) * (PACEs!$D$2:$D$1000=G18), PACEs!$E$2:$E$1000), "")</f>
        <v/>
      </c>
      <c r="H20" s="11" t="str" cm="1">
        <f t="array" ref="H20">IFERROR(_xlfn.XLOOKUP(1, (PACEs!$C$2:$C$1000=$A17) * (PACEs!$D$2:$D$1000=H18), PACEs!$E$2:$E$1000), "")</f>
        <v/>
      </c>
      <c r="I20" s="11" t="str" cm="1">
        <f t="array" ref="I20">IFERROR(_xlfn.XLOOKUP(1, (PACEs!$C$2:$C$1000=$A17) * (PACEs!$D$2:$D$1000=I18), PACEs!$E$2:$E$1000), "")</f>
        <v/>
      </c>
      <c r="J20" s="11" t="str" cm="1">
        <f t="array" ref="J20">IFERROR(_xlfn.XLOOKUP(1, (PACEs!$C$2:$C$1000=$A17) * (PACEs!$D$2:$D$1000=J18), PACEs!$E$2:$E$1000), "")</f>
        <v/>
      </c>
      <c r="K20" s="11" t="str" cm="1">
        <f t="array" ref="K20">IFERROR(_xlfn.XLOOKUP(1, (PACEs!$C$2:$C$1000=$A17) * (PACEs!$D$2:$D$1000=K18), PACEs!$E$2:$E$1000), "")</f>
        <v/>
      </c>
      <c r="L20" s="11" t="str" cm="1">
        <f t="array" ref="L20">IFERROR(_xlfn.XLOOKUP(1, (PACEs!$C$2:$C$1000=$A17) * (PACEs!$D$2:$D$1000=L18), PACEs!$E$2:$E$1000), "")</f>
        <v/>
      </c>
      <c r="M20" s="11" cm="1">
        <f t="array" ref="M20">IFERROR(_xlfn.XLOOKUP(1, (PACEs!$C$2:$C$1000=$A17) * (PACEs!$D$2:$D$1000=M18), PACEs!$E$2:$E$1000), "")</f>
        <v>0.97499999999999998</v>
      </c>
      <c r="N20" s="173"/>
    </row>
    <row r="21" spans="1:16" x14ac:dyDescent="0.2">
      <c r="B21" s="167" t="str" cm="1">
        <f t="array" ref="B21">IF(ISERROR(_xlfn.XLOOKUP(1,(PACEs!$C$2:$C$1000=$A17)*(PACEs!$D$2:$D$1000=B18),PACEs!$F$2:$F$1000)),"",VLOOKUP(_xlfn.XLOOKUP(1,(PACEs!$C$2:$C$1000=$A17)*(PACEs!$D$2:$D$1000=B18),PACEs!$F$2:$F$1000),Date!$B$2:$K$1623,10,FALSE)&amp;".T"&amp;VLOOKUP(_xlfn.XLOOKUP(1,(PACEs!$C$2:$C$1000=$A17)*(PACEs!$D$2:$D$1000=B18),PACEs!$F$2:$F$1000),Date!$B$2:$K$1623,7,FALSE))</f>
        <v/>
      </c>
      <c r="C21" s="167" t="str" cm="1">
        <f t="array" ref="C21">IF(ISERROR(_xlfn.XLOOKUP(1,(PACEs!$C$2:$C$1000=$A17)*(PACEs!$D$2:$D$1000=C18),PACEs!$F$2:$F$1000)),"",VLOOKUP(_xlfn.XLOOKUP(1,(PACEs!$C$2:$C$1000=$A17)*(PACEs!$D$2:$D$1000=C18),PACEs!$F$2:$F$1000),Date!$B$2:$K$1623,10,FALSE)&amp;".T"&amp;VLOOKUP(_xlfn.XLOOKUP(1,(PACEs!$C$2:$C$1000=$A17)*(PACEs!$D$2:$D$1000=C18),PACEs!$F$2:$F$1000),Date!$B$2:$K$1623,7,FALSE))</f>
        <v/>
      </c>
      <c r="D21" s="167" t="str" cm="1">
        <f t="array" ref="D21">IF(ISERROR(_xlfn.XLOOKUP(1,(PACEs!$C$2:$C$1000=$A17)*(PACEs!$D$2:$D$1000=D18),PACEs!$F$2:$F$1000)),"",VLOOKUP(_xlfn.XLOOKUP(1,(PACEs!$C$2:$C$1000=$A17)*(PACEs!$D$2:$D$1000=D18),PACEs!$F$2:$F$1000),Date!$B$2:$K$1623,10,FALSE)&amp;".T"&amp;VLOOKUP(_xlfn.XLOOKUP(1,(PACEs!$C$2:$C$1000=$A17)*(PACEs!$D$2:$D$1000=D18),PACEs!$F$2:$F$1000),Date!$B$2:$K$1623,7,FALSE))</f>
        <v/>
      </c>
      <c r="E21" s="167" t="str" cm="1">
        <f t="array" ref="E21">IF(ISERROR(_xlfn.XLOOKUP(1,(PACEs!$C$2:$C$1000=$A17)*(PACEs!$D$2:$D$1000=E18),PACEs!$F$2:$F$1000)),"",VLOOKUP(_xlfn.XLOOKUP(1,(PACEs!$C$2:$C$1000=$A17)*(PACEs!$D$2:$D$1000=E18),PACEs!$F$2:$F$1000),Date!$B$2:$K$1623,10,FALSE)&amp;".T"&amp;VLOOKUP(_xlfn.XLOOKUP(1,(PACEs!$C$2:$C$1000=$A17)*(PACEs!$D$2:$D$1000=E18),PACEs!$F$2:$F$1000),Date!$B$2:$K$1623,7,FALSE))</f>
        <v/>
      </c>
      <c r="F21" s="167" t="str" cm="1">
        <f t="array" ref="F21">IF(ISERROR(_xlfn.XLOOKUP(1,(PACEs!$C$2:$C$1000=$A17)*(PACEs!$D$2:$D$1000=F18),PACEs!$F$2:$F$1000)),"",VLOOKUP(_xlfn.XLOOKUP(1,(PACEs!$C$2:$C$1000=$A17)*(PACEs!$D$2:$D$1000=F18),PACEs!$F$2:$F$1000),Date!$B$2:$K$1623,10,FALSE)&amp;".T"&amp;VLOOKUP(_xlfn.XLOOKUP(1,(PACEs!$C$2:$C$1000=$A17)*(PACEs!$D$2:$D$1000=F18),PACEs!$F$2:$F$1000),Date!$B$2:$K$1623,7,FALSE))</f>
        <v/>
      </c>
      <c r="G21" s="167" t="str" cm="1">
        <f t="array" ref="G21">IF(ISERROR(_xlfn.XLOOKUP(1,(PACEs!$C$2:$C$1000=$A17)*(PACEs!$D$2:$D$1000=G18),PACEs!$F$2:$F$1000)),"",VLOOKUP(_xlfn.XLOOKUP(1,(PACEs!$C$2:$C$1000=$A17)*(PACEs!$D$2:$D$1000=G18),PACEs!$F$2:$F$1000),Date!$B$2:$K$1623,10,FALSE)&amp;".T"&amp;VLOOKUP(_xlfn.XLOOKUP(1,(PACEs!$C$2:$C$1000=$A17)*(PACEs!$D$2:$D$1000=G18),PACEs!$F$2:$F$1000),Date!$B$2:$K$1623,7,FALSE))</f>
        <v/>
      </c>
      <c r="H21" s="167" t="str" cm="1">
        <f t="array" ref="H21">IF(ISERROR(_xlfn.XLOOKUP(1,(PACEs!$C$2:$C$1000=$A17)*(PACEs!$D$2:$D$1000=H18),PACEs!$F$2:$F$1000)),"",VLOOKUP(_xlfn.XLOOKUP(1,(PACEs!$C$2:$C$1000=$A17)*(PACEs!$D$2:$D$1000=H18),PACEs!$F$2:$F$1000),Date!$B$2:$K$1623,10,FALSE)&amp;".T"&amp;VLOOKUP(_xlfn.XLOOKUP(1,(PACEs!$C$2:$C$1000=$A17)*(PACEs!$D$2:$D$1000=H18),PACEs!$F$2:$F$1000),Date!$B$2:$K$1623,7,FALSE))</f>
        <v/>
      </c>
      <c r="I21" s="167" t="str" cm="1">
        <f t="array" ref="I21">IF(ISERROR(_xlfn.XLOOKUP(1,(PACEs!$C$2:$C$1000=$A17)*(PACEs!$D$2:$D$1000=I18),PACEs!$F$2:$F$1000)),"",VLOOKUP(_xlfn.XLOOKUP(1,(PACEs!$C$2:$C$1000=$A17)*(PACEs!$D$2:$D$1000=I18),PACEs!$F$2:$F$1000),Date!$B$2:$K$1623,10,FALSE)&amp;".T"&amp;VLOOKUP(_xlfn.XLOOKUP(1,(PACEs!$C$2:$C$1000=$A17)*(PACEs!$D$2:$D$1000=I18),PACEs!$F$2:$F$1000),Date!$B$2:$K$1623,7,FALSE))</f>
        <v/>
      </c>
      <c r="J21" s="167" t="str" cm="1">
        <f t="array" ref="J21">IF(ISERROR(_xlfn.XLOOKUP(1,(PACEs!$C$2:$C$1000=$A17)*(PACEs!$D$2:$D$1000=J18),PACEs!$F$2:$F$1000)),"",VLOOKUP(_xlfn.XLOOKUP(1,(PACEs!$C$2:$C$1000=$A17)*(PACEs!$D$2:$D$1000=J18),PACEs!$F$2:$F$1000),Date!$B$2:$K$1623,10,FALSE)&amp;".T"&amp;VLOOKUP(_xlfn.XLOOKUP(1,(PACEs!$C$2:$C$1000=$A17)*(PACEs!$D$2:$D$1000=J18),PACEs!$F$2:$F$1000),Date!$B$2:$K$1623,7,FALSE))</f>
        <v/>
      </c>
      <c r="K21" s="167" t="str" cm="1">
        <f t="array" ref="K21">IF(ISERROR(_xlfn.XLOOKUP(1,(PACEs!$C$2:$C$1000=$A17)*(PACEs!$D$2:$D$1000=K18),PACEs!$F$2:$F$1000)),"",VLOOKUP(_xlfn.XLOOKUP(1,(PACEs!$C$2:$C$1000=$A17)*(PACEs!$D$2:$D$1000=K18),PACEs!$F$2:$F$1000),Date!$B$2:$K$1623,10,FALSE)&amp;".T"&amp;VLOOKUP(_xlfn.XLOOKUP(1,(PACEs!$C$2:$C$1000=$A17)*(PACEs!$D$2:$D$1000=K18),PACEs!$F$2:$F$1000),Date!$B$2:$K$1623,7,FALSE))</f>
        <v/>
      </c>
      <c r="L21" s="167" t="str" cm="1">
        <f t="array" ref="L21">IF(ISERROR(_xlfn.XLOOKUP(1,(PACEs!$C$2:$C$1000=$A17)*(PACEs!$D$2:$D$1000=L18),PACEs!$F$2:$F$1000)),"",VLOOKUP(_xlfn.XLOOKUP(1,(PACEs!$C$2:$C$1000=$A17)*(PACEs!$D$2:$D$1000=L18),PACEs!$F$2:$F$1000),Date!$B$2:$K$1623,10,FALSE)&amp;".T"&amp;VLOOKUP(_xlfn.XLOOKUP(1,(PACEs!$C$2:$C$1000=$A17)*(PACEs!$D$2:$D$1000=L18),PACEs!$F$2:$F$1000),Date!$B$2:$K$1623,7,FALSE))</f>
        <v/>
      </c>
      <c r="M21" s="167" t="str" cm="1">
        <f t="array" ref="M21">IF(ISERROR(_xlfn.XLOOKUP(1,(PACEs!$C$2:$C$1000=$A17)*(PACEs!$D$2:$D$1000=M18),PACEs!$F$2:$F$1000)),"",VLOOKUP(_xlfn.XLOOKUP(1,(PACEs!$C$2:$C$1000=$A17)*(PACEs!$D$2:$D$1000=M18),PACEs!$F$2:$F$1000),Date!$B$2:$K$1623,10,FALSE)&amp;".T"&amp;VLOOKUP(_xlfn.XLOOKUP(1,(PACEs!$C$2:$C$1000=$A17)*(PACEs!$D$2:$D$1000=M18),PACEs!$F$2:$F$1000),Date!$B$2:$K$1623,7,FALSE))</f>
        <v>25–26.T1</v>
      </c>
      <c r="N21" s="174"/>
    </row>
    <row r="22" spans="1:16" ht="19" x14ac:dyDescent="0.25">
      <c r="A22" s="46" t="s">
        <v>20</v>
      </c>
      <c r="B22" s="85" t="str">
        <f>IF(VLOOKUP($A22,Course!$B$2:$C$165, 2, FALSE)=0, VLOOKUP($A22,Course!$B$2:$C$165, 1, FALSE), VLOOKUP($A22,Course!$B$2:$C$165, 2, FALSE))</f>
        <v>CEE Physical Science I-B</v>
      </c>
      <c r="C22" s="86"/>
      <c r="D22" s="86"/>
      <c r="E22" s="86"/>
      <c r="F22" s="86"/>
      <c r="G22" s="87" t="str">
        <f>A22</f>
        <v>ICCE Physical Science</v>
      </c>
      <c r="H22" s="87"/>
      <c r="I22" s="87"/>
      <c r="J22" s="87"/>
      <c r="K22" s="87"/>
      <c r="L22" s="88" t="str">
        <f>IF(VLOOKUP($A22, Course!$B$2:$E$165, 3, FALSE)=0, "", VLOOKUP($A22, Course!$B$2:$E$165, 3, FALSE))</f>
        <v>Physical Science I</v>
      </c>
      <c r="M22" s="89"/>
      <c r="N22" s="171"/>
    </row>
    <row r="23" spans="1:16" x14ac:dyDescent="0.2">
      <c r="B23" s="9">
        <f>VLOOKUP($A22,Enrolment!$B$2:$N$15, B$1+1, FALSE)</f>
        <v>85</v>
      </c>
      <c r="C23" s="1">
        <f>VLOOKUP($A22,Enrolment!$B$2:$N$15, C$1+1, FALSE)</f>
        <v>86</v>
      </c>
      <c r="D23" s="1">
        <f>VLOOKUP($A22,Enrolment!$B$2:$N$15, D$1+1, FALSE)</f>
        <v>86</v>
      </c>
      <c r="E23" s="1">
        <f>VLOOKUP($A22,Enrolment!$B$2:$N$15, E$1+1, FALSE)</f>
        <v>87</v>
      </c>
      <c r="F23" s="1">
        <f>VLOOKUP($A22,Enrolment!$B$2:$N$15, F$1+1, FALSE)</f>
        <v>88</v>
      </c>
      <c r="G23" s="1">
        <f>VLOOKUP($A22,Enrolment!$B$2:$N$15, G$1+1, FALSE)</f>
        <v>88</v>
      </c>
      <c r="H23" s="1">
        <f>VLOOKUP($A22,Enrolment!$B$2:$N$15, H$1+1, FALSE)</f>
        <v>97</v>
      </c>
      <c r="I23" s="1">
        <f>VLOOKUP($A22,Enrolment!$B$2:$N$15, I$1+1, FALSE)</f>
        <v>98</v>
      </c>
      <c r="J23" s="1">
        <f>VLOOKUP($A22,Enrolment!$B$2:$N$15, J$1+1, FALSE)</f>
        <v>98</v>
      </c>
      <c r="K23" s="1">
        <f>VLOOKUP($A22,Enrolment!$B$2:$N$15, K$1+1, FALSE)</f>
        <v>99</v>
      </c>
      <c r="L23" s="1">
        <f>VLOOKUP($A22,Enrolment!$B$2:$N$15, L$1+1, FALSE)</f>
        <v>100</v>
      </c>
      <c r="M23" s="10">
        <f>VLOOKUP($A22,Enrolment!$B$2:$N$15, M$1+1, FALSE)</f>
        <v>100</v>
      </c>
      <c r="N23" s="172"/>
    </row>
    <row r="24" spans="1:16" s="7" customFormat="1" ht="20" customHeight="1" x14ac:dyDescent="0.4">
      <c r="B24" s="48" t="s">
        <v>19</v>
      </c>
      <c r="C24" s="48" t="s">
        <v>19</v>
      </c>
      <c r="D24" s="48" t="s">
        <v>19</v>
      </c>
      <c r="E24" s="48" t="s">
        <v>19</v>
      </c>
      <c r="F24" s="48" t="s">
        <v>19</v>
      </c>
      <c r="G24" s="48" t="s">
        <v>19</v>
      </c>
      <c r="H24" s="48" t="s">
        <v>19</v>
      </c>
      <c r="I24" s="48" t="s">
        <v>19</v>
      </c>
      <c r="J24" s="48" t="s">
        <v>19</v>
      </c>
      <c r="K24" s="48" t="s">
        <v>19</v>
      </c>
      <c r="L24" s="162" t="s">
        <v>19</v>
      </c>
      <c r="M24" s="48" t="s">
        <v>19</v>
      </c>
      <c r="N24" s="48"/>
    </row>
    <row r="25" spans="1:16" x14ac:dyDescent="0.2">
      <c r="A25" s="1"/>
      <c r="B25" s="11" t="str" cm="1">
        <f t="array" ref="B25">IFERROR(_xlfn.XLOOKUP(1, (PACEs!$C$2:$C$1000=$A22) * (PACEs!$D$2:$D$1000=B23), PACEs!$E$2:$E$1000), "")</f>
        <v/>
      </c>
      <c r="C25" s="11" t="str" cm="1">
        <f t="array" ref="C25">IFERROR(_xlfn.XLOOKUP(1, (PACEs!$C$2:$C$1000=$A22) * (PACEs!$D$2:$D$1000=C23), PACEs!$E$2:$E$1000), "")</f>
        <v/>
      </c>
      <c r="D25" s="11" t="str" cm="1">
        <f t="array" ref="D25">IFERROR(_xlfn.XLOOKUP(1, (PACEs!$C$2:$C$1000=$A22) * (PACEs!$D$2:$D$1000=D23), PACEs!$E$2:$E$1000), "")</f>
        <v/>
      </c>
      <c r="E25" s="11" t="str" cm="1">
        <f t="array" ref="E25">IFERROR(_xlfn.XLOOKUP(1, (PACEs!$C$2:$C$1000=$A22) * (PACEs!$D$2:$D$1000=E23), PACEs!$E$2:$E$1000), "")</f>
        <v/>
      </c>
      <c r="F25" s="11" t="str" cm="1">
        <f t="array" ref="F25">IFERROR(_xlfn.XLOOKUP(1, (PACEs!$C$2:$C$1000=$A22) * (PACEs!$D$2:$D$1000=F23), PACEs!$E$2:$E$1000), "")</f>
        <v/>
      </c>
      <c r="G25" s="11" t="str" cm="1">
        <f t="array" ref="G25">IFERROR(_xlfn.XLOOKUP(1, (PACEs!$C$2:$C$1000=$A22) * (PACEs!$D$2:$D$1000=G23), PACEs!$E$2:$E$1000), "")</f>
        <v/>
      </c>
      <c r="H25" s="11" t="str" cm="1">
        <f t="array" ref="H25">IFERROR(_xlfn.XLOOKUP(1, (PACEs!$C$2:$C$1000=$A22) * (PACEs!$D$2:$D$1000=H23), PACEs!$E$2:$E$1000), "")</f>
        <v/>
      </c>
      <c r="I25" s="11" cm="1">
        <f t="array" ref="I25">IFERROR(_xlfn.XLOOKUP(1, (PACEs!$C$2:$C$1000=$A22) * (PACEs!$D$2:$D$1000=I23), PACEs!$E$2:$E$1000), "")</f>
        <v>1</v>
      </c>
      <c r="J25" s="11" cm="1">
        <f t="array" ref="J25">IFERROR(_xlfn.XLOOKUP(1, (PACEs!$C$2:$C$1000=$A22) * (PACEs!$D$2:$D$1000=J23), PACEs!$E$2:$E$1000), "")</f>
        <v>1</v>
      </c>
      <c r="K25" s="11" t="str" cm="1">
        <f t="array" ref="K25">IFERROR(_xlfn.XLOOKUP(1, (PACEs!$C$2:$C$1000=$A22) * (PACEs!$D$2:$D$1000=K23), PACEs!$E$2:$E$1000), "")</f>
        <v/>
      </c>
      <c r="L25" s="11" t="str" cm="1">
        <f t="array" ref="L25">IFERROR(_xlfn.XLOOKUP(1, (PACEs!$C$2:$C$1000=$A22) * (PACEs!$D$2:$D$1000=L23), PACEs!$E$2:$E$1000), "")</f>
        <v/>
      </c>
      <c r="M25" s="11" t="str" cm="1">
        <f t="array" ref="M25">IFERROR(_xlfn.XLOOKUP(1, (PACEs!$C$2:$C$1000=$A22) * (PACEs!$D$2:$D$1000=M23), PACEs!$E$2:$E$1000), "")</f>
        <v/>
      </c>
      <c r="N25" s="173"/>
    </row>
    <row r="26" spans="1:16" x14ac:dyDescent="0.2">
      <c r="A26" s="1"/>
      <c r="B26" s="167" t="str" cm="1">
        <f t="array" ref="B26">IF(ISERROR(_xlfn.XLOOKUP(1,(PACEs!$C$2:$C$1000=$A22)*(PACEs!$D$2:$D$1000=B23),PACEs!$F$2:$F$1000)),"",VLOOKUP(_xlfn.XLOOKUP(1,(PACEs!$C$2:$C$1000=$A22)*(PACEs!$D$2:$D$1000=B23),PACEs!$F$2:$F$1000),Date!$B$2:$K$1623,10,FALSE)&amp;".T"&amp;VLOOKUP(_xlfn.XLOOKUP(1,(PACEs!$C$2:$C$1000=$A22)*(PACEs!$D$2:$D$1000=B23),PACEs!$F$2:$F$1000),Date!$B$2:$K$1623,7,FALSE))</f>
        <v/>
      </c>
      <c r="C26" s="167" t="str" cm="1">
        <f t="array" ref="C26">IF(ISERROR(_xlfn.XLOOKUP(1,(PACEs!$C$2:$C$1000=$A22)*(PACEs!$D$2:$D$1000=C23),PACEs!$F$2:$F$1000)),"",VLOOKUP(_xlfn.XLOOKUP(1,(PACEs!$C$2:$C$1000=$A22)*(PACEs!$D$2:$D$1000=C23),PACEs!$F$2:$F$1000),Date!$B$2:$K$1623,10,FALSE)&amp;".T"&amp;VLOOKUP(_xlfn.XLOOKUP(1,(PACEs!$C$2:$C$1000=$A22)*(PACEs!$D$2:$D$1000=C23),PACEs!$F$2:$F$1000),Date!$B$2:$K$1623,7,FALSE))</f>
        <v/>
      </c>
      <c r="D26" s="167" t="str" cm="1">
        <f t="array" ref="D26">IF(ISERROR(_xlfn.XLOOKUP(1,(PACEs!$C$2:$C$1000=$A22)*(PACEs!$D$2:$D$1000=D23),PACEs!$F$2:$F$1000)),"",VLOOKUP(_xlfn.XLOOKUP(1,(PACEs!$C$2:$C$1000=$A22)*(PACEs!$D$2:$D$1000=D23),PACEs!$F$2:$F$1000),Date!$B$2:$K$1623,10,FALSE)&amp;".T"&amp;VLOOKUP(_xlfn.XLOOKUP(1,(PACEs!$C$2:$C$1000=$A22)*(PACEs!$D$2:$D$1000=D23),PACEs!$F$2:$F$1000),Date!$B$2:$K$1623,7,FALSE))</f>
        <v/>
      </c>
      <c r="E26" s="167" t="str" cm="1">
        <f t="array" ref="E26">IF(ISERROR(_xlfn.XLOOKUP(1,(PACEs!$C$2:$C$1000=$A22)*(PACEs!$D$2:$D$1000=E23),PACEs!$F$2:$F$1000)),"",VLOOKUP(_xlfn.XLOOKUP(1,(PACEs!$C$2:$C$1000=$A22)*(PACEs!$D$2:$D$1000=E23),PACEs!$F$2:$F$1000),Date!$B$2:$K$1623,10,FALSE)&amp;".T"&amp;VLOOKUP(_xlfn.XLOOKUP(1,(PACEs!$C$2:$C$1000=$A22)*(PACEs!$D$2:$D$1000=E23),PACEs!$F$2:$F$1000),Date!$B$2:$K$1623,7,FALSE))</f>
        <v/>
      </c>
      <c r="F26" s="167" t="str" cm="1">
        <f t="array" ref="F26">IF(ISERROR(_xlfn.XLOOKUP(1,(PACEs!$C$2:$C$1000=$A22)*(PACEs!$D$2:$D$1000=F23),PACEs!$F$2:$F$1000)),"",VLOOKUP(_xlfn.XLOOKUP(1,(PACEs!$C$2:$C$1000=$A22)*(PACEs!$D$2:$D$1000=F23),PACEs!$F$2:$F$1000),Date!$B$2:$K$1623,10,FALSE)&amp;".T"&amp;VLOOKUP(_xlfn.XLOOKUP(1,(PACEs!$C$2:$C$1000=$A22)*(PACEs!$D$2:$D$1000=F23),PACEs!$F$2:$F$1000),Date!$B$2:$K$1623,7,FALSE))</f>
        <v/>
      </c>
      <c r="G26" s="167" t="str" cm="1">
        <f t="array" ref="G26">IF(ISERROR(_xlfn.XLOOKUP(1,(PACEs!$C$2:$C$1000=$A22)*(PACEs!$D$2:$D$1000=G23),PACEs!$F$2:$F$1000)),"",VLOOKUP(_xlfn.XLOOKUP(1,(PACEs!$C$2:$C$1000=$A22)*(PACEs!$D$2:$D$1000=G23),PACEs!$F$2:$F$1000),Date!$B$2:$K$1623,10,FALSE)&amp;".T"&amp;VLOOKUP(_xlfn.XLOOKUP(1,(PACEs!$C$2:$C$1000=$A22)*(PACEs!$D$2:$D$1000=G23),PACEs!$F$2:$F$1000),Date!$B$2:$K$1623,7,FALSE))</f>
        <v/>
      </c>
      <c r="H26" s="167" t="str" cm="1">
        <f t="array" ref="H26">IF(ISERROR(_xlfn.XLOOKUP(1,(PACEs!$C$2:$C$1000=$A22)*(PACEs!$D$2:$D$1000=H23),PACEs!$F$2:$F$1000)),"",VLOOKUP(_xlfn.XLOOKUP(1,(PACEs!$C$2:$C$1000=$A22)*(PACEs!$D$2:$D$1000=H23),PACEs!$F$2:$F$1000),Date!$B$2:$K$1623,10,FALSE)&amp;".T"&amp;VLOOKUP(_xlfn.XLOOKUP(1,(PACEs!$C$2:$C$1000=$A22)*(PACEs!$D$2:$D$1000=H23),PACEs!$F$2:$F$1000),Date!$B$2:$K$1623,7,FALSE))</f>
        <v/>
      </c>
      <c r="I26" s="167" t="str" cm="1">
        <f t="array" ref="I26">IF(ISERROR(_xlfn.XLOOKUP(1,(PACEs!$C$2:$C$1000=$A22)*(PACEs!$D$2:$D$1000=I23),PACEs!$F$2:$F$1000)),"",VLOOKUP(_xlfn.XLOOKUP(1,(PACEs!$C$2:$C$1000=$A22)*(PACEs!$D$2:$D$1000=I23),PACEs!$F$2:$F$1000),Date!$B$2:$K$1623,10,FALSE)&amp;".T"&amp;VLOOKUP(_xlfn.XLOOKUP(1,(PACEs!$C$2:$C$1000=$A22)*(PACEs!$D$2:$D$1000=I23),PACEs!$F$2:$F$1000),Date!$B$2:$K$1623,7,FALSE))</f>
        <v>25–26.T1</v>
      </c>
      <c r="J26" s="167" t="str" cm="1">
        <f t="array" ref="J26">IF(ISERROR(_xlfn.XLOOKUP(1,(PACEs!$C$2:$C$1000=$A22)*(PACEs!$D$2:$D$1000=J23),PACEs!$F$2:$F$1000)),"",VLOOKUP(_xlfn.XLOOKUP(1,(PACEs!$C$2:$C$1000=$A22)*(PACEs!$D$2:$D$1000=J23),PACEs!$F$2:$F$1000),Date!$B$2:$K$1623,10,FALSE)&amp;".T"&amp;VLOOKUP(_xlfn.XLOOKUP(1,(PACEs!$C$2:$C$1000=$A22)*(PACEs!$D$2:$D$1000=J23),PACEs!$F$2:$F$1000),Date!$B$2:$K$1623,7,FALSE))</f>
        <v>25–26.T1</v>
      </c>
      <c r="K26" s="167" t="str" cm="1">
        <f t="array" ref="K26">IF(ISERROR(_xlfn.XLOOKUP(1,(PACEs!$C$2:$C$1000=$A22)*(PACEs!$D$2:$D$1000=K23),PACEs!$F$2:$F$1000)),"",VLOOKUP(_xlfn.XLOOKUP(1,(PACEs!$C$2:$C$1000=$A22)*(PACEs!$D$2:$D$1000=K23),PACEs!$F$2:$F$1000),Date!$B$2:$K$1623,10,FALSE)&amp;".T"&amp;VLOOKUP(_xlfn.XLOOKUP(1,(PACEs!$C$2:$C$1000=$A22)*(PACEs!$D$2:$D$1000=K23),PACEs!$F$2:$F$1000),Date!$B$2:$K$1623,7,FALSE))</f>
        <v/>
      </c>
      <c r="L26" s="167" t="str" cm="1">
        <f t="array" ref="L26">IF(ISERROR(_xlfn.XLOOKUP(1,(PACEs!$C$2:$C$1000=$A22)*(PACEs!$D$2:$D$1000=L23),PACEs!$F$2:$F$1000)),"",VLOOKUP(_xlfn.XLOOKUP(1,(PACEs!$C$2:$C$1000=$A22)*(PACEs!$D$2:$D$1000=L23),PACEs!$F$2:$F$1000),Date!$B$2:$K$1623,10,FALSE)&amp;".T"&amp;VLOOKUP(_xlfn.XLOOKUP(1,(PACEs!$C$2:$C$1000=$A22)*(PACEs!$D$2:$D$1000=L23),PACEs!$F$2:$F$1000),Date!$B$2:$K$1623,7,FALSE))</f>
        <v/>
      </c>
      <c r="M26" s="167" t="str" cm="1">
        <f t="array" ref="M26">IF(ISERROR(_xlfn.XLOOKUP(1,(PACEs!$C$2:$C$1000=$A22)*(PACEs!$D$2:$D$1000=M23),PACEs!$F$2:$F$1000)),"",VLOOKUP(_xlfn.XLOOKUP(1,(PACEs!$C$2:$C$1000=$A22)*(PACEs!$D$2:$D$1000=M23),PACEs!$F$2:$F$1000),Date!$B$2:$K$1623,10,FALSE)&amp;".T"&amp;VLOOKUP(_xlfn.XLOOKUP(1,(PACEs!$C$2:$C$1000=$A22)*(PACEs!$D$2:$D$1000=M23),PACEs!$F$2:$F$1000),Date!$B$2:$K$1623,7,FALSE))</f>
        <v/>
      </c>
      <c r="N26" s="174"/>
    </row>
    <row r="27" spans="1:16" ht="19" x14ac:dyDescent="0.25">
      <c r="A27" s="46" t="s">
        <v>233</v>
      </c>
      <c r="B27" s="85" t="str">
        <f>IF(VLOOKUP($A27,Course!$B$2:$C$165, 2, FALSE)=0, VLOOKUP($A27,Course!$B$2:$C$165, 1, FALSE), VLOOKUP($A27,Course!$B$2:$C$165, 2, FALSE))</f>
        <v>Social Studies I-C</v>
      </c>
      <c r="C27" s="86"/>
      <c r="D27" s="86"/>
      <c r="E27" s="86"/>
      <c r="F27" s="86"/>
      <c r="G27" s="87" t="str">
        <f>A27</f>
        <v>World Geography</v>
      </c>
      <c r="H27" s="87"/>
      <c r="I27" s="87"/>
      <c r="J27" s="87"/>
      <c r="K27" s="87"/>
      <c r="L27" s="88" t="str">
        <f>IF(VLOOKUP($A27, Course!$B$2:$E$165, 3, FALSE)=0, "", VLOOKUP($A27, Course!$B$2:$E$165, 3, FALSE))</f>
        <v>World Geography</v>
      </c>
      <c r="M27" s="89"/>
      <c r="N27" s="171"/>
    </row>
    <row r="28" spans="1:16" x14ac:dyDescent="0.2">
      <c r="B28" s="9">
        <f>VLOOKUP($A27,Enrolment!$B$2:$N$15, B$1+1, FALSE)</f>
        <v>97</v>
      </c>
      <c r="C28" s="1">
        <f>VLOOKUP($A27,Enrolment!$B$2:$N$15, C$1+1, FALSE)</f>
        <v>98</v>
      </c>
      <c r="D28" s="1">
        <f>VLOOKUP($A27,Enrolment!$B$2:$N$15, D$1+1, FALSE)</f>
        <v>99</v>
      </c>
      <c r="E28" s="1">
        <f>VLOOKUP($A27,Enrolment!$B$2:$N$15, E$1+1, FALSE)</f>
        <v>100</v>
      </c>
      <c r="F28" s="1">
        <f>VLOOKUP($A27,Enrolment!$B$2:$N$15, F$1+1, FALSE)</f>
        <v>101</v>
      </c>
      <c r="G28" s="1">
        <f>VLOOKUP($A27,Enrolment!$B$2:$N$15, G$1+1, FALSE)</f>
        <v>102</v>
      </c>
      <c r="H28" s="1">
        <f>VLOOKUP($A27,Enrolment!$B$2:$N$15, H$1+1, FALSE)</f>
        <v>103</v>
      </c>
      <c r="I28" s="1">
        <f>VLOOKUP($A27,Enrolment!$B$2:$N$15, I$1+1, FALSE)</f>
        <v>104</v>
      </c>
      <c r="J28" s="1">
        <f>VLOOKUP($A27,Enrolment!$B$2:$N$15, J$1+1, FALSE)</f>
        <v>105</v>
      </c>
      <c r="K28" s="1">
        <f>VLOOKUP($A27,Enrolment!$B$2:$N$15, K$1+1, FALSE)</f>
        <v>106</v>
      </c>
      <c r="L28" s="1">
        <f>VLOOKUP($A27,Enrolment!$B$2:$N$15, L$1+1, FALSE)</f>
        <v>107</v>
      </c>
      <c r="M28" s="10">
        <f>VLOOKUP($A27,Enrolment!$B$2:$N$15, M$1+1, FALSE)</f>
        <v>108</v>
      </c>
      <c r="N28" s="172"/>
    </row>
    <row r="29" spans="1:16" s="7" customFormat="1" ht="20" customHeight="1" x14ac:dyDescent="0.4">
      <c r="B29" s="48" t="s">
        <v>19</v>
      </c>
      <c r="C29" s="48" t="s">
        <v>19</v>
      </c>
      <c r="D29" s="48" t="s">
        <v>19</v>
      </c>
      <c r="E29" s="48" t="s">
        <v>19</v>
      </c>
      <c r="F29" s="48" t="s">
        <v>19</v>
      </c>
      <c r="G29" s="48" t="s">
        <v>19</v>
      </c>
      <c r="H29" s="48" t="s">
        <v>19</v>
      </c>
      <c r="I29" s="48" t="s">
        <v>19</v>
      </c>
      <c r="J29" s="48" t="s">
        <v>19</v>
      </c>
      <c r="K29" s="48" t="s">
        <v>19</v>
      </c>
      <c r="L29" s="162" t="s">
        <v>19</v>
      </c>
      <c r="M29" s="48" t="s">
        <v>19</v>
      </c>
      <c r="N29" s="48"/>
    </row>
    <row r="30" spans="1:16" x14ac:dyDescent="0.2">
      <c r="B30" s="11" cm="1">
        <f t="array" ref="B30">IFERROR(_xlfn.XLOOKUP(1, (PACEs!$C$2:$C$1000=$A27) * (PACEs!$D$2:$D$1000=B28), PACEs!$E$2:$E$1000), "")</f>
        <v>0.98</v>
      </c>
      <c r="C30" s="11" t="str" cm="1">
        <f t="array" ref="C30">IFERROR(_xlfn.XLOOKUP(1, (PACEs!$C$2:$C$1000=$A27) * (PACEs!$D$2:$D$1000=C28), PACEs!$E$2:$E$1000), "")</f>
        <v/>
      </c>
      <c r="D30" s="11" cm="1">
        <f t="array" ref="D30">IFERROR(_xlfn.XLOOKUP(1, (PACEs!$C$2:$C$1000=$A27) * (PACEs!$D$2:$D$1000=D28), PACEs!$E$2:$E$1000), "")</f>
        <v>0.97499999999999998</v>
      </c>
      <c r="E30" s="11" cm="1">
        <f t="array" ref="E30">IFERROR(_xlfn.XLOOKUP(1, (PACEs!$C$2:$C$1000=$A27) * (PACEs!$D$2:$D$1000=E28), PACEs!$E$2:$E$1000), "")</f>
        <v>1</v>
      </c>
      <c r="F30" s="11" t="str" cm="1">
        <f t="array" ref="F30">IFERROR(_xlfn.XLOOKUP(1, (PACEs!$C$2:$C$1000=$A27) * (PACEs!$D$2:$D$1000=F28), PACEs!$E$2:$E$1000), "")</f>
        <v/>
      </c>
      <c r="G30" s="11" t="str" cm="1">
        <f t="array" ref="G30">IFERROR(_xlfn.XLOOKUP(1, (PACEs!$C$2:$C$1000=$A27) * (PACEs!$D$2:$D$1000=G28), PACEs!$E$2:$E$1000), "")</f>
        <v/>
      </c>
      <c r="H30" s="11" t="str" cm="1">
        <f t="array" ref="H30">IFERROR(_xlfn.XLOOKUP(1, (PACEs!$C$2:$C$1000=$A27) * (PACEs!$D$2:$D$1000=H28), PACEs!$E$2:$E$1000), "")</f>
        <v/>
      </c>
      <c r="I30" s="11" t="str" cm="1">
        <f t="array" ref="I30">IFERROR(_xlfn.XLOOKUP(1, (PACEs!$C$2:$C$1000=$A27) * (PACEs!$D$2:$D$1000=I28), PACEs!$E$2:$E$1000), "")</f>
        <v/>
      </c>
      <c r="J30" s="11" t="str" cm="1">
        <f t="array" ref="J30">IFERROR(_xlfn.XLOOKUP(1, (PACEs!$C$2:$C$1000=$A27) * (PACEs!$D$2:$D$1000=J28), PACEs!$E$2:$E$1000), "")</f>
        <v/>
      </c>
      <c r="K30" s="11" t="str" cm="1">
        <f t="array" ref="K30">IFERROR(_xlfn.XLOOKUP(1, (PACEs!$C$2:$C$1000=$A27) * (PACEs!$D$2:$D$1000=K28), PACEs!$E$2:$E$1000), "")</f>
        <v/>
      </c>
      <c r="L30" s="11" t="str" cm="1">
        <f t="array" ref="L30">IFERROR(_xlfn.XLOOKUP(1, (PACEs!$C$2:$C$1000=$A27) * (PACEs!$D$2:$D$1000=L28), PACEs!$E$2:$E$1000), "")</f>
        <v/>
      </c>
      <c r="M30" s="11" t="str" cm="1">
        <f t="array" ref="M30">IFERROR(_xlfn.XLOOKUP(1, (PACEs!$C$2:$C$1000=$A27) * (PACEs!$D$2:$D$1000=M28), PACEs!$E$2:$E$1000), "")</f>
        <v/>
      </c>
      <c r="N30" s="173"/>
    </row>
    <row r="31" spans="1:16" x14ac:dyDescent="0.2">
      <c r="B31" s="167" t="str" cm="1">
        <f t="array" ref="B31">IF(ISERROR(_xlfn.XLOOKUP(1,(PACEs!$C$2:$C$1000=$A27)*(PACEs!$D$2:$D$1000=B28),PACEs!$F$2:$F$1000)),"",VLOOKUP(_xlfn.XLOOKUP(1,(PACEs!$C$2:$C$1000=$A27)*(PACEs!$D$2:$D$1000=B28),PACEs!$F$2:$F$1000),Date!$B$2:$K$1623,10,FALSE)&amp;".T"&amp;VLOOKUP(_xlfn.XLOOKUP(1,(PACEs!$C$2:$C$1000=$A27)*(PACEs!$D$2:$D$1000=B28),PACEs!$F$2:$F$1000),Date!$B$2:$K$1623,7,FALSE))</f>
        <v>25–26.T1</v>
      </c>
      <c r="C31" s="167" t="str" cm="1">
        <f t="array" ref="C31">IF(ISERROR(_xlfn.XLOOKUP(1,(PACEs!$C$2:$C$1000=$A27)*(PACEs!$D$2:$D$1000=C28),PACEs!$F$2:$F$1000)),"",VLOOKUP(_xlfn.XLOOKUP(1,(PACEs!$C$2:$C$1000=$A27)*(PACEs!$D$2:$D$1000=C28),PACEs!$F$2:$F$1000),Date!$B$2:$K$1623,10,FALSE)&amp;".T"&amp;VLOOKUP(_xlfn.XLOOKUP(1,(PACEs!$C$2:$C$1000=$A27)*(PACEs!$D$2:$D$1000=C28),PACEs!$F$2:$F$1000),Date!$B$2:$K$1623,7,FALSE))</f>
        <v/>
      </c>
      <c r="D31" s="167" t="str" cm="1">
        <f t="array" ref="D31">IF(ISERROR(_xlfn.XLOOKUP(1,(PACEs!$C$2:$C$1000=$A27)*(PACEs!$D$2:$D$1000=D28),PACEs!$F$2:$F$1000)),"",VLOOKUP(_xlfn.XLOOKUP(1,(PACEs!$C$2:$C$1000=$A27)*(PACEs!$D$2:$D$1000=D28),PACEs!$F$2:$F$1000),Date!$B$2:$K$1623,10,FALSE)&amp;".T"&amp;VLOOKUP(_xlfn.XLOOKUP(1,(PACEs!$C$2:$C$1000=$A27)*(PACEs!$D$2:$D$1000=D28),PACEs!$F$2:$F$1000),Date!$B$2:$K$1623,7,FALSE))</f>
        <v>25–26.T3</v>
      </c>
      <c r="E31" s="167" t="str" cm="1">
        <f t="array" ref="E31">IF(ISERROR(_xlfn.XLOOKUP(1,(PACEs!$C$2:$C$1000=$A27)*(PACEs!$D$2:$D$1000=E28),PACEs!$F$2:$F$1000)),"",VLOOKUP(_xlfn.XLOOKUP(1,(PACEs!$C$2:$C$1000=$A27)*(PACEs!$D$2:$D$1000=E28),PACEs!$F$2:$F$1000),Date!$B$2:$K$1623,10,FALSE)&amp;".T"&amp;VLOOKUP(_xlfn.XLOOKUP(1,(PACEs!$C$2:$C$1000=$A27)*(PACEs!$D$2:$D$1000=E28),PACEs!$F$2:$F$1000),Date!$B$2:$K$1623,7,FALSE))</f>
        <v>25–26.T3</v>
      </c>
      <c r="F31" s="167" t="str" cm="1">
        <f t="array" ref="F31">IF(ISERROR(_xlfn.XLOOKUP(1,(PACEs!$C$2:$C$1000=$A27)*(PACEs!$D$2:$D$1000=F28),PACEs!$F$2:$F$1000)),"",VLOOKUP(_xlfn.XLOOKUP(1,(PACEs!$C$2:$C$1000=$A27)*(PACEs!$D$2:$D$1000=F28),PACEs!$F$2:$F$1000),Date!$B$2:$K$1623,10,FALSE)&amp;".T"&amp;VLOOKUP(_xlfn.XLOOKUP(1,(PACEs!$C$2:$C$1000=$A27)*(PACEs!$D$2:$D$1000=F28),PACEs!$F$2:$F$1000),Date!$B$2:$K$1623,7,FALSE))</f>
        <v/>
      </c>
      <c r="G31" s="167" t="str" cm="1">
        <f t="array" ref="G31">IF(ISERROR(_xlfn.XLOOKUP(1,(PACEs!$C$2:$C$1000=$A27)*(PACEs!$D$2:$D$1000=G28),PACEs!$F$2:$F$1000)),"",VLOOKUP(_xlfn.XLOOKUP(1,(PACEs!$C$2:$C$1000=$A27)*(PACEs!$D$2:$D$1000=G28),PACEs!$F$2:$F$1000),Date!$B$2:$K$1623,10,FALSE)&amp;".T"&amp;VLOOKUP(_xlfn.XLOOKUP(1,(PACEs!$C$2:$C$1000=$A27)*(PACEs!$D$2:$D$1000=G28),PACEs!$F$2:$F$1000),Date!$B$2:$K$1623,7,FALSE))</f>
        <v/>
      </c>
      <c r="H31" s="167" t="str" cm="1">
        <f t="array" ref="H31">IF(ISERROR(_xlfn.XLOOKUP(1,(PACEs!$C$2:$C$1000=$A27)*(PACEs!$D$2:$D$1000=H28),PACEs!$F$2:$F$1000)),"",VLOOKUP(_xlfn.XLOOKUP(1,(PACEs!$C$2:$C$1000=$A27)*(PACEs!$D$2:$D$1000=H28),PACEs!$F$2:$F$1000),Date!$B$2:$K$1623,10,FALSE)&amp;".T"&amp;VLOOKUP(_xlfn.XLOOKUP(1,(PACEs!$C$2:$C$1000=$A27)*(PACEs!$D$2:$D$1000=H28),PACEs!$F$2:$F$1000),Date!$B$2:$K$1623,7,FALSE))</f>
        <v/>
      </c>
      <c r="I31" s="167" t="str" cm="1">
        <f t="array" ref="I31">IF(ISERROR(_xlfn.XLOOKUP(1,(PACEs!$C$2:$C$1000=$A27)*(PACEs!$D$2:$D$1000=I28),PACEs!$F$2:$F$1000)),"",VLOOKUP(_xlfn.XLOOKUP(1,(PACEs!$C$2:$C$1000=$A27)*(PACEs!$D$2:$D$1000=I28),PACEs!$F$2:$F$1000),Date!$B$2:$K$1623,10,FALSE)&amp;".T"&amp;VLOOKUP(_xlfn.XLOOKUP(1,(PACEs!$C$2:$C$1000=$A27)*(PACEs!$D$2:$D$1000=I28),PACEs!$F$2:$F$1000),Date!$B$2:$K$1623,7,FALSE))</f>
        <v/>
      </c>
      <c r="J31" s="167" t="str" cm="1">
        <f t="array" ref="J31">IF(ISERROR(_xlfn.XLOOKUP(1,(PACEs!$C$2:$C$1000=$A27)*(PACEs!$D$2:$D$1000=J28),PACEs!$F$2:$F$1000)),"",VLOOKUP(_xlfn.XLOOKUP(1,(PACEs!$C$2:$C$1000=$A27)*(PACEs!$D$2:$D$1000=J28),PACEs!$F$2:$F$1000),Date!$B$2:$K$1623,10,FALSE)&amp;".T"&amp;VLOOKUP(_xlfn.XLOOKUP(1,(PACEs!$C$2:$C$1000=$A27)*(PACEs!$D$2:$D$1000=J28),PACEs!$F$2:$F$1000),Date!$B$2:$K$1623,7,FALSE))</f>
        <v/>
      </c>
      <c r="K31" s="167" t="str" cm="1">
        <f t="array" ref="K31">IF(ISERROR(_xlfn.XLOOKUP(1,(PACEs!$C$2:$C$1000=$A27)*(PACEs!$D$2:$D$1000=K28),PACEs!$F$2:$F$1000)),"",VLOOKUP(_xlfn.XLOOKUP(1,(PACEs!$C$2:$C$1000=$A27)*(PACEs!$D$2:$D$1000=K28),PACEs!$F$2:$F$1000),Date!$B$2:$K$1623,10,FALSE)&amp;".T"&amp;VLOOKUP(_xlfn.XLOOKUP(1,(PACEs!$C$2:$C$1000=$A27)*(PACEs!$D$2:$D$1000=K28),PACEs!$F$2:$F$1000),Date!$B$2:$K$1623,7,FALSE))</f>
        <v/>
      </c>
      <c r="L31" s="167" t="str" cm="1">
        <f t="array" ref="L31">IF(ISERROR(_xlfn.XLOOKUP(1,(PACEs!$C$2:$C$1000=$A27)*(PACEs!$D$2:$D$1000=L28),PACEs!$F$2:$F$1000)),"",VLOOKUP(_xlfn.XLOOKUP(1,(PACEs!$C$2:$C$1000=$A27)*(PACEs!$D$2:$D$1000=L28),PACEs!$F$2:$F$1000),Date!$B$2:$K$1623,10,FALSE)&amp;".T"&amp;VLOOKUP(_xlfn.XLOOKUP(1,(PACEs!$C$2:$C$1000=$A27)*(PACEs!$D$2:$D$1000=L28),PACEs!$F$2:$F$1000),Date!$B$2:$K$1623,7,FALSE))</f>
        <v/>
      </c>
      <c r="M31" s="167" t="str" cm="1">
        <f t="array" ref="M31">IF(ISERROR(_xlfn.XLOOKUP(1,(PACEs!$C$2:$C$1000=$A27)*(PACEs!$D$2:$D$1000=M28),PACEs!$F$2:$F$1000)),"",VLOOKUP(_xlfn.XLOOKUP(1,(PACEs!$C$2:$C$1000=$A27)*(PACEs!$D$2:$D$1000=M28),PACEs!$F$2:$F$1000),Date!$B$2:$K$1623,10,FALSE)&amp;".T"&amp;VLOOKUP(_xlfn.XLOOKUP(1,(PACEs!$C$2:$C$1000=$A27)*(PACEs!$D$2:$D$1000=M28),PACEs!$F$2:$F$1000),Date!$B$2:$K$1623,7,FALSE))</f>
        <v/>
      </c>
      <c r="N31" s="174"/>
    </row>
    <row r="32" spans="1:16" ht="19" x14ac:dyDescent="0.25">
      <c r="A32" s="46" t="s">
        <v>272</v>
      </c>
      <c r="B32" s="85" t="str">
        <f>IF(VLOOKUP($A32,Course!$B$2:$C$165, 2, FALSE)=0, VLOOKUP($A32,Course!$B$2:$C$165, 1, FALSE), VLOOKUP($A32,Course!$B$2:$C$165, 2, FALSE))</f>
        <v>Biblical Studies I: New Testament Survey</v>
      </c>
      <c r="C32" s="86"/>
      <c r="D32" s="86"/>
      <c r="E32" s="86"/>
      <c r="F32" s="86"/>
      <c r="G32" s="87" t="str">
        <f>A32</f>
        <v>New Testament Survey</v>
      </c>
      <c r="H32" s="87"/>
      <c r="I32" s="87"/>
      <c r="J32" s="87"/>
      <c r="K32" s="87"/>
      <c r="L32" s="88" t="str">
        <f>IF(VLOOKUP($A32, Course!$B$2:$E$165, 3, FALSE)=0, "", VLOOKUP($A32, Course!$B$2:$E$165, 3, FALSE))</f>
        <v>New Testament Survey</v>
      </c>
      <c r="M32" s="89"/>
      <c r="N32" s="171"/>
    </row>
    <row r="33" spans="1:14" x14ac:dyDescent="0.2">
      <c r="B33" s="9">
        <f>VLOOKUP($A32,Enrolment!$B$2:$N$15, B$1+1, FALSE)</f>
        <v>97</v>
      </c>
      <c r="C33" s="1">
        <f>VLOOKUP($A32,Enrolment!$B$2:$N$15, C$1+1, FALSE)</f>
        <v>98</v>
      </c>
      <c r="D33" s="1">
        <f>VLOOKUP($A32,Enrolment!$B$2:$N$15, D$1+1, FALSE)</f>
        <v>99</v>
      </c>
      <c r="E33" s="1">
        <f>VLOOKUP($A32,Enrolment!$B$2:$N$15, E$1+1, FALSE)</f>
        <v>100</v>
      </c>
      <c r="F33" s="1">
        <f>VLOOKUP($A32,Enrolment!$B$2:$N$15, F$1+1, FALSE)</f>
        <v>101</v>
      </c>
      <c r="G33" s="1">
        <f>VLOOKUP($A32,Enrolment!$B$2:$N$15, G$1+1, FALSE)</f>
        <v>102</v>
      </c>
      <c r="H33" s="1">
        <f>VLOOKUP($A32,Enrolment!$B$2:$N$15, H$1+1, FALSE)</f>
        <v>103</v>
      </c>
      <c r="I33" s="1">
        <f>VLOOKUP($A32,Enrolment!$B$2:$N$15, I$1+1, FALSE)</f>
        <v>104</v>
      </c>
      <c r="J33" s="1">
        <f>VLOOKUP($A32,Enrolment!$B$2:$N$15, J$1+1, FALSE)</f>
        <v>105</v>
      </c>
      <c r="K33" s="1">
        <f>VLOOKUP($A32,Enrolment!$B$2:$N$15, K$1+1, FALSE)</f>
        <v>106</v>
      </c>
      <c r="L33" s="1">
        <f>VLOOKUP($A32,Enrolment!$B$2:$N$15, L$1+1, FALSE)</f>
        <v>107</v>
      </c>
      <c r="M33" s="10">
        <f>VLOOKUP($A32,Enrolment!$B$2:$N$15, M$1+1, FALSE)</f>
        <v>108</v>
      </c>
      <c r="N33" s="172"/>
    </row>
    <row r="34" spans="1:14" s="7" customFormat="1" ht="20" customHeight="1" x14ac:dyDescent="0.4">
      <c r="B34" s="48" t="s">
        <v>19</v>
      </c>
      <c r="C34" s="48" t="s">
        <v>19</v>
      </c>
      <c r="D34" s="48" t="s">
        <v>19</v>
      </c>
      <c r="E34" s="48" t="s">
        <v>19</v>
      </c>
      <c r="F34" s="48" t="s">
        <v>19</v>
      </c>
      <c r="G34" s="48" t="s">
        <v>19</v>
      </c>
      <c r="H34" s="48" t="s">
        <v>19</v>
      </c>
      <c r="I34" s="48" t="s">
        <v>19</v>
      </c>
      <c r="J34" s="48" t="s">
        <v>19</v>
      </c>
      <c r="K34" s="48" t="s">
        <v>19</v>
      </c>
      <c r="L34" s="162" t="s">
        <v>19</v>
      </c>
      <c r="M34" s="48" t="s">
        <v>19</v>
      </c>
      <c r="N34" s="48"/>
    </row>
    <row r="35" spans="1:14" x14ac:dyDescent="0.2">
      <c r="B35" s="11" t="str" cm="1">
        <f t="array" ref="B35">IFERROR(_xlfn.XLOOKUP(1, (PACEs!$C$2:$C$1000=$A32) * (PACEs!$D$2:$D$1000=B33), PACEs!$E$2:$E$1000), "")</f>
        <v/>
      </c>
      <c r="C35" s="11" t="str" cm="1">
        <f t="array" ref="C35">IFERROR(_xlfn.XLOOKUP(1, (PACEs!$C$2:$C$1000=$A32) * (PACEs!$D$2:$D$1000=C33), PACEs!$E$2:$E$1000), "")</f>
        <v/>
      </c>
      <c r="D35" s="11" t="str" cm="1">
        <f t="array" ref="D35">IFERROR(_xlfn.XLOOKUP(1, (PACEs!$C$2:$C$1000=$A32) * (PACEs!$D$2:$D$1000=D33), PACEs!$E$2:$E$1000), "")</f>
        <v/>
      </c>
      <c r="E35" s="11" t="str" cm="1">
        <f t="array" ref="E35">IFERROR(_xlfn.XLOOKUP(1, (PACEs!$C$2:$C$1000=$A32) * (PACEs!$D$2:$D$1000=E33), PACEs!$E$2:$E$1000), "")</f>
        <v/>
      </c>
      <c r="F35" s="11" t="str" cm="1">
        <f t="array" ref="F35">IFERROR(_xlfn.XLOOKUP(1, (PACEs!$C$2:$C$1000=$A32) * (PACEs!$D$2:$D$1000=F33), PACEs!$E$2:$E$1000), "")</f>
        <v/>
      </c>
      <c r="G35" s="11" t="str" cm="1">
        <f t="array" ref="G35">IFERROR(_xlfn.XLOOKUP(1, (PACEs!$C$2:$C$1000=$A32) * (PACEs!$D$2:$D$1000=G33), PACEs!$E$2:$E$1000), "")</f>
        <v/>
      </c>
      <c r="H35" s="11" t="str" cm="1">
        <f t="array" ref="H35">IFERROR(_xlfn.XLOOKUP(1, (PACEs!$C$2:$C$1000=$A32) * (PACEs!$D$2:$D$1000=H33), PACEs!$E$2:$E$1000), "")</f>
        <v/>
      </c>
      <c r="I35" s="11" t="str" cm="1">
        <f t="array" ref="I35">IFERROR(_xlfn.XLOOKUP(1, (PACEs!$C$2:$C$1000=$A32) * (PACEs!$D$2:$D$1000=I33), PACEs!$E$2:$E$1000), "")</f>
        <v/>
      </c>
      <c r="J35" s="11" t="str" cm="1">
        <f t="array" ref="J35">IFERROR(_xlfn.XLOOKUP(1, (PACEs!$C$2:$C$1000=$A32) * (PACEs!$D$2:$D$1000=J33), PACEs!$E$2:$E$1000), "")</f>
        <v/>
      </c>
      <c r="K35" s="11" t="str" cm="1">
        <f t="array" ref="K35">IFERROR(_xlfn.XLOOKUP(1, (PACEs!$C$2:$C$1000=$A32) * (PACEs!$D$2:$D$1000=K33), PACEs!$E$2:$E$1000), "")</f>
        <v/>
      </c>
      <c r="L35" s="11" t="str" cm="1">
        <f t="array" ref="L35">IFERROR(_xlfn.XLOOKUP(1, (PACEs!$C$2:$C$1000=$A32) * (PACEs!$D$2:$D$1000=L33), PACEs!$E$2:$E$1000), "")</f>
        <v/>
      </c>
      <c r="M35" s="11" cm="1">
        <f t="array" ref="M35">IFERROR(_xlfn.XLOOKUP(1, (PACEs!$C$2:$C$1000=$A32) * (PACEs!$D$2:$D$1000=M33), PACEs!$E$2:$E$1000), "")</f>
        <v>0.99</v>
      </c>
      <c r="N35" s="173"/>
    </row>
    <row r="36" spans="1:14" x14ac:dyDescent="0.2">
      <c r="B36" s="167" t="str" cm="1">
        <f t="array" ref="B36">IF(ISERROR(_xlfn.XLOOKUP(1,(PACEs!$C$2:$C$1000=$A32)*(PACEs!$D$2:$D$1000=B33),PACEs!$F$2:$F$1000)),"",VLOOKUP(_xlfn.XLOOKUP(1,(PACEs!$C$2:$C$1000=$A32)*(PACEs!$D$2:$D$1000=B33),PACEs!$F$2:$F$1000),Date!$B$2:$K$1623,10,FALSE)&amp;".T"&amp;VLOOKUP(_xlfn.XLOOKUP(1,(PACEs!$C$2:$C$1000=$A32)*(PACEs!$D$2:$D$1000=B33),PACEs!$F$2:$F$1000),Date!$B$2:$K$1623,7,FALSE))</f>
        <v/>
      </c>
      <c r="C36" s="167" t="str" cm="1">
        <f t="array" ref="C36">IF(ISERROR(_xlfn.XLOOKUP(1,(PACEs!$C$2:$C$1000=$A32)*(PACEs!$D$2:$D$1000=C33),PACEs!$F$2:$F$1000)),"",VLOOKUP(_xlfn.XLOOKUP(1,(PACEs!$C$2:$C$1000=$A32)*(PACEs!$D$2:$D$1000=C33),PACEs!$F$2:$F$1000),Date!$B$2:$K$1623,10,FALSE)&amp;".T"&amp;VLOOKUP(_xlfn.XLOOKUP(1,(PACEs!$C$2:$C$1000=$A32)*(PACEs!$D$2:$D$1000=C33),PACEs!$F$2:$F$1000),Date!$B$2:$K$1623,7,FALSE))</f>
        <v/>
      </c>
      <c r="D36" s="167" t="str" cm="1">
        <f t="array" ref="D36">IF(ISERROR(_xlfn.XLOOKUP(1,(PACEs!$C$2:$C$1000=$A32)*(PACEs!$D$2:$D$1000=D33),PACEs!$F$2:$F$1000)),"",VLOOKUP(_xlfn.XLOOKUP(1,(PACEs!$C$2:$C$1000=$A32)*(PACEs!$D$2:$D$1000=D33),PACEs!$F$2:$F$1000),Date!$B$2:$K$1623,10,FALSE)&amp;".T"&amp;VLOOKUP(_xlfn.XLOOKUP(1,(PACEs!$C$2:$C$1000=$A32)*(PACEs!$D$2:$D$1000=D33),PACEs!$F$2:$F$1000),Date!$B$2:$K$1623,7,FALSE))</f>
        <v/>
      </c>
      <c r="E36" s="167" t="str" cm="1">
        <f t="array" ref="E36">IF(ISERROR(_xlfn.XLOOKUP(1,(PACEs!$C$2:$C$1000=$A32)*(PACEs!$D$2:$D$1000=E33),PACEs!$F$2:$F$1000)),"",VLOOKUP(_xlfn.XLOOKUP(1,(PACEs!$C$2:$C$1000=$A32)*(PACEs!$D$2:$D$1000=E33),PACEs!$F$2:$F$1000),Date!$B$2:$K$1623,10,FALSE)&amp;".T"&amp;VLOOKUP(_xlfn.XLOOKUP(1,(PACEs!$C$2:$C$1000=$A32)*(PACEs!$D$2:$D$1000=E33),PACEs!$F$2:$F$1000),Date!$B$2:$K$1623,7,FALSE))</f>
        <v/>
      </c>
      <c r="F36" s="167" t="str" cm="1">
        <f t="array" ref="F36">IF(ISERROR(_xlfn.XLOOKUP(1,(PACEs!$C$2:$C$1000=$A32)*(PACEs!$D$2:$D$1000=F33),PACEs!$F$2:$F$1000)),"",VLOOKUP(_xlfn.XLOOKUP(1,(PACEs!$C$2:$C$1000=$A32)*(PACEs!$D$2:$D$1000=F33),PACEs!$F$2:$F$1000),Date!$B$2:$K$1623,10,FALSE)&amp;".T"&amp;VLOOKUP(_xlfn.XLOOKUP(1,(PACEs!$C$2:$C$1000=$A32)*(PACEs!$D$2:$D$1000=F33),PACEs!$F$2:$F$1000),Date!$B$2:$K$1623,7,FALSE))</f>
        <v/>
      </c>
      <c r="G36" s="167" t="str" cm="1">
        <f t="array" ref="G36">IF(ISERROR(_xlfn.XLOOKUP(1,(PACEs!$C$2:$C$1000=$A32)*(PACEs!$D$2:$D$1000=G33),PACEs!$F$2:$F$1000)),"",VLOOKUP(_xlfn.XLOOKUP(1,(PACEs!$C$2:$C$1000=$A32)*(PACEs!$D$2:$D$1000=G33),PACEs!$F$2:$F$1000),Date!$B$2:$K$1623,10,FALSE)&amp;".T"&amp;VLOOKUP(_xlfn.XLOOKUP(1,(PACEs!$C$2:$C$1000=$A32)*(PACEs!$D$2:$D$1000=G33),PACEs!$F$2:$F$1000),Date!$B$2:$K$1623,7,FALSE))</f>
        <v/>
      </c>
      <c r="H36" s="167" t="str" cm="1">
        <f t="array" ref="H36">IF(ISERROR(_xlfn.XLOOKUP(1,(PACEs!$C$2:$C$1000=$A32)*(PACEs!$D$2:$D$1000=H33),PACEs!$F$2:$F$1000)),"",VLOOKUP(_xlfn.XLOOKUP(1,(PACEs!$C$2:$C$1000=$A32)*(PACEs!$D$2:$D$1000=H33),PACEs!$F$2:$F$1000),Date!$B$2:$K$1623,10,FALSE)&amp;".T"&amp;VLOOKUP(_xlfn.XLOOKUP(1,(PACEs!$C$2:$C$1000=$A32)*(PACEs!$D$2:$D$1000=H33),PACEs!$F$2:$F$1000),Date!$B$2:$K$1623,7,FALSE))</f>
        <v/>
      </c>
      <c r="I36" s="167" t="str" cm="1">
        <f t="array" ref="I36">IF(ISERROR(_xlfn.XLOOKUP(1,(PACEs!$C$2:$C$1000=$A32)*(PACEs!$D$2:$D$1000=I33),PACEs!$F$2:$F$1000)),"",VLOOKUP(_xlfn.XLOOKUP(1,(PACEs!$C$2:$C$1000=$A32)*(PACEs!$D$2:$D$1000=I33),PACEs!$F$2:$F$1000),Date!$B$2:$K$1623,10,FALSE)&amp;".T"&amp;VLOOKUP(_xlfn.XLOOKUP(1,(PACEs!$C$2:$C$1000=$A32)*(PACEs!$D$2:$D$1000=I33),PACEs!$F$2:$F$1000),Date!$B$2:$K$1623,7,FALSE))</f>
        <v/>
      </c>
      <c r="J36" s="167" t="str" cm="1">
        <f t="array" ref="J36">IF(ISERROR(_xlfn.XLOOKUP(1,(PACEs!$C$2:$C$1000=$A32)*(PACEs!$D$2:$D$1000=J33),PACEs!$F$2:$F$1000)),"",VLOOKUP(_xlfn.XLOOKUP(1,(PACEs!$C$2:$C$1000=$A32)*(PACEs!$D$2:$D$1000=J33),PACEs!$F$2:$F$1000),Date!$B$2:$K$1623,10,FALSE)&amp;".T"&amp;VLOOKUP(_xlfn.XLOOKUP(1,(PACEs!$C$2:$C$1000=$A32)*(PACEs!$D$2:$D$1000=J33),PACEs!$F$2:$F$1000),Date!$B$2:$K$1623,7,FALSE))</f>
        <v/>
      </c>
      <c r="K36" s="167" t="str" cm="1">
        <f t="array" ref="K36">IF(ISERROR(_xlfn.XLOOKUP(1,(PACEs!$C$2:$C$1000=$A32)*(PACEs!$D$2:$D$1000=K33),PACEs!$F$2:$F$1000)),"",VLOOKUP(_xlfn.XLOOKUP(1,(PACEs!$C$2:$C$1000=$A32)*(PACEs!$D$2:$D$1000=K33),PACEs!$F$2:$F$1000),Date!$B$2:$K$1623,10,FALSE)&amp;".T"&amp;VLOOKUP(_xlfn.XLOOKUP(1,(PACEs!$C$2:$C$1000=$A32)*(PACEs!$D$2:$D$1000=K33),PACEs!$F$2:$F$1000),Date!$B$2:$K$1623,7,FALSE))</f>
        <v/>
      </c>
      <c r="L36" s="167" t="str" cm="1">
        <f t="array" ref="L36">IF(ISERROR(_xlfn.XLOOKUP(1,(PACEs!$C$2:$C$1000=$A32)*(PACEs!$D$2:$D$1000=L33),PACEs!$F$2:$F$1000)),"",VLOOKUP(_xlfn.XLOOKUP(1,(PACEs!$C$2:$C$1000=$A32)*(PACEs!$D$2:$D$1000=L33),PACEs!$F$2:$F$1000),Date!$B$2:$K$1623,10,FALSE)&amp;".T"&amp;VLOOKUP(_xlfn.XLOOKUP(1,(PACEs!$C$2:$C$1000=$A32)*(PACEs!$D$2:$D$1000=L33),PACEs!$F$2:$F$1000),Date!$B$2:$K$1623,7,FALSE))</f>
        <v/>
      </c>
      <c r="M36" s="167" t="str" cm="1">
        <f t="array" ref="M36">IF(ISERROR(_xlfn.XLOOKUP(1,(PACEs!$C$2:$C$1000=$A32)*(PACEs!$D$2:$D$1000=M33),PACEs!$F$2:$F$1000)),"",VLOOKUP(_xlfn.XLOOKUP(1,(PACEs!$C$2:$C$1000=$A32)*(PACEs!$D$2:$D$1000=M33),PACEs!$F$2:$F$1000),Date!$B$2:$K$1623,10,FALSE)&amp;".T"&amp;VLOOKUP(_xlfn.XLOOKUP(1,(PACEs!$C$2:$C$1000=$A32)*(PACEs!$D$2:$D$1000=M33),PACEs!$F$2:$F$1000),Date!$B$2:$K$1623,7,FALSE))</f>
        <v>25–26.T1</v>
      </c>
      <c r="N36" s="174"/>
    </row>
    <row r="37" spans="1:14" ht="19" x14ac:dyDescent="0.25">
      <c r="A37" s="46" t="s">
        <v>246</v>
      </c>
      <c r="B37" s="85" t="str">
        <f>IF(VLOOKUP($A37,Course!$B$2:$C$165, 2, FALSE)=0, VLOOKUP($A37,Course!$B$2:$C$165, 1, FALSE), VLOOKUP($A37,Course!$B$2:$C$165, 2, FALSE))</f>
        <v>Astronomy</v>
      </c>
      <c r="C37" s="86"/>
      <c r="D37" s="86"/>
      <c r="E37" s="86"/>
      <c r="F37" s="86"/>
      <c r="G37" s="87" t="str">
        <f>A37</f>
        <v>Astronomy</v>
      </c>
      <c r="H37" s="87"/>
      <c r="I37" s="87"/>
      <c r="J37" s="87"/>
      <c r="K37" s="87"/>
      <c r="L37" s="88" t="str">
        <f>IF(VLOOKUP($A37, Course!$B$2:$E$165, 3, FALSE)=0, "", VLOOKUP($A37, Course!$B$2:$E$165, 3, FALSE))</f>
        <v>Astronomy</v>
      </c>
      <c r="M37" s="89"/>
      <c r="N37" s="171"/>
    </row>
    <row r="38" spans="1:14" x14ac:dyDescent="0.2">
      <c r="B38" s="1">
        <f>IF(VLOOKUP($A37,Enrolment!$B$2:$N$15, B$1+1, FALSE)=0, "", VLOOKUP($A37,Enrolment!$B$2:$N$15, B$1+1, FALSE))</f>
        <v>1</v>
      </c>
      <c r="C38" s="1">
        <f>IF(VLOOKUP($A37,Enrolment!$B$2:$N$15, C$1+1, FALSE)=0, "", VLOOKUP($A37,Enrolment!$B$2:$N$15, C$1+1, FALSE))</f>
        <v>2</v>
      </c>
      <c r="D38" s="1">
        <f>IF(VLOOKUP($A37,Enrolment!$B$2:$N$15, D$1+1, FALSE)=0, "", VLOOKUP($A37,Enrolment!$B$2:$N$15, D$1+1, FALSE))</f>
        <v>3</v>
      </c>
      <c r="E38" s="1">
        <f>IF(VLOOKUP($A37,Enrolment!$B$2:$N$15, E$1+1, FALSE)=0, "", VLOOKUP($A37,Enrolment!$B$2:$N$15, E$1+1, FALSE))</f>
        <v>4</v>
      </c>
      <c r="F38" s="1">
        <f>IF(VLOOKUP($A37,Enrolment!$B$2:$N$15, F$1+1, FALSE)=0, "", VLOOKUP($A37,Enrolment!$B$2:$N$15, F$1+1, FALSE))</f>
        <v>5</v>
      </c>
      <c r="G38" s="1">
        <f>IF(VLOOKUP($A37,Enrolment!$B$2:$N$15, G$1+1, FALSE)=0, "", VLOOKUP($A37,Enrolment!$B$2:$N$15, G$1+1, FALSE))</f>
        <v>5</v>
      </c>
      <c r="H38" s="1" t="str">
        <f>IF(VLOOKUP($A37,Enrolment!$B$2:$N$15, H$1+1, FALSE)=0, "", VLOOKUP($A37,Enrolment!$B$2:$N$15, H$1+1, FALSE))</f>
        <v/>
      </c>
      <c r="I38" s="1" t="str">
        <f>IF(VLOOKUP($A37,Enrolment!$B$2:$N$15, I$1+1, FALSE)=0, "", VLOOKUP($A37,Enrolment!$B$2:$N$15, I$1+1, FALSE))</f>
        <v/>
      </c>
      <c r="J38" s="1" t="str">
        <f>IF(VLOOKUP($A37,Enrolment!$B$2:$N$15, J$1+1, FALSE)=0, "", VLOOKUP($A37,Enrolment!$B$2:$N$15, J$1+1, FALSE))</f>
        <v/>
      </c>
      <c r="K38" s="1" t="str">
        <f>IF(VLOOKUP($A37,Enrolment!$B$2:$N$15, K$1+1, FALSE)=0, "", VLOOKUP($A37,Enrolment!$B$2:$N$15, K$1+1, FALSE))</f>
        <v/>
      </c>
      <c r="L38" s="1" t="str">
        <f>IF(VLOOKUP($A37,Enrolment!$B$2:$N$15, L$1+1, FALSE)=0, "", VLOOKUP($A37,Enrolment!$B$2:$N$15, L$1+1, FALSE))</f>
        <v/>
      </c>
      <c r="M38" s="1" t="str">
        <f>IF(VLOOKUP($A37,Enrolment!$B$2:$N$15, M$1+1, FALSE)=0, "", VLOOKUP($A37,Enrolment!$B$2:$N$15, M$1+1, FALSE))</f>
        <v/>
      </c>
      <c r="N38" s="1"/>
    </row>
    <row r="39" spans="1:14" s="7" customFormat="1" ht="20" customHeight="1" x14ac:dyDescent="0.4">
      <c r="B39" s="48" t="s">
        <v>19</v>
      </c>
      <c r="C39" s="48" t="s">
        <v>19</v>
      </c>
      <c r="D39" s="48" t="s">
        <v>19</v>
      </c>
      <c r="E39" s="48" t="s">
        <v>19</v>
      </c>
      <c r="F39" s="48" t="s">
        <v>19</v>
      </c>
      <c r="G39" s="48" t="s">
        <v>19</v>
      </c>
      <c r="H39" s="48" t="s">
        <v>19</v>
      </c>
      <c r="I39" s="48" t="s">
        <v>19</v>
      </c>
      <c r="J39" s="48" t="s">
        <v>19</v>
      </c>
      <c r="K39" s="48" t="s">
        <v>19</v>
      </c>
      <c r="L39" s="162" t="s">
        <v>19</v>
      </c>
      <c r="M39" s="48" t="s">
        <v>19</v>
      </c>
      <c r="N39" s="48"/>
    </row>
    <row r="40" spans="1:14" x14ac:dyDescent="0.2">
      <c r="B40" s="11" t="str" cm="1">
        <f t="array" ref="B40">IFERROR(_xlfn.XLOOKUP(1, (PACEs!$C$2:$C$1000=$A37) * (PACEs!$D$2:$D$1000=B38), PACEs!$E$2:$E$1000), "")</f>
        <v/>
      </c>
      <c r="C40" s="11" t="str" cm="1">
        <f t="array" ref="C40">IFERROR(_xlfn.XLOOKUP(1, (PACEs!$C$2:$C$1000=$A37) * (PACEs!$D$2:$D$1000=C38), PACEs!$E$2:$E$1000), "")</f>
        <v/>
      </c>
      <c r="D40" s="11" t="str" cm="1">
        <f t="array" ref="D40">IFERROR(_xlfn.XLOOKUP(1, (PACEs!$C$2:$C$1000=$A37) * (PACEs!$D$2:$D$1000=D38), PACEs!$E$2:$E$1000), "")</f>
        <v/>
      </c>
      <c r="E40" s="11" cm="1">
        <f t="array" ref="E40">IFERROR(_xlfn.XLOOKUP(1, (PACEs!$C$2:$C$1000=$A37) * (PACEs!$D$2:$D$1000=E38), PACEs!$E$2:$E$1000), "")</f>
        <v>0.92</v>
      </c>
      <c r="F40" s="11" t="str" cm="1">
        <f t="array" ref="F40">IFERROR(_xlfn.XLOOKUP(1, (PACEs!$C$2:$C$1000=$A37) * (PACEs!$D$2:$D$1000=F38), PACEs!$E$2:$E$1000), "")</f>
        <v/>
      </c>
      <c r="G40" s="11" t="str" cm="1">
        <f t="array" ref="G40">IFERROR(_xlfn.XLOOKUP(1, (PACEs!$C$2:$C$1000=$A37) * (PACEs!$D$2:$D$1000=G38), PACEs!$E$2:$E$1000), "")</f>
        <v/>
      </c>
      <c r="H40" s="11" t="str" cm="1">
        <f t="array" ref="H40">IFERROR(_xlfn.XLOOKUP(1, (PACEs!$C$2:$C$1000=$A37) * (PACEs!$D$2:$D$1000=H38), PACEs!$E$2:$E$1000), "")</f>
        <v/>
      </c>
      <c r="I40" s="11" t="str" cm="1">
        <f t="array" ref="I40">IFERROR(_xlfn.XLOOKUP(1, (PACEs!$C$2:$C$1000=$A37) * (PACEs!$D$2:$D$1000=I38), PACEs!$E$2:$E$1000), "")</f>
        <v/>
      </c>
      <c r="J40" s="11" t="str" cm="1">
        <f t="array" ref="J40">IFERROR(_xlfn.XLOOKUP(1, (PACEs!$C$2:$C$1000=$A37) * (PACEs!$D$2:$D$1000=J38), PACEs!$E$2:$E$1000), "")</f>
        <v/>
      </c>
      <c r="K40" s="11" t="str" cm="1">
        <f t="array" ref="K40">IFERROR(_xlfn.XLOOKUP(1, (PACEs!$C$2:$C$1000=$A37) * (PACEs!$D$2:$D$1000=K38), PACEs!$E$2:$E$1000), "")</f>
        <v/>
      </c>
      <c r="L40" s="11" t="str" cm="1">
        <f t="array" ref="L40">IFERROR(_xlfn.XLOOKUP(1, (PACEs!$C$2:$C$1000=$A37) * (PACEs!$D$2:$D$1000=L38), PACEs!$E$2:$E$1000), "")</f>
        <v/>
      </c>
      <c r="M40" s="11" t="str" cm="1">
        <f t="array" ref="M40">IFERROR(_xlfn.XLOOKUP(1, (PACEs!$C$2:$C$1000=$A37) * (PACEs!$D$2:$D$1000=M38), PACEs!$E$2:$E$1000), "")</f>
        <v/>
      </c>
      <c r="N40" s="173"/>
    </row>
    <row r="41" spans="1:14" x14ac:dyDescent="0.2">
      <c r="B41" s="167" t="str" cm="1">
        <f t="array" ref="B41">IF(ISERROR(_xlfn.XLOOKUP(1,(PACEs!$C$2:$C$1000=$A37)*(PACEs!$D$2:$D$1000=B38),PACEs!$F$2:$F$1000)),"",VLOOKUP(_xlfn.XLOOKUP(1,(PACEs!$C$2:$C$1000=$A37)*(PACEs!$D$2:$D$1000=B38),PACEs!$F$2:$F$1000),Date!$B$2:$K$1623,10,FALSE)&amp;".T"&amp;VLOOKUP(_xlfn.XLOOKUP(1,(PACEs!$C$2:$C$1000=$A37)*(PACEs!$D$2:$D$1000=B38),PACEs!$F$2:$F$1000),Date!$B$2:$K$1623,7,FALSE))</f>
        <v/>
      </c>
      <c r="C41" s="167" t="str" cm="1">
        <f t="array" ref="C41">IF(ISERROR(_xlfn.XLOOKUP(1,(PACEs!$C$2:$C$1000=$A37)*(PACEs!$D$2:$D$1000=C38),PACEs!$F$2:$F$1000)),"",VLOOKUP(_xlfn.XLOOKUP(1,(PACEs!$C$2:$C$1000=$A37)*(PACEs!$D$2:$D$1000=C38),PACEs!$F$2:$F$1000),Date!$B$2:$K$1623,10,FALSE)&amp;".T"&amp;VLOOKUP(_xlfn.XLOOKUP(1,(PACEs!$C$2:$C$1000=$A37)*(PACEs!$D$2:$D$1000=C38),PACEs!$F$2:$F$1000),Date!$B$2:$K$1623,7,FALSE))</f>
        <v/>
      </c>
      <c r="D41" s="167" t="str" cm="1">
        <f t="array" ref="D41">IF(ISERROR(_xlfn.XLOOKUP(1,(PACEs!$C$2:$C$1000=$A37)*(PACEs!$D$2:$D$1000=D38),PACEs!$F$2:$F$1000)),"",VLOOKUP(_xlfn.XLOOKUP(1,(PACEs!$C$2:$C$1000=$A37)*(PACEs!$D$2:$D$1000=D38),PACEs!$F$2:$F$1000),Date!$B$2:$K$1623,10,FALSE)&amp;".T"&amp;VLOOKUP(_xlfn.XLOOKUP(1,(PACEs!$C$2:$C$1000=$A37)*(PACEs!$D$2:$D$1000=D38),PACEs!$F$2:$F$1000),Date!$B$2:$K$1623,7,FALSE))</f>
        <v/>
      </c>
      <c r="E41" s="167" t="str" cm="1">
        <f t="array" ref="E41">IF(ISERROR(_xlfn.XLOOKUP(1,(PACEs!$C$2:$C$1000=$A37)*(PACEs!$D$2:$D$1000=E38),PACEs!$F$2:$F$1000)),"",VLOOKUP(_xlfn.XLOOKUP(1,(PACEs!$C$2:$C$1000=$A37)*(PACEs!$D$2:$D$1000=E38),PACEs!$F$2:$F$1000),Date!$B$2:$K$1623,10,FALSE)&amp;".T"&amp;VLOOKUP(_xlfn.XLOOKUP(1,(PACEs!$C$2:$C$1000=$A37)*(PACEs!$D$2:$D$1000=E38),PACEs!$F$2:$F$1000),Date!$B$2:$K$1623,7,FALSE))</f>
        <v>25–26.T3</v>
      </c>
      <c r="F41" s="167" t="str" cm="1">
        <f t="array" ref="F41">IF(ISERROR(_xlfn.XLOOKUP(1,(PACEs!$C$2:$C$1000=$A37)*(PACEs!$D$2:$D$1000=F38),PACEs!$F$2:$F$1000)),"",VLOOKUP(_xlfn.XLOOKUP(1,(PACEs!$C$2:$C$1000=$A37)*(PACEs!$D$2:$D$1000=F38),PACEs!$F$2:$F$1000),Date!$B$2:$K$1623,10,FALSE)&amp;".T"&amp;VLOOKUP(_xlfn.XLOOKUP(1,(PACEs!$C$2:$C$1000=$A37)*(PACEs!$D$2:$D$1000=F38),PACEs!$F$2:$F$1000),Date!$B$2:$K$1623,7,FALSE))</f>
        <v/>
      </c>
      <c r="G41" s="167" t="str" cm="1">
        <f t="array" ref="G41">IF(ISERROR(_xlfn.XLOOKUP(1,(PACEs!$C$2:$C$1000=$A37)*(PACEs!$D$2:$D$1000=G38),PACEs!$F$2:$F$1000)),"",VLOOKUP(_xlfn.XLOOKUP(1,(PACEs!$C$2:$C$1000=$A37)*(PACEs!$D$2:$D$1000=G38),PACEs!$F$2:$F$1000),Date!$B$2:$K$1623,10,FALSE)&amp;".T"&amp;VLOOKUP(_xlfn.XLOOKUP(1,(PACEs!$C$2:$C$1000=$A37)*(PACEs!$D$2:$D$1000=G38),PACEs!$F$2:$F$1000),Date!$B$2:$K$1623,7,FALSE))</f>
        <v/>
      </c>
      <c r="H41" s="167" t="str" cm="1">
        <f t="array" ref="H41">IF(ISERROR(_xlfn.XLOOKUP(1,(PACEs!$C$2:$C$1000=$A37)*(PACEs!$D$2:$D$1000=H38),PACEs!$F$2:$F$1000)),"",VLOOKUP(_xlfn.XLOOKUP(1,(PACEs!$C$2:$C$1000=$A37)*(PACEs!$D$2:$D$1000=H38),PACEs!$F$2:$F$1000),Date!$B$2:$K$1623,10,FALSE)&amp;".T"&amp;VLOOKUP(_xlfn.XLOOKUP(1,(PACEs!$C$2:$C$1000=$A37)*(PACEs!$D$2:$D$1000=H38),PACEs!$F$2:$F$1000),Date!$B$2:$K$1623,7,FALSE))</f>
        <v/>
      </c>
      <c r="I41" s="167" t="str" cm="1">
        <f t="array" ref="I41">IF(ISERROR(_xlfn.XLOOKUP(1,(PACEs!$C$2:$C$1000=$A37)*(PACEs!$D$2:$D$1000=I38),PACEs!$F$2:$F$1000)),"",VLOOKUP(_xlfn.XLOOKUP(1,(PACEs!$C$2:$C$1000=$A37)*(PACEs!$D$2:$D$1000=I38),PACEs!$F$2:$F$1000),Date!$B$2:$K$1623,10,FALSE)&amp;".T"&amp;VLOOKUP(_xlfn.XLOOKUP(1,(PACEs!$C$2:$C$1000=$A37)*(PACEs!$D$2:$D$1000=I38),PACEs!$F$2:$F$1000),Date!$B$2:$K$1623,7,FALSE))</f>
        <v/>
      </c>
      <c r="J41" s="167" t="str" cm="1">
        <f t="array" ref="J41">IF(ISERROR(_xlfn.XLOOKUP(1,(PACEs!$C$2:$C$1000=$A37)*(PACEs!$D$2:$D$1000=J38),PACEs!$F$2:$F$1000)),"",VLOOKUP(_xlfn.XLOOKUP(1,(PACEs!$C$2:$C$1000=$A37)*(PACEs!$D$2:$D$1000=J38),PACEs!$F$2:$F$1000),Date!$B$2:$K$1623,10,FALSE)&amp;".T"&amp;VLOOKUP(_xlfn.XLOOKUP(1,(PACEs!$C$2:$C$1000=$A37)*(PACEs!$D$2:$D$1000=J38),PACEs!$F$2:$F$1000),Date!$B$2:$K$1623,7,FALSE))</f>
        <v/>
      </c>
      <c r="K41" s="167" t="str" cm="1">
        <f t="array" ref="K41">IF(ISERROR(_xlfn.XLOOKUP(1,(PACEs!$C$2:$C$1000=$A37)*(PACEs!$D$2:$D$1000=K38),PACEs!$F$2:$F$1000)),"",VLOOKUP(_xlfn.XLOOKUP(1,(PACEs!$C$2:$C$1000=$A37)*(PACEs!$D$2:$D$1000=K38),PACEs!$F$2:$F$1000),Date!$B$2:$K$1623,10,FALSE)&amp;".T"&amp;VLOOKUP(_xlfn.XLOOKUP(1,(PACEs!$C$2:$C$1000=$A37)*(PACEs!$D$2:$D$1000=K38),PACEs!$F$2:$F$1000),Date!$B$2:$K$1623,7,FALSE))</f>
        <v/>
      </c>
      <c r="L41" s="167" t="str" cm="1">
        <f t="array" ref="L41">IF(ISERROR(_xlfn.XLOOKUP(1,(PACEs!$C$2:$C$1000=$A37)*(PACEs!$D$2:$D$1000=L38),PACEs!$F$2:$F$1000)),"",VLOOKUP(_xlfn.XLOOKUP(1,(PACEs!$C$2:$C$1000=$A37)*(PACEs!$D$2:$D$1000=L38),PACEs!$F$2:$F$1000),Date!$B$2:$K$1623,10,FALSE)&amp;".T"&amp;VLOOKUP(_xlfn.XLOOKUP(1,(PACEs!$C$2:$C$1000=$A37)*(PACEs!$D$2:$D$1000=L38),PACEs!$F$2:$F$1000),Date!$B$2:$K$1623,7,FALSE))</f>
        <v/>
      </c>
      <c r="M41" s="167" t="str" cm="1">
        <f t="array" ref="M41">IF(ISERROR(_xlfn.XLOOKUP(1,(PACEs!$C$2:$C$1000=$A37)*(PACEs!$D$2:$D$1000=M38),PACEs!$F$2:$F$1000)),"",VLOOKUP(_xlfn.XLOOKUP(1,(PACEs!$C$2:$C$1000=$A37)*(PACEs!$D$2:$D$1000=M38),PACEs!$F$2:$F$1000),Date!$B$2:$K$1623,10,FALSE)&amp;".T"&amp;VLOOKUP(_xlfn.XLOOKUP(1,(PACEs!$C$2:$C$1000=$A37)*(PACEs!$D$2:$D$1000=M38),PACEs!$F$2:$F$1000),Date!$B$2:$K$1623,7,FALSE))</f>
        <v/>
      </c>
      <c r="N41" s="174"/>
    </row>
    <row r="42" spans="1:14" ht="19" x14ac:dyDescent="0.25">
      <c r="A42" s="46" t="s">
        <v>258</v>
      </c>
      <c r="B42" s="85" t="str">
        <f>VLOOKUP($A42,Course!$B$2:$C$165, 2, FALSE)</f>
        <v>Etymology</v>
      </c>
      <c r="C42" s="86"/>
      <c r="D42" s="86"/>
      <c r="E42" s="86"/>
      <c r="F42" s="86"/>
      <c r="G42" s="87" t="str">
        <f>A42</f>
        <v>Word Building / Etymology</v>
      </c>
      <c r="H42" s="87"/>
      <c r="I42" s="87"/>
      <c r="J42" s="87"/>
      <c r="K42" s="87"/>
      <c r="L42" s="88" t="str">
        <f>IF(VLOOKUP($A42, Course!$B$2:$E$165, 3, FALSE)=0, "", VLOOKUP($A42, Course!$B$2:$E$165, 3, FALSE))</f>
        <v>Etymology</v>
      </c>
      <c r="M42" s="89"/>
      <c r="N42" s="171"/>
    </row>
    <row r="43" spans="1:14" x14ac:dyDescent="0.2">
      <c r="B43" s="9">
        <f>VLOOKUP($A42,Enrolment!$B$2:$N$15, B$1+1, FALSE)</f>
        <v>97</v>
      </c>
      <c r="C43" s="1">
        <f>VLOOKUP($A42,Enrolment!$B$2:$N$15, C$1+1, FALSE)</f>
        <v>98</v>
      </c>
      <c r="D43" s="1">
        <f>VLOOKUP($A42,Enrolment!$B$2:$N$15, D$1+1, FALSE)</f>
        <v>99</v>
      </c>
      <c r="E43" s="1">
        <f>VLOOKUP($A42,Enrolment!$B$2:$N$15, E$1+1, FALSE)</f>
        <v>100</v>
      </c>
      <c r="F43" s="1">
        <f>VLOOKUP($A42,Enrolment!$B$2:$N$15, F$1+1, FALSE)</f>
        <v>101</v>
      </c>
      <c r="G43" s="1">
        <f>VLOOKUP($A42,Enrolment!$B$2:$N$15, G$1+1, FALSE)</f>
        <v>102</v>
      </c>
      <c r="H43" s="1">
        <f>VLOOKUP($A42,Enrolment!$B$2:$N$15, H$1+1, FALSE)</f>
        <v>103</v>
      </c>
      <c r="I43" s="1">
        <f>VLOOKUP($A42,Enrolment!$B$2:$N$15, I$1+1, FALSE)</f>
        <v>104</v>
      </c>
      <c r="J43" s="1">
        <f>VLOOKUP($A42,Enrolment!$B$2:$N$15, J$1+1, FALSE)</f>
        <v>105</v>
      </c>
      <c r="K43" s="1">
        <f>VLOOKUP($A42,Enrolment!$B$2:$N$15, K$1+1, FALSE)</f>
        <v>106</v>
      </c>
      <c r="L43" s="1">
        <f>VLOOKUP($A42,Enrolment!$B$2:$N$15, L$1+1, FALSE)</f>
        <v>107</v>
      </c>
      <c r="M43" s="10">
        <f>VLOOKUP($A42,Enrolment!$B$2:$N$15, M$1+1, FALSE)</f>
        <v>108</v>
      </c>
      <c r="N43" s="172"/>
    </row>
    <row r="44" spans="1:14" s="7" customFormat="1" ht="20" customHeight="1" x14ac:dyDescent="0.4">
      <c r="B44" s="48" t="s">
        <v>19</v>
      </c>
      <c r="C44" s="48" t="s">
        <v>19</v>
      </c>
      <c r="D44" s="48" t="s">
        <v>19</v>
      </c>
      <c r="E44" s="48" t="s">
        <v>19</v>
      </c>
      <c r="F44" s="48" t="s">
        <v>19</v>
      </c>
      <c r="G44" s="48" t="s">
        <v>19</v>
      </c>
      <c r="H44" s="48" t="s">
        <v>19</v>
      </c>
      <c r="I44" s="48" t="s">
        <v>19</v>
      </c>
      <c r="J44" s="48" t="s">
        <v>19</v>
      </c>
      <c r="K44" s="48" t="s">
        <v>19</v>
      </c>
      <c r="L44" s="162" t="s">
        <v>19</v>
      </c>
      <c r="M44" s="48" t="s">
        <v>19</v>
      </c>
      <c r="N44" s="48"/>
    </row>
    <row r="45" spans="1:14" x14ac:dyDescent="0.2">
      <c r="B45" s="11" t="str" cm="1">
        <f t="array" ref="B45">IFERROR(_xlfn.XLOOKUP(1, (PACEs!$C$2:$C$1000=$A42) * (PACEs!$D$2:$D$1000=B43), PACEs!$E$2:$E$1000), "")</f>
        <v/>
      </c>
      <c r="C45" s="11" t="str" cm="1">
        <f t="array" ref="C45">IFERROR(_xlfn.XLOOKUP(1, (PACEs!$C$2:$C$1000=$A42) * (PACEs!$D$2:$D$1000=C43), PACEs!$E$2:$E$1000), "")</f>
        <v/>
      </c>
      <c r="D45" s="11" cm="1">
        <f t="array" ref="D45">IFERROR(_xlfn.XLOOKUP(1, (PACEs!$C$2:$C$1000=$A42) * (PACEs!$D$2:$D$1000=D43), PACEs!$E$2:$E$1000), "")</f>
        <v>1</v>
      </c>
      <c r="E45" s="11" cm="1">
        <f t="array" ref="E45">IFERROR(_xlfn.XLOOKUP(1, (PACEs!$C$2:$C$1000=$A42) * (PACEs!$D$2:$D$1000=E43), PACEs!$E$2:$E$1000), "")</f>
        <v>0.99</v>
      </c>
      <c r="F45" s="11" t="str" cm="1">
        <f t="array" ref="F45">IFERROR(_xlfn.XLOOKUP(1, (PACEs!$C$2:$C$1000=$A42) * (PACEs!$D$2:$D$1000=F43), PACEs!$E$2:$E$1000), "")</f>
        <v/>
      </c>
      <c r="G45" s="11" t="str" cm="1">
        <f t="array" ref="G45">IFERROR(_xlfn.XLOOKUP(1, (PACEs!$C$2:$C$1000=$A42) * (PACEs!$D$2:$D$1000=G43), PACEs!$E$2:$E$1000), "")</f>
        <v/>
      </c>
      <c r="H45" s="11" t="str" cm="1">
        <f t="array" ref="H45">IFERROR(_xlfn.XLOOKUP(1, (PACEs!$C$2:$C$1000=$A42) * (PACEs!$D$2:$D$1000=H43), PACEs!$E$2:$E$1000), "")</f>
        <v/>
      </c>
      <c r="I45" s="11" t="str" cm="1">
        <f t="array" ref="I45">IFERROR(_xlfn.XLOOKUP(1, (PACEs!$C$2:$C$1000=$A42) * (PACEs!$D$2:$D$1000=I43), PACEs!$E$2:$E$1000), "")</f>
        <v/>
      </c>
      <c r="J45" s="11" t="str" cm="1">
        <f t="array" ref="J45">IFERROR(_xlfn.XLOOKUP(1, (PACEs!$C$2:$C$1000=$A42) * (PACEs!$D$2:$D$1000=J43), PACEs!$E$2:$E$1000), "")</f>
        <v/>
      </c>
      <c r="K45" s="11" t="str" cm="1">
        <f t="array" ref="K45">IFERROR(_xlfn.XLOOKUP(1, (PACEs!$C$2:$C$1000=$A42) * (PACEs!$D$2:$D$1000=K43), PACEs!$E$2:$E$1000), "")</f>
        <v/>
      </c>
      <c r="L45" s="11" t="str" cm="1">
        <f t="array" ref="L45">IFERROR(_xlfn.XLOOKUP(1, (PACEs!$C$2:$C$1000=$A42) * (PACEs!$D$2:$D$1000=L43), PACEs!$E$2:$E$1000), "")</f>
        <v/>
      </c>
      <c r="M45" s="11" t="str" cm="1">
        <f t="array" ref="M45">IFERROR(_xlfn.XLOOKUP(1, (PACEs!$C$2:$C$1000=$A42) * (PACEs!$D$2:$D$1000=M43), PACEs!$E$2:$E$1000), "")</f>
        <v/>
      </c>
      <c r="N45" s="173"/>
    </row>
    <row r="46" spans="1:14" x14ac:dyDescent="0.2">
      <c r="B46" s="167" t="str" cm="1">
        <f t="array" ref="B46">IF(ISERROR(_xlfn.XLOOKUP(1,(PACEs!$C$2:$C$1000=$A42)*(PACEs!$D$2:$D$1000=B43),PACEs!$F$2:$F$1000)),"",VLOOKUP(_xlfn.XLOOKUP(1,(PACEs!$C$2:$C$1000=$A42)*(PACEs!$D$2:$D$1000=B43),PACEs!$F$2:$F$1000),Date!$B$2:$K$1623,10,FALSE)&amp;".T"&amp;VLOOKUP(_xlfn.XLOOKUP(1,(PACEs!$C$2:$C$1000=$A42)*(PACEs!$D$2:$D$1000=B43),PACEs!$F$2:$F$1000),Date!$B$2:$K$1623,7,FALSE))</f>
        <v/>
      </c>
      <c r="C46" s="167" t="str" cm="1">
        <f t="array" ref="C46">IF(ISERROR(_xlfn.XLOOKUP(1,(PACEs!$C$2:$C$1000=$A42)*(PACEs!$D$2:$D$1000=C43),PACEs!$F$2:$F$1000)),"",VLOOKUP(_xlfn.XLOOKUP(1,(PACEs!$C$2:$C$1000=$A42)*(PACEs!$D$2:$D$1000=C43),PACEs!$F$2:$F$1000),Date!$B$2:$K$1623,10,FALSE)&amp;".T"&amp;VLOOKUP(_xlfn.XLOOKUP(1,(PACEs!$C$2:$C$1000=$A42)*(PACEs!$D$2:$D$1000=C43),PACEs!$F$2:$F$1000),Date!$B$2:$K$1623,7,FALSE))</f>
        <v/>
      </c>
      <c r="D46" s="167" t="str" cm="1">
        <f t="array" ref="D46">IF(ISERROR(_xlfn.XLOOKUP(1,(PACEs!$C$2:$C$1000=$A42)*(PACEs!$D$2:$D$1000=D43),PACEs!$F$2:$F$1000)),"",VLOOKUP(_xlfn.XLOOKUP(1,(PACEs!$C$2:$C$1000=$A42)*(PACEs!$D$2:$D$1000=D43),PACEs!$F$2:$F$1000),Date!$B$2:$K$1623,10,FALSE)&amp;".T"&amp;VLOOKUP(_xlfn.XLOOKUP(1,(PACEs!$C$2:$C$1000=$A42)*(PACEs!$D$2:$D$1000=D43),PACEs!$F$2:$F$1000),Date!$B$2:$K$1623,7,FALSE))</f>
        <v>25–26.T3</v>
      </c>
      <c r="E46" s="167" t="str" cm="1">
        <f t="array" ref="E46">IF(ISERROR(_xlfn.XLOOKUP(1,(PACEs!$C$2:$C$1000=$A42)*(PACEs!$D$2:$D$1000=E43),PACEs!$F$2:$F$1000)),"",VLOOKUP(_xlfn.XLOOKUP(1,(PACEs!$C$2:$C$1000=$A42)*(PACEs!$D$2:$D$1000=E43),PACEs!$F$2:$F$1000),Date!$B$2:$K$1623,10,FALSE)&amp;".T"&amp;VLOOKUP(_xlfn.XLOOKUP(1,(PACEs!$C$2:$C$1000=$A42)*(PACEs!$D$2:$D$1000=E43),PACEs!$F$2:$F$1000),Date!$B$2:$K$1623,7,FALSE))</f>
        <v>25–26.T3</v>
      </c>
      <c r="F46" s="167" t="str" cm="1">
        <f t="array" ref="F46">IF(ISERROR(_xlfn.XLOOKUP(1,(PACEs!$C$2:$C$1000=$A42)*(PACEs!$D$2:$D$1000=F43),PACEs!$F$2:$F$1000)),"",VLOOKUP(_xlfn.XLOOKUP(1,(PACEs!$C$2:$C$1000=$A42)*(PACEs!$D$2:$D$1000=F43),PACEs!$F$2:$F$1000),Date!$B$2:$K$1623,10,FALSE)&amp;".T"&amp;VLOOKUP(_xlfn.XLOOKUP(1,(PACEs!$C$2:$C$1000=$A42)*(PACEs!$D$2:$D$1000=F43),PACEs!$F$2:$F$1000),Date!$B$2:$K$1623,7,FALSE))</f>
        <v/>
      </c>
      <c r="G46" s="167" t="str" cm="1">
        <f t="array" ref="G46">IF(ISERROR(_xlfn.XLOOKUP(1,(PACEs!$C$2:$C$1000=$A42)*(PACEs!$D$2:$D$1000=G43),PACEs!$F$2:$F$1000)),"",VLOOKUP(_xlfn.XLOOKUP(1,(PACEs!$C$2:$C$1000=$A42)*(PACEs!$D$2:$D$1000=G43),PACEs!$F$2:$F$1000),Date!$B$2:$K$1623,10,FALSE)&amp;".T"&amp;VLOOKUP(_xlfn.XLOOKUP(1,(PACEs!$C$2:$C$1000=$A42)*(PACEs!$D$2:$D$1000=G43),PACEs!$F$2:$F$1000),Date!$B$2:$K$1623,7,FALSE))</f>
        <v/>
      </c>
      <c r="H46" s="167" t="str" cm="1">
        <f t="array" ref="H46">IF(ISERROR(_xlfn.XLOOKUP(1,(PACEs!$C$2:$C$1000=$A42)*(PACEs!$D$2:$D$1000=H43),PACEs!$F$2:$F$1000)),"",VLOOKUP(_xlfn.XLOOKUP(1,(PACEs!$C$2:$C$1000=$A42)*(PACEs!$D$2:$D$1000=H43),PACEs!$F$2:$F$1000),Date!$B$2:$K$1623,10,FALSE)&amp;".T"&amp;VLOOKUP(_xlfn.XLOOKUP(1,(PACEs!$C$2:$C$1000=$A42)*(PACEs!$D$2:$D$1000=H43),PACEs!$F$2:$F$1000),Date!$B$2:$K$1623,7,FALSE))</f>
        <v/>
      </c>
      <c r="I46" s="167" t="str" cm="1">
        <f t="array" ref="I46">IF(ISERROR(_xlfn.XLOOKUP(1,(PACEs!$C$2:$C$1000=$A42)*(PACEs!$D$2:$D$1000=I43),PACEs!$F$2:$F$1000)),"",VLOOKUP(_xlfn.XLOOKUP(1,(PACEs!$C$2:$C$1000=$A42)*(PACEs!$D$2:$D$1000=I43),PACEs!$F$2:$F$1000),Date!$B$2:$K$1623,10,FALSE)&amp;".T"&amp;VLOOKUP(_xlfn.XLOOKUP(1,(PACEs!$C$2:$C$1000=$A42)*(PACEs!$D$2:$D$1000=I43),PACEs!$F$2:$F$1000),Date!$B$2:$K$1623,7,FALSE))</f>
        <v/>
      </c>
      <c r="J46" s="167" t="str" cm="1">
        <f t="array" ref="J46">IF(ISERROR(_xlfn.XLOOKUP(1,(PACEs!$C$2:$C$1000=$A42)*(PACEs!$D$2:$D$1000=J43),PACEs!$F$2:$F$1000)),"",VLOOKUP(_xlfn.XLOOKUP(1,(PACEs!$C$2:$C$1000=$A42)*(PACEs!$D$2:$D$1000=J43),PACEs!$F$2:$F$1000),Date!$B$2:$K$1623,10,FALSE)&amp;".T"&amp;VLOOKUP(_xlfn.XLOOKUP(1,(PACEs!$C$2:$C$1000=$A42)*(PACEs!$D$2:$D$1000=J43),PACEs!$F$2:$F$1000),Date!$B$2:$K$1623,7,FALSE))</f>
        <v/>
      </c>
      <c r="K46" s="167" t="str" cm="1">
        <f t="array" ref="K46">IF(ISERROR(_xlfn.XLOOKUP(1,(PACEs!$C$2:$C$1000=$A42)*(PACEs!$D$2:$D$1000=K43),PACEs!$F$2:$F$1000)),"",VLOOKUP(_xlfn.XLOOKUP(1,(PACEs!$C$2:$C$1000=$A42)*(PACEs!$D$2:$D$1000=K43),PACEs!$F$2:$F$1000),Date!$B$2:$K$1623,10,FALSE)&amp;".T"&amp;VLOOKUP(_xlfn.XLOOKUP(1,(PACEs!$C$2:$C$1000=$A42)*(PACEs!$D$2:$D$1000=K43),PACEs!$F$2:$F$1000),Date!$B$2:$K$1623,7,FALSE))</f>
        <v/>
      </c>
      <c r="L46" s="167" t="str" cm="1">
        <f t="array" ref="L46">IF(ISERROR(_xlfn.XLOOKUP(1,(PACEs!$C$2:$C$1000=$A42)*(PACEs!$D$2:$D$1000=L43),PACEs!$F$2:$F$1000)),"",VLOOKUP(_xlfn.XLOOKUP(1,(PACEs!$C$2:$C$1000=$A42)*(PACEs!$D$2:$D$1000=L43),PACEs!$F$2:$F$1000),Date!$B$2:$K$1623,10,FALSE)&amp;".T"&amp;VLOOKUP(_xlfn.XLOOKUP(1,(PACEs!$C$2:$C$1000=$A42)*(PACEs!$D$2:$D$1000=L43),PACEs!$F$2:$F$1000),Date!$B$2:$K$1623,7,FALSE))</f>
        <v/>
      </c>
      <c r="M46" s="167" t="str" cm="1">
        <f t="array" ref="M46">IF(ISERROR(_xlfn.XLOOKUP(1,(PACEs!$C$2:$C$1000=$A42)*(PACEs!$D$2:$D$1000=M43),PACEs!$F$2:$F$1000)),"",VLOOKUP(_xlfn.XLOOKUP(1,(PACEs!$C$2:$C$1000=$A42)*(PACEs!$D$2:$D$1000=M43),PACEs!$F$2:$F$1000),Date!$B$2:$K$1623,10,FALSE)&amp;".T"&amp;VLOOKUP(_xlfn.XLOOKUP(1,(PACEs!$C$2:$C$1000=$A42)*(PACEs!$D$2:$D$1000=M43),PACEs!$F$2:$F$1000),Date!$B$2:$K$1623,7,FALSE))</f>
        <v/>
      </c>
      <c r="N46" s="174"/>
    </row>
    <row r="47" spans="1:14" ht="19" x14ac:dyDescent="0.25">
      <c r="A47" s="46" t="s">
        <v>270</v>
      </c>
      <c r="B47" s="85" t="str">
        <f>VLOOKUP($A47,Course!$B$2:$C$165, 2, FALSE)</f>
        <v>Mathematics-IA</v>
      </c>
      <c r="C47" s="86"/>
      <c r="D47" s="86"/>
      <c r="E47" s="86"/>
      <c r="F47" s="86"/>
      <c r="G47" s="87" t="str">
        <f>A47</f>
        <v>Algebra I</v>
      </c>
      <c r="H47" s="87"/>
      <c r="I47" s="87"/>
      <c r="J47" s="87"/>
      <c r="K47" s="87"/>
      <c r="L47" s="88" t="str">
        <f>IF(VLOOKUP($A47, Course!$B$2:$E$165, 3, FALSE)=0, "", VLOOKUP($A47, Course!$B$2:$E$165, 3, FALSE))</f>
        <v>Maths I</v>
      </c>
      <c r="M47" s="89"/>
      <c r="N47" s="171"/>
    </row>
    <row r="48" spans="1:14" x14ac:dyDescent="0.2">
      <c r="B48" s="9">
        <f>VLOOKUP($A47,Enrolment!$B$2:$N$16, B$1+1, FALSE)</f>
        <v>97</v>
      </c>
      <c r="C48" s="9">
        <f>VLOOKUP($A47,Enrolment!$B$2:$N$16, C$1+1, FALSE)</f>
        <v>98</v>
      </c>
      <c r="D48" s="9">
        <f>VLOOKUP($A47,Enrolment!$B$2:$N$16, D$1+1, FALSE)</f>
        <v>99</v>
      </c>
      <c r="E48" s="9">
        <f>VLOOKUP($A47,Enrolment!$B$2:$N$16, E$1+1, FALSE)</f>
        <v>100</v>
      </c>
      <c r="F48" s="9">
        <f>VLOOKUP($A47,Enrolment!$B$2:$N$16, F$1+1, FALSE)</f>
        <v>101</v>
      </c>
      <c r="G48" s="9">
        <f>VLOOKUP($A47,Enrolment!$B$2:$N$16, G$1+1, FALSE)</f>
        <v>102</v>
      </c>
      <c r="H48" s="9">
        <f>VLOOKUP($A47,Enrolment!$B$2:$N$16, H$1+1, FALSE)</f>
        <v>103</v>
      </c>
      <c r="I48" s="9">
        <f>VLOOKUP($A47,Enrolment!$B$2:$N$16, I$1+1, FALSE)</f>
        <v>104</v>
      </c>
      <c r="J48" s="9">
        <f>VLOOKUP($A47,Enrolment!$B$2:$N$16, J$1+1, FALSE)</f>
        <v>105</v>
      </c>
      <c r="K48" s="9">
        <f>VLOOKUP($A47,Enrolment!$B$2:$N$16, K$1+1, FALSE)</f>
        <v>106</v>
      </c>
      <c r="L48" s="9">
        <f>VLOOKUP($A47,Enrolment!$B$2:$N$16, L$1+1, FALSE)</f>
        <v>107</v>
      </c>
      <c r="M48" s="9">
        <f>VLOOKUP($A47,Enrolment!$B$2:$N$16, M$1+1, FALSE)</f>
        <v>108</v>
      </c>
      <c r="N48" s="172"/>
    </row>
    <row r="49" spans="2:14" s="7" customFormat="1" ht="20" customHeight="1" x14ac:dyDescent="0.4">
      <c r="B49" s="48" t="s">
        <v>19</v>
      </c>
      <c r="C49" s="48" t="s">
        <v>19</v>
      </c>
      <c r="D49" s="48" t="s">
        <v>19</v>
      </c>
      <c r="E49" s="48" t="s">
        <v>19</v>
      </c>
      <c r="F49" s="48" t="s">
        <v>19</v>
      </c>
      <c r="G49" s="48" t="s">
        <v>19</v>
      </c>
      <c r="H49" s="48" t="s">
        <v>19</v>
      </c>
      <c r="I49" s="48" t="s">
        <v>19</v>
      </c>
      <c r="J49" s="48" t="s">
        <v>19</v>
      </c>
      <c r="K49" s="48" t="s">
        <v>19</v>
      </c>
      <c r="L49" s="162" t="s">
        <v>19</v>
      </c>
      <c r="M49" s="48" t="s">
        <v>19</v>
      </c>
      <c r="N49" s="48"/>
    </row>
    <row r="50" spans="2:14" x14ac:dyDescent="0.2">
      <c r="B50" s="11" t="str" cm="1">
        <f t="array" ref="B50">IFERROR(_xlfn.XLOOKUP(1, (PACEs!$C$2:$C$1000=$A47) * (PACEs!$D$2:$D$1000=B48), PACEs!$E$2:$E$1000), "")</f>
        <v/>
      </c>
      <c r="C50" s="11" t="str" cm="1">
        <f t="array" ref="C50">IFERROR(_xlfn.XLOOKUP(1, (PACEs!$C$2:$C$1000=$A47) * (PACEs!$D$2:$D$1000=C48), PACEs!$E$2:$E$1000), "")</f>
        <v/>
      </c>
      <c r="D50" s="11" cm="1">
        <f t="array" ref="D50">IFERROR(_xlfn.XLOOKUP(1, (PACEs!$C$2:$C$1000=$A47) * (PACEs!$D$2:$D$1000=D48), PACEs!$E$2:$E$1000), "")</f>
        <v>1</v>
      </c>
      <c r="E50" s="11" cm="1">
        <f t="array" ref="E50">IFERROR(_xlfn.XLOOKUP(1, (PACEs!$C$2:$C$1000=$A47) * (PACEs!$D$2:$D$1000=E48), PACEs!$E$2:$E$1000), "")</f>
        <v>0.99</v>
      </c>
      <c r="F50" s="11" t="str" cm="1">
        <f t="array" ref="F50">IFERROR(_xlfn.XLOOKUP(1, (PACEs!$C$2:$C$1000=$A47) * (PACEs!$D$2:$D$1000=F48), PACEs!$E$2:$E$1000), "")</f>
        <v/>
      </c>
      <c r="G50" s="11" t="str" cm="1">
        <f t="array" ref="G50">IFERROR(_xlfn.XLOOKUP(1, (PACEs!$C$2:$C$1000=$A47) * (PACEs!$D$2:$D$1000=G48), PACEs!$E$2:$E$1000), "")</f>
        <v/>
      </c>
      <c r="H50" s="11" t="str" cm="1">
        <f t="array" ref="H50">IFERROR(_xlfn.XLOOKUP(1, (PACEs!$C$2:$C$1000=$A47) * (PACEs!$D$2:$D$1000=H48), PACEs!$E$2:$E$1000), "")</f>
        <v/>
      </c>
      <c r="I50" s="11" t="str" cm="1">
        <f t="array" ref="I50">IFERROR(_xlfn.XLOOKUP(1, (PACEs!$C$2:$C$1000=$A47) * (PACEs!$D$2:$D$1000=I48), PACEs!$E$2:$E$1000), "")</f>
        <v/>
      </c>
      <c r="J50" s="11" t="str" cm="1">
        <f t="array" ref="J50">IFERROR(_xlfn.XLOOKUP(1, (PACEs!$C$2:$C$1000=$A47) * (PACEs!$D$2:$D$1000=J48), PACEs!$E$2:$E$1000), "")</f>
        <v/>
      </c>
      <c r="K50" s="11" t="str" cm="1">
        <f t="array" ref="K50">IFERROR(_xlfn.XLOOKUP(1, (PACEs!$C$2:$C$1000=$A47) * (PACEs!$D$2:$D$1000=K48), PACEs!$E$2:$E$1000), "")</f>
        <v/>
      </c>
      <c r="L50" s="11" t="str" cm="1">
        <f t="array" ref="L50">IFERROR(_xlfn.XLOOKUP(1, (PACEs!$C$2:$C$1000=$A47) * (PACEs!$D$2:$D$1000=L48), PACEs!$E$2:$E$1000), "")</f>
        <v/>
      </c>
      <c r="M50" s="11" t="str" cm="1">
        <f t="array" ref="M50">IFERROR(_xlfn.XLOOKUP(1, (PACEs!$C$2:$C$1000=$A47) * (PACEs!$D$2:$D$1000=M48), PACEs!$E$2:$E$1000), "")</f>
        <v/>
      </c>
      <c r="N50" s="173"/>
    </row>
    <row r="51" spans="2:14" x14ac:dyDescent="0.2">
      <c r="B51" s="167" t="str" cm="1">
        <f t="array" ref="B51">IF(ISERROR(_xlfn.XLOOKUP(1,(PACEs!$C$2:$C$1000=$A47)*(PACEs!$D$2:$D$1000=B48),PACEs!$F$2:$F$1000)),"",VLOOKUP(_xlfn.XLOOKUP(1,(PACEs!$C$2:$C$1000=$A47)*(PACEs!$D$2:$D$1000=B48),PACEs!$F$2:$F$1000),Date!$B$2:$K$1623,10,FALSE)&amp;".T"&amp;VLOOKUP(_xlfn.XLOOKUP(1,(PACEs!$C$2:$C$1000=$A47)*(PACEs!$D$2:$D$1000=B48),PACEs!$F$2:$F$1000),Date!$B$2:$K$1623,7,FALSE))</f>
        <v/>
      </c>
      <c r="C51" s="167" t="str" cm="1">
        <f t="array" ref="C51">IF(ISERROR(_xlfn.XLOOKUP(1,(PACEs!$C$2:$C$1000=$A47)*(PACEs!$D$2:$D$1000=C48),PACEs!$F$2:$F$1000)),"",VLOOKUP(_xlfn.XLOOKUP(1,(PACEs!$C$2:$C$1000=$A47)*(PACEs!$D$2:$D$1000=C48),PACEs!$F$2:$F$1000),Date!$B$2:$K$1623,10,FALSE)&amp;".T"&amp;VLOOKUP(_xlfn.XLOOKUP(1,(PACEs!$C$2:$C$1000=$A47)*(PACEs!$D$2:$D$1000=C48),PACEs!$F$2:$F$1000),Date!$B$2:$K$1623,7,FALSE))</f>
        <v/>
      </c>
      <c r="D51" s="167" t="str" cm="1">
        <f t="array" ref="D51">IF(ISERROR(_xlfn.XLOOKUP(1,(PACEs!$C$2:$C$1000=$A47)*(PACEs!$D$2:$D$1000=D48),PACEs!$F$2:$F$1000)),"",VLOOKUP(_xlfn.XLOOKUP(1,(PACEs!$C$2:$C$1000=$A47)*(PACEs!$D$2:$D$1000=D48),PACEs!$F$2:$F$1000),Date!$B$2:$K$1623,10,FALSE)&amp;".T"&amp;VLOOKUP(_xlfn.XLOOKUP(1,(PACEs!$C$2:$C$1000=$A47)*(PACEs!$D$2:$D$1000=D48),PACEs!$F$2:$F$1000),Date!$B$2:$K$1623,7,FALSE))</f>
        <v>25–26.T3</v>
      </c>
      <c r="E51" s="167" t="str" cm="1">
        <f t="array" ref="E51">IF(ISERROR(_xlfn.XLOOKUP(1,(PACEs!$C$2:$C$1000=$A47)*(PACEs!$D$2:$D$1000=E48),PACEs!$F$2:$F$1000)),"",VLOOKUP(_xlfn.XLOOKUP(1,(PACEs!$C$2:$C$1000=$A47)*(PACEs!$D$2:$D$1000=E48),PACEs!$F$2:$F$1000),Date!$B$2:$K$1623,10,FALSE)&amp;".T"&amp;VLOOKUP(_xlfn.XLOOKUP(1,(PACEs!$C$2:$C$1000=$A47)*(PACEs!$D$2:$D$1000=E48),PACEs!$F$2:$F$1000),Date!$B$2:$K$1623,7,FALSE))</f>
        <v>25–26.T3</v>
      </c>
      <c r="F51" s="167" t="str" cm="1">
        <f t="array" ref="F51">IF(ISERROR(_xlfn.XLOOKUP(1,(PACEs!$C$2:$C$1000=$A47)*(PACEs!$D$2:$D$1000=F48),PACEs!$F$2:$F$1000)),"",VLOOKUP(_xlfn.XLOOKUP(1,(PACEs!$C$2:$C$1000=$A47)*(PACEs!$D$2:$D$1000=F48),PACEs!$F$2:$F$1000),Date!$B$2:$K$1623,10,FALSE)&amp;".T"&amp;VLOOKUP(_xlfn.XLOOKUP(1,(PACEs!$C$2:$C$1000=$A47)*(PACEs!$D$2:$D$1000=F48),PACEs!$F$2:$F$1000),Date!$B$2:$K$1623,7,FALSE))</f>
        <v/>
      </c>
      <c r="G51" s="167" t="str" cm="1">
        <f t="array" ref="G51">IF(ISERROR(_xlfn.XLOOKUP(1,(PACEs!$C$2:$C$1000=$A47)*(PACEs!$D$2:$D$1000=G48),PACEs!$F$2:$F$1000)),"",VLOOKUP(_xlfn.XLOOKUP(1,(PACEs!$C$2:$C$1000=$A47)*(PACEs!$D$2:$D$1000=G48),PACEs!$F$2:$F$1000),Date!$B$2:$K$1623,10,FALSE)&amp;".T"&amp;VLOOKUP(_xlfn.XLOOKUP(1,(PACEs!$C$2:$C$1000=$A47)*(PACEs!$D$2:$D$1000=G48),PACEs!$F$2:$F$1000),Date!$B$2:$K$1623,7,FALSE))</f>
        <v/>
      </c>
      <c r="H51" s="167" t="str" cm="1">
        <f t="array" ref="H51">IF(ISERROR(_xlfn.XLOOKUP(1,(PACEs!$C$2:$C$1000=$A47)*(PACEs!$D$2:$D$1000=H48),PACEs!$F$2:$F$1000)),"",VLOOKUP(_xlfn.XLOOKUP(1,(PACEs!$C$2:$C$1000=$A47)*(PACEs!$D$2:$D$1000=H48),PACEs!$F$2:$F$1000),Date!$B$2:$K$1623,10,FALSE)&amp;".T"&amp;VLOOKUP(_xlfn.XLOOKUP(1,(PACEs!$C$2:$C$1000=$A47)*(PACEs!$D$2:$D$1000=H48),PACEs!$F$2:$F$1000),Date!$B$2:$K$1623,7,FALSE))</f>
        <v/>
      </c>
      <c r="I51" s="167" t="str" cm="1">
        <f t="array" ref="I51">IF(ISERROR(_xlfn.XLOOKUP(1,(PACEs!$C$2:$C$1000=$A47)*(PACEs!$D$2:$D$1000=I48),PACEs!$F$2:$F$1000)),"",VLOOKUP(_xlfn.XLOOKUP(1,(PACEs!$C$2:$C$1000=$A47)*(PACEs!$D$2:$D$1000=I48),PACEs!$F$2:$F$1000),Date!$B$2:$K$1623,10,FALSE)&amp;".T"&amp;VLOOKUP(_xlfn.XLOOKUP(1,(PACEs!$C$2:$C$1000=$A47)*(PACEs!$D$2:$D$1000=I48),PACEs!$F$2:$F$1000),Date!$B$2:$K$1623,7,FALSE))</f>
        <v/>
      </c>
      <c r="J51" s="167" t="str" cm="1">
        <f t="array" ref="J51">IF(ISERROR(_xlfn.XLOOKUP(1,(PACEs!$C$2:$C$1000=$A47)*(PACEs!$D$2:$D$1000=J48),PACEs!$F$2:$F$1000)),"",VLOOKUP(_xlfn.XLOOKUP(1,(PACEs!$C$2:$C$1000=$A47)*(PACEs!$D$2:$D$1000=J48),PACEs!$F$2:$F$1000),Date!$B$2:$K$1623,10,FALSE)&amp;".T"&amp;VLOOKUP(_xlfn.XLOOKUP(1,(PACEs!$C$2:$C$1000=$A47)*(PACEs!$D$2:$D$1000=J48),PACEs!$F$2:$F$1000),Date!$B$2:$K$1623,7,FALSE))</f>
        <v/>
      </c>
      <c r="K51" s="167" t="str" cm="1">
        <f t="array" ref="K51">IF(ISERROR(_xlfn.XLOOKUP(1,(PACEs!$C$2:$C$1000=$A47)*(PACEs!$D$2:$D$1000=K48),PACEs!$F$2:$F$1000)),"",VLOOKUP(_xlfn.XLOOKUP(1,(PACEs!$C$2:$C$1000=$A47)*(PACEs!$D$2:$D$1000=K48),PACEs!$F$2:$F$1000),Date!$B$2:$K$1623,10,FALSE)&amp;".T"&amp;VLOOKUP(_xlfn.XLOOKUP(1,(PACEs!$C$2:$C$1000=$A47)*(PACEs!$D$2:$D$1000=K48),PACEs!$F$2:$F$1000),Date!$B$2:$K$1623,7,FALSE))</f>
        <v/>
      </c>
      <c r="L51" s="167" t="str" cm="1">
        <f t="array" ref="L51">IF(ISERROR(_xlfn.XLOOKUP(1,(PACEs!$C$2:$C$1000=$A47)*(PACEs!$D$2:$D$1000=L48),PACEs!$F$2:$F$1000)),"",VLOOKUP(_xlfn.XLOOKUP(1,(PACEs!$C$2:$C$1000=$A47)*(PACEs!$D$2:$D$1000=L48),PACEs!$F$2:$F$1000),Date!$B$2:$K$1623,10,FALSE)&amp;".T"&amp;VLOOKUP(_xlfn.XLOOKUP(1,(PACEs!$C$2:$C$1000=$A47)*(PACEs!$D$2:$D$1000=L48),PACEs!$F$2:$F$1000),Date!$B$2:$K$1623,7,FALSE))</f>
        <v/>
      </c>
      <c r="M51" s="167" t="str" cm="1">
        <f t="array" ref="M51">IF(ISERROR(_xlfn.XLOOKUP(1,(PACEs!$C$2:$C$1000=$A47)*(PACEs!$D$2:$D$1000=M48),PACEs!$F$2:$F$1000)),"",VLOOKUP(_xlfn.XLOOKUP(1,(PACEs!$C$2:$C$1000=$A47)*(PACEs!$D$2:$D$1000=M48),PACEs!$F$2:$F$1000),Date!$B$2:$K$1623,10,FALSE)&amp;".T"&amp;VLOOKUP(_xlfn.XLOOKUP(1,(PACEs!$C$2:$C$1000=$A47)*(PACEs!$D$2:$D$1000=M48),PACEs!$F$2:$F$1000),Date!$B$2:$K$1623,7,FALSE))</f>
        <v/>
      </c>
      <c r="N51" s="174"/>
    </row>
    <row r="52" spans="2:14" ht="19" x14ac:dyDescent="0.25">
      <c r="B52" s="82"/>
      <c r="C52" s="82"/>
      <c r="D52" s="82"/>
      <c r="E52" s="82"/>
      <c r="F52" s="82"/>
      <c r="G52" s="83"/>
      <c r="H52" s="83"/>
      <c r="I52" s="83"/>
      <c r="J52" s="83"/>
      <c r="K52" s="83"/>
      <c r="L52" s="84"/>
      <c r="M52" s="84"/>
      <c r="N52" s="81"/>
    </row>
    <row r="53" spans="2:14" x14ac:dyDescent="0.2">
      <c r="B53" s="1"/>
      <c r="C53" s="1"/>
      <c r="D53" s="1"/>
      <c r="E53" s="1"/>
      <c r="F53" s="1"/>
      <c r="G53" s="1"/>
      <c r="H53" s="1"/>
      <c r="I53" s="1"/>
      <c r="J53" s="1"/>
      <c r="K53" s="1"/>
      <c r="L53" s="1"/>
      <c r="M53" s="1"/>
      <c r="N53" s="1"/>
    </row>
    <row r="54" spans="2:14" ht="45" x14ac:dyDescent="0.2">
      <c r="B54" s="4"/>
      <c r="C54" s="4"/>
      <c r="D54" s="4"/>
      <c r="E54" s="4"/>
      <c r="F54" s="4"/>
      <c r="G54" s="4"/>
      <c r="H54" s="4"/>
      <c r="I54" s="4"/>
      <c r="J54" s="4"/>
      <c r="K54" s="4"/>
      <c r="L54" s="4"/>
      <c r="M54" s="4"/>
      <c r="N54" s="4"/>
    </row>
    <row r="55" spans="2:14" x14ac:dyDescent="0.2">
      <c r="B55" s="5"/>
      <c r="C55" s="5"/>
      <c r="D55" s="5"/>
      <c r="E55" s="5"/>
      <c r="F55" s="5"/>
      <c r="G55" s="5"/>
      <c r="H55" s="5"/>
      <c r="I55" s="5"/>
      <c r="J55" s="5"/>
      <c r="K55" s="5"/>
      <c r="L55" s="5"/>
      <c r="M55" s="5"/>
      <c r="N55" s="5"/>
    </row>
    <row r="56" spans="2:14" x14ac:dyDescent="0.2">
      <c r="B56" s="6"/>
      <c r="C56" s="6"/>
      <c r="D56" s="6"/>
      <c r="E56" s="6"/>
      <c r="F56" s="6"/>
      <c r="G56" s="6"/>
      <c r="H56" s="6"/>
      <c r="I56" s="6"/>
      <c r="J56" s="6"/>
      <c r="K56" s="6"/>
      <c r="L56" s="6"/>
      <c r="M56" s="6"/>
      <c r="N56" s="6"/>
    </row>
    <row r="57" spans="2:14" ht="19" x14ac:dyDescent="0.25">
      <c r="B57" s="82"/>
      <c r="C57" s="82"/>
      <c r="D57" s="82"/>
      <c r="E57" s="82"/>
      <c r="F57" s="82"/>
      <c r="G57" s="83"/>
      <c r="H57" s="83"/>
      <c r="I57" s="83"/>
      <c r="J57" s="83"/>
      <c r="K57" s="83"/>
      <c r="L57" s="84"/>
      <c r="M57" s="84"/>
      <c r="N57" s="81"/>
    </row>
    <row r="58" spans="2:14" x14ac:dyDescent="0.2">
      <c r="B58" s="1"/>
      <c r="C58" s="1"/>
      <c r="D58" s="1"/>
      <c r="E58" s="1"/>
      <c r="F58" s="1"/>
      <c r="G58" s="1"/>
      <c r="H58" s="1"/>
      <c r="I58" s="1"/>
      <c r="J58" s="1"/>
      <c r="K58" s="1"/>
      <c r="L58" s="1"/>
      <c r="M58" s="1"/>
      <c r="N58" s="1"/>
    </row>
    <row r="59" spans="2:14" ht="45" x14ac:dyDescent="0.2">
      <c r="B59" s="4"/>
      <c r="C59" s="4"/>
      <c r="D59" s="4"/>
      <c r="E59" s="4"/>
      <c r="F59" s="4"/>
      <c r="G59" s="4"/>
      <c r="H59" s="4"/>
      <c r="I59" s="4"/>
      <c r="J59" s="4"/>
      <c r="K59" s="4"/>
      <c r="L59" s="4"/>
      <c r="M59" s="4"/>
      <c r="N59" s="4"/>
    </row>
    <row r="60" spans="2:14" x14ac:dyDescent="0.2">
      <c r="B60" s="5"/>
      <c r="C60" s="5"/>
      <c r="D60" s="5"/>
      <c r="E60" s="5"/>
      <c r="F60" s="5"/>
      <c r="G60" s="5"/>
      <c r="H60" s="5"/>
      <c r="I60" s="5"/>
      <c r="J60" s="5"/>
      <c r="K60" s="5"/>
      <c r="L60" s="5"/>
      <c r="M60" s="5"/>
      <c r="N60" s="5"/>
    </row>
    <row r="61" spans="2:14" x14ac:dyDescent="0.2">
      <c r="B61" s="6"/>
      <c r="C61" s="6"/>
      <c r="D61" s="6"/>
      <c r="E61" s="6"/>
      <c r="F61" s="6"/>
      <c r="G61" s="6"/>
      <c r="H61" s="6"/>
      <c r="I61" s="6"/>
      <c r="J61" s="6"/>
      <c r="K61" s="6"/>
      <c r="L61" s="6"/>
      <c r="M61" s="6"/>
      <c r="N61" s="6"/>
    </row>
  </sheetData>
  <mergeCells count="36">
    <mergeCell ref="L2:M2"/>
    <mergeCell ref="B2:F2"/>
    <mergeCell ref="G2:K2"/>
    <mergeCell ref="B7:F7"/>
    <mergeCell ref="G7:K7"/>
    <mergeCell ref="L7:M7"/>
    <mergeCell ref="B12:F12"/>
    <mergeCell ref="G12:K12"/>
    <mergeCell ref="L12:M12"/>
    <mergeCell ref="B17:F17"/>
    <mergeCell ref="G17:K17"/>
    <mergeCell ref="L17:M17"/>
    <mergeCell ref="B22:F22"/>
    <mergeCell ref="G22:K22"/>
    <mergeCell ref="L22:M22"/>
    <mergeCell ref="B27:F27"/>
    <mergeCell ref="G27:K27"/>
    <mergeCell ref="L27:M27"/>
    <mergeCell ref="B32:F32"/>
    <mergeCell ref="G32:K32"/>
    <mergeCell ref="L32:M32"/>
    <mergeCell ref="B37:F37"/>
    <mergeCell ref="G37:K37"/>
    <mergeCell ref="L37:M37"/>
    <mergeCell ref="B42:F42"/>
    <mergeCell ref="G42:K42"/>
    <mergeCell ref="L42:M42"/>
    <mergeCell ref="B47:F47"/>
    <mergeCell ref="G47:K47"/>
    <mergeCell ref="L47:M47"/>
    <mergeCell ref="B52:F52"/>
    <mergeCell ref="G52:K52"/>
    <mergeCell ref="L52:M52"/>
    <mergeCell ref="B57:F57"/>
    <mergeCell ref="G57:K57"/>
    <mergeCell ref="L57:M57"/>
  </mergeCells>
  <phoneticPr fontId="1" type="noConversion"/>
  <conditionalFormatting sqref="B54:N54">
    <cfRule type="expression" dxfId="145" priority="207">
      <formula>$A55=80</formula>
    </cfRule>
  </conditionalFormatting>
  <conditionalFormatting sqref="B59:N59">
    <cfRule type="expression" dxfId="144" priority="206">
      <formula>$A60=80</formula>
    </cfRule>
  </conditionalFormatting>
  <pageMargins left="0.7" right="0.7" top="0.75" bottom="0.75" header="0.3" footer="0.3"/>
  <pageSetup paperSize="9" orientation="landscape" r:id="rId1"/>
  <extLst>
    <ext xmlns:x14="http://schemas.microsoft.com/office/spreadsheetml/2009/9/main" uri="{78C0D931-6437-407d-A8EE-F0AAD7539E65}">
      <x14:conditionalFormattings>
        <x14:conditionalFormatting xmlns:xm="http://schemas.microsoft.com/office/excel/2006/main">
          <x14:cfRule type="expression" priority="153" id="{EDC19093-C14A-0349-B94C-805856EECC46}">
            <xm:f>AND(ISNUMBER(B5), B5&gt;=0.8, VLOOKUP($A2,Course!$B$2:$L$300, 11,FALSE)="Technology Electives")</xm:f>
            <x14:dxf>
              <font>
                <color rgb="FF7030A0"/>
              </font>
            </x14:dxf>
          </x14:cfRule>
          <x14:cfRule type="expression" priority="154" id="{CD4BDDBF-0EE6-914E-A47A-6F8E78B4E3AA}">
            <xm:f>AND(ISNUMBER(B5), B5&gt;=0.8, VLOOKUP($A2,Course!$B$2:$L$300, 11,FALSE)="Art Electives")</xm:f>
            <x14:dxf>
              <font>
                <color rgb="FF7030A0"/>
              </font>
            </x14:dxf>
          </x14:cfRule>
          <x14:cfRule type="expression" priority="155" id="{3CA82FF6-C091-A240-A029-7814BD2A3426}">
            <xm:f>AND(ISNUMBER(B5), B5&gt;=0.8, VLOOKUP($A2,Course!$B$2:$L$300, 11,FALSE)="Maths")</xm:f>
            <x14:dxf>
              <font>
                <color rgb="FFFFFF00"/>
              </font>
            </x14:dxf>
          </x14:cfRule>
          <x14:cfRule type="expression" priority="156" id="{89487708-4FAA-B54E-A37B-4E9481A675E5}">
            <xm:f>AND(ISNUMBER(B5), B5&gt;=0.8, VLOOKUP($A2,Course!$B$2:$L$300, 11,FALSE)="Biblical Studies")</xm:f>
            <x14:dxf>
              <font>
                <color theme="7"/>
              </font>
            </x14:dxf>
          </x14:cfRule>
          <x14:cfRule type="expression" priority="189" id="{78104709-27EA-F941-B728-0AC293300D8D}">
            <xm:f>AND(ISNUMBER(B5), B5&gt;=0.8, VLOOKUP($A2,Course!$B$2:$L$300, 11,FALSE)="Word Building")</xm:f>
            <x14:dxf>
              <font>
                <color rgb="FF7030A0"/>
              </font>
            </x14:dxf>
          </x14:cfRule>
          <x14:cfRule type="expression" priority="190" id="{DDEBC613-202D-7B4C-AD4F-073C96CE7334}">
            <xm:f>AND(ISNUMBER(B5), B5&gt;=0.8, VLOOKUP($A2,Course!$B$2:$L$300, 11,FALSE)="Science")</xm:f>
            <x14:dxf>
              <font>
                <color rgb="FF0070C0"/>
              </font>
            </x14:dxf>
          </x14:cfRule>
          <x14:cfRule type="expression" priority="195" id="{9F45EBAD-ADCB-6042-ABE0-053A3BBB7020}">
            <xm:f>AND(ISNUMBER(B5), B5&gt;=0.8, VLOOKUP($A2,Course!$B$2:$L$300, 11,FALSE)="Language")</xm:f>
            <x14:dxf>
              <font>
                <color rgb="FFFF0000"/>
              </font>
            </x14:dxf>
          </x14:cfRule>
          <x14:cfRule type="expression" priority="217" id="{00000000-000E-0000-0100-000016000000}">
            <xm:f>AND(ISNUMBER(B5), B5&gt;=0.8, VLOOKUP($A2,Course!$B$2:$L$300, 11,FALSE)="Social Studies")</xm:f>
            <x14:dxf>
              <font>
                <color rgb="FF92D050"/>
              </font>
            </x14:dxf>
          </x14:cfRule>
          <xm:sqref>B4:N4</xm:sqref>
        </x14:conditionalFormatting>
        <x14:conditionalFormatting xmlns:xm="http://schemas.microsoft.com/office/excel/2006/main">
          <x14:cfRule type="iconSet" priority="219" id="{13AD793E-CD52-478B-A350-EEF9E403D240}">
            <x14:iconSet iconSet="3Stars">
              <x14:cfvo type="percent">
                <xm:f>0</xm:f>
              </x14:cfvo>
              <x14:cfvo type="percent">
                <xm:f>33</xm:f>
              </x14:cfvo>
              <x14:cfvo type="percent">
                <xm:f>67</xm:f>
              </x14:cfvo>
            </x14:iconSet>
          </x14:cfRule>
          <xm:sqref>R10:S10</xm:sqref>
        </x14:conditionalFormatting>
        <x14:conditionalFormatting xmlns:xm="http://schemas.microsoft.com/office/excel/2006/main">
          <x14:cfRule type="expression" priority="65" id="{8FFC385B-5336-0049-B2A4-247827A8B741}">
            <xm:f>AND(ISNUMBER(B10), B10&gt;=0.8, VLOOKUP($A7,Course!$B$2:$L$300, 11,FALSE)="Technology Electives")</xm:f>
            <x14:dxf>
              <font>
                <color rgb="FF7030A0"/>
              </font>
            </x14:dxf>
          </x14:cfRule>
          <x14:cfRule type="expression" priority="66" id="{D82DDD32-FF2D-7B49-8385-E96403417CAC}">
            <xm:f>AND(ISNUMBER(B10), B10&gt;=0.8, VLOOKUP($A7,Course!$B$2:$L$300, 11,FALSE)="Art Electives")</xm:f>
            <x14:dxf>
              <font>
                <color rgb="FF7030A0"/>
              </font>
            </x14:dxf>
          </x14:cfRule>
          <x14:cfRule type="expression" priority="67" id="{8C3936C4-2F6D-294B-A5F3-6402BE67106F}">
            <xm:f>AND(ISNUMBER(B10), B10&gt;=0.8, VLOOKUP($A7,Course!$B$2:$L$300, 11,FALSE)="Maths")</xm:f>
            <x14:dxf>
              <font>
                <color rgb="FFFFFF00"/>
              </font>
            </x14:dxf>
          </x14:cfRule>
          <x14:cfRule type="expression" priority="68" id="{2BA33EEA-A568-F84D-BF03-0B5CE3B88087}">
            <xm:f>AND(ISNUMBER(B10), B10&gt;=0.8, VLOOKUP($A7,Course!$B$2:$L$300, 11,FALSE)="Biblical Studies")</xm:f>
            <x14:dxf>
              <font>
                <color theme="7"/>
              </font>
            </x14:dxf>
          </x14:cfRule>
          <x14:cfRule type="expression" priority="69" id="{9DA05171-C141-C141-B1E8-DCA61C5C5427}">
            <xm:f>AND(ISNUMBER(B10), B10&gt;=0.8, VLOOKUP($A7,Course!$B$2:$L$300, 11,FALSE)="Word Building")</xm:f>
            <x14:dxf>
              <font>
                <color rgb="FF7030A0"/>
              </font>
            </x14:dxf>
          </x14:cfRule>
          <x14:cfRule type="expression" priority="70" id="{A3DE05FF-0D89-A149-AF32-D5FA896B7B7D}">
            <xm:f>AND(ISNUMBER(B10), B10&gt;=0.8, VLOOKUP($A7,Course!$B$2:$L$300, 11,FALSE)="Science")</xm:f>
            <x14:dxf>
              <font>
                <color rgb="FF0070C0"/>
              </font>
            </x14:dxf>
          </x14:cfRule>
          <x14:cfRule type="expression" priority="71" id="{8C0EFD2B-EA2F-594B-AE65-AC607789C19B}">
            <xm:f>AND(ISNUMBER(B10), B10&gt;=0.8, VLOOKUP($A7,Course!$B$2:$L$300, 11,FALSE)="Language")</xm:f>
            <x14:dxf>
              <font>
                <color rgb="FFFF0000"/>
              </font>
            </x14:dxf>
          </x14:cfRule>
          <x14:cfRule type="expression" priority="72" id="{E299416F-533C-A244-9460-1DC1925ED229}">
            <xm:f>AND(ISNUMBER(B10), B10&gt;=0.8, VLOOKUP($A7,Course!$B$2:$L$300, 11,FALSE)="Social Studies")</xm:f>
            <x14:dxf>
              <font>
                <color rgb="FF92D050"/>
              </font>
            </x14:dxf>
          </x14:cfRule>
          <xm:sqref>B9:N9</xm:sqref>
        </x14:conditionalFormatting>
        <x14:conditionalFormatting xmlns:xm="http://schemas.microsoft.com/office/excel/2006/main">
          <x14:cfRule type="expression" priority="57" id="{F85AAEB8-5A5D-1241-8843-A614CA31B06E}">
            <xm:f>AND(ISNUMBER(B15), B15&gt;=0.8, VLOOKUP($A12,Course!$B$2:$L$300, 11,FALSE)="Technology Electives")</xm:f>
            <x14:dxf>
              <font>
                <color rgb="FF7030A0"/>
              </font>
            </x14:dxf>
          </x14:cfRule>
          <x14:cfRule type="expression" priority="58" id="{B88A2D1B-59A6-3E44-827B-B194D8430216}">
            <xm:f>AND(ISNUMBER(B15), B15&gt;=0.8, VLOOKUP($A12,Course!$B$2:$L$300, 11,FALSE)="Art Electives")</xm:f>
            <x14:dxf>
              <font>
                <color rgb="FF7030A0"/>
              </font>
            </x14:dxf>
          </x14:cfRule>
          <x14:cfRule type="expression" priority="59" id="{DB4CC370-B389-0746-9648-9B284045E078}">
            <xm:f>AND(ISNUMBER(B15), B15&gt;=0.8, VLOOKUP($A12,Course!$B$2:$L$300, 11,FALSE)="Maths")</xm:f>
            <x14:dxf>
              <font>
                <color rgb="FFFFFF00"/>
              </font>
            </x14:dxf>
          </x14:cfRule>
          <x14:cfRule type="expression" priority="60" id="{C33FD2E3-D205-7D41-AFAA-3D54ECF3AEC7}">
            <xm:f>AND(ISNUMBER(B15), B15&gt;=0.8, VLOOKUP($A12,Course!$B$2:$L$300, 11,FALSE)="Biblical Studies")</xm:f>
            <x14:dxf>
              <font>
                <color theme="7"/>
              </font>
            </x14:dxf>
          </x14:cfRule>
          <x14:cfRule type="expression" priority="61" id="{3076040F-E8AD-B54C-981B-2D4A16E9F3F2}">
            <xm:f>AND(ISNUMBER(B15), B15&gt;=0.8, VLOOKUP($A12,Course!$B$2:$L$300, 11,FALSE)="Word Building")</xm:f>
            <x14:dxf>
              <font>
                <color rgb="FF7030A0"/>
              </font>
            </x14:dxf>
          </x14:cfRule>
          <x14:cfRule type="expression" priority="62" id="{8DBB298A-B517-CD4B-BD0F-142878FBDD96}">
            <xm:f>AND(ISNUMBER(B15), B15&gt;=0.8, VLOOKUP($A12,Course!$B$2:$L$300, 11,FALSE)="Science")</xm:f>
            <x14:dxf>
              <font>
                <color rgb="FF0070C0"/>
              </font>
            </x14:dxf>
          </x14:cfRule>
          <x14:cfRule type="expression" priority="63" id="{3505BBD2-A6A6-1B41-83E2-72D284246131}">
            <xm:f>AND(ISNUMBER(B15), B15&gt;=0.8, VLOOKUP($A12,Course!$B$2:$L$300, 11,FALSE)="Language")</xm:f>
            <x14:dxf>
              <font>
                <color rgb="FFFF0000"/>
              </font>
            </x14:dxf>
          </x14:cfRule>
          <x14:cfRule type="expression" priority="64" id="{23E34CB0-AFEC-684C-957A-D3A0F4CB3394}">
            <xm:f>AND(ISNUMBER(B15), B15&gt;=0.8, VLOOKUP($A12,Course!$B$2:$L$300, 11,FALSE)="Social Studies")</xm:f>
            <x14:dxf>
              <font>
                <color rgb="FF92D050"/>
              </font>
            </x14:dxf>
          </x14:cfRule>
          <xm:sqref>B14:N14</xm:sqref>
        </x14:conditionalFormatting>
        <x14:conditionalFormatting xmlns:xm="http://schemas.microsoft.com/office/excel/2006/main">
          <x14:cfRule type="expression" priority="49" id="{32DA76B6-F5C4-2941-ABB2-35EB4D44F23C}">
            <xm:f>AND(ISNUMBER(B20), B20&gt;=0.8, VLOOKUP($A17,Course!$B$2:$L$300, 11,FALSE)="Technology Electives")</xm:f>
            <x14:dxf>
              <font>
                <color rgb="FF7030A0"/>
              </font>
            </x14:dxf>
          </x14:cfRule>
          <x14:cfRule type="expression" priority="50" id="{832BE69F-93B6-4140-BB5E-749EBD570746}">
            <xm:f>AND(ISNUMBER(B20), B20&gt;=0.8, VLOOKUP($A17,Course!$B$2:$L$300, 11,FALSE)="Art Electives")</xm:f>
            <x14:dxf>
              <font>
                <color rgb="FF7030A0"/>
              </font>
            </x14:dxf>
          </x14:cfRule>
          <x14:cfRule type="expression" priority="51" id="{EB86B2EC-0835-5149-9459-6C0844931F39}">
            <xm:f>AND(ISNUMBER(B20), B20&gt;=0.8, VLOOKUP($A17,Course!$B$2:$L$300, 11,FALSE)="Maths")</xm:f>
            <x14:dxf>
              <font>
                <color rgb="FFFFFF00"/>
              </font>
            </x14:dxf>
          </x14:cfRule>
          <x14:cfRule type="expression" priority="52" id="{CB0214E2-8043-EE4C-84D2-3FA17D5E94DC}">
            <xm:f>AND(ISNUMBER(B20), B20&gt;=0.8, VLOOKUP($A17,Course!$B$2:$L$300, 11,FALSE)="Biblical Studies")</xm:f>
            <x14:dxf>
              <font>
                <color theme="7"/>
              </font>
            </x14:dxf>
          </x14:cfRule>
          <x14:cfRule type="expression" priority="53" id="{0A891485-B326-C84C-AF81-D7D495C868A8}">
            <xm:f>AND(ISNUMBER(B20), B20&gt;=0.8, VLOOKUP($A17,Course!$B$2:$L$300, 11,FALSE)="Word Building")</xm:f>
            <x14:dxf>
              <font>
                <color rgb="FF7030A0"/>
              </font>
            </x14:dxf>
          </x14:cfRule>
          <x14:cfRule type="expression" priority="54" id="{0098B55C-4FE0-CD4B-9F71-E2D10D173368}">
            <xm:f>AND(ISNUMBER(B20), B20&gt;=0.8, VLOOKUP($A17,Course!$B$2:$L$300, 11,FALSE)="Science")</xm:f>
            <x14:dxf>
              <font>
                <color rgb="FF0070C0"/>
              </font>
            </x14:dxf>
          </x14:cfRule>
          <x14:cfRule type="expression" priority="55" id="{946DB8B9-48A1-644A-8740-D6A7066C056E}">
            <xm:f>AND(ISNUMBER(B20), B20&gt;=0.8, VLOOKUP($A17,Course!$B$2:$L$300, 11,FALSE)="Language")</xm:f>
            <x14:dxf>
              <font>
                <color rgb="FFFF0000"/>
              </font>
            </x14:dxf>
          </x14:cfRule>
          <x14:cfRule type="expression" priority="56" id="{056F9B97-61C3-3E42-BC20-0BE4170BBCBE}">
            <xm:f>AND(ISNUMBER(B20), B20&gt;=0.8, VLOOKUP($A17,Course!$B$2:$L$300, 11,FALSE)="Social Studies")</xm:f>
            <x14:dxf>
              <font>
                <color rgb="FF92D050"/>
              </font>
            </x14:dxf>
          </x14:cfRule>
          <xm:sqref>B19:N19</xm:sqref>
        </x14:conditionalFormatting>
        <x14:conditionalFormatting xmlns:xm="http://schemas.microsoft.com/office/excel/2006/main">
          <x14:cfRule type="expression" priority="41" id="{FB14BD87-11F0-E94C-8E3E-F9D8C56308E3}">
            <xm:f>AND(ISNUMBER(B25), B25&gt;=0.8, VLOOKUP($A22,Course!$B$2:$L$300, 11,FALSE)="Technology Electives")</xm:f>
            <x14:dxf>
              <font>
                <color rgb="FF7030A0"/>
              </font>
            </x14:dxf>
          </x14:cfRule>
          <x14:cfRule type="expression" priority="42" id="{8135F86F-1043-CD49-B5D7-61F918B4FE86}">
            <xm:f>AND(ISNUMBER(B25), B25&gt;=0.8, VLOOKUP($A22,Course!$B$2:$L$300, 11,FALSE)="Art Electives")</xm:f>
            <x14:dxf>
              <font>
                <color rgb="FF7030A0"/>
              </font>
            </x14:dxf>
          </x14:cfRule>
          <x14:cfRule type="expression" priority="43" id="{CF039310-FE61-E748-9D06-DC649BBE1747}">
            <xm:f>AND(ISNUMBER(B25), B25&gt;=0.8, VLOOKUP($A22,Course!$B$2:$L$300, 11,FALSE)="Maths")</xm:f>
            <x14:dxf>
              <font>
                <color rgb="FFFFFF00"/>
              </font>
            </x14:dxf>
          </x14:cfRule>
          <x14:cfRule type="expression" priority="44" id="{639332FB-0805-734B-89B9-37048E93E4A9}">
            <xm:f>AND(ISNUMBER(B25), B25&gt;=0.8, VLOOKUP($A22,Course!$B$2:$L$300, 11,FALSE)="Biblical Studies")</xm:f>
            <x14:dxf>
              <font>
                <color theme="7"/>
              </font>
            </x14:dxf>
          </x14:cfRule>
          <x14:cfRule type="expression" priority="45" id="{149E6FDA-E741-4743-A636-8D3630D10A5A}">
            <xm:f>AND(ISNUMBER(B25), B25&gt;=0.8, VLOOKUP($A22,Course!$B$2:$L$300, 11,FALSE)="Word Building")</xm:f>
            <x14:dxf>
              <font>
                <color rgb="FF7030A0"/>
              </font>
            </x14:dxf>
          </x14:cfRule>
          <x14:cfRule type="expression" priority="46" id="{B75B5D7C-D691-924A-B996-2C6EDC953C4F}">
            <xm:f>AND(ISNUMBER(B25), B25&gt;=0.8, VLOOKUP($A22,Course!$B$2:$L$300, 11,FALSE)="Science")</xm:f>
            <x14:dxf>
              <font>
                <color rgb="FF0070C0"/>
              </font>
            </x14:dxf>
          </x14:cfRule>
          <x14:cfRule type="expression" priority="47" id="{212D72FD-E36C-F940-BE50-F7E5A257334D}">
            <xm:f>AND(ISNUMBER(B25), B25&gt;=0.8, VLOOKUP($A22,Course!$B$2:$L$300, 11,FALSE)="Language")</xm:f>
            <x14:dxf>
              <font>
                <color rgb="FFFF0000"/>
              </font>
            </x14:dxf>
          </x14:cfRule>
          <x14:cfRule type="expression" priority="48" id="{5685AFB9-E767-1042-9C01-4F1262FF7BFE}">
            <xm:f>AND(ISNUMBER(B25), B25&gt;=0.8, VLOOKUP($A22,Course!$B$2:$L$300, 11,FALSE)="Social Studies")</xm:f>
            <x14:dxf>
              <font>
                <color rgb="FF92D050"/>
              </font>
            </x14:dxf>
          </x14:cfRule>
          <xm:sqref>B24:N24</xm:sqref>
        </x14:conditionalFormatting>
        <x14:conditionalFormatting xmlns:xm="http://schemas.microsoft.com/office/excel/2006/main">
          <x14:cfRule type="expression" priority="33" id="{B3F31F0C-170E-324B-902D-2F78B76E3D27}">
            <xm:f>AND(ISNUMBER(B30), B30&gt;=0.8, VLOOKUP($A27,Course!$B$2:$L$300, 11,FALSE)="Technology Electives")</xm:f>
            <x14:dxf>
              <font>
                <color rgb="FF7030A0"/>
              </font>
            </x14:dxf>
          </x14:cfRule>
          <x14:cfRule type="expression" priority="34" id="{883C41CD-493C-834C-BBB4-A32D48C444C7}">
            <xm:f>AND(ISNUMBER(B30), B30&gt;=0.8, VLOOKUP($A27,Course!$B$2:$L$300, 11,FALSE)="Art Electives")</xm:f>
            <x14:dxf>
              <font>
                <color rgb="FF7030A0"/>
              </font>
            </x14:dxf>
          </x14:cfRule>
          <x14:cfRule type="expression" priority="35" id="{02EDCBC5-8024-E042-978C-78521F1CB625}">
            <xm:f>AND(ISNUMBER(B30), B30&gt;=0.8, VLOOKUP($A27,Course!$B$2:$L$300, 11,FALSE)="Maths")</xm:f>
            <x14:dxf>
              <font>
                <color rgb="FFFFFF00"/>
              </font>
            </x14:dxf>
          </x14:cfRule>
          <x14:cfRule type="expression" priority="36" id="{28437A14-C042-A846-B621-6605CC1D27D9}">
            <xm:f>AND(ISNUMBER(B30), B30&gt;=0.8, VLOOKUP($A27,Course!$B$2:$L$300, 11,FALSE)="Biblical Studies")</xm:f>
            <x14:dxf>
              <font>
                <color theme="7"/>
              </font>
            </x14:dxf>
          </x14:cfRule>
          <x14:cfRule type="expression" priority="37" id="{79437E5A-831F-F041-8AA1-0BCFF2F5702A}">
            <xm:f>AND(ISNUMBER(B30), B30&gt;=0.8, VLOOKUP($A27,Course!$B$2:$L$300, 11,FALSE)="Word Building")</xm:f>
            <x14:dxf>
              <font>
                <color rgb="FF7030A0"/>
              </font>
            </x14:dxf>
          </x14:cfRule>
          <x14:cfRule type="expression" priority="38" id="{9C34AFDB-7DCC-F64E-B32A-43AAD679CC63}">
            <xm:f>AND(ISNUMBER(B30), B30&gt;=0.8, VLOOKUP($A27,Course!$B$2:$L$300, 11,FALSE)="Science")</xm:f>
            <x14:dxf>
              <font>
                <color rgb="FF0070C0"/>
              </font>
            </x14:dxf>
          </x14:cfRule>
          <x14:cfRule type="expression" priority="39" id="{4777EE7C-1267-884D-A4C6-696D17ECE1CA}">
            <xm:f>AND(ISNUMBER(B30), B30&gt;=0.8, VLOOKUP($A27,Course!$B$2:$L$300, 11,FALSE)="Language")</xm:f>
            <x14:dxf>
              <font>
                <color rgb="FFFF0000"/>
              </font>
            </x14:dxf>
          </x14:cfRule>
          <x14:cfRule type="expression" priority="40" id="{A0EDF59A-AC28-9F47-BA88-9E5EDBF73DFA}">
            <xm:f>AND(ISNUMBER(B30), B30&gt;=0.8, VLOOKUP($A27,Course!$B$2:$L$300, 11,FALSE)="Social Studies")</xm:f>
            <x14:dxf>
              <font>
                <color rgb="FF92D050"/>
              </font>
            </x14:dxf>
          </x14:cfRule>
          <xm:sqref>B29:N29</xm:sqref>
        </x14:conditionalFormatting>
        <x14:conditionalFormatting xmlns:xm="http://schemas.microsoft.com/office/excel/2006/main">
          <x14:cfRule type="expression" priority="25" id="{4D2B6724-2F65-7A4F-B3D9-04438DA193B4}">
            <xm:f>AND(ISNUMBER(B35), B35&gt;=0.8, VLOOKUP($A32,Course!$B$2:$L$300, 11,FALSE)="Technology Electives")</xm:f>
            <x14:dxf>
              <font>
                <color rgb="FF7030A0"/>
              </font>
            </x14:dxf>
          </x14:cfRule>
          <x14:cfRule type="expression" priority="26" id="{43527B0B-6E2F-FB45-8A41-BADCC0379152}">
            <xm:f>AND(ISNUMBER(B35), B35&gt;=0.8, VLOOKUP($A32,Course!$B$2:$L$300, 11,FALSE)="Art Electives")</xm:f>
            <x14:dxf>
              <font>
                <color rgb="FF7030A0"/>
              </font>
            </x14:dxf>
          </x14:cfRule>
          <x14:cfRule type="expression" priority="27" id="{556BBD05-091F-EB48-A5B9-E97A91378ECC}">
            <xm:f>AND(ISNUMBER(B35), B35&gt;=0.8, VLOOKUP($A32,Course!$B$2:$L$300, 11,FALSE)="Maths")</xm:f>
            <x14:dxf>
              <font>
                <color rgb="FFFFFF00"/>
              </font>
            </x14:dxf>
          </x14:cfRule>
          <x14:cfRule type="expression" priority="28" id="{1221EEC8-BF9C-1147-83D1-7ED9E037ABD5}">
            <xm:f>AND(ISNUMBER(B35), B35&gt;=0.8, VLOOKUP($A32,Course!$B$2:$L$300, 11,FALSE)="Biblical Studies")</xm:f>
            <x14:dxf>
              <font>
                <color theme="7"/>
              </font>
            </x14:dxf>
          </x14:cfRule>
          <x14:cfRule type="expression" priority="29" id="{A567B6AB-4B26-7747-A7BE-7B8297FC74D1}">
            <xm:f>AND(ISNUMBER(B35), B35&gt;=0.8, VLOOKUP($A32,Course!$B$2:$L$300, 11,FALSE)="Word Building")</xm:f>
            <x14:dxf>
              <font>
                <color rgb="FF7030A0"/>
              </font>
            </x14:dxf>
          </x14:cfRule>
          <x14:cfRule type="expression" priority="30" id="{67B11243-3878-6041-BD6F-356B12EE099D}">
            <xm:f>AND(ISNUMBER(B35), B35&gt;=0.8, VLOOKUP($A32,Course!$B$2:$L$300, 11,FALSE)="Science")</xm:f>
            <x14:dxf>
              <font>
                <color rgb="FF0070C0"/>
              </font>
            </x14:dxf>
          </x14:cfRule>
          <x14:cfRule type="expression" priority="31" id="{7AC56EAE-682C-B04B-A118-8EB28255ECBB}">
            <xm:f>AND(ISNUMBER(B35), B35&gt;=0.8, VLOOKUP($A32,Course!$B$2:$L$300, 11,FALSE)="Language")</xm:f>
            <x14:dxf>
              <font>
                <color rgb="FFFF0000"/>
              </font>
            </x14:dxf>
          </x14:cfRule>
          <x14:cfRule type="expression" priority="32" id="{755A80C3-4C82-A84F-9B75-17307D5F5EBD}">
            <xm:f>AND(ISNUMBER(B35), B35&gt;=0.8, VLOOKUP($A32,Course!$B$2:$L$300, 11,FALSE)="Social Studies")</xm:f>
            <x14:dxf>
              <font>
                <color rgb="FF92D050"/>
              </font>
            </x14:dxf>
          </x14:cfRule>
          <xm:sqref>B34:N34</xm:sqref>
        </x14:conditionalFormatting>
        <x14:conditionalFormatting xmlns:xm="http://schemas.microsoft.com/office/excel/2006/main">
          <x14:cfRule type="expression" priority="17" id="{EE75C1BA-65A4-E446-B42B-1FE41C1A2259}">
            <xm:f>AND(ISNUMBER(B40), B40&gt;=0.8, VLOOKUP($A37,Course!$B$2:$L$300, 11,FALSE)="Technology Electives")</xm:f>
            <x14:dxf>
              <font>
                <color rgb="FF7030A0"/>
              </font>
            </x14:dxf>
          </x14:cfRule>
          <x14:cfRule type="expression" priority="18" id="{4CAF1215-7411-5B4D-9715-6A0FA9264D78}">
            <xm:f>AND(ISNUMBER(B40), B40&gt;=0.8, VLOOKUP($A37,Course!$B$2:$L$300, 11,FALSE)="Art Electives")</xm:f>
            <x14:dxf>
              <font>
                <color rgb="FF7030A0"/>
              </font>
            </x14:dxf>
          </x14:cfRule>
          <x14:cfRule type="expression" priority="19" id="{D2C38F92-0A9A-A345-9D81-5069F46E3A8B}">
            <xm:f>AND(ISNUMBER(B40), B40&gt;=0.8, VLOOKUP($A37,Course!$B$2:$L$300, 11,FALSE)="Maths")</xm:f>
            <x14:dxf>
              <font>
                <color rgb="FFFFFF00"/>
              </font>
            </x14:dxf>
          </x14:cfRule>
          <x14:cfRule type="expression" priority="20" id="{22D4D516-8B44-4246-9AE9-F3F065AF9BBA}">
            <xm:f>AND(ISNUMBER(B40), B40&gt;=0.8, VLOOKUP($A37,Course!$B$2:$L$300, 11,FALSE)="Biblical Studies")</xm:f>
            <x14:dxf>
              <font>
                <color theme="7"/>
              </font>
            </x14:dxf>
          </x14:cfRule>
          <x14:cfRule type="expression" priority="21" id="{59378921-66A6-124F-8839-99713BC44A7D}">
            <xm:f>AND(ISNUMBER(B40), B40&gt;=0.8, VLOOKUP($A37,Course!$B$2:$L$300, 11,FALSE)="Word Building")</xm:f>
            <x14:dxf>
              <font>
                <color rgb="FF7030A0"/>
              </font>
            </x14:dxf>
          </x14:cfRule>
          <x14:cfRule type="expression" priority="22" id="{884FC549-850A-0445-B0BE-C6266CCD4D9A}">
            <xm:f>AND(ISNUMBER(B40), B40&gt;=0.8, VLOOKUP($A37,Course!$B$2:$L$300, 11,FALSE)="Science")</xm:f>
            <x14:dxf>
              <font>
                <color rgb="FF0070C0"/>
              </font>
            </x14:dxf>
          </x14:cfRule>
          <x14:cfRule type="expression" priority="23" id="{2064A31D-8E2C-A74A-836E-2D3808303AD0}">
            <xm:f>AND(ISNUMBER(B40), B40&gt;=0.8, VLOOKUP($A37,Course!$B$2:$L$300, 11,FALSE)="Language")</xm:f>
            <x14:dxf>
              <font>
                <color rgb="FFFF0000"/>
              </font>
            </x14:dxf>
          </x14:cfRule>
          <x14:cfRule type="expression" priority="24" id="{E4EAB40E-AE02-A541-A33D-8CBCD16133E3}">
            <xm:f>AND(ISNUMBER(B40), B40&gt;=0.8, VLOOKUP($A37,Course!$B$2:$L$300, 11,FALSE)="Social Studies")</xm:f>
            <x14:dxf>
              <font>
                <color rgb="FF92D050"/>
              </font>
            </x14:dxf>
          </x14:cfRule>
          <xm:sqref>B39:N39</xm:sqref>
        </x14:conditionalFormatting>
        <x14:conditionalFormatting xmlns:xm="http://schemas.microsoft.com/office/excel/2006/main">
          <x14:cfRule type="expression" priority="9" id="{DAD9D294-4054-4E45-9467-E0EC7EA91A48}">
            <xm:f>AND(ISNUMBER(B45), B45&gt;=0.8, VLOOKUP($A42,Course!$B$2:$L$300, 11,FALSE)="Technology Electives")</xm:f>
            <x14:dxf>
              <font>
                <color rgb="FF7030A0"/>
              </font>
            </x14:dxf>
          </x14:cfRule>
          <x14:cfRule type="expression" priority="10" id="{AA04FB38-5DBF-6349-AE21-CAA61B61F034}">
            <xm:f>AND(ISNUMBER(B45), B45&gt;=0.8, VLOOKUP($A42,Course!$B$2:$L$300, 11,FALSE)="Art Electives")</xm:f>
            <x14:dxf>
              <font>
                <color rgb="FF7030A0"/>
              </font>
            </x14:dxf>
          </x14:cfRule>
          <x14:cfRule type="expression" priority="11" id="{93083BF6-7E0D-DD45-8BD4-A4062658F4AA}">
            <xm:f>AND(ISNUMBER(B45), B45&gt;=0.8, VLOOKUP($A42,Course!$B$2:$L$300, 11,FALSE)="Maths")</xm:f>
            <x14:dxf>
              <font>
                <color rgb="FFFFFF00"/>
              </font>
            </x14:dxf>
          </x14:cfRule>
          <x14:cfRule type="expression" priority="12" id="{C518E03B-B6A4-3343-B130-9A12931A3248}">
            <xm:f>AND(ISNUMBER(B45), B45&gt;=0.8, VLOOKUP($A42,Course!$B$2:$L$300, 11,FALSE)="Biblical Studies")</xm:f>
            <x14:dxf>
              <font>
                <color theme="7"/>
              </font>
            </x14:dxf>
          </x14:cfRule>
          <x14:cfRule type="expression" priority="13" id="{FF468FE3-6883-874E-81DC-4ABC5665DC4C}">
            <xm:f>AND(ISNUMBER(B45), B45&gt;=0.8, VLOOKUP($A42,Course!$B$2:$L$300, 11,FALSE)="Word Building")</xm:f>
            <x14:dxf>
              <font>
                <color rgb="FF7030A0"/>
              </font>
            </x14:dxf>
          </x14:cfRule>
          <x14:cfRule type="expression" priority="14" id="{F898A74B-ABEE-6546-AE24-D833E4A567B0}">
            <xm:f>AND(ISNUMBER(B45), B45&gt;=0.8, VLOOKUP($A42,Course!$B$2:$L$300, 11,FALSE)="Science")</xm:f>
            <x14:dxf>
              <font>
                <color rgb="FF0070C0"/>
              </font>
            </x14:dxf>
          </x14:cfRule>
          <x14:cfRule type="expression" priority="15" id="{E494A094-299A-184C-A748-4DF90B1994D8}">
            <xm:f>AND(ISNUMBER(B45), B45&gt;=0.8, VLOOKUP($A42,Course!$B$2:$L$300, 11,FALSE)="Language")</xm:f>
            <x14:dxf>
              <font>
                <color rgb="FFFF0000"/>
              </font>
            </x14:dxf>
          </x14:cfRule>
          <x14:cfRule type="expression" priority="16" id="{E1369F08-0C68-2C4B-9299-1E78F968CCC3}">
            <xm:f>AND(ISNUMBER(B45), B45&gt;=0.8, VLOOKUP($A42,Course!$B$2:$L$300, 11,FALSE)="Social Studies")</xm:f>
            <x14:dxf>
              <font>
                <color rgb="FF92D050"/>
              </font>
            </x14:dxf>
          </x14:cfRule>
          <xm:sqref>B44:N44</xm:sqref>
        </x14:conditionalFormatting>
        <x14:conditionalFormatting xmlns:xm="http://schemas.microsoft.com/office/excel/2006/main">
          <x14:cfRule type="expression" priority="1" id="{3E246179-92E7-6C4B-A20F-C03AB6203E12}">
            <xm:f>AND(ISNUMBER(B50), B50&gt;=0.8, VLOOKUP($A47,Course!$B$2:$L$300, 11,FALSE)="Technology Electives")</xm:f>
            <x14:dxf>
              <font>
                <color rgb="FF7030A0"/>
              </font>
            </x14:dxf>
          </x14:cfRule>
          <x14:cfRule type="expression" priority="2" id="{2FBE688F-FB41-914A-91EB-A6CB65E55F11}">
            <xm:f>AND(ISNUMBER(B50), B50&gt;=0.8, VLOOKUP($A47,Course!$B$2:$L$300, 11,FALSE)="Art Electives")</xm:f>
            <x14:dxf>
              <font>
                <color rgb="FF7030A0"/>
              </font>
            </x14:dxf>
          </x14:cfRule>
          <x14:cfRule type="expression" priority="3" id="{032B8FB8-D779-6645-A159-1F11D6A864C9}">
            <xm:f>AND(ISNUMBER(B50), B50&gt;=0.8, VLOOKUP($A47,Course!$B$2:$L$300, 11,FALSE)="Maths")</xm:f>
            <x14:dxf>
              <font>
                <color rgb="FFFFFF00"/>
              </font>
            </x14:dxf>
          </x14:cfRule>
          <x14:cfRule type="expression" priority="4" id="{E00E25FB-B301-8C4A-8A57-605A832094C9}">
            <xm:f>AND(ISNUMBER(B50), B50&gt;=0.8, VLOOKUP($A47,Course!$B$2:$L$300, 11,FALSE)="Biblical Studies")</xm:f>
            <x14:dxf>
              <font>
                <color theme="7"/>
              </font>
            </x14:dxf>
          </x14:cfRule>
          <x14:cfRule type="expression" priority="5" id="{6D7A9408-BEAA-0546-82EA-A3D44620526E}">
            <xm:f>AND(ISNUMBER(B50), B50&gt;=0.8, VLOOKUP($A47,Course!$B$2:$L$300, 11,FALSE)="Word Building")</xm:f>
            <x14:dxf>
              <font>
                <color rgb="FF7030A0"/>
              </font>
            </x14:dxf>
          </x14:cfRule>
          <x14:cfRule type="expression" priority="6" id="{FC40A931-E45C-F949-87CB-E12DF4964CFA}">
            <xm:f>AND(ISNUMBER(B50), B50&gt;=0.8, VLOOKUP($A47,Course!$B$2:$L$300, 11,FALSE)="Science")</xm:f>
            <x14:dxf>
              <font>
                <color rgb="FF0070C0"/>
              </font>
            </x14:dxf>
          </x14:cfRule>
          <x14:cfRule type="expression" priority="7" id="{279F200B-97F3-9C46-9327-439D05C71194}">
            <xm:f>AND(ISNUMBER(B50), B50&gt;=0.8, VLOOKUP($A47,Course!$B$2:$L$300, 11,FALSE)="Language")</xm:f>
            <x14:dxf>
              <font>
                <color rgb="FFFF0000"/>
              </font>
            </x14:dxf>
          </x14:cfRule>
          <x14:cfRule type="expression" priority="8" id="{8A37CDB1-DFE6-BF4F-BF60-792B678E3A6E}">
            <xm:f>AND(ISNUMBER(B50), B50&gt;=0.8, VLOOKUP($A47,Course!$B$2:$L$300, 11,FALSE)="Social Studies")</xm:f>
            <x14:dxf>
              <font>
                <color rgb="FF92D050"/>
              </font>
            </x14:dxf>
          </x14:cfRule>
          <xm:sqref>B49:N49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1A2A98D-AC37-FA45-AA56-F3890B169580}">
          <x14:formula1>
            <xm:f>Course!$B$2:$B$165</xm:f>
          </x14:formula1>
          <xm:sqref>A7 A47 A42 A37 A32 A27 A22 A17 A12 A2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700E-34C4-4DCA-853A-0F2BD3CABC7A}">
  <dimension ref="A1:E12"/>
  <sheetViews>
    <sheetView zoomScale="220" workbookViewId="0">
      <pane xSplit="2" ySplit="1" topLeftCell="C2" activePane="bottomRight" state="frozen"/>
      <selection pane="topRight" activeCell="C1" sqref="C1"/>
      <selection pane="bottomLeft" activeCell="A2" sqref="A2"/>
      <selection pane="bottomRight" activeCell="D9" sqref="D9"/>
    </sheetView>
  </sheetViews>
  <sheetFormatPr baseColWidth="10" defaultColWidth="8.83203125" defaultRowHeight="15" x14ac:dyDescent="0.2"/>
  <cols>
    <col min="2" max="2" width="19.6640625" bestFit="1" customWidth="1"/>
  </cols>
  <sheetData>
    <row r="1" spans="1:5" x14ac:dyDescent="0.2">
      <c r="A1" s="37" t="s">
        <v>372</v>
      </c>
      <c r="B1" s="37" t="s">
        <v>1569</v>
      </c>
      <c r="C1" s="37" t="s">
        <v>1592</v>
      </c>
      <c r="D1" s="37" t="s">
        <v>1590</v>
      </c>
      <c r="E1" s="37" t="s">
        <v>362</v>
      </c>
    </row>
    <row r="2" spans="1:5" x14ac:dyDescent="0.2">
      <c r="A2">
        <v>1</v>
      </c>
      <c r="B2" s="49" t="s">
        <v>1587</v>
      </c>
      <c r="C2">
        <v>4</v>
      </c>
      <c r="D2" t="s">
        <v>1595</v>
      </c>
    </row>
    <row r="3" spans="1:5" x14ac:dyDescent="0.2">
      <c r="A3">
        <v>2</v>
      </c>
      <c r="B3" s="49" t="s">
        <v>47</v>
      </c>
      <c r="C3">
        <v>2</v>
      </c>
      <c r="D3" t="s">
        <v>1594</v>
      </c>
    </row>
    <row r="4" spans="1:5" x14ac:dyDescent="0.2">
      <c r="A4">
        <v>3</v>
      </c>
      <c r="B4" s="49" t="s">
        <v>1589</v>
      </c>
      <c r="C4">
        <v>9</v>
      </c>
      <c r="D4" t="s">
        <v>1598</v>
      </c>
    </row>
    <row r="5" spans="1:5" x14ac:dyDescent="0.2">
      <c r="A5">
        <v>4</v>
      </c>
      <c r="B5" s="49" t="s">
        <v>1586</v>
      </c>
      <c r="C5">
        <v>3</v>
      </c>
      <c r="D5" t="s">
        <v>1754</v>
      </c>
    </row>
    <row r="6" spans="1:5" x14ac:dyDescent="0.2">
      <c r="A6">
        <v>5</v>
      </c>
      <c r="B6" s="49" t="s">
        <v>1588</v>
      </c>
      <c r="C6">
        <v>5</v>
      </c>
      <c r="D6" t="s">
        <v>1596</v>
      </c>
    </row>
    <row r="7" spans="1:5" x14ac:dyDescent="0.2">
      <c r="A7">
        <v>6</v>
      </c>
      <c r="B7" s="49" t="s">
        <v>83</v>
      </c>
      <c r="C7">
        <v>6</v>
      </c>
      <c r="D7" t="s">
        <v>1597</v>
      </c>
    </row>
    <row r="8" spans="1:5" x14ac:dyDescent="0.2">
      <c r="A8">
        <v>7</v>
      </c>
      <c r="B8" s="49" t="s">
        <v>1585</v>
      </c>
      <c r="C8">
        <v>1</v>
      </c>
      <c r="D8" t="s">
        <v>1593</v>
      </c>
    </row>
    <row r="9" spans="1:5" x14ac:dyDescent="0.2">
      <c r="A9">
        <v>11</v>
      </c>
      <c r="B9" s="49" t="s">
        <v>1599</v>
      </c>
      <c r="C9">
        <v>9</v>
      </c>
      <c r="D9" t="s">
        <v>1598</v>
      </c>
    </row>
    <row r="10" spans="1:5" x14ac:dyDescent="0.2">
      <c r="A10">
        <v>12</v>
      </c>
      <c r="B10" s="49" t="s">
        <v>1584</v>
      </c>
      <c r="C10">
        <v>8</v>
      </c>
      <c r="D10" t="s">
        <v>1758</v>
      </c>
      <c r="E10" t="s">
        <v>1757</v>
      </c>
    </row>
    <row r="11" spans="1:5" x14ac:dyDescent="0.2">
      <c r="A11">
        <v>10</v>
      </c>
      <c r="B11" s="49" t="s">
        <v>1755</v>
      </c>
      <c r="C11">
        <v>10</v>
      </c>
      <c r="D11" t="s">
        <v>1756</v>
      </c>
    </row>
    <row r="12" spans="1:5" x14ac:dyDescent="0.2">
      <c r="A12">
        <v>8</v>
      </c>
      <c r="B12" s="49" t="s">
        <v>1759</v>
      </c>
      <c r="C12">
        <v>7</v>
      </c>
      <c r="D12" t="s">
        <v>1591</v>
      </c>
      <c r="E12" t="s">
        <v>1760</v>
      </c>
    </row>
  </sheetData>
  <autoFilter ref="A1:D10" xr:uid="{E63A700E-34C4-4DCA-853A-0F2BD3CABC7A}">
    <sortState xmlns:xlrd2="http://schemas.microsoft.com/office/spreadsheetml/2017/richdata2" ref="A2:D10">
      <sortCondition ref="A1:A10"/>
    </sortState>
  </autoFilter>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7DBAD-FC3F-2048-947A-879F0BF70628}">
  <sheetPr filterMode="1">
    <tabColor theme="4"/>
  </sheetPr>
  <dimension ref="A1:U1000"/>
  <sheetViews>
    <sheetView zoomScale="150" workbookViewId="0">
      <pane xSplit="2" ySplit="1" topLeftCell="C81" activePane="bottomRight" state="frozen"/>
      <selection activeCell="F24" sqref="F24"/>
      <selection pane="topRight" activeCell="F24" sqref="F24"/>
      <selection pane="bottomLeft" activeCell="F24" sqref="F24"/>
      <selection pane="bottomRight" activeCell="B58" sqref="B58"/>
    </sheetView>
  </sheetViews>
  <sheetFormatPr baseColWidth="10" defaultColWidth="14.5" defaultRowHeight="15" customHeight="1" x14ac:dyDescent="0.2"/>
  <cols>
    <col min="1" max="1" width="5.33203125" style="12" customWidth="1"/>
    <col min="2" max="2" width="35.6640625" style="12" customWidth="1"/>
    <col min="3" max="4" width="30.5" style="12" customWidth="1"/>
    <col min="5" max="5" width="23.83203125" style="12" customWidth="1"/>
    <col min="6" max="6" width="7.83203125" style="12" customWidth="1"/>
    <col min="7" max="7" width="9.33203125" style="12" customWidth="1"/>
    <col min="8" max="10" width="6.33203125" style="12" customWidth="1"/>
    <col min="11" max="11" width="7" style="12" customWidth="1"/>
    <col min="12" max="13" width="14.5" style="12" customWidth="1"/>
    <col min="14" max="14" width="36.33203125" style="12" customWidth="1"/>
    <col min="15" max="16" width="11.5" style="12" customWidth="1"/>
    <col min="17" max="17" width="21.6640625" style="12" customWidth="1"/>
    <col min="18" max="18" width="17.83203125" style="12" customWidth="1"/>
    <col min="19" max="19" width="30.6640625" style="12" customWidth="1"/>
    <col min="20" max="20" width="14.1640625" style="12" customWidth="1"/>
    <col min="21" max="27" width="11.5" style="12" customWidth="1"/>
    <col min="28" max="16384" width="14.5" style="12"/>
  </cols>
  <sheetData>
    <row r="1" spans="1:21" ht="48" x14ac:dyDescent="0.2">
      <c r="A1" s="20" t="s">
        <v>372</v>
      </c>
      <c r="B1" s="20" t="s">
        <v>371</v>
      </c>
      <c r="C1" s="20" t="s">
        <v>1680</v>
      </c>
      <c r="D1" s="20" t="s">
        <v>1676</v>
      </c>
      <c r="E1" s="20" t="s">
        <v>1681</v>
      </c>
      <c r="F1" s="20" t="s">
        <v>370</v>
      </c>
      <c r="G1" s="23" t="s">
        <v>369</v>
      </c>
      <c r="H1" s="23" t="s">
        <v>368</v>
      </c>
      <c r="I1" s="23" t="s">
        <v>367</v>
      </c>
      <c r="J1" s="23" t="s">
        <v>366</v>
      </c>
      <c r="K1" s="20" t="s">
        <v>365</v>
      </c>
      <c r="L1" s="20" t="s">
        <v>364</v>
      </c>
      <c r="M1" s="20" t="s">
        <v>363</v>
      </c>
      <c r="N1" s="22" t="s">
        <v>362</v>
      </c>
      <c r="O1" s="21" t="s">
        <v>361</v>
      </c>
      <c r="P1" s="20" t="s">
        <v>360</v>
      </c>
      <c r="Q1" s="20" t="s">
        <v>359</v>
      </c>
      <c r="R1" s="20" t="s">
        <v>358</v>
      </c>
      <c r="S1" s="20" t="s">
        <v>357</v>
      </c>
      <c r="T1" s="20" t="s">
        <v>356</v>
      </c>
      <c r="U1" s="20" t="s">
        <v>355</v>
      </c>
    </row>
    <row r="2" spans="1:21" hidden="1" x14ac:dyDescent="0.2">
      <c r="A2" s="12">
        <v>1</v>
      </c>
      <c r="B2" s="12" t="s">
        <v>354</v>
      </c>
      <c r="F2" s="12">
        <v>0</v>
      </c>
      <c r="G2" s="12">
        <v>1</v>
      </c>
      <c r="H2" s="12">
        <v>12</v>
      </c>
      <c r="I2" s="12">
        <f t="shared" ref="I2:I33" si="0">H2-G2+1</f>
        <v>12</v>
      </c>
      <c r="J2" s="12">
        <v>12</v>
      </c>
      <c r="K2" s="12">
        <v>1</v>
      </c>
      <c r="L2" s="12" t="str">
        <f>VLOOKUP(K2,Subject!$A$2:$B$12, 2, FALSE)</f>
        <v>Maths</v>
      </c>
      <c r="M2" s="12" t="str">
        <f>VLOOKUP(K2, [1]Subject!$A$2:$E$11, 5, FALSE)</f>
        <v>MA</v>
      </c>
      <c r="O2" s="12" t="s">
        <v>353</v>
      </c>
      <c r="P2" s="12">
        <v>2</v>
      </c>
      <c r="Q2" s="12" t="str">
        <f>VLOOKUP(P2, [1]SubjectGroup!$A$2:$B$8, 2, FALSE)</f>
        <v>Core Academic Studies</v>
      </c>
      <c r="R2" s="12" t="s">
        <v>44</v>
      </c>
      <c r="S2" s="12" t="str">
        <f>B2</f>
        <v>Maths Reading Readiness</v>
      </c>
      <c r="T2" s="12">
        <v>0.8</v>
      </c>
    </row>
    <row r="3" spans="1:21" hidden="1" x14ac:dyDescent="0.2">
      <c r="A3" s="12">
        <v>2</v>
      </c>
      <c r="B3" s="12" t="s">
        <v>352</v>
      </c>
      <c r="F3" s="12">
        <v>1</v>
      </c>
      <c r="G3" s="12">
        <v>1</v>
      </c>
      <c r="H3" s="12">
        <v>12</v>
      </c>
      <c r="I3" s="12">
        <f t="shared" si="0"/>
        <v>12</v>
      </c>
      <c r="J3" s="12">
        <v>12</v>
      </c>
      <c r="K3" s="12">
        <v>1</v>
      </c>
      <c r="L3" s="12" t="str">
        <f>VLOOKUP(K3,Subject!$A$2:$B$12, 2, FALSE)</f>
        <v>Maths</v>
      </c>
      <c r="M3" s="12" t="str">
        <f>VLOOKUP(K3, [1]Subject!$A$2:$E$11, 5, FALSE)</f>
        <v>MA</v>
      </c>
      <c r="O3" s="12" t="s">
        <v>52</v>
      </c>
      <c r="P3" s="12">
        <v>2</v>
      </c>
      <c r="Q3" s="12" t="str">
        <f>VLOOKUP(P3, [1]SubjectGroup!$A$2:$B$8, 2, FALSE)</f>
        <v>Core Academic Studies</v>
      </c>
      <c r="R3" s="12" t="s">
        <v>44</v>
      </c>
      <c r="S3" s="12" t="str">
        <f>B3</f>
        <v>Maths Level 1</v>
      </c>
      <c r="T3" s="12">
        <v>0.8</v>
      </c>
    </row>
    <row r="4" spans="1:21" hidden="1" x14ac:dyDescent="0.2">
      <c r="A4" s="12">
        <v>3</v>
      </c>
      <c r="B4" s="12" t="s">
        <v>351</v>
      </c>
      <c r="F4" s="12">
        <v>1</v>
      </c>
      <c r="G4" s="12">
        <v>1</v>
      </c>
      <c r="H4" s="12">
        <v>12</v>
      </c>
      <c r="I4" s="12">
        <f t="shared" si="0"/>
        <v>12</v>
      </c>
      <c r="J4" s="12">
        <v>12</v>
      </c>
      <c r="K4" s="12">
        <v>2</v>
      </c>
      <c r="L4" s="12" t="str">
        <f>VLOOKUP(K4,Subject!$A$2:$B$12, 2, FALSE)</f>
        <v>Language</v>
      </c>
      <c r="M4" s="12" t="str">
        <f>VLOOKUP(K4, [1]Subject!$A$2:$E$11, 5, FALSE)</f>
        <v>LA</v>
      </c>
      <c r="O4" s="12" t="s">
        <v>155</v>
      </c>
      <c r="P4" s="12">
        <v>2</v>
      </c>
      <c r="Q4" s="12" t="str">
        <f>VLOOKUP(P4, [1]SubjectGroup!$A$2:$B$8, 2, FALSE)</f>
        <v>Core Academic Studies</v>
      </c>
      <c r="R4" s="12" t="s">
        <v>44</v>
      </c>
      <c r="S4" s="12" t="str">
        <f>B4</f>
        <v>English Level 1</v>
      </c>
      <c r="T4" s="12">
        <v>0.8</v>
      </c>
    </row>
    <row r="5" spans="1:21" hidden="1" x14ac:dyDescent="0.2">
      <c r="A5" s="12">
        <v>4</v>
      </c>
      <c r="B5" s="12" t="s">
        <v>350</v>
      </c>
      <c r="F5" s="12">
        <v>1</v>
      </c>
      <c r="G5" s="12">
        <v>1</v>
      </c>
      <c r="H5" s="12">
        <v>12</v>
      </c>
      <c r="I5" s="12">
        <f t="shared" si="0"/>
        <v>12</v>
      </c>
      <c r="J5" s="12">
        <v>12</v>
      </c>
      <c r="K5" s="12">
        <v>3</v>
      </c>
      <c r="L5" s="12" t="str">
        <f>VLOOKUP(K5,Subject!$A$2:$B$12, 2, FALSE)</f>
        <v>Word Building</v>
      </c>
      <c r="M5" s="12" t="str">
        <f>VLOOKUP(K5, [1]Subject!$A$2:$E$11, 5, FALSE)</f>
        <v>WB</v>
      </c>
      <c r="O5" s="12" t="s">
        <v>284</v>
      </c>
      <c r="P5" s="12">
        <v>2</v>
      </c>
      <c r="Q5" s="12" t="str">
        <f>VLOOKUP(P5, [1]SubjectGroup!$A$2:$B$8, 2, FALSE)</f>
        <v>Core Academic Studies</v>
      </c>
      <c r="R5" s="12" t="s">
        <v>44</v>
      </c>
      <c r="S5" s="12" t="str">
        <f>B5</f>
        <v>Word Building Level 1</v>
      </c>
      <c r="T5" s="12">
        <v>0.9</v>
      </c>
    </row>
    <row r="6" spans="1:21" hidden="1" x14ac:dyDescent="0.2">
      <c r="A6" s="12">
        <v>5</v>
      </c>
      <c r="B6" s="12" t="s">
        <v>349</v>
      </c>
      <c r="F6" s="12">
        <v>1</v>
      </c>
      <c r="G6" s="12">
        <v>1</v>
      </c>
      <c r="H6" s="12">
        <v>12</v>
      </c>
      <c r="I6" s="12">
        <f t="shared" si="0"/>
        <v>12</v>
      </c>
      <c r="J6" s="12">
        <v>12</v>
      </c>
      <c r="K6" s="12">
        <v>4</v>
      </c>
      <c r="L6" s="12" t="str">
        <f>VLOOKUP(K6,Subject!$A$2:$B$12, 2, FALSE)</f>
        <v>Literature</v>
      </c>
      <c r="M6" s="12" t="str">
        <f>VLOOKUP(K6, [1]Subject!$A$2:$E$11, 5, FALSE)</f>
        <v>LI</v>
      </c>
      <c r="O6" s="12" t="s">
        <v>85</v>
      </c>
      <c r="P6" s="12">
        <v>2</v>
      </c>
      <c r="Q6" s="12" t="str">
        <f>VLOOKUP(P6, [1]SubjectGroup!$A$2:$B$8, 2, FALSE)</f>
        <v>Core Academic Studies</v>
      </c>
      <c r="R6" s="12" t="s">
        <v>44</v>
      </c>
      <c r="S6" s="12" t="str">
        <f>B6</f>
        <v>Literature and Creative Writing Level 1</v>
      </c>
      <c r="T6" s="12">
        <v>0.8</v>
      </c>
    </row>
    <row r="7" spans="1:21" hidden="1" x14ac:dyDescent="0.2">
      <c r="A7" s="12">
        <v>6</v>
      </c>
      <c r="B7" s="12" t="s">
        <v>347</v>
      </c>
      <c r="E7" s="12" t="s">
        <v>348</v>
      </c>
      <c r="F7" s="12">
        <v>1</v>
      </c>
      <c r="G7" s="12">
        <v>1</v>
      </c>
      <c r="H7" s="12">
        <v>12</v>
      </c>
      <c r="I7" s="12">
        <f t="shared" si="0"/>
        <v>12</v>
      </c>
      <c r="J7" s="12">
        <v>12</v>
      </c>
      <c r="K7" s="12">
        <v>5</v>
      </c>
      <c r="L7" s="12" t="str">
        <f>VLOOKUP(K7,Subject!$A$2:$B$12, 2, FALSE)</f>
        <v>Science</v>
      </c>
      <c r="M7" s="12" t="str">
        <f>VLOOKUP(K7, [1]Subject!$A$2:$E$11, 5, FALSE)</f>
        <v>SC</v>
      </c>
      <c r="O7" s="12" t="s">
        <v>50</v>
      </c>
      <c r="P7" s="12">
        <v>2</v>
      </c>
      <c r="Q7" s="12" t="str">
        <f>VLOOKUP(P7, [1]SubjectGroup!$A$2:$B$8, 2, FALSE)</f>
        <v>Core Academic Studies</v>
      </c>
      <c r="R7" s="12" t="s">
        <v>44</v>
      </c>
      <c r="S7" s="12" t="str">
        <f>B7</f>
        <v>Science Level 1</v>
      </c>
      <c r="T7" s="12">
        <v>0.8</v>
      </c>
    </row>
    <row r="8" spans="1:21" hidden="1" x14ac:dyDescent="0.2">
      <c r="A8" s="12">
        <v>7</v>
      </c>
      <c r="B8" s="12" t="s">
        <v>346</v>
      </c>
      <c r="F8" s="12">
        <v>1</v>
      </c>
      <c r="G8" s="12">
        <v>1</v>
      </c>
      <c r="H8" s="12">
        <v>12</v>
      </c>
      <c r="I8" s="12">
        <f t="shared" si="0"/>
        <v>12</v>
      </c>
      <c r="J8" s="12">
        <v>12</v>
      </c>
      <c r="K8" s="12">
        <v>6</v>
      </c>
      <c r="L8" s="12" t="str">
        <f>VLOOKUP(K8,Subject!$A$2:$B$12, 2, FALSE)</f>
        <v>Social Studies</v>
      </c>
      <c r="M8" s="12" t="str">
        <f>VLOOKUP(K8, [1]Subject!$A$2:$E$11, 5, FALSE)</f>
        <v>SS</v>
      </c>
      <c r="N8" s="14"/>
      <c r="O8" s="12" t="s">
        <v>295</v>
      </c>
      <c r="P8" s="12">
        <v>2</v>
      </c>
      <c r="Q8" s="12" t="str">
        <f>VLOOKUP(P8, [1]SubjectGroup!$A$2:$B$8, 2, FALSE)</f>
        <v>Core Academic Studies</v>
      </c>
      <c r="R8" s="12" t="s">
        <v>44</v>
      </c>
      <c r="S8" s="12" t="str">
        <f>B8</f>
        <v>Social Studies Level 1</v>
      </c>
      <c r="T8" s="12">
        <v>0.8</v>
      </c>
    </row>
    <row r="9" spans="1:21" hidden="1" x14ac:dyDescent="0.2">
      <c r="A9" s="12">
        <v>8</v>
      </c>
      <c r="B9" s="12" t="s">
        <v>345</v>
      </c>
      <c r="F9" s="12">
        <v>1</v>
      </c>
      <c r="G9" s="12">
        <v>1</v>
      </c>
      <c r="H9" s="12">
        <v>12</v>
      </c>
      <c r="I9" s="12">
        <f t="shared" si="0"/>
        <v>12</v>
      </c>
      <c r="J9" s="12">
        <v>12</v>
      </c>
      <c r="K9" s="12">
        <v>7</v>
      </c>
      <c r="L9" s="12" t="str">
        <f>VLOOKUP(K9,Subject!$A$2:$B$12, 2, FALSE)</f>
        <v>Biblical Studies</v>
      </c>
      <c r="M9" s="12" t="str">
        <f>VLOOKUP(K9, [1]Subject!$A$2:$E$11, 5, FALSE)</f>
        <v>BS</v>
      </c>
      <c r="O9" s="12" t="s">
        <v>289</v>
      </c>
      <c r="P9" s="12">
        <v>1</v>
      </c>
      <c r="Q9" s="12" t="str">
        <f>VLOOKUP(P9, [1]SubjectGroup!$A$2:$B$8, 2, FALSE)</f>
        <v>Christian Studies</v>
      </c>
      <c r="R9" s="12" t="s">
        <v>44</v>
      </c>
      <c r="S9" s="12" t="str">
        <f>B9</f>
        <v>Bible Reading Level 1</v>
      </c>
      <c r="T9" s="12">
        <v>0.8</v>
      </c>
    </row>
    <row r="10" spans="1:21" hidden="1" x14ac:dyDescent="0.2">
      <c r="A10" s="12">
        <v>9</v>
      </c>
      <c r="B10" s="12" t="s">
        <v>344</v>
      </c>
      <c r="F10" s="12">
        <v>2</v>
      </c>
      <c r="G10" s="12">
        <v>13</v>
      </c>
      <c r="H10" s="12">
        <v>24</v>
      </c>
      <c r="I10" s="12">
        <f t="shared" si="0"/>
        <v>12</v>
      </c>
      <c r="J10" s="12">
        <v>12</v>
      </c>
      <c r="K10" s="12">
        <v>1</v>
      </c>
      <c r="L10" s="12" t="str">
        <f>VLOOKUP(K10,Subject!$A$2:$B$12, 2, FALSE)</f>
        <v>Maths</v>
      </c>
      <c r="M10" s="12" t="str">
        <f>VLOOKUP(K10, [1]Subject!$A$2:$E$11, 5, FALSE)</f>
        <v>MA</v>
      </c>
      <c r="O10" s="12" t="s">
        <v>52</v>
      </c>
      <c r="P10" s="12">
        <v>2</v>
      </c>
      <c r="Q10" s="12" t="str">
        <f>VLOOKUP(P10, [1]SubjectGroup!$A$2:$B$8, 2, FALSE)</f>
        <v>Core Academic Studies</v>
      </c>
      <c r="R10" s="12" t="s">
        <v>44</v>
      </c>
      <c r="S10" s="12" t="str">
        <f>B10</f>
        <v>Maths Level 2</v>
      </c>
      <c r="T10" s="12">
        <v>0.8</v>
      </c>
    </row>
    <row r="11" spans="1:21" hidden="1" x14ac:dyDescent="0.2">
      <c r="A11" s="12">
        <v>10</v>
      </c>
      <c r="B11" s="12" t="s">
        <v>343</v>
      </c>
      <c r="F11" s="12">
        <v>2</v>
      </c>
      <c r="G11" s="12">
        <v>13</v>
      </c>
      <c r="H11" s="12">
        <v>24</v>
      </c>
      <c r="I11" s="12">
        <f t="shared" si="0"/>
        <v>12</v>
      </c>
      <c r="J11" s="12">
        <v>12</v>
      </c>
      <c r="K11" s="12">
        <v>2</v>
      </c>
      <c r="L11" s="12" t="str">
        <f>VLOOKUP(K11,Subject!$A$2:$B$12, 2, FALSE)</f>
        <v>Language</v>
      </c>
      <c r="M11" s="12" t="str">
        <f>VLOOKUP(K11, [1]Subject!$A$2:$E$11, 5, FALSE)</f>
        <v>LA</v>
      </c>
      <c r="O11" s="12" t="s">
        <v>155</v>
      </c>
      <c r="P11" s="12">
        <v>2</v>
      </c>
      <c r="Q11" s="12" t="str">
        <f>VLOOKUP(P11, [1]SubjectGroup!$A$2:$B$8, 2, FALSE)</f>
        <v>Core Academic Studies</v>
      </c>
      <c r="R11" s="12" t="s">
        <v>44</v>
      </c>
      <c r="S11" s="12" t="str">
        <f>B11</f>
        <v>English Level 2</v>
      </c>
      <c r="T11" s="12">
        <v>0.8</v>
      </c>
    </row>
    <row r="12" spans="1:21" hidden="1" x14ac:dyDescent="0.2">
      <c r="A12" s="12">
        <v>11</v>
      </c>
      <c r="B12" s="12" t="s">
        <v>342</v>
      </c>
      <c r="F12" s="12">
        <v>2</v>
      </c>
      <c r="G12" s="12">
        <v>13</v>
      </c>
      <c r="H12" s="12">
        <v>24</v>
      </c>
      <c r="I12" s="12">
        <f t="shared" si="0"/>
        <v>12</v>
      </c>
      <c r="J12" s="12">
        <v>12</v>
      </c>
      <c r="K12" s="12">
        <v>3</v>
      </c>
      <c r="L12" s="12" t="str">
        <f>VLOOKUP(K12,Subject!$A$2:$B$12, 2, FALSE)</f>
        <v>Word Building</v>
      </c>
      <c r="M12" s="12" t="str">
        <f>VLOOKUP(K12, [1]Subject!$A$2:$E$11, 5, FALSE)</f>
        <v>WB</v>
      </c>
      <c r="O12" s="12" t="s">
        <v>284</v>
      </c>
      <c r="P12" s="12">
        <v>2</v>
      </c>
      <c r="Q12" s="12" t="str">
        <f>VLOOKUP(P12, [1]SubjectGroup!$A$2:$B$8, 2, FALSE)</f>
        <v>Core Academic Studies</v>
      </c>
      <c r="R12" s="12" t="s">
        <v>44</v>
      </c>
      <c r="S12" s="12" t="str">
        <f>B12</f>
        <v>Word Building Level 2</v>
      </c>
      <c r="T12" s="12">
        <v>0.9</v>
      </c>
    </row>
    <row r="13" spans="1:21" hidden="1" x14ac:dyDescent="0.2">
      <c r="A13" s="12">
        <v>12</v>
      </c>
      <c r="B13" s="12" t="s">
        <v>341</v>
      </c>
      <c r="F13" s="12">
        <v>2</v>
      </c>
      <c r="G13" s="12">
        <v>13</v>
      </c>
      <c r="H13" s="12">
        <v>24</v>
      </c>
      <c r="I13" s="12">
        <f t="shared" si="0"/>
        <v>12</v>
      </c>
      <c r="J13" s="12">
        <v>12</v>
      </c>
      <c r="K13" s="12">
        <v>4</v>
      </c>
      <c r="L13" s="12" t="str">
        <f>VLOOKUP(K13,Subject!$A$2:$B$12, 2, FALSE)</f>
        <v>Literature</v>
      </c>
      <c r="M13" s="12" t="str">
        <f>VLOOKUP(K13, [1]Subject!$A$2:$E$11, 5, FALSE)</f>
        <v>LI</v>
      </c>
      <c r="O13" s="12" t="s">
        <v>85</v>
      </c>
      <c r="P13" s="12">
        <v>2</v>
      </c>
      <c r="Q13" s="12" t="str">
        <f>VLOOKUP(P13, [1]SubjectGroup!$A$2:$B$8, 2, FALSE)</f>
        <v>Core Academic Studies</v>
      </c>
      <c r="R13" s="12" t="s">
        <v>44</v>
      </c>
      <c r="S13" s="12" t="str">
        <f>B13</f>
        <v>Literature and Creative Writing Level 2</v>
      </c>
      <c r="T13" s="12">
        <v>0.8</v>
      </c>
    </row>
    <row r="14" spans="1:21" hidden="1" x14ac:dyDescent="0.2">
      <c r="A14" s="12">
        <v>13</v>
      </c>
      <c r="B14" s="12" t="s">
        <v>339</v>
      </c>
      <c r="E14" s="12" t="s">
        <v>340</v>
      </c>
      <c r="F14" s="12">
        <v>2</v>
      </c>
      <c r="G14" s="12">
        <v>13</v>
      </c>
      <c r="H14" s="12">
        <v>24</v>
      </c>
      <c r="I14" s="12">
        <f t="shared" si="0"/>
        <v>12</v>
      </c>
      <c r="J14" s="12">
        <v>12</v>
      </c>
      <c r="K14" s="12">
        <v>5</v>
      </c>
      <c r="L14" s="12" t="str">
        <f>VLOOKUP(K14,Subject!$A$2:$B$12, 2, FALSE)</f>
        <v>Science</v>
      </c>
      <c r="M14" s="12" t="str">
        <f>VLOOKUP(K14, [1]Subject!$A$2:$E$11, 5, FALSE)</f>
        <v>SC</v>
      </c>
      <c r="O14" s="12" t="s">
        <v>50</v>
      </c>
      <c r="P14" s="12">
        <v>2</v>
      </c>
      <c r="Q14" s="12" t="str">
        <f>VLOOKUP(P14, [1]SubjectGroup!$A$2:$B$8, 2, FALSE)</f>
        <v>Core Academic Studies</v>
      </c>
      <c r="R14" s="12" t="s">
        <v>44</v>
      </c>
      <c r="S14" s="12" t="str">
        <f>B14</f>
        <v>Science Level 2</v>
      </c>
      <c r="T14" s="12">
        <v>0.8</v>
      </c>
    </row>
    <row r="15" spans="1:21" hidden="1" x14ac:dyDescent="0.2">
      <c r="A15" s="12">
        <v>14</v>
      </c>
      <c r="B15" s="12" t="s">
        <v>338</v>
      </c>
      <c r="F15" s="12">
        <v>2</v>
      </c>
      <c r="G15" s="12">
        <v>13</v>
      </c>
      <c r="H15" s="12">
        <v>24</v>
      </c>
      <c r="I15" s="12">
        <f t="shared" si="0"/>
        <v>12</v>
      </c>
      <c r="J15" s="12">
        <v>12</v>
      </c>
      <c r="K15" s="12">
        <v>6</v>
      </c>
      <c r="L15" s="12" t="str">
        <f>VLOOKUP(K15,Subject!$A$2:$B$12, 2, FALSE)</f>
        <v>Social Studies</v>
      </c>
      <c r="M15" s="12" t="str">
        <f>VLOOKUP(K15, [1]Subject!$A$2:$E$11, 5, FALSE)</f>
        <v>SS</v>
      </c>
      <c r="N15" s="14"/>
      <c r="O15" s="12" t="s">
        <v>295</v>
      </c>
      <c r="P15" s="12">
        <v>2</v>
      </c>
      <c r="Q15" s="12" t="str">
        <f>VLOOKUP(P15, [1]SubjectGroup!$A$2:$B$8, 2, FALSE)</f>
        <v>Core Academic Studies</v>
      </c>
      <c r="R15" s="12" t="s">
        <v>44</v>
      </c>
      <c r="S15" s="12" t="str">
        <f>B15</f>
        <v>Social Studies Level 2</v>
      </c>
      <c r="T15" s="12">
        <v>0.8</v>
      </c>
    </row>
    <row r="16" spans="1:21" hidden="1" x14ac:dyDescent="0.2">
      <c r="A16" s="12">
        <v>15</v>
      </c>
      <c r="B16" s="12" t="s">
        <v>337</v>
      </c>
      <c r="F16" s="12">
        <v>2</v>
      </c>
      <c r="G16" s="12">
        <v>13</v>
      </c>
      <c r="H16" s="12">
        <v>24</v>
      </c>
      <c r="I16" s="12">
        <f t="shared" si="0"/>
        <v>12</v>
      </c>
      <c r="J16" s="12">
        <v>12</v>
      </c>
      <c r="K16" s="12">
        <v>7</v>
      </c>
      <c r="L16" s="12" t="str">
        <f>VLOOKUP(K16,Subject!$A$2:$B$12, 2, FALSE)</f>
        <v>Biblical Studies</v>
      </c>
      <c r="M16" s="12" t="str">
        <f>VLOOKUP(K16, [1]Subject!$A$2:$E$11, 5, FALSE)</f>
        <v>BS</v>
      </c>
      <c r="O16" s="12" t="s">
        <v>289</v>
      </c>
      <c r="P16" s="12">
        <v>1</v>
      </c>
      <c r="Q16" s="12" t="str">
        <f>VLOOKUP(P16, [1]SubjectGroup!$A$2:$B$8, 2, FALSE)</f>
        <v>Christian Studies</v>
      </c>
      <c r="R16" s="12" t="s">
        <v>44</v>
      </c>
      <c r="S16" s="12" t="str">
        <f>B16</f>
        <v>Bible Reading Level 2</v>
      </c>
      <c r="T16" s="12">
        <v>0.8</v>
      </c>
    </row>
    <row r="17" spans="1:20" hidden="1" x14ac:dyDescent="0.2">
      <c r="A17" s="12">
        <v>16</v>
      </c>
      <c r="B17" s="12" t="s">
        <v>336</v>
      </c>
      <c r="F17" s="12">
        <v>3</v>
      </c>
      <c r="G17" s="12">
        <v>25</v>
      </c>
      <c r="H17" s="12">
        <v>36</v>
      </c>
      <c r="I17" s="12">
        <f t="shared" si="0"/>
        <v>12</v>
      </c>
      <c r="J17" s="12">
        <v>12</v>
      </c>
      <c r="K17" s="12">
        <v>1</v>
      </c>
      <c r="L17" s="12" t="str">
        <f>VLOOKUP(K17,Subject!$A$2:$B$12, 2, FALSE)</f>
        <v>Maths</v>
      </c>
      <c r="M17" s="12" t="str">
        <f>VLOOKUP(K17, [1]Subject!$A$2:$E$11, 5, FALSE)</f>
        <v>MA</v>
      </c>
      <c r="O17" s="12" t="s">
        <v>52</v>
      </c>
      <c r="P17" s="12">
        <v>2</v>
      </c>
      <c r="Q17" s="12" t="str">
        <f>VLOOKUP(P17, [1]SubjectGroup!$A$2:$B$8, 2, FALSE)</f>
        <v>Core Academic Studies</v>
      </c>
      <c r="R17" s="12" t="s">
        <v>44</v>
      </c>
      <c r="S17" s="12" t="str">
        <f>B17</f>
        <v>Maths Level 3</v>
      </c>
      <c r="T17" s="12">
        <v>0.8</v>
      </c>
    </row>
    <row r="18" spans="1:20" hidden="1" x14ac:dyDescent="0.2">
      <c r="A18" s="12">
        <v>17</v>
      </c>
      <c r="B18" s="12" t="s">
        <v>335</v>
      </c>
      <c r="F18" s="12">
        <v>3</v>
      </c>
      <c r="G18" s="12">
        <v>25</v>
      </c>
      <c r="H18" s="12">
        <v>36</v>
      </c>
      <c r="I18" s="12">
        <f t="shared" si="0"/>
        <v>12</v>
      </c>
      <c r="J18" s="12">
        <v>12</v>
      </c>
      <c r="K18" s="12">
        <v>2</v>
      </c>
      <c r="L18" s="12" t="str">
        <f>VLOOKUP(K18,Subject!$A$2:$B$12, 2, FALSE)</f>
        <v>Language</v>
      </c>
      <c r="M18" s="12" t="str">
        <f>VLOOKUP(K18, [1]Subject!$A$2:$E$11, 5, FALSE)</f>
        <v>LA</v>
      </c>
      <c r="O18" s="12" t="s">
        <v>155</v>
      </c>
      <c r="P18" s="12">
        <v>2</v>
      </c>
      <c r="Q18" s="12" t="str">
        <f>VLOOKUP(P18, [1]SubjectGroup!$A$2:$B$8, 2, FALSE)</f>
        <v>Core Academic Studies</v>
      </c>
      <c r="R18" s="12" t="s">
        <v>44</v>
      </c>
      <c r="S18" s="12" t="str">
        <f>B18</f>
        <v>English Level 3</v>
      </c>
      <c r="T18" s="12">
        <v>0.8</v>
      </c>
    </row>
    <row r="19" spans="1:20" hidden="1" x14ac:dyDescent="0.2">
      <c r="A19" s="12">
        <v>18</v>
      </c>
      <c r="B19" s="12" t="s">
        <v>334</v>
      </c>
      <c r="F19" s="12">
        <v>3</v>
      </c>
      <c r="G19" s="12">
        <v>25</v>
      </c>
      <c r="H19" s="12">
        <v>36</v>
      </c>
      <c r="I19" s="12">
        <f t="shared" si="0"/>
        <v>12</v>
      </c>
      <c r="J19" s="12">
        <v>12</v>
      </c>
      <c r="K19" s="12">
        <v>3</v>
      </c>
      <c r="L19" s="12" t="str">
        <f>VLOOKUP(K19,Subject!$A$2:$B$12, 2, FALSE)</f>
        <v>Word Building</v>
      </c>
      <c r="M19" s="12" t="str">
        <f>VLOOKUP(K19, [1]Subject!$A$2:$E$11, 5, FALSE)</f>
        <v>WB</v>
      </c>
      <c r="O19" s="12" t="s">
        <v>284</v>
      </c>
      <c r="P19" s="12">
        <v>2</v>
      </c>
      <c r="Q19" s="12" t="str">
        <f>VLOOKUP(P19, [1]SubjectGroup!$A$2:$B$8, 2, FALSE)</f>
        <v>Core Academic Studies</v>
      </c>
      <c r="R19" s="12" t="s">
        <v>44</v>
      </c>
      <c r="S19" s="12" t="str">
        <f>B19</f>
        <v>Word Building Level 3</v>
      </c>
      <c r="T19" s="12">
        <v>0.9</v>
      </c>
    </row>
    <row r="20" spans="1:20" hidden="1" x14ac:dyDescent="0.2">
      <c r="A20" s="12">
        <v>19</v>
      </c>
      <c r="B20" s="12" t="s">
        <v>333</v>
      </c>
      <c r="F20" s="12">
        <v>3</v>
      </c>
      <c r="G20" s="12">
        <v>25</v>
      </c>
      <c r="H20" s="12">
        <v>36</v>
      </c>
      <c r="I20" s="12">
        <f t="shared" si="0"/>
        <v>12</v>
      </c>
      <c r="J20" s="12">
        <v>12</v>
      </c>
      <c r="K20" s="12">
        <v>4</v>
      </c>
      <c r="L20" s="12" t="str">
        <f>VLOOKUP(K20,Subject!$A$2:$B$12, 2, FALSE)</f>
        <v>Literature</v>
      </c>
      <c r="M20" s="12" t="str">
        <f>VLOOKUP(K20, [1]Subject!$A$2:$E$11, 5, FALSE)</f>
        <v>LI</v>
      </c>
      <c r="O20" s="12" t="s">
        <v>85</v>
      </c>
      <c r="P20" s="12">
        <v>2</v>
      </c>
      <c r="Q20" s="12" t="str">
        <f>VLOOKUP(P20, [1]SubjectGroup!$A$2:$B$8, 2, FALSE)</f>
        <v>Core Academic Studies</v>
      </c>
      <c r="R20" s="12" t="s">
        <v>44</v>
      </c>
      <c r="S20" s="12" t="str">
        <f>B20</f>
        <v>Literature and Creative Writing Level 3</v>
      </c>
      <c r="T20" s="12">
        <v>0.8</v>
      </c>
    </row>
    <row r="21" spans="1:20" ht="15.75" hidden="1" customHeight="1" x14ac:dyDescent="0.2">
      <c r="A21" s="12">
        <v>20</v>
      </c>
      <c r="B21" s="12" t="s">
        <v>331</v>
      </c>
      <c r="E21" s="12" t="s">
        <v>332</v>
      </c>
      <c r="F21" s="12">
        <v>3</v>
      </c>
      <c r="G21" s="12">
        <v>25</v>
      </c>
      <c r="H21" s="12">
        <v>36</v>
      </c>
      <c r="I21" s="12">
        <f t="shared" si="0"/>
        <v>12</v>
      </c>
      <c r="J21" s="12">
        <v>12</v>
      </c>
      <c r="K21" s="12">
        <v>5</v>
      </c>
      <c r="L21" s="12" t="str">
        <f>VLOOKUP(K21,Subject!$A$2:$B$12, 2, FALSE)</f>
        <v>Science</v>
      </c>
      <c r="M21" s="12" t="str">
        <f>VLOOKUP(K21, [1]Subject!$A$2:$E$11, 5, FALSE)</f>
        <v>SC</v>
      </c>
      <c r="O21" s="12" t="s">
        <v>50</v>
      </c>
      <c r="P21" s="12">
        <v>2</v>
      </c>
      <c r="Q21" s="12" t="str">
        <f>VLOOKUP(P21, [1]SubjectGroup!$A$2:$B$8, 2, FALSE)</f>
        <v>Core Academic Studies</v>
      </c>
      <c r="R21" s="12" t="s">
        <v>44</v>
      </c>
      <c r="S21" s="12" t="str">
        <f>B21</f>
        <v>Science Level 3</v>
      </c>
      <c r="T21" s="12">
        <v>0.8</v>
      </c>
    </row>
    <row r="22" spans="1:20" ht="15.75" hidden="1" customHeight="1" x14ac:dyDescent="0.2">
      <c r="A22" s="12">
        <v>21</v>
      </c>
      <c r="B22" s="12" t="s">
        <v>330</v>
      </c>
      <c r="F22" s="12">
        <v>3</v>
      </c>
      <c r="G22" s="12">
        <v>25</v>
      </c>
      <c r="H22" s="12">
        <v>36</v>
      </c>
      <c r="I22" s="12">
        <f t="shared" si="0"/>
        <v>12</v>
      </c>
      <c r="J22" s="12">
        <v>12</v>
      </c>
      <c r="K22" s="12">
        <v>6</v>
      </c>
      <c r="L22" s="12" t="str">
        <f>VLOOKUP(K22,Subject!$A$2:$B$12, 2, FALSE)</f>
        <v>Social Studies</v>
      </c>
      <c r="M22" s="12" t="str">
        <f>VLOOKUP(K22, [1]Subject!$A$2:$E$11, 5, FALSE)</f>
        <v>SS</v>
      </c>
      <c r="N22" s="14"/>
      <c r="O22" s="12" t="s">
        <v>295</v>
      </c>
      <c r="P22" s="12">
        <v>2</v>
      </c>
      <c r="Q22" s="12" t="str">
        <f>VLOOKUP(P22, [1]SubjectGroup!$A$2:$B$8, 2, FALSE)</f>
        <v>Core Academic Studies</v>
      </c>
      <c r="R22" s="12" t="s">
        <v>44</v>
      </c>
      <c r="S22" s="12" t="str">
        <f>B22</f>
        <v>Social Studies Level 3</v>
      </c>
      <c r="T22" s="12">
        <v>0.8</v>
      </c>
    </row>
    <row r="23" spans="1:20" ht="15.75" hidden="1" customHeight="1" x14ac:dyDescent="0.2">
      <c r="A23" s="12">
        <v>22</v>
      </c>
      <c r="B23" s="12" t="s">
        <v>329</v>
      </c>
      <c r="F23" s="12">
        <v>3</v>
      </c>
      <c r="G23" s="12">
        <v>25</v>
      </c>
      <c r="H23" s="12">
        <v>36</v>
      </c>
      <c r="I23" s="12">
        <f t="shared" si="0"/>
        <v>12</v>
      </c>
      <c r="J23" s="12">
        <v>12</v>
      </c>
      <c r="K23" s="12">
        <v>7</v>
      </c>
      <c r="L23" s="12" t="str">
        <f>VLOOKUP(K23,Subject!$A$2:$B$12, 2, FALSE)</f>
        <v>Biblical Studies</v>
      </c>
      <c r="M23" s="12" t="str">
        <f>VLOOKUP(K23, [1]Subject!$A$2:$E$11, 5, FALSE)</f>
        <v>BS</v>
      </c>
      <c r="O23" s="12" t="s">
        <v>289</v>
      </c>
      <c r="P23" s="12">
        <v>1</v>
      </c>
      <c r="Q23" s="12" t="str">
        <f>VLOOKUP(P23, [1]SubjectGroup!$A$2:$B$8, 2, FALSE)</f>
        <v>Christian Studies</v>
      </c>
      <c r="R23" s="12" t="s">
        <v>44</v>
      </c>
      <c r="S23" s="12" t="str">
        <f>B23</f>
        <v>Bible Reading Level 3</v>
      </c>
      <c r="T23" s="12">
        <v>0.8</v>
      </c>
    </row>
    <row r="24" spans="1:20" ht="15.75" hidden="1" customHeight="1" x14ac:dyDescent="0.2">
      <c r="A24" s="12">
        <v>23</v>
      </c>
      <c r="B24" s="12" t="s">
        <v>328</v>
      </c>
      <c r="F24" s="12">
        <v>4</v>
      </c>
      <c r="G24" s="12">
        <v>37</v>
      </c>
      <c r="H24" s="12">
        <v>48</v>
      </c>
      <c r="I24" s="12">
        <f t="shared" si="0"/>
        <v>12</v>
      </c>
      <c r="J24" s="12">
        <v>12</v>
      </c>
      <c r="K24" s="12">
        <v>1</v>
      </c>
      <c r="L24" s="12" t="str">
        <f>VLOOKUP(K24,Subject!$A$2:$B$12, 2, FALSE)</f>
        <v>Maths</v>
      </c>
      <c r="M24" s="12" t="str">
        <f>VLOOKUP(K24, [1]Subject!$A$2:$E$11, 5, FALSE)</f>
        <v>MA</v>
      </c>
      <c r="O24" s="12" t="s">
        <v>52</v>
      </c>
      <c r="P24" s="12">
        <v>2</v>
      </c>
      <c r="Q24" s="12" t="str">
        <f>VLOOKUP(P24, [1]SubjectGroup!$A$2:$B$8, 2, FALSE)</f>
        <v>Core Academic Studies</v>
      </c>
      <c r="R24" s="12" t="s">
        <v>44</v>
      </c>
      <c r="S24" s="12" t="str">
        <f>B24</f>
        <v>Maths Level 4</v>
      </c>
      <c r="T24" s="12">
        <v>0.8</v>
      </c>
    </row>
    <row r="25" spans="1:20" ht="15.75" hidden="1" customHeight="1" x14ac:dyDescent="0.2">
      <c r="A25" s="12">
        <v>24</v>
      </c>
      <c r="B25" s="12" t="s">
        <v>327</v>
      </c>
      <c r="F25" s="12">
        <v>4</v>
      </c>
      <c r="G25" s="12">
        <v>37</v>
      </c>
      <c r="H25" s="12">
        <v>48</v>
      </c>
      <c r="I25" s="12">
        <f t="shared" si="0"/>
        <v>12</v>
      </c>
      <c r="J25" s="12">
        <v>12</v>
      </c>
      <c r="K25" s="12">
        <v>2</v>
      </c>
      <c r="L25" s="12" t="str">
        <f>VLOOKUP(K25,Subject!$A$2:$B$12, 2, FALSE)</f>
        <v>Language</v>
      </c>
      <c r="M25" s="12" t="str">
        <f>VLOOKUP(K25, [1]Subject!$A$2:$E$11, 5, FALSE)</f>
        <v>LA</v>
      </c>
      <c r="O25" s="12" t="s">
        <v>155</v>
      </c>
      <c r="P25" s="12">
        <v>2</v>
      </c>
      <c r="Q25" s="12" t="str">
        <f>VLOOKUP(P25, [1]SubjectGroup!$A$2:$B$8, 2, FALSE)</f>
        <v>Core Academic Studies</v>
      </c>
      <c r="R25" s="12" t="s">
        <v>44</v>
      </c>
      <c r="S25" s="12" t="str">
        <f>B25</f>
        <v>English Level 4</v>
      </c>
      <c r="T25" s="12">
        <v>0.8</v>
      </c>
    </row>
    <row r="26" spans="1:20" ht="15.75" hidden="1" customHeight="1" x14ac:dyDescent="0.2">
      <c r="A26" s="12">
        <v>25</v>
      </c>
      <c r="B26" s="12" t="s">
        <v>326</v>
      </c>
      <c r="F26" s="12">
        <v>4</v>
      </c>
      <c r="G26" s="12">
        <v>37</v>
      </c>
      <c r="H26" s="12">
        <v>48</v>
      </c>
      <c r="I26" s="12">
        <f t="shared" si="0"/>
        <v>12</v>
      </c>
      <c r="J26" s="12">
        <v>12</v>
      </c>
      <c r="K26" s="12">
        <v>3</v>
      </c>
      <c r="L26" s="12" t="str">
        <f>VLOOKUP(K26,Subject!$A$2:$B$12, 2, FALSE)</f>
        <v>Word Building</v>
      </c>
      <c r="M26" s="12" t="str">
        <f>VLOOKUP(K26, [1]Subject!$A$2:$E$11, 5, FALSE)</f>
        <v>WB</v>
      </c>
      <c r="O26" s="12" t="s">
        <v>284</v>
      </c>
      <c r="P26" s="12">
        <v>2</v>
      </c>
      <c r="Q26" s="12" t="str">
        <f>VLOOKUP(P26, [1]SubjectGroup!$A$2:$B$8, 2, FALSE)</f>
        <v>Core Academic Studies</v>
      </c>
      <c r="R26" s="12" t="s">
        <v>44</v>
      </c>
      <c r="S26" s="12" t="str">
        <f>B26</f>
        <v>Word Building Level 4</v>
      </c>
      <c r="T26" s="12">
        <v>0.9</v>
      </c>
    </row>
    <row r="27" spans="1:20" ht="15.75" hidden="1" customHeight="1" x14ac:dyDescent="0.2">
      <c r="A27" s="12">
        <v>26</v>
      </c>
      <c r="B27" s="12" t="s">
        <v>325</v>
      </c>
      <c r="F27" s="12">
        <v>4</v>
      </c>
      <c r="G27" s="12">
        <v>37</v>
      </c>
      <c r="H27" s="12">
        <v>48</v>
      </c>
      <c r="I27" s="12">
        <f t="shared" si="0"/>
        <v>12</v>
      </c>
      <c r="J27" s="12">
        <v>12</v>
      </c>
      <c r="K27" s="12">
        <v>4</v>
      </c>
      <c r="L27" s="12" t="str">
        <f>VLOOKUP(K27,Subject!$A$2:$B$12, 2, FALSE)</f>
        <v>Literature</v>
      </c>
      <c r="M27" s="12" t="str">
        <f>VLOOKUP(K27, [1]Subject!$A$2:$E$11, 5, FALSE)</f>
        <v>LI</v>
      </c>
      <c r="O27" s="12" t="s">
        <v>85</v>
      </c>
      <c r="P27" s="12">
        <v>2</v>
      </c>
      <c r="Q27" s="12" t="str">
        <f>VLOOKUP(P27, [1]SubjectGroup!$A$2:$B$8, 2, FALSE)</f>
        <v>Core Academic Studies</v>
      </c>
      <c r="R27" s="12" t="s">
        <v>44</v>
      </c>
      <c r="S27" s="12" t="str">
        <f>B27</f>
        <v>Literature and Creative Writing Level 4</v>
      </c>
      <c r="T27" s="12">
        <v>0.8</v>
      </c>
    </row>
    <row r="28" spans="1:20" ht="15.75" hidden="1" customHeight="1" x14ac:dyDescent="0.2">
      <c r="A28" s="12">
        <v>27</v>
      </c>
      <c r="B28" s="12" t="s">
        <v>323</v>
      </c>
      <c r="E28" s="12" t="s">
        <v>324</v>
      </c>
      <c r="F28" s="12">
        <v>4</v>
      </c>
      <c r="G28" s="12">
        <v>37</v>
      </c>
      <c r="H28" s="12">
        <v>48</v>
      </c>
      <c r="I28" s="12">
        <f t="shared" si="0"/>
        <v>12</v>
      </c>
      <c r="J28" s="12">
        <v>12</v>
      </c>
      <c r="K28" s="12">
        <v>5</v>
      </c>
      <c r="L28" s="12" t="str">
        <f>VLOOKUP(K28,Subject!$A$2:$B$12, 2, FALSE)</f>
        <v>Science</v>
      </c>
      <c r="M28" s="12" t="str">
        <f>VLOOKUP(K28, [1]Subject!$A$2:$E$11, 5, FALSE)</f>
        <v>SC</v>
      </c>
      <c r="O28" s="12" t="s">
        <v>50</v>
      </c>
      <c r="P28" s="12">
        <v>2</v>
      </c>
      <c r="Q28" s="12" t="str">
        <f>VLOOKUP(P28, [1]SubjectGroup!$A$2:$B$8, 2, FALSE)</f>
        <v>Core Academic Studies</v>
      </c>
      <c r="R28" s="12" t="s">
        <v>44</v>
      </c>
      <c r="S28" s="12" t="str">
        <f>B28</f>
        <v>Science Level 4</v>
      </c>
      <c r="T28" s="12">
        <v>0.8</v>
      </c>
    </row>
    <row r="29" spans="1:20" ht="15.75" hidden="1" customHeight="1" x14ac:dyDescent="0.2">
      <c r="A29" s="12">
        <v>28</v>
      </c>
      <c r="B29" s="12" t="s">
        <v>322</v>
      </c>
      <c r="F29" s="12">
        <v>4</v>
      </c>
      <c r="G29" s="12">
        <v>37</v>
      </c>
      <c r="H29" s="12">
        <v>48</v>
      </c>
      <c r="I29" s="12">
        <f t="shared" si="0"/>
        <v>12</v>
      </c>
      <c r="J29" s="12">
        <v>12</v>
      </c>
      <c r="K29" s="12">
        <v>6</v>
      </c>
      <c r="L29" s="12" t="str">
        <f>VLOOKUP(K29,Subject!$A$2:$B$12, 2, FALSE)</f>
        <v>Social Studies</v>
      </c>
      <c r="M29" s="12" t="str">
        <f>VLOOKUP(K29, [1]Subject!$A$2:$E$11, 5, FALSE)</f>
        <v>SS</v>
      </c>
      <c r="N29" s="14"/>
      <c r="O29" s="12" t="s">
        <v>295</v>
      </c>
      <c r="P29" s="12">
        <v>2</v>
      </c>
      <c r="Q29" s="12" t="str">
        <f>VLOOKUP(P29, [1]SubjectGroup!$A$2:$B$8, 2, FALSE)</f>
        <v>Core Academic Studies</v>
      </c>
      <c r="R29" s="12" t="s">
        <v>44</v>
      </c>
      <c r="S29" s="12" t="str">
        <f>B29</f>
        <v>Social Studies Level 4</v>
      </c>
      <c r="T29" s="12">
        <v>0.8</v>
      </c>
    </row>
    <row r="30" spans="1:20" ht="15.75" hidden="1" customHeight="1" x14ac:dyDescent="0.2">
      <c r="A30" s="12">
        <v>29</v>
      </c>
      <c r="B30" s="12" t="s">
        <v>321</v>
      </c>
      <c r="F30" s="12">
        <v>4</v>
      </c>
      <c r="G30" s="12">
        <v>37</v>
      </c>
      <c r="H30" s="12">
        <v>48</v>
      </c>
      <c r="I30" s="12">
        <f t="shared" si="0"/>
        <v>12</v>
      </c>
      <c r="J30" s="12">
        <v>12</v>
      </c>
      <c r="K30" s="12">
        <v>7</v>
      </c>
      <c r="L30" s="12" t="str">
        <f>VLOOKUP(K30,Subject!$A$2:$B$12, 2, FALSE)</f>
        <v>Biblical Studies</v>
      </c>
      <c r="M30" s="12" t="str">
        <f>VLOOKUP(K30, [1]Subject!$A$2:$E$11, 5, FALSE)</f>
        <v>BS</v>
      </c>
      <c r="O30" s="12" t="s">
        <v>289</v>
      </c>
      <c r="P30" s="12">
        <v>1</v>
      </c>
      <c r="Q30" s="12" t="str">
        <f>VLOOKUP(P30, [1]SubjectGroup!$A$2:$B$8, 2, FALSE)</f>
        <v>Christian Studies</v>
      </c>
      <c r="R30" s="12" t="s">
        <v>44</v>
      </c>
      <c r="S30" s="12" t="str">
        <f>B30</f>
        <v>Bible Reading Level 4</v>
      </c>
      <c r="T30" s="12">
        <v>0.8</v>
      </c>
    </row>
    <row r="31" spans="1:20" ht="15.75" hidden="1" customHeight="1" x14ac:dyDescent="0.2">
      <c r="A31" s="12">
        <v>30</v>
      </c>
      <c r="B31" s="12" t="s">
        <v>320</v>
      </c>
      <c r="F31" s="12">
        <v>5</v>
      </c>
      <c r="G31" s="12">
        <v>49</v>
      </c>
      <c r="H31" s="12">
        <v>60</v>
      </c>
      <c r="I31" s="12">
        <f t="shared" si="0"/>
        <v>12</v>
      </c>
      <c r="J31" s="12">
        <v>12</v>
      </c>
      <c r="K31" s="12">
        <v>1</v>
      </c>
      <c r="L31" s="12" t="str">
        <f>VLOOKUP(K31,Subject!$A$2:$B$12, 2, FALSE)</f>
        <v>Maths</v>
      </c>
      <c r="M31" s="12" t="str">
        <f>VLOOKUP(K31, [1]Subject!$A$2:$E$11, 5, FALSE)</f>
        <v>MA</v>
      </c>
      <c r="O31" s="12" t="s">
        <v>52</v>
      </c>
      <c r="P31" s="12">
        <v>2</v>
      </c>
      <c r="Q31" s="12" t="str">
        <f>VLOOKUP(P31, [1]SubjectGroup!$A$2:$B$8, 2, FALSE)</f>
        <v>Core Academic Studies</v>
      </c>
      <c r="R31" s="12" t="s">
        <v>44</v>
      </c>
      <c r="S31" s="12" t="str">
        <f>B31</f>
        <v>Maths Level 5</v>
      </c>
      <c r="T31" s="12">
        <v>0.8</v>
      </c>
    </row>
    <row r="32" spans="1:20" ht="15.75" hidden="1" customHeight="1" x14ac:dyDescent="0.2">
      <c r="A32" s="12">
        <v>31</v>
      </c>
      <c r="B32" s="12" t="s">
        <v>319</v>
      </c>
      <c r="F32" s="12">
        <v>5</v>
      </c>
      <c r="G32" s="12">
        <v>49</v>
      </c>
      <c r="H32" s="12">
        <v>60</v>
      </c>
      <c r="I32" s="12">
        <f t="shared" si="0"/>
        <v>12</v>
      </c>
      <c r="J32" s="12">
        <v>12</v>
      </c>
      <c r="K32" s="12">
        <v>2</v>
      </c>
      <c r="L32" s="12" t="str">
        <f>VLOOKUP(K32,Subject!$A$2:$B$12, 2, FALSE)</f>
        <v>Language</v>
      </c>
      <c r="M32" s="12" t="str">
        <f>VLOOKUP(K32, [1]Subject!$A$2:$E$11, 5, FALSE)</f>
        <v>LA</v>
      </c>
      <c r="O32" s="12" t="s">
        <v>155</v>
      </c>
      <c r="P32" s="12">
        <v>2</v>
      </c>
      <c r="Q32" s="12" t="str">
        <f>VLOOKUP(P32, [1]SubjectGroup!$A$2:$B$8, 2, FALSE)</f>
        <v>Core Academic Studies</v>
      </c>
      <c r="R32" s="12" t="s">
        <v>44</v>
      </c>
      <c r="S32" s="12" t="str">
        <f>B32</f>
        <v>English Level 5</v>
      </c>
      <c r="T32" s="12">
        <v>0.8</v>
      </c>
    </row>
    <row r="33" spans="1:20" ht="15.75" hidden="1" customHeight="1" x14ac:dyDescent="0.2">
      <c r="A33" s="12">
        <v>32</v>
      </c>
      <c r="B33" s="12" t="s">
        <v>318</v>
      </c>
      <c r="F33" s="12">
        <v>5</v>
      </c>
      <c r="G33" s="12">
        <v>49</v>
      </c>
      <c r="H33" s="12">
        <v>60</v>
      </c>
      <c r="I33" s="12">
        <f t="shared" si="0"/>
        <v>12</v>
      </c>
      <c r="J33" s="12">
        <v>12</v>
      </c>
      <c r="K33" s="12">
        <v>3</v>
      </c>
      <c r="L33" s="12" t="str">
        <f>VLOOKUP(K33,Subject!$A$2:$B$12, 2, FALSE)</f>
        <v>Word Building</v>
      </c>
      <c r="M33" s="12" t="str">
        <f>VLOOKUP(K33, [1]Subject!$A$2:$E$11, 5, FALSE)</f>
        <v>WB</v>
      </c>
      <c r="O33" s="12" t="s">
        <v>284</v>
      </c>
      <c r="P33" s="12">
        <v>2</v>
      </c>
      <c r="Q33" s="12" t="str">
        <f>VLOOKUP(P33, [1]SubjectGroup!$A$2:$B$8, 2, FALSE)</f>
        <v>Core Academic Studies</v>
      </c>
      <c r="R33" s="12" t="s">
        <v>44</v>
      </c>
      <c r="S33" s="12" t="str">
        <f>B33</f>
        <v>Word Building Level 5</v>
      </c>
      <c r="T33" s="12">
        <v>0.9</v>
      </c>
    </row>
    <row r="34" spans="1:20" ht="15.75" hidden="1" customHeight="1" x14ac:dyDescent="0.2">
      <c r="A34" s="12">
        <v>33</v>
      </c>
      <c r="B34" s="12" t="s">
        <v>317</v>
      </c>
      <c r="F34" s="12">
        <v>5</v>
      </c>
      <c r="G34" s="12">
        <v>49</v>
      </c>
      <c r="H34" s="12">
        <v>60</v>
      </c>
      <c r="I34" s="12">
        <f t="shared" ref="I34:I65" si="1">H34-G34+1</f>
        <v>12</v>
      </c>
      <c r="J34" s="12">
        <v>12</v>
      </c>
      <c r="K34" s="12">
        <v>4</v>
      </c>
      <c r="L34" s="12" t="str">
        <f>VLOOKUP(K34,Subject!$A$2:$B$12, 2, FALSE)</f>
        <v>Literature</v>
      </c>
      <c r="M34" s="12" t="str">
        <f>VLOOKUP(K34, [1]Subject!$A$2:$E$11, 5, FALSE)</f>
        <v>LI</v>
      </c>
      <c r="O34" s="12" t="s">
        <v>85</v>
      </c>
      <c r="P34" s="12">
        <v>2</v>
      </c>
      <c r="Q34" s="12" t="str">
        <f>VLOOKUP(P34, [1]SubjectGroup!$A$2:$B$8, 2, FALSE)</f>
        <v>Core Academic Studies</v>
      </c>
      <c r="R34" s="12" t="s">
        <v>44</v>
      </c>
      <c r="S34" s="12" t="str">
        <f>B34</f>
        <v>Literature and Creative Writing Level 5</v>
      </c>
      <c r="T34" s="12">
        <v>0.8</v>
      </c>
    </row>
    <row r="35" spans="1:20" ht="15.75" hidden="1" customHeight="1" x14ac:dyDescent="0.2">
      <c r="A35" s="12">
        <v>34</v>
      </c>
      <c r="B35" s="12" t="s">
        <v>315</v>
      </c>
      <c r="E35" s="12" t="s">
        <v>316</v>
      </c>
      <c r="F35" s="12">
        <v>5</v>
      </c>
      <c r="G35" s="12">
        <v>49</v>
      </c>
      <c r="H35" s="12">
        <v>60</v>
      </c>
      <c r="I35" s="12">
        <f t="shared" si="1"/>
        <v>12</v>
      </c>
      <c r="J35" s="12">
        <v>12</v>
      </c>
      <c r="K35" s="12">
        <v>5</v>
      </c>
      <c r="L35" s="12" t="str">
        <f>VLOOKUP(K35,Subject!$A$2:$B$12, 2, FALSE)</f>
        <v>Science</v>
      </c>
      <c r="M35" s="12" t="str">
        <f>VLOOKUP(K35, [1]Subject!$A$2:$E$11, 5, FALSE)</f>
        <v>SC</v>
      </c>
      <c r="O35" s="12" t="s">
        <v>50</v>
      </c>
      <c r="P35" s="12">
        <v>2</v>
      </c>
      <c r="Q35" s="12" t="str">
        <f>VLOOKUP(P35, [1]SubjectGroup!$A$2:$B$8, 2, FALSE)</f>
        <v>Core Academic Studies</v>
      </c>
      <c r="R35" s="12" t="s">
        <v>44</v>
      </c>
      <c r="S35" s="12" t="str">
        <f>B35</f>
        <v>Science Level 5</v>
      </c>
      <c r="T35" s="12">
        <v>0.8</v>
      </c>
    </row>
    <row r="36" spans="1:20" ht="15.75" hidden="1" customHeight="1" x14ac:dyDescent="0.2">
      <c r="A36" s="12">
        <v>35</v>
      </c>
      <c r="B36" s="12" t="s">
        <v>314</v>
      </c>
      <c r="F36" s="12">
        <v>5</v>
      </c>
      <c r="G36" s="12">
        <v>49</v>
      </c>
      <c r="H36" s="12">
        <v>60</v>
      </c>
      <c r="I36" s="12">
        <f t="shared" si="1"/>
        <v>12</v>
      </c>
      <c r="J36" s="12">
        <v>12</v>
      </c>
      <c r="K36" s="12">
        <v>6</v>
      </c>
      <c r="L36" s="12" t="str">
        <f>VLOOKUP(K36,Subject!$A$2:$B$12, 2, FALSE)</f>
        <v>Social Studies</v>
      </c>
      <c r="M36" s="12" t="str">
        <f>VLOOKUP(K36, [1]Subject!$A$2:$E$11, 5, FALSE)</f>
        <v>SS</v>
      </c>
      <c r="N36" s="14"/>
      <c r="O36" s="12" t="s">
        <v>295</v>
      </c>
      <c r="P36" s="12">
        <v>2</v>
      </c>
      <c r="Q36" s="12" t="str">
        <f>VLOOKUP(P36, [1]SubjectGroup!$A$2:$B$8, 2, FALSE)</f>
        <v>Core Academic Studies</v>
      </c>
      <c r="R36" s="12" t="s">
        <v>44</v>
      </c>
      <c r="S36" s="12" t="str">
        <f>B36</f>
        <v>Social Studies Level 5</v>
      </c>
      <c r="T36" s="12">
        <v>0.8</v>
      </c>
    </row>
    <row r="37" spans="1:20" ht="15.75" hidden="1" customHeight="1" x14ac:dyDescent="0.2">
      <c r="A37" s="12">
        <v>36</v>
      </c>
      <c r="B37" s="12" t="s">
        <v>313</v>
      </c>
      <c r="F37" s="12">
        <v>5</v>
      </c>
      <c r="G37" s="12">
        <v>49</v>
      </c>
      <c r="H37" s="12">
        <v>60</v>
      </c>
      <c r="I37" s="12">
        <f t="shared" si="1"/>
        <v>12</v>
      </c>
      <c r="J37" s="12">
        <v>12</v>
      </c>
      <c r="K37" s="12">
        <v>7</v>
      </c>
      <c r="L37" s="12" t="str">
        <f>VLOOKUP(K37,Subject!$A$2:$B$12, 2, FALSE)</f>
        <v>Biblical Studies</v>
      </c>
      <c r="M37" s="12" t="str">
        <f>VLOOKUP(K37, [1]Subject!$A$2:$E$11, 5, FALSE)</f>
        <v>BS</v>
      </c>
      <c r="O37" s="12" t="s">
        <v>289</v>
      </c>
      <c r="P37" s="12">
        <v>1</v>
      </c>
      <c r="Q37" s="12" t="str">
        <f>VLOOKUP(P37, [1]SubjectGroup!$A$2:$B$8, 2, FALSE)</f>
        <v>Christian Studies</v>
      </c>
      <c r="R37" s="12" t="s">
        <v>44</v>
      </c>
      <c r="S37" s="12" t="str">
        <f>B37</f>
        <v>Bible Reading Level 5</v>
      </c>
      <c r="T37" s="12">
        <v>0.8</v>
      </c>
    </row>
    <row r="38" spans="1:20" ht="15.75" hidden="1" customHeight="1" x14ac:dyDescent="0.2">
      <c r="A38" s="12">
        <v>37</v>
      </c>
      <c r="B38" s="12" t="s">
        <v>312</v>
      </c>
      <c r="F38" s="12">
        <v>6</v>
      </c>
      <c r="G38" s="12">
        <v>61</v>
      </c>
      <c r="H38" s="12">
        <v>72</v>
      </c>
      <c r="I38" s="12">
        <f t="shared" si="1"/>
        <v>12</v>
      </c>
      <c r="J38" s="12">
        <v>12</v>
      </c>
      <c r="K38" s="12">
        <v>1</v>
      </c>
      <c r="L38" s="12" t="str">
        <f>VLOOKUP(K38,Subject!$A$2:$B$12, 2, FALSE)</f>
        <v>Maths</v>
      </c>
      <c r="M38" s="12" t="str">
        <f>VLOOKUP(K38, [1]Subject!$A$2:$E$11, 5, FALSE)</f>
        <v>MA</v>
      </c>
      <c r="O38" s="12" t="s">
        <v>52</v>
      </c>
      <c r="P38" s="12">
        <v>2</v>
      </c>
      <c r="Q38" s="12" t="str">
        <f>VLOOKUP(P38, [1]SubjectGroup!$A$2:$B$8, 2, FALSE)</f>
        <v>Core Academic Studies</v>
      </c>
      <c r="R38" s="12" t="s">
        <v>44</v>
      </c>
      <c r="S38" s="12" t="str">
        <f>B38</f>
        <v>Maths Level 6</v>
      </c>
      <c r="T38" s="12">
        <v>0.8</v>
      </c>
    </row>
    <row r="39" spans="1:20" ht="15.75" hidden="1" customHeight="1" x14ac:dyDescent="0.2">
      <c r="A39" s="12">
        <v>38</v>
      </c>
      <c r="B39" s="12" t="s">
        <v>311</v>
      </c>
      <c r="F39" s="12">
        <v>6</v>
      </c>
      <c r="G39" s="12">
        <v>61</v>
      </c>
      <c r="H39" s="12">
        <v>72</v>
      </c>
      <c r="I39" s="12">
        <f t="shared" si="1"/>
        <v>12</v>
      </c>
      <c r="J39" s="12">
        <v>12</v>
      </c>
      <c r="K39" s="12">
        <v>2</v>
      </c>
      <c r="L39" s="12" t="str">
        <f>VLOOKUP(K39,Subject!$A$2:$B$12, 2, FALSE)</f>
        <v>Language</v>
      </c>
      <c r="M39" s="12" t="str">
        <f>VLOOKUP(K39, [1]Subject!$A$2:$E$11, 5, FALSE)</f>
        <v>LA</v>
      </c>
      <c r="O39" s="12" t="s">
        <v>155</v>
      </c>
      <c r="P39" s="12">
        <v>2</v>
      </c>
      <c r="Q39" s="12" t="str">
        <f>VLOOKUP(P39, [1]SubjectGroup!$A$2:$B$8, 2, FALSE)</f>
        <v>Core Academic Studies</v>
      </c>
      <c r="R39" s="12" t="s">
        <v>44</v>
      </c>
      <c r="S39" s="12" t="str">
        <f>B39</f>
        <v>English Level 6</v>
      </c>
      <c r="T39" s="12">
        <v>0.8</v>
      </c>
    </row>
    <row r="40" spans="1:20" ht="15.75" hidden="1" customHeight="1" x14ac:dyDescent="0.2">
      <c r="A40" s="12">
        <v>39</v>
      </c>
      <c r="B40" s="12" t="s">
        <v>310</v>
      </c>
      <c r="F40" s="12">
        <v>6</v>
      </c>
      <c r="G40" s="12">
        <v>61</v>
      </c>
      <c r="H40" s="12">
        <v>72</v>
      </c>
      <c r="I40" s="12">
        <f t="shared" si="1"/>
        <v>12</v>
      </c>
      <c r="J40" s="12">
        <v>12</v>
      </c>
      <c r="K40" s="12">
        <v>3</v>
      </c>
      <c r="L40" s="12" t="str">
        <f>VLOOKUP(K40,Subject!$A$2:$B$12, 2, FALSE)</f>
        <v>Word Building</v>
      </c>
      <c r="M40" s="12" t="str">
        <f>VLOOKUP(K40, [1]Subject!$A$2:$E$11, 5, FALSE)</f>
        <v>WB</v>
      </c>
      <c r="O40" s="12" t="s">
        <v>284</v>
      </c>
      <c r="P40" s="12">
        <v>2</v>
      </c>
      <c r="Q40" s="12" t="str">
        <f>VLOOKUP(P40, [1]SubjectGroup!$A$2:$B$8, 2, FALSE)</f>
        <v>Core Academic Studies</v>
      </c>
      <c r="R40" s="12" t="s">
        <v>44</v>
      </c>
      <c r="S40" s="12" t="str">
        <f>B40</f>
        <v>Word Building Level 6</v>
      </c>
      <c r="T40" s="12">
        <v>0.9</v>
      </c>
    </row>
    <row r="41" spans="1:20" ht="15.75" hidden="1" customHeight="1" x14ac:dyDescent="0.2">
      <c r="A41" s="12">
        <v>40</v>
      </c>
      <c r="B41" s="12" t="s">
        <v>309</v>
      </c>
      <c r="F41" s="12">
        <v>6</v>
      </c>
      <c r="G41" s="12">
        <v>61</v>
      </c>
      <c r="H41" s="12">
        <v>72</v>
      </c>
      <c r="I41" s="12">
        <f t="shared" si="1"/>
        <v>12</v>
      </c>
      <c r="J41" s="12">
        <v>12</v>
      </c>
      <c r="K41" s="12">
        <v>4</v>
      </c>
      <c r="L41" s="12" t="str">
        <f>VLOOKUP(K41,Subject!$A$2:$B$12, 2, FALSE)</f>
        <v>Literature</v>
      </c>
      <c r="M41" s="12" t="str">
        <f>VLOOKUP(K41, [1]Subject!$A$2:$E$11, 5, FALSE)</f>
        <v>LI</v>
      </c>
      <c r="O41" s="12" t="s">
        <v>85</v>
      </c>
      <c r="P41" s="12">
        <v>2</v>
      </c>
      <c r="Q41" s="12" t="str">
        <f>VLOOKUP(P41, [1]SubjectGroup!$A$2:$B$8, 2, FALSE)</f>
        <v>Core Academic Studies</v>
      </c>
      <c r="R41" s="12" t="s">
        <v>44</v>
      </c>
      <c r="S41" s="12" t="str">
        <f>B41</f>
        <v>Literature and Creative Writing Level 6</v>
      </c>
      <c r="T41" s="12">
        <v>0.8</v>
      </c>
    </row>
    <row r="42" spans="1:20" ht="15.75" hidden="1" customHeight="1" x14ac:dyDescent="0.2">
      <c r="A42" s="12">
        <v>41</v>
      </c>
      <c r="B42" s="12" t="s">
        <v>307</v>
      </c>
      <c r="E42" s="12" t="s">
        <v>308</v>
      </c>
      <c r="F42" s="12">
        <v>6</v>
      </c>
      <c r="G42" s="12">
        <v>61</v>
      </c>
      <c r="H42" s="12">
        <v>72</v>
      </c>
      <c r="I42" s="12">
        <f t="shared" si="1"/>
        <v>12</v>
      </c>
      <c r="J42" s="12">
        <v>12</v>
      </c>
      <c r="K42" s="12">
        <v>5</v>
      </c>
      <c r="L42" s="12" t="str">
        <f>VLOOKUP(K42,Subject!$A$2:$B$12, 2, FALSE)</f>
        <v>Science</v>
      </c>
      <c r="M42" s="12" t="str">
        <f>VLOOKUP(K42, [1]Subject!$A$2:$E$11, 5, FALSE)</f>
        <v>SC</v>
      </c>
      <c r="O42" s="12" t="s">
        <v>50</v>
      </c>
      <c r="P42" s="12">
        <v>2</v>
      </c>
      <c r="Q42" s="12" t="str">
        <f>VLOOKUP(P42, [1]SubjectGroup!$A$2:$B$8, 2, FALSE)</f>
        <v>Core Academic Studies</v>
      </c>
      <c r="R42" s="12" t="s">
        <v>44</v>
      </c>
      <c r="S42" s="12" t="str">
        <f>B42</f>
        <v>Science Level 6</v>
      </c>
      <c r="T42" s="12">
        <v>0.8</v>
      </c>
    </row>
    <row r="43" spans="1:20" ht="15.75" hidden="1" customHeight="1" x14ac:dyDescent="0.2">
      <c r="A43" s="12">
        <v>42</v>
      </c>
      <c r="B43" s="12" t="s">
        <v>306</v>
      </c>
      <c r="F43" s="12">
        <v>6</v>
      </c>
      <c r="G43" s="12">
        <v>61</v>
      </c>
      <c r="H43" s="12">
        <v>72</v>
      </c>
      <c r="I43" s="12">
        <f t="shared" si="1"/>
        <v>12</v>
      </c>
      <c r="J43" s="12">
        <v>12</v>
      </c>
      <c r="K43" s="12">
        <v>6</v>
      </c>
      <c r="L43" s="12" t="str">
        <f>VLOOKUP(K43,Subject!$A$2:$B$12, 2, FALSE)</f>
        <v>Social Studies</v>
      </c>
      <c r="M43" s="12" t="str">
        <f>VLOOKUP(K43, [1]Subject!$A$2:$E$11, 5, FALSE)</f>
        <v>SS</v>
      </c>
      <c r="N43" s="14"/>
      <c r="O43" s="12" t="s">
        <v>295</v>
      </c>
      <c r="P43" s="12">
        <v>2</v>
      </c>
      <c r="Q43" s="12" t="str">
        <f>VLOOKUP(P43, [1]SubjectGroup!$A$2:$B$8, 2, FALSE)</f>
        <v>Core Academic Studies</v>
      </c>
      <c r="R43" s="12" t="s">
        <v>44</v>
      </c>
      <c r="S43" s="12" t="str">
        <f>B43</f>
        <v>Social Studies Level 6</v>
      </c>
      <c r="T43" s="12">
        <v>0.8</v>
      </c>
    </row>
    <row r="44" spans="1:20" ht="15.75" hidden="1" customHeight="1" x14ac:dyDescent="0.2">
      <c r="A44" s="12">
        <v>43</v>
      </c>
      <c r="B44" s="12" t="s">
        <v>305</v>
      </c>
      <c r="F44" s="12">
        <v>6</v>
      </c>
      <c r="G44" s="12">
        <v>61</v>
      </c>
      <c r="H44" s="12">
        <v>72</v>
      </c>
      <c r="I44" s="12">
        <f t="shared" si="1"/>
        <v>12</v>
      </c>
      <c r="J44" s="12">
        <v>12</v>
      </c>
      <c r="K44" s="12">
        <v>7</v>
      </c>
      <c r="L44" s="12" t="str">
        <f>VLOOKUP(K44,Subject!$A$2:$B$12, 2, FALSE)</f>
        <v>Biblical Studies</v>
      </c>
      <c r="M44" s="12" t="str">
        <f>VLOOKUP(K44, [1]Subject!$A$2:$E$11, 5, FALSE)</f>
        <v>BS</v>
      </c>
      <c r="O44" s="12" t="s">
        <v>289</v>
      </c>
      <c r="P44" s="12">
        <v>1</v>
      </c>
      <c r="Q44" s="12" t="str">
        <f>VLOOKUP(P44, [1]SubjectGroup!$A$2:$B$8, 2, FALSE)</f>
        <v>Christian Studies</v>
      </c>
      <c r="R44" s="12" t="s">
        <v>44</v>
      </c>
      <c r="S44" s="12" t="str">
        <f>B44</f>
        <v>Bible Reading Level 6</v>
      </c>
      <c r="T44" s="12">
        <v>0.8</v>
      </c>
    </row>
    <row r="45" spans="1:20" ht="15.75" hidden="1" customHeight="1" x14ac:dyDescent="0.2">
      <c r="A45" s="12">
        <v>44</v>
      </c>
      <c r="B45" s="12" t="s">
        <v>304</v>
      </c>
      <c r="F45" s="12">
        <v>7</v>
      </c>
      <c r="G45" s="12">
        <v>73</v>
      </c>
      <c r="H45" s="12">
        <v>84</v>
      </c>
      <c r="I45" s="12">
        <f t="shared" si="1"/>
        <v>12</v>
      </c>
      <c r="J45" s="12">
        <v>12</v>
      </c>
      <c r="K45" s="12">
        <v>1</v>
      </c>
      <c r="L45" s="12" t="str">
        <f>VLOOKUP(K45,Subject!$A$2:$B$12, 2, FALSE)</f>
        <v>Maths</v>
      </c>
      <c r="M45" s="12" t="str">
        <f>VLOOKUP(K45, [1]Subject!$A$2:$E$11, 5, FALSE)</f>
        <v>MA</v>
      </c>
      <c r="O45" s="12" t="s">
        <v>52</v>
      </c>
      <c r="P45" s="12">
        <v>2</v>
      </c>
      <c r="Q45" s="12" t="str">
        <f>VLOOKUP(P45, [1]SubjectGroup!$A$2:$B$8, 2, FALSE)</f>
        <v>Core Academic Studies</v>
      </c>
      <c r="R45" s="12" t="s">
        <v>44</v>
      </c>
      <c r="S45" s="12" t="str">
        <f>B45</f>
        <v>Maths Level 7</v>
      </c>
      <c r="T45" s="12">
        <v>0.8</v>
      </c>
    </row>
    <row r="46" spans="1:20" ht="15.75" hidden="1" customHeight="1" x14ac:dyDescent="0.2">
      <c r="A46" s="12">
        <v>45</v>
      </c>
      <c r="B46" s="12" t="s">
        <v>303</v>
      </c>
      <c r="F46" s="12">
        <v>7</v>
      </c>
      <c r="G46" s="12">
        <v>73</v>
      </c>
      <c r="H46" s="12">
        <v>84</v>
      </c>
      <c r="I46" s="12">
        <f t="shared" si="1"/>
        <v>12</v>
      </c>
      <c r="J46" s="12">
        <v>12</v>
      </c>
      <c r="K46" s="12">
        <v>2</v>
      </c>
      <c r="L46" s="12" t="str">
        <f>VLOOKUP(K46,Subject!$A$2:$B$12, 2, FALSE)</f>
        <v>Language</v>
      </c>
      <c r="M46" s="12" t="str">
        <f>VLOOKUP(K46, [1]Subject!$A$2:$E$11, 5, FALSE)</f>
        <v>LA</v>
      </c>
      <c r="O46" s="12" t="s">
        <v>155</v>
      </c>
      <c r="P46" s="12">
        <v>2</v>
      </c>
      <c r="Q46" s="12" t="str">
        <f>VLOOKUP(P46, [1]SubjectGroup!$A$2:$B$8, 2, FALSE)</f>
        <v>Core Academic Studies</v>
      </c>
      <c r="R46" s="12" t="s">
        <v>44</v>
      </c>
      <c r="S46" s="12" t="str">
        <f>B46</f>
        <v>English Level 7</v>
      </c>
      <c r="T46" s="12">
        <v>0.8</v>
      </c>
    </row>
    <row r="47" spans="1:20" ht="15.75" hidden="1" customHeight="1" x14ac:dyDescent="0.2">
      <c r="A47" s="12">
        <v>46</v>
      </c>
      <c r="B47" s="12" t="s">
        <v>302</v>
      </c>
      <c r="F47" s="12">
        <v>7</v>
      </c>
      <c r="G47" s="12">
        <v>73</v>
      </c>
      <c r="H47" s="12">
        <v>84</v>
      </c>
      <c r="I47" s="12">
        <f t="shared" si="1"/>
        <v>12</v>
      </c>
      <c r="J47" s="12">
        <v>12</v>
      </c>
      <c r="K47" s="12">
        <v>3</v>
      </c>
      <c r="L47" s="12" t="str">
        <f>VLOOKUP(K47,Subject!$A$2:$B$12, 2, FALSE)</f>
        <v>Word Building</v>
      </c>
      <c r="M47" s="12" t="str">
        <f>VLOOKUP(K47, [1]Subject!$A$2:$E$11, 5, FALSE)</f>
        <v>WB</v>
      </c>
      <c r="O47" s="12" t="s">
        <v>108</v>
      </c>
      <c r="P47" s="12">
        <v>2</v>
      </c>
      <c r="Q47" s="12" t="str">
        <f>VLOOKUP(P47, [1]SubjectGroup!$A$2:$B$8, 2, FALSE)</f>
        <v>Core Academic Studies</v>
      </c>
      <c r="R47" s="12" t="s">
        <v>44</v>
      </c>
      <c r="S47" s="12" t="str">
        <f>B47</f>
        <v>Beginning Art</v>
      </c>
      <c r="T47" s="12">
        <v>0.8</v>
      </c>
    </row>
    <row r="48" spans="1:20" ht="15.75" hidden="1" customHeight="1" x14ac:dyDescent="0.2">
      <c r="A48" s="12">
        <v>47</v>
      </c>
      <c r="B48" s="12" t="s">
        <v>301</v>
      </c>
      <c r="F48" s="12">
        <v>7</v>
      </c>
      <c r="G48" s="12">
        <v>73</v>
      </c>
      <c r="H48" s="12">
        <v>84</v>
      </c>
      <c r="I48" s="12">
        <f t="shared" si="1"/>
        <v>12</v>
      </c>
      <c r="J48" s="12">
        <v>12</v>
      </c>
      <c r="K48" s="12">
        <v>3</v>
      </c>
      <c r="L48" s="12" t="str">
        <f>VLOOKUP(K48,Subject!$A$2:$B$12, 2, FALSE)</f>
        <v>Word Building</v>
      </c>
      <c r="M48" s="12" t="str">
        <f>VLOOKUP(K48, [1]Subject!$A$2:$E$11, 5, FALSE)</f>
        <v>WB</v>
      </c>
      <c r="O48" s="12" t="s">
        <v>284</v>
      </c>
      <c r="P48" s="12">
        <v>2</v>
      </c>
      <c r="Q48" s="12" t="str">
        <f>VLOOKUP(P48, [1]SubjectGroup!$A$2:$B$8, 2, FALSE)</f>
        <v>Core Academic Studies</v>
      </c>
      <c r="R48" s="12" t="s">
        <v>44</v>
      </c>
      <c r="S48" s="12" t="str">
        <f>B48</f>
        <v>Word Building Level 7</v>
      </c>
      <c r="T48" s="12">
        <v>0.9</v>
      </c>
    </row>
    <row r="49" spans="1:21" ht="15.75" hidden="1" customHeight="1" x14ac:dyDescent="0.2">
      <c r="A49" s="12">
        <v>48</v>
      </c>
      <c r="B49" s="12" t="s">
        <v>300</v>
      </c>
      <c r="F49" s="12">
        <v>7</v>
      </c>
      <c r="G49" s="15">
        <v>73</v>
      </c>
      <c r="H49" s="12">
        <v>84</v>
      </c>
      <c r="I49" s="12">
        <f t="shared" si="1"/>
        <v>12</v>
      </c>
      <c r="J49" s="12" t="s">
        <v>161</v>
      </c>
      <c r="K49" s="12">
        <v>4</v>
      </c>
      <c r="L49" s="12" t="str">
        <f>VLOOKUP(K49,Subject!$A$2:$B$12, 2, FALSE)</f>
        <v>Literature</v>
      </c>
      <c r="M49" s="12" t="str">
        <f>VLOOKUP(K49, [1]Subject!$A$2:$E$11, 5, FALSE)</f>
        <v>LI</v>
      </c>
      <c r="N49" s="12" t="s">
        <v>282</v>
      </c>
      <c r="O49" s="12" t="s">
        <v>85</v>
      </c>
      <c r="P49" s="12">
        <v>2</v>
      </c>
      <c r="Q49" s="12" t="str">
        <f>VLOOKUP(P49, [1]SubjectGroup!$A$2:$B$8, 2, FALSE)</f>
        <v>Core Academic Studies</v>
      </c>
      <c r="R49" s="12" t="s">
        <v>44</v>
      </c>
      <c r="S49" s="12" t="str">
        <f>B49</f>
        <v>Literature Level 7</v>
      </c>
      <c r="T49" s="12">
        <v>0.8</v>
      </c>
    </row>
    <row r="50" spans="1:21" ht="15.75" hidden="1" customHeight="1" x14ac:dyDescent="0.2">
      <c r="A50" s="12">
        <v>49</v>
      </c>
      <c r="B50" s="12" t="s">
        <v>298</v>
      </c>
      <c r="E50" s="12" t="s">
        <v>299</v>
      </c>
      <c r="F50" s="12">
        <v>7</v>
      </c>
      <c r="G50" s="12">
        <v>73</v>
      </c>
      <c r="H50" s="12">
        <v>84</v>
      </c>
      <c r="I50" s="12">
        <f t="shared" si="1"/>
        <v>12</v>
      </c>
      <c r="J50" s="12">
        <v>12</v>
      </c>
      <c r="K50" s="12">
        <v>5</v>
      </c>
      <c r="L50" s="12" t="str">
        <f>VLOOKUP(K50,Subject!$A$2:$B$12, 2, FALSE)</f>
        <v>Science</v>
      </c>
      <c r="M50" s="12" t="str">
        <f>VLOOKUP(K50, [1]Subject!$A$2:$E$11, 5, FALSE)</f>
        <v>SC</v>
      </c>
      <c r="O50" s="12" t="s">
        <v>50</v>
      </c>
      <c r="P50" s="12">
        <v>2</v>
      </c>
      <c r="Q50" s="12" t="str">
        <f>VLOOKUP(P50, [1]SubjectGroup!$A$2:$B$8, 2, FALSE)</f>
        <v>Core Academic Studies</v>
      </c>
      <c r="R50" s="12" t="s">
        <v>44</v>
      </c>
      <c r="S50" s="12" t="str">
        <f>B50</f>
        <v>Science Level 7</v>
      </c>
      <c r="T50" s="12">
        <v>0.8</v>
      </c>
    </row>
    <row r="51" spans="1:21" ht="15.75" hidden="1" customHeight="1" x14ac:dyDescent="0.2">
      <c r="A51" s="12">
        <v>50</v>
      </c>
      <c r="B51" s="12" t="s">
        <v>297</v>
      </c>
      <c r="F51" s="12">
        <v>7</v>
      </c>
      <c r="G51" s="12">
        <v>73</v>
      </c>
      <c r="H51" s="12">
        <v>78</v>
      </c>
      <c r="I51" s="12">
        <f t="shared" si="1"/>
        <v>6</v>
      </c>
      <c r="J51" s="12">
        <v>6</v>
      </c>
      <c r="K51" s="12">
        <v>6</v>
      </c>
      <c r="L51" s="12" t="str">
        <f>VLOOKUP(K51,Subject!$A$2:$B$12, 2, FALSE)</f>
        <v>Social Studies</v>
      </c>
      <c r="M51" s="12" t="str">
        <f>VLOOKUP(K51, [1]Subject!$A$2:$E$11, 5, FALSE)</f>
        <v>SS</v>
      </c>
      <c r="N51" s="14" t="s">
        <v>296</v>
      </c>
      <c r="O51" s="12" t="s">
        <v>295</v>
      </c>
      <c r="P51" s="12">
        <v>2</v>
      </c>
      <c r="Q51" s="12" t="str">
        <f>VLOOKUP(P51, [1]SubjectGroup!$A$2:$B$8, 2, FALSE)</f>
        <v>Core Academic Studies</v>
      </c>
      <c r="R51" s="12" t="s">
        <v>44</v>
      </c>
      <c r="S51" s="12" t="str">
        <f>B51</f>
        <v>Social Studies Level 7</v>
      </c>
      <c r="T51" s="12">
        <v>0.8</v>
      </c>
    </row>
    <row r="52" spans="1:21" ht="15.75" hidden="1" customHeight="1" x14ac:dyDescent="0.2">
      <c r="A52" s="12">
        <v>51</v>
      </c>
      <c r="B52" s="12" t="s">
        <v>294</v>
      </c>
      <c r="F52" s="12">
        <v>7</v>
      </c>
      <c r="G52" s="12">
        <v>1</v>
      </c>
      <c r="H52" s="12">
        <v>3</v>
      </c>
      <c r="I52" s="12">
        <f t="shared" si="1"/>
        <v>3</v>
      </c>
      <c r="J52" s="12">
        <v>3</v>
      </c>
      <c r="K52" s="12">
        <v>6</v>
      </c>
      <c r="L52" s="12" t="str">
        <f>VLOOKUP(K52,Subject!$A$2:$B$12, 2, FALSE)</f>
        <v>Social Studies</v>
      </c>
      <c r="M52" s="12" t="str">
        <f>VLOOKUP(K52, [1]Subject!$A$2:$E$11, 5, FALSE)</f>
        <v>SS</v>
      </c>
      <c r="N52" s="14" t="s">
        <v>293</v>
      </c>
      <c r="O52" s="12" t="s">
        <v>292</v>
      </c>
      <c r="P52" s="12">
        <v>2</v>
      </c>
      <c r="Q52" s="12" t="str">
        <f>VLOOKUP(P52, [1]SubjectGroup!$A$2:$B$8, 2, FALSE)</f>
        <v>Core Academic Studies</v>
      </c>
      <c r="R52" s="12" t="s">
        <v>44</v>
      </c>
      <c r="S52" s="12" t="str">
        <f>B52</f>
        <v>Staatsinrichting</v>
      </c>
      <c r="T52" s="12">
        <v>0.8</v>
      </c>
    </row>
    <row r="53" spans="1:21" ht="15.75" hidden="1" customHeight="1" x14ac:dyDescent="0.2">
      <c r="A53" s="12">
        <v>52</v>
      </c>
      <c r="B53" s="12" t="s">
        <v>291</v>
      </c>
      <c r="F53" s="12">
        <v>7</v>
      </c>
      <c r="G53" s="12">
        <v>73</v>
      </c>
      <c r="H53" s="12">
        <v>84</v>
      </c>
      <c r="I53" s="12">
        <f t="shared" si="1"/>
        <v>12</v>
      </c>
      <c r="J53" s="12">
        <v>12</v>
      </c>
      <c r="K53" s="12">
        <v>7</v>
      </c>
      <c r="L53" s="12" t="str">
        <f>VLOOKUP(K53,Subject!$A$2:$B$12, 2, FALSE)</f>
        <v>Biblical Studies</v>
      </c>
      <c r="M53" s="12" t="str">
        <f>VLOOKUP(K53, [1]Subject!$A$2:$E$11, 5, FALSE)</f>
        <v>BS</v>
      </c>
      <c r="N53" s="15" t="s">
        <v>290</v>
      </c>
      <c r="O53" s="12" t="s">
        <v>289</v>
      </c>
      <c r="P53" s="12">
        <v>2</v>
      </c>
      <c r="Q53" s="12" t="str">
        <f>VLOOKUP(P53, [1]SubjectGroup!$A$2:$B$8, 2, FALSE)</f>
        <v>Core Academic Studies</v>
      </c>
      <c r="R53" s="12" t="s">
        <v>44</v>
      </c>
      <c r="S53" s="12" t="str">
        <f>B53</f>
        <v>Bible Reading Level 7</v>
      </c>
      <c r="T53" s="12">
        <v>0.8</v>
      </c>
    </row>
    <row r="54" spans="1:21" ht="15.75" hidden="1" customHeight="1" x14ac:dyDescent="0.2">
      <c r="A54" s="12">
        <v>53</v>
      </c>
      <c r="B54" s="12" t="s">
        <v>288</v>
      </c>
      <c r="C54" s="12" t="s">
        <v>288</v>
      </c>
      <c r="D54" s="12" t="s">
        <v>288</v>
      </c>
      <c r="E54" s="12" t="s">
        <v>1583</v>
      </c>
      <c r="F54" s="12">
        <v>8</v>
      </c>
      <c r="G54" s="12">
        <v>85</v>
      </c>
      <c r="H54" s="12">
        <v>96</v>
      </c>
      <c r="I54" s="12">
        <f t="shared" si="1"/>
        <v>12</v>
      </c>
      <c r="J54" s="12">
        <v>12</v>
      </c>
      <c r="K54" s="12">
        <v>1</v>
      </c>
      <c r="L54" s="12" t="str">
        <f>VLOOKUP(K54,Subject!$A$2:$B$12, 2, FALSE)</f>
        <v>Maths</v>
      </c>
      <c r="M54" s="12" t="str">
        <f>VLOOKUP(K54, [1]Subject!$A$2:$E$11, 5, FALSE)</f>
        <v>MA</v>
      </c>
      <c r="O54" s="12" t="s">
        <v>287</v>
      </c>
      <c r="P54" s="12">
        <v>2</v>
      </c>
      <c r="Q54" s="12" t="str">
        <f>VLOOKUP(P54, [1]SubjectGroup!$A$2:$B$8, 2, FALSE)</f>
        <v>Core Academic Studies</v>
      </c>
      <c r="R54" s="12" t="s">
        <v>44</v>
      </c>
      <c r="S54" s="12" t="str">
        <f>B54</f>
        <v>General Maths</v>
      </c>
      <c r="T54" s="12">
        <v>0.8</v>
      </c>
    </row>
    <row r="55" spans="1:21" ht="15.75" hidden="1" customHeight="1" x14ac:dyDescent="0.2">
      <c r="A55" s="12">
        <v>54</v>
      </c>
      <c r="B55" s="12" t="s">
        <v>286</v>
      </c>
      <c r="C55" s="12" t="s">
        <v>286</v>
      </c>
      <c r="D55" s="12" t="s">
        <v>286</v>
      </c>
      <c r="E55" s="12" t="s">
        <v>1582</v>
      </c>
      <c r="F55" s="12">
        <v>8</v>
      </c>
      <c r="G55" s="12">
        <v>85</v>
      </c>
      <c r="H55" s="12">
        <v>96</v>
      </c>
      <c r="I55" s="12">
        <f t="shared" si="1"/>
        <v>12</v>
      </c>
      <c r="J55" s="12">
        <v>12</v>
      </c>
      <c r="K55" s="12">
        <v>2</v>
      </c>
      <c r="L55" s="12" t="str">
        <f>VLOOKUP(K55,Subject!$A$2:$B$12, 2, FALSE)</f>
        <v>Language</v>
      </c>
      <c r="M55" s="12" t="str">
        <f>VLOOKUP(K55, [1]Subject!$A$2:$E$11, 5, FALSE)</f>
        <v>LA</v>
      </c>
      <c r="O55" s="12" t="s">
        <v>155</v>
      </c>
      <c r="P55" s="12">
        <v>1</v>
      </c>
      <c r="Q55" s="12" t="str">
        <f>VLOOKUP(P55, [1]SubjectGroup!$A$2:$B$8, 2, FALSE)</f>
        <v>Christian Studies</v>
      </c>
      <c r="R55" s="12" t="s">
        <v>44</v>
      </c>
      <c r="S55" s="12" t="str">
        <f>B55</f>
        <v>General English</v>
      </c>
      <c r="T55" s="12">
        <v>0.8</v>
      </c>
    </row>
    <row r="56" spans="1:21" ht="15.75" hidden="1" customHeight="1" x14ac:dyDescent="0.2">
      <c r="A56" s="12">
        <v>55</v>
      </c>
      <c r="B56" s="12" t="s">
        <v>285</v>
      </c>
      <c r="F56" s="12">
        <v>8</v>
      </c>
      <c r="G56" s="12">
        <v>85</v>
      </c>
      <c r="H56" s="12">
        <v>96</v>
      </c>
      <c r="I56" s="12">
        <f t="shared" si="1"/>
        <v>12</v>
      </c>
      <c r="J56" s="12">
        <v>12</v>
      </c>
      <c r="K56" s="12">
        <v>3</v>
      </c>
      <c r="L56" s="12" t="str">
        <f>VLOOKUP(K56,Subject!$A$2:$B$12, 2, FALSE)</f>
        <v>Word Building</v>
      </c>
      <c r="M56" s="12" t="str">
        <f>VLOOKUP(K56, [1]Subject!$A$2:$E$11, 5, FALSE)</f>
        <v>WB</v>
      </c>
      <c r="O56" s="12" t="s">
        <v>284</v>
      </c>
      <c r="P56" s="12">
        <v>1</v>
      </c>
      <c r="Q56" s="12" t="str">
        <f>VLOOKUP(P56, [1]SubjectGroup!$A$2:$B$8, 2, FALSE)</f>
        <v>Christian Studies</v>
      </c>
      <c r="R56" s="12" t="s">
        <v>44</v>
      </c>
      <c r="S56" s="12" t="str">
        <f>B56</f>
        <v>Word Building Level 8</v>
      </c>
      <c r="T56" s="12">
        <v>0.9</v>
      </c>
    </row>
    <row r="57" spans="1:21" ht="15.75" hidden="1" customHeight="1" x14ac:dyDescent="0.2">
      <c r="A57" s="12">
        <v>56</v>
      </c>
      <c r="B57" s="12" t="s">
        <v>283</v>
      </c>
      <c r="F57" s="12">
        <v>8</v>
      </c>
      <c r="G57" s="15">
        <v>86</v>
      </c>
      <c r="H57" s="12">
        <v>96</v>
      </c>
      <c r="I57" s="12">
        <f t="shared" si="1"/>
        <v>11</v>
      </c>
      <c r="J57" s="12" t="s">
        <v>161</v>
      </c>
      <c r="K57" s="12">
        <v>4</v>
      </c>
      <c r="L57" s="12" t="str">
        <f>VLOOKUP(K57,Subject!$A$2:$B$12, 2, FALSE)</f>
        <v>Literature</v>
      </c>
      <c r="M57" s="12" t="str">
        <f>VLOOKUP(K57, [1]Subject!$A$2:$E$11, 5, FALSE)</f>
        <v>LI</v>
      </c>
      <c r="N57" s="12" t="s">
        <v>282</v>
      </c>
      <c r="O57" s="12" t="s">
        <v>85</v>
      </c>
      <c r="P57" s="12">
        <v>1</v>
      </c>
      <c r="Q57" s="12" t="str">
        <f>VLOOKUP(P57, [1]SubjectGroup!$A$2:$B$8, 2, FALSE)</f>
        <v>Christian Studies</v>
      </c>
      <c r="R57" s="12" t="s">
        <v>44</v>
      </c>
      <c r="S57" s="12" t="str">
        <f>B57</f>
        <v>Literature Level 8</v>
      </c>
      <c r="T57" s="12">
        <v>0.8</v>
      </c>
    </row>
    <row r="58" spans="1:21" ht="15.75" hidden="1" customHeight="1" x14ac:dyDescent="0.2">
      <c r="A58" s="12">
        <v>57</v>
      </c>
      <c r="B58" s="12" t="s">
        <v>281</v>
      </c>
      <c r="C58" s="12" t="s">
        <v>281</v>
      </c>
      <c r="D58" s="12" t="s">
        <v>281</v>
      </c>
      <c r="E58" s="80" t="s">
        <v>1677</v>
      </c>
      <c r="F58" s="12">
        <v>8</v>
      </c>
      <c r="G58" s="12">
        <v>85</v>
      </c>
      <c r="H58" s="12">
        <v>96</v>
      </c>
      <c r="I58" s="12">
        <f t="shared" si="1"/>
        <v>12</v>
      </c>
      <c r="J58" s="12">
        <v>12</v>
      </c>
      <c r="K58" s="12">
        <v>5</v>
      </c>
      <c r="L58" s="12" t="str">
        <f>VLOOKUP(K58,Subject!$A$2:$B$12, 2, FALSE)</f>
        <v>Science</v>
      </c>
      <c r="M58" s="12" t="str">
        <f>VLOOKUP(K58, [1]Subject!$A$2:$E$11, 5, FALSE)</f>
        <v>SC</v>
      </c>
      <c r="O58" s="12" t="s">
        <v>91</v>
      </c>
      <c r="P58" s="12">
        <v>2</v>
      </c>
      <c r="Q58" s="12" t="str">
        <f>VLOOKUP(P58, [1]SubjectGroup!$A$2:$B$8, 2, FALSE)</f>
        <v>Core Academic Studies</v>
      </c>
      <c r="R58" s="12" t="s">
        <v>44</v>
      </c>
      <c r="S58" s="12" t="s">
        <v>280</v>
      </c>
      <c r="T58" s="12">
        <v>0.8</v>
      </c>
    </row>
    <row r="59" spans="1:21" ht="15.75" hidden="1" customHeight="1" x14ac:dyDescent="0.2">
      <c r="A59" s="12">
        <v>58</v>
      </c>
      <c r="B59" s="12" t="s">
        <v>279</v>
      </c>
      <c r="C59" s="12" t="s">
        <v>278</v>
      </c>
      <c r="F59" s="12">
        <v>8</v>
      </c>
      <c r="G59" s="12">
        <v>97</v>
      </c>
      <c r="H59" s="12">
        <v>108</v>
      </c>
      <c r="I59" s="12">
        <f t="shared" si="1"/>
        <v>12</v>
      </c>
      <c r="J59" s="12">
        <v>12</v>
      </c>
      <c r="K59" s="12">
        <v>6</v>
      </c>
      <c r="L59" s="12" t="str">
        <f>VLOOKUP(K59,Subject!$A$2:$B$12, 2, FALSE)</f>
        <v>Social Studies</v>
      </c>
      <c r="M59" s="12" t="str">
        <f>VLOOKUP(K59, [1]Subject!$A$2:$E$11, 5, FALSE)</f>
        <v>SS</v>
      </c>
      <c r="N59" s="14" t="s">
        <v>277</v>
      </c>
      <c r="O59" s="12" t="s">
        <v>82</v>
      </c>
      <c r="P59" s="12">
        <v>1</v>
      </c>
      <c r="Q59" s="12" t="str">
        <f>VLOOKUP(P59, [1]SubjectGroup!$A$2:$B$8, 2, FALSE)</f>
        <v>Christian Studies</v>
      </c>
      <c r="R59" s="12" t="s">
        <v>26</v>
      </c>
      <c r="S59" s="12" t="s">
        <v>276</v>
      </c>
      <c r="T59" s="12">
        <v>0.8</v>
      </c>
    </row>
    <row r="60" spans="1:21" ht="15.75" hidden="1" customHeight="1" x14ac:dyDescent="0.2">
      <c r="A60" s="12">
        <v>59</v>
      </c>
      <c r="B60" s="12" t="s">
        <v>61</v>
      </c>
      <c r="C60" s="12" t="s">
        <v>204</v>
      </c>
      <c r="E60" s="12" t="s">
        <v>61</v>
      </c>
      <c r="F60" s="12">
        <v>10</v>
      </c>
      <c r="G60" s="12">
        <v>97</v>
      </c>
      <c r="H60" s="12">
        <v>108</v>
      </c>
      <c r="I60" s="12">
        <f t="shared" si="1"/>
        <v>12</v>
      </c>
      <c r="J60" s="12">
        <v>12</v>
      </c>
      <c r="K60" s="12">
        <v>6</v>
      </c>
      <c r="L60" s="12" t="str">
        <f>VLOOKUP(K60,Subject!$A$2:$B$12, 2, FALSE)</f>
        <v>Social Studies</v>
      </c>
      <c r="M60" s="12" t="str">
        <f>VLOOKUP(K60, [1]Subject!$A$2:$E$11, 5, FALSE)</f>
        <v>SS</v>
      </c>
      <c r="N60" s="14" t="s">
        <v>275</v>
      </c>
      <c r="O60" s="12" t="s">
        <v>59</v>
      </c>
      <c r="P60" s="12">
        <v>1</v>
      </c>
      <c r="Q60" s="12" t="str">
        <f>VLOOKUP(P60, [1]SubjectGroup!$A$2:$B$8, 2, FALSE)</f>
        <v>Christian Studies</v>
      </c>
      <c r="R60" s="12" t="s">
        <v>26</v>
      </c>
      <c r="S60" s="12" t="s">
        <v>274</v>
      </c>
      <c r="T60" s="12">
        <v>0.8</v>
      </c>
      <c r="U60" s="12" t="s">
        <v>32</v>
      </c>
    </row>
    <row r="61" spans="1:21" ht="15.75" hidden="1" customHeight="1" x14ac:dyDescent="0.2">
      <c r="A61" s="12">
        <v>60</v>
      </c>
      <c r="B61" s="12" t="s">
        <v>272</v>
      </c>
      <c r="C61" s="12" t="s">
        <v>273</v>
      </c>
      <c r="D61" s="12" t="s">
        <v>272</v>
      </c>
      <c r="E61" s="80" t="s">
        <v>1675</v>
      </c>
      <c r="F61" s="12">
        <v>8</v>
      </c>
      <c r="G61" s="12">
        <v>97</v>
      </c>
      <c r="H61" s="12">
        <v>108</v>
      </c>
      <c r="I61" s="12">
        <f t="shared" si="1"/>
        <v>12</v>
      </c>
      <c r="J61" s="12">
        <v>12</v>
      </c>
      <c r="K61" s="12">
        <v>7</v>
      </c>
      <c r="L61" s="12" t="str">
        <f>VLOOKUP(K61,Subject!$A$2:$B$12, 2, FALSE)</f>
        <v>Biblical Studies</v>
      </c>
      <c r="M61" s="12" t="str">
        <f>VLOOKUP(K61, [1]Subject!$A$2:$E$11, 5, FALSE)</f>
        <v>BS</v>
      </c>
      <c r="O61" s="12" t="s">
        <v>271</v>
      </c>
      <c r="P61" s="12">
        <v>1</v>
      </c>
      <c r="Q61" s="12" t="str">
        <f>VLOOKUP(P61, [1]SubjectGroup!$A$2:$B$8, 2, FALSE)</f>
        <v>Christian Studies</v>
      </c>
      <c r="R61" s="12" t="s">
        <v>44</v>
      </c>
      <c r="S61" s="12" t="str">
        <f>B61</f>
        <v>New Testament Survey</v>
      </c>
      <c r="T61" s="12">
        <v>0.8</v>
      </c>
    </row>
    <row r="62" spans="1:21" ht="15.75" hidden="1" customHeight="1" x14ac:dyDescent="0.2">
      <c r="A62" s="12">
        <v>61</v>
      </c>
      <c r="B62" s="12" t="s">
        <v>270</v>
      </c>
      <c r="C62" s="12" t="s">
        <v>269</v>
      </c>
      <c r="D62" t="s">
        <v>1689</v>
      </c>
      <c r="E62" t="s">
        <v>1690</v>
      </c>
      <c r="F62" s="12">
        <v>9</v>
      </c>
      <c r="G62" s="12">
        <v>97</v>
      </c>
      <c r="H62" s="12">
        <v>108</v>
      </c>
      <c r="I62" s="12">
        <f t="shared" si="1"/>
        <v>12</v>
      </c>
      <c r="J62" s="12">
        <v>12</v>
      </c>
      <c r="K62" s="12">
        <v>1</v>
      </c>
      <c r="L62" s="12" t="str">
        <f>VLOOKUP(K62,Subject!$A$2:$B$12, 2, FALSE)</f>
        <v>Maths</v>
      </c>
      <c r="M62" s="12" t="str">
        <f>VLOOKUP(K62, [1]Subject!$A$2:$E$11, 5, FALSE)</f>
        <v>MA</v>
      </c>
      <c r="O62" s="12" t="s">
        <v>188</v>
      </c>
      <c r="P62" s="12">
        <v>1</v>
      </c>
      <c r="Q62" s="12" t="str">
        <f>VLOOKUP(P62, [1]SubjectGroup!$A$2:$B$8, 2, FALSE)</f>
        <v>Christian Studies</v>
      </c>
      <c r="R62" s="12" t="s">
        <v>44</v>
      </c>
      <c r="S62" s="12" t="str">
        <f>B62</f>
        <v>Algebra I</v>
      </c>
      <c r="T62" s="12">
        <v>0.8</v>
      </c>
    </row>
    <row r="63" spans="1:21" ht="15.75" hidden="1" customHeight="1" x14ac:dyDescent="0.2">
      <c r="A63" s="12">
        <v>62</v>
      </c>
      <c r="B63" s="12" t="s">
        <v>268</v>
      </c>
      <c r="F63" s="12">
        <v>9</v>
      </c>
      <c r="G63" s="12">
        <v>97</v>
      </c>
      <c r="H63" s="12">
        <v>108</v>
      </c>
      <c r="I63" s="12">
        <f t="shared" si="1"/>
        <v>12</v>
      </c>
      <c r="J63" s="12">
        <v>12</v>
      </c>
      <c r="K63" s="12">
        <v>2</v>
      </c>
      <c r="L63" s="12" t="str">
        <f>VLOOKUP(K63,Subject!$A$2:$B$12, 2, FALSE)</f>
        <v>Language</v>
      </c>
      <c r="M63" s="12" t="str">
        <f>VLOOKUP(K63, [1]Subject!$A$2:$E$11, 5, FALSE)</f>
        <v>LA</v>
      </c>
      <c r="O63" s="12" t="s">
        <v>155</v>
      </c>
      <c r="P63" s="12">
        <v>1</v>
      </c>
      <c r="Q63" s="12" t="str">
        <f>VLOOKUP(P63, [1]SubjectGroup!$A$2:$B$8, 2, FALSE)</f>
        <v>Christian Studies</v>
      </c>
      <c r="R63" s="12" t="s">
        <v>44</v>
      </c>
      <c r="S63" s="12" t="str">
        <f>B63</f>
        <v>English I</v>
      </c>
      <c r="T63" s="12">
        <v>0.8</v>
      </c>
    </row>
    <row r="64" spans="1:21" ht="15.75" hidden="1" customHeight="1" x14ac:dyDescent="0.2">
      <c r="A64" s="12">
        <v>63</v>
      </c>
      <c r="B64" s="12" t="s">
        <v>267</v>
      </c>
      <c r="F64" s="12">
        <v>9</v>
      </c>
      <c r="G64" s="12">
        <v>97</v>
      </c>
      <c r="H64" s="12">
        <v>108</v>
      </c>
      <c r="I64" s="12">
        <f t="shared" si="1"/>
        <v>12</v>
      </c>
      <c r="J64" s="12">
        <v>12</v>
      </c>
      <c r="K64" s="12">
        <v>2</v>
      </c>
      <c r="L64" s="12" t="str">
        <f>VLOOKUP(K64,Subject!$A$2:$B$12, 2, FALSE)</f>
        <v>Language</v>
      </c>
      <c r="M64" s="12" t="str">
        <f>VLOOKUP(K64, [1]Subject!$A$2:$E$11, 5, FALSE)</f>
        <v>LA</v>
      </c>
      <c r="O64" s="12" t="s">
        <v>266</v>
      </c>
      <c r="P64" s="12">
        <v>1</v>
      </c>
      <c r="Q64" s="12" t="str">
        <f>VLOOKUP(P64, [1]SubjectGroup!$A$2:$B$8, 2, FALSE)</f>
        <v>Christian Studies</v>
      </c>
      <c r="R64" s="12" t="s">
        <v>26</v>
      </c>
      <c r="S64" s="12" t="str">
        <f>B64</f>
        <v>French I</v>
      </c>
      <c r="T64" s="12">
        <v>0.8</v>
      </c>
    </row>
    <row r="65" spans="1:20" ht="15.75" hidden="1" customHeight="1" x14ac:dyDescent="0.2">
      <c r="A65" s="12">
        <v>64</v>
      </c>
      <c r="B65" s="12" t="s">
        <v>265</v>
      </c>
      <c r="F65" s="12">
        <v>9</v>
      </c>
      <c r="G65" s="12">
        <v>1</v>
      </c>
      <c r="H65" s="12">
        <v>2</v>
      </c>
      <c r="I65" s="12">
        <f t="shared" si="1"/>
        <v>2</v>
      </c>
      <c r="K65" s="12">
        <v>2</v>
      </c>
      <c r="L65" s="12" t="str">
        <f>VLOOKUP(K65,Subject!$A$2:$B$12, 2, FALSE)</f>
        <v>Language</v>
      </c>
      <c r="M65" s="12" t="str">
        <f>VLOOKUP(K65, [1]Subject!$A$2:$E$11, 5, FALSE)</f>
        <v>LA</v>
      </c>
      <c r="N65" s="12" t="s">
        <v>264</v>
      </c>
      <c r="O65" s="12" t="s">
        <v>45</v>
      </c>
      <c r="P65" s="12">
        <v>1</v>
      </c>
      <c r="Q65" s="12" t="str">
        <f>VLOOKUP(P65, [1]SubjectGroup!$A$2:$B$8, 2, FALSE)</f>
        <v>Christian Studies</v>
      </c>
      <c r="R65" s="12" t="s">
        <v>26</v>
      </c>
      <c r="S65" s="12" t="str">
        <f>B65</f>
        <v>Rosetta Stone Level 9</v>
      </c>
      <c r="T65" s="12">
        <v>0.8</v>
      </c>
    </row>
    <row r="66" spans="1:20" ht="15.75" hidden="1" customHeight="1" x14ac:dyDescent="0.2">
      <c r="A66" s="12">
        <v>65</v>
      </c>
      <c r="B66" s="12" t="s">
        <v>263</v>
      </c>
      <c r="F66" s="12">
        <v>9</v>
      </c>
      <c r="G66" s="12">
        <v>1</v>
      </c>
      <c r="H66" s="12">
        <v>12</v>
      </c>
      <c r="I66" s="12">
        <f t="shared" ref="I66:I97" si="2">H66-G66+1</f>
        <v>12</v>
      </c>
      <c r="J66" s="12">
        <v>12</v>
      </c>
      <c r="K66" s="12">
        <v>2</v>
      </c>
      <c r="L66" s="12" t="str">
        <f>VLOOKUP(K66,Subject!$A$2:$B$12, 2, FALSE)</f>
        <v>Language</v>
      </c>
      <c r="M66" s="12" t="str">
        <f>VLOOKUP(K66, [1]Subject!$A$2:$E$11, 5, FALSE)</f>
        <v>LA</v>
      </c>
      <c r="O66" s="12" t="s">
        <v>91</v>
      </c>
      <c r="P66" s="12">
        <v>1</v>
      </c>
      <c r="Q66" s="12" t="str">
        <f>VLOOKUP(P66, [1]SubjectGroup!$A$2:$B$8, 2, FALSE)</f>
        <v>Christian Studies</v>
      </c>
      <c r="R66" s="12" t="s">
        <v>26</v>
      </c>
      <c r="S66" s="12" t="str">
        <f>B66</f>
        <v>Spanish I</v>
      </c>
      <c r="T66" s="12">
        <v>0.8</v>
      </c>
    </row>
    <row r="67" spans="1:20" ht="15.75" hidden="1" customHeight="1" x14ac:dyDescent="0.2">
      <c r="A67" s="12">
        <v>66</v>
      </c>
      <c r="B67" s="12" t="s">
        <v>262</v>
      </c>
      <c r="F67" s="12">
        <v>9</v>
      </c>
      <c r="G67" s="12">
        <v>97</v>
      </c>
      <c r="H67" s="12">
        <v>108</v>
      </c>
      <c r="I67" s="12">
        <f t="shared" si="2"/>
        <v>12</v>
      </c>
      <c r="J67" s="12">
        <v>12</v>
      </c>
      <c r="K67" s="12">
        <v>8</v>
      </c>
      <c r="L67" s="12" t="str">
        <f>VLOOKUP(K67,Subject!$A$2:$B$12, 2, FALSE)</f>
        <v>Electives</v>
      </c>
      <c r="M67" s="12" t="str">
        <f>VLOOKUP(K67, [1]Subject!$A$2:$E$11, 5, FALSE)</f>
        <v>EL</v>
      </c>
      <c r="O67" s="12" t="s">
        <v>261</v>
      </c>
      <c r="P67" s="12">
        <v>2</v>
      </c>
      <c r="Q67" s="12" t="str">
        <f>VLOOKUP(P67, [1]SubjectGroup!$A$2:$B$8, 2, FALSE)</f>
        <v>Core Academic Studies</v>
      </c>
      <c r="R67" s="12" t="s">
        <v>26</v>
      </c>
      <c r="S67" s="12" t="str">
        <f>B67</f>
        <v>Advanced Art</v>
      </c>
      <c r="T67" s="12">
        <v>0.8</v>
      </c>
    </row>
    <row r="68" spans="1:20" ht="15.75" hidden="1" customHeight="1" x14ac:dyDescent="0.2">
      <c r="A68" s="12">
        <v>67</v>
      </c>
      <c r="B68" s="12" t="s">
        <v>260</v>
      </c>
      <c r="F68" s="12">
        <v>9</v>
      </c>
      <c r="G68" s="12">
        <v>1</v>
      </c>
      <c r="H68" s="12">
        <v>10</v>
      </c>
      <c r="I68" s="12">
        <f t="shared" si="2"/>
        <v>10</v>
      </c>
      <c r="K68" s="12">
        <v>10</v>
      </c>
      <c r="L68" s="12" t="str">
        <f>VLOOKUP(K68,Subject!$A$2:$B$12, 2, FALSE)</f>
        <v>Supplementary</v>
      </c>
      <c r="M68" s="12" t="str">
        <f>VLOOKUP(K68, [1]Subject!$A$2:$E$11, 5, FALSE)</f>
        <v>SU</v>
      </c>
      <c r="O68" s="12" t="s">
        <v>259</v>
      </c>
      <c r="P68" s="12">
        <v>2</v>
      </c>
      <c r="Q68" s="12" t="str">
        <f>VLOOKUP(P68, [1]SubjectGroup!$A$2:$B$8, 2, FALSE)</f>
        <v>Core Academic Studies</v>
      </c>
      <c r="R68" s="12" t="s">
        <v>26</v>
      </c>
      <c r="S68" s="12" t="str">
        <f>B68</f>
        <v>Complete Art</v>
      </c>
      <c r="T68" s="12">
        <v>0.8</v>
      </c>
    </row>
    <row r="69" spans="1:20" ht="15.75" hidden="1" customHeight="1" x14ac:dyDescent="0.2">
      <c r="A69" s="12">
        <v>68</v>
      </c>
      <c r="B69" s="12" t="s">
        <v>258</v>
      </c>
      <c r="C69" t="s">
        <v>1692</v>
      </c>
      <c r="D69" t="s">
        <v>1692</v>
      </c>
      <c r="E69" t="s">
        <v>1693</v>
      </c>
      <c r="F69" s="12">
        <v>9</v>
      </c>
      <c r="G69" s="12">
        <v>97</v>
      </c>
      <c r="H69" s="12">
        <v>108</v>
      </c>
      <c r="I69" s="12">
        <f t="shared" si="2"/>
        <v>12</v>
      </c>
      <c r="J69" s="12">
        <v>12</v>
      </c>
      <c r="K69" s="12">
        <v>3</v>
      </c>
      <c r="L69" s="12" t="str">
        <f>VLOOKUP(K69,Subject!$A$2:$B$12, 2, FALSE)</f>
        <v>Word Building</v>
      </c>
      <c r="M69" s="12" t="str">
        <f>VLOOKUP(K69, [1]Subject!$A$2:$E$11, 5, FALSE)</f>
        <v>WB</v>
      </c>
      <c r="O69" s="12" t="s">
        <v>257</v>
      </c>
      <c r="P69" s="12">
        <v>1</v>
      </c>
      <c r="Q69" s="12" t="str">
        <f>VLOOKUP(P69, [1]SubjectGroup!$A$2:$B$8, 2, FALSE)</f>
        <v>Christian Studies</v>
      </c>
      <c r="R69" s="12" t="s">
        <v>44</v>
      </c>
      <c r="S69" s="12" t="s">
        <v>256</v>
      </c>
      <c r="T69" s="12">
        <v>0.9</v>
      </c>
    </row>
    <row r="70" spans="1:20" ht="15.75" hidden="1" customHeight="1" x14ac:dyDescent="0.2">
      <c r="A70" s="12">
        <v>69</v>
      </c>
      <c r="B70" s="12" t="s">
        <v>255</v>
      </c>
      <c r="F70" s="12">
        <v>9</v>
      </c>
      <c r="G70" s="12">
        <v>1</v>
      </c>
      <c r="H70" s="12">
        <v>6</v>
      </c>
      <c r="I70" s="12">
        <f t="shared" si="2"/>
        <v>6</v>
      </c>
      <c r="K70" s="12">
        <v>10</v>
      </c>
      <c r="L70" s="12" t="str">
        <f>VLOOKUP(K70,Subject!$A$2:$B$12, 2, FALSE)</f>
        <v>Supplementary</v>
      </c>
      <c r="M70" s="12" t="str">
        <f>VLOOKUP(K70, [1]Subject!$A$2:$E$11, 5, FALSE)</f>
        <v>SU</v>
      </c>
      <c r="O70" s="12" t="s">
        <v>254</v>
      </c>
      <c r="P70" s="12">
        <v>3</v>
      </c>
      <c r="Q70" s="12" t="str">
        <f>VLOOKUP(P70, [1]SubjectGroup!$A$2:$B$8, 2, FALSE)</f>
        <v>Core Expanded Studies</v>
      </c>
      <c r="R70" s="12" t="s">
        <v>26</v>
      </c>
      <c r="S70" s="12" t="str">
        <f>B70</f>
        <v>Music</v>
      </c>
      <c r="T70" s="12">
        <v>0.8</v>
      </c>
    </row>
    <row r="71" spans="1:20" ht="15.75" hidden="1" customHeight="1" x14ac:dyDescent="0.2">
      <c r="A71" s="12">
        <v>70</v>
      </c>
      <c r="B71" s="12" t="s">
        <v>253</v>
      </c>
      <c r="F71" s="12">
        <v>9</v>
      </c>
      <c r="G71" s="12">
        <v>5</v>
      </c>
      <c r="H71" s="12">
        <v>6</v>
      </c>
      <c r="I71" s="12">
        <f t="shared" si="2"/>
        <v>2</v>
      </c>
      <c r="J71" s="12">
        <v>12</v>
      </c>
      <c r="K71" s="12">
        <v>10</v>
      </c>
      <c r="L71" s="12" t="str">
        <f>VLOOKUP(K71,Subject!$A$2:$B$12, 2, FALSE)</f>
        <v>Supplementary</v>
      </c>
      <c r="M71" s="12" t="str">
        <f>VLOOKUP(K71, [1]Subject!$A$2:$E$11, 5, FALSE)</f>
        <v>SU</v>
      </c>
      <c r="O71" s="12" t="s">
        <v>151</v>
      </c>
      <c r="P71" s="12">
        <v>3</v>
      </c>
      <c r="Q71" s="12" t="str">
        <f>VLOOKUP(P71, [1]SubjectGroup!$A$2:$B$8, 2, FALSE)</f>
        <v>Core Expanded Studies</v>
      </c>
      <c r="R71" s="12" t="s">
        <v>26</v>
      </c>
      <c r="S71" s="12" t="str">
        <f>B71</f>
        <v>Music Theory/Performance Grade 5</v>
      </c>
      <c r="T71" s="12">
        <v>0.8</v>
      </c>
    </row>
    <row r="72" spans="1:20" ht="15.75" hidden="1" customHeight="1" x14ac:dyDescent="0.2">
      <c r="A72" s="12">
        <v>71</v>
      </c>
      <c r="B72" s="12" t="s">
        <v>252</v>
      </c>
      <c r="F72" s="12">
        <v>9</v>
      </c>
      <c r="G72" s="12">
        <v>5</v>
      </c>
      <c r="H72" s="12">
        <v>6</v>
      </c>
      <c r="I72" s="12">
        <f t="shared" si="2"/>
        <v>2</v>
      </c>
      <c r="J72" s="12">
        <v>12</v>
      </c>
      <c r="K72" s="12">
        <v>10</v>
      </c>
      <c r="L72" s="12" t="str">
        <f>VLOOKUP(K72,Subject!$A$2:$B$12, 2, FALSE)</f>
        <v>Supplementary</v>
      </c>
      <c r="M72" s="12" t="str">
        <f>VLOOKUP(K72, [1]Subject!$A$2:$E$11, 5, FALSE)</f>
        <v>SU</v>
      </c>
      <c r="N72" s="12" t="s">
        <v>251</v>
      </c>
      <c r="O72" s="12" t="s">
        <v>151</v>
      </c>
      <c r="P72" s="12">
        <v>3</v>
      </c>
      <c r="Q72" s="12" t="str">
        <f>VLOOKUP(P72, [1]SubjectGroup!$A$2:$B$8, 2, FALSE)</f>
        <v>Core Expanded Studies</v>
      </c>
      <c r="R72" s="12" t="s">
        <v>26</v>
      </c>
      <c r="S72" s="12" t="str">
        <f>B72</f>
        <v>Music Theory/Performance</v>
      </c>
      <c r="T72" s="12">
        <v>0.8</v>
      </c>
    </row>
    <row r="73" spans="1:20" ht="15.75" hidden="1" customHeight="1" x14ac:dyDescent="0.2">
      <c r="A73" s="12">
        <v>72</v>
      </c>
      <c r="B73" s="12" t="s">
        <v>250</v>
      </c>
      <c r="F73" s="12">
        <v>9</v>
      </c>
      <c r="G73" s="12">
        <v>1</v>
      </c>
      <c r="H73" s="12">
        <v>6</v>
      </c>
      <c r="I73" s="12">
        <f t="shared" si="2"/>
        <v>6</v>
      </c>
      <c r="K73" s="12">
        <v>3</v>
      </c>
      <c r="L73" s="12" t="str">
        <f>VLOOKUP(K73,Subject!$A$2:$B$12, 2, FALSE)</f>
        <v>Word Building</v>
      </c>
      <c r="M73" s="12" t="str">
        <f>VLOOKUP(K73, [1]Subject!$A$2:$E$11, 5, FALSE)</f>
        <v>WB</v>
      </c>
      <c r="O73" s="12" t="s">
        <v>235</v>
      </c>
      <c r="P73" s="12">
        <v>3</v>
      </c>
      <c r="Q73" s="12" t="str">
        <f>VLOOKUP(P73, [1]SubjectGroup!$A$2:$B$8, 2, FALSE)</f>
        <v>Core Expanded Studies</v>
      </c>
      <c r="R73" s="12" t="s">
        <v>44</v>
      </c>
      <c r="S73" s="12" t="str">
        <f>B73</f>
        <v>Speech</v>
      </c>
      <c r="T73" s="12">
        <v>0.8</v>
      </c>
    </row>
    <row r="74" spans="1:20" ht="15.75" hidden="1" customHeight="1" x14ac:dyDescent="0.2">
      <c r="A74" s="12">
        <v>73</v>
      </c>
      <c r="B74" s="18" t="s">
        <v>249</v>
      </c>
      <c r="C74" s="18"/>
      <c r="D74" s="18"/>
      <c r="F74" s="12">
        <v>9</v>
      </c>
      <c r="G74" s="12">
        <v>1</v>
      </c>
      <c r="H74" s="12">
        <v>4</v>
      </c>
      <c r="I74" s="12">
        <f t="shared" si="2"/>
        <v>4</v>
      </c>
      <c r="J74" s="12">
        <v>6</v>
      </c>
      <c r="K74" s="12">
        <v>4</v>
      </c>
      <c r="L74" s="12" t="str">
        <f>VLOOKUP(K74,Subject!$A$2:$B$12, 2, FALSE)</f>
        <v>Literature</v>
      </c>
      <c r="M74" s="12" t="str">
        <f>VLOOKUP(K74, [1]Subject!$A$2:$E$11, 5, FALSE)</f>
        <v>LI</v>
      </c>
      <c r="N74" s="12" t="s">
        <v>248</v>
      </c>
      <c r="O74" s="12" t="s">
        <v>247</v>
      </c>
      <c r="P74" s="12">
        <v>2</v>
      </c>
      <c r="Q74" s="12" t="str">
        <f>VLOOKUP(P74, [1]SubjectGroup!$A$2:$B$8, 2, FALSE)</f>
        <v>Core Academic Studies</v>
      </c>
      <c r="R74" s="12" t="s">
        <v>44</v>
      </c>
      <c r="S74" s="12" t="str">
        <f>B74</f>
        <v>ICCE Literature Level 9</v>
      </c>
      <c r="T74" s="12">
        <v>0.8</v>
      </c>
    </row>
    <row r="75" spans="1:20" ht="15.75" hidden="1" customHeight="1" x14ac:dyDescent="0.2">
      <c r="A75" s="12">
        <v>74</v>
      </c>
      <c r="B75" s="12" t="s">
        <v>246</v>
      </c>
      <c r="C75" t="s">
        <v>246</v>
      </c>
      <c r="D75" t="s">
        <v>246</v>
      </c>
      <c r="E75" t="s">
        <v>1694</v>
      </c>
      <c r="F75" s="12">
        <v>9</v>
      </c>
      <c r="G75" s="12">
        <v>1</v>
      </c>
      <c r="H75" s="12">
        <v>5</v>
      </c>
      <c r="I75" s="12">
        <f t="shared" si="2"/>
        <v>5</v>
      </c>
      <c r="K75" s="12">
        <v>5</v>
      </c>
      <c r="L75" s="12" t="str">
        <f>VLOOKUP(K75,Subject!$A$2:$B$12, 2, FALSE)</f>
        <v>Science</v>
      </c>
      <c r="M75" s="12" t="str">
        <f>VLOOKUP(K75, [1]Subject!$A$2:$E$11, 5, FALSE)</f>
        <v>SC</v>
      </c>
      <c r="O75" s="12" t="s">
        <v>76</v>
      </c>
      <c r="P75" s="12">
        <v>2</v>
      </c>
      <c r="Q75" s="12" t="str">
        <f>VLOOKUP(P75, [1]SubjectGroup!$A$2:$B$8, 2, FALSE)</f>
        <v>Core Academic Studies</v>
      </c>
      <c r="R75" s="12" t="s">
        <v>26</v>
      </c>
      <c r="S75" s="12" t="str">
        <f>B75</f>
        <v>Astronomy</v>
      </c>
      <c r="T75" s="12">
        <v>0.8</v>
      </c>
    </row>
    <row r="76" spans="1:20" ht="15.75" hidden="1" customHeight="1" x14ac:dyDescent="0.2">
      <c r="A76" s="12">
        <v>75</v>
      </c>
      <c r="B76" s="12" t="s">
        <v>244</v>
      </c>
      <c r="E76" s="12" t="s">
        <v>245</v>
      </c>
      <c r="F76" s="12">
        <v>9</v>
      </c>
      <c r="G76" s="12">
        <v>97</v>
      </c>
      <c r="H76" s="12">
        <v>108</v>
      </c>
      <c r="I76" s="12">
        <f t="shared" si="2"/>
        <v>12</v>
      </c>
      <c r="J76" s="12">
        <v>12</v>
      </c>
      <c r="K76" s="12">
        <v>5</v>
      </c>
      <c r="L76" s="12" t="str">
        <f>VLOOKUP(K76,Subject!$A$2:$B$12, 2, FALSE)</f>
        <v>Science</v>
      </c>
      <c r="M76" s="12" t="str">
        <f>VLOOKUP(K76, [1]Subject!$A$2:$E$11, 5, FALSE)</f>
        <v>SC</v>
      </c>
      <c r="O76" s="12" t="s">
        <v>243</v>
      </c>
      <c r="P76" s="12">
        <v>2</v>
      </c>
      <c r="Q76" s="12" t="str">
        <f>VLOOKUP(P76, [1]SubjectGroup!$A$2:$B$8, 2, FALSE)</f>
        <v>Core Academic Studies</v>
      </c>
      <c r="R76" s="12" t="s">
        <v>44</v>
      </c>
      <c r="S76" s="12" t="s">
        <v>242</v>
      </c>
      <c r="T76" s="12">
        <v>0.8</v>
      </c>
    </row>
    <row r="77" spans="1:20" ht="15.75" hidden="1" customHeight="1" x14ac:dyDescent="0.2">
      <c r="A77" s="12">
        <v>76</v>
      </c>
      <c r="B77" s="12" t="s">
        <v>241</v>
      </c>
      <c r="F77" s="12">
        <v>9</v>
      </c>
      <c r="G77" s="12">
        <v>1</v>
      </c>
      <c r="H77" s="12">
        <v>6</v>
      </c>
      <c r="I77" s="12">
        <f t="shared" si="2"/>
        <v>6</v>
      </c>
      <c r="K77" s="12">
        <v>5</v>
      </c>
      <c r="L77" s="12" t="str">
        <f>VLOOKUP(K77,Subject!$A$2:$B$12, 2, FALSE)</f>
        <v>Science</v>
      </c>
      <c r="M77" s="12" t="str">
        <f>VLOOKUP(K77, [1]Subject!$A$2:$E$11, 5, FALSE)</f>
        <v>SC</v>
      </c>
      <c r="O77" s="12" t="s">
        <v>240</v>
      </c>
      <c r="P77" s="12">
        <v>2</v>
      </c>
      <c r="Q77" s="12" t="str">
        <f>VLOOKUP(P77, [1]SubjectGroup!$A$2:$B$8, 2, FALSE)</f>
        <v>Core Academic Studies</v>
      </c>
      <c r="R77" s="12" t="s">
        <v>26</v>
      </c>
      <c r="S77" s="12" t="str">
        <f>B77</f>
        <v>Health</v>
      </c>
      <c r="T77" s="12">
        <v>0.8</v>
      </c>
    </row>
    <row r="78" spans="1:20" ht="15.75" hidden="1" customHeight="1" x14ac:dyDescent="0.2">
      <c r="A78" s="12">
        <v>77</v>
      </c>
      <c r="B78" s="12" t="s">
        <v>239</v>
      </c>
      <c r="F78" s="12">
        <v>9</v>
      </c>
      <c r="G78" s="12">
        <v>1</v>
      </c>
      <c r="H78" s="12">
        <v>6</v>
      </c>
      <c r="I78" s="12">
        <f t="shared" si="2"/>
        <v>6</v>
      </c>
      <c r="K78" s="12">
        <v>5</v>
      </c>
      <c r="L78" s="12" t="str">
        <f>VLOOKUP(K78,Subject!$A$2:$B$12, 2, FALSE)</f>
        <v>Science</v>
      </c>
      <c r="M78" s="12" t="str">
        <f>VLOOKUP(K78, [1]Subject!$A$2:$E$11, 5, FALSE)</f>
        <v>SC</v>
      </c>
      <c r="O78" s="12" t="s">
        <v>238</v>
      </c>
      <c r="P78" s="12">
        <v>2</v>
      </c>
      <c r="Q78" s="12" t="str">
        <f>VLOOKUP(P78, [1]SubjectGroup!$A$2:$B$8, 2, FALSE)</f>
        <v>Core Academic Studies</v>
      </c>
      <c r="R78" s="12" t="s">
        <v>26</v>
      </c>
      <c r="S78" s="12" t="str">
        <f>B78</f>
        <v>Nutrition Science</v>
      </c>
      <c r="T78" s="12">
        <v>0.8</v>
      </c>
    </row>
    <row r="79" spans="1:20" ht="15.75" hidden="1" customHeight="1" x14ac:dyDescent="0.2">
      <c r="A79" s="12">
        <v>78</v>
      </c>
      <c r="B79" s="18" t="s">
        <v>237</v>
      </c>
      <c r="C79" s="18"/>
      <c r="D79" s="18"/>
      <c r="F79" s="12">
        <v>9</v>
      </c>
      <c r="G79" s="15">
        <v>1</v>
      </c>
      <c r="H79" s="15">
        <v>4</v>
      </c>
      <c r="I79" s="12">
        <f t="shared" si="2"/>
        <v>4</v>
      </c>
      <c r="J79" s="12">
        <v>12</v>
      </c>
      <c r="K79" s="12">
        <v>5</v>
      </c>
      <c r="L79" s="12" t="str">
        <f>VLOOKUP(K79,Subject!$A$2:$B$12, 2, FALSE)</f>
        <v>Science</v>
      </c>
      <c r="M79" s="12" t="str">
        <f>VLOOKUP(K79, [1]Subject!$A$2:$E$11, 5, FALSE)</f>
        <v>SC</v>
      </c>
      <c r="N79" s="12" t="s">
        <v>236</v>
      </c>
      <c r="O79" s="12" t="s">
        <v>235</v>
      </c>
      <c r="P79" s="12">
        <v>3</v>
      </c>
      <c r="Q79" s="12" t="str">
        <f>VLOOKUP(P79, [1]SubjectGroup!$A$2:$B$8, 2, FALSE)</f>
        <v>Core Expanded Studies</v>
      </c>
      <c r="R79" s="12" t="s">
        <v>26</v>
      </c>
      <c r="S79" s="12" t="str">
        <f>B79</f>
        <v>Sport + Health</v>
      </c>
      <c r="T79" s="12">
        <v>0.8</v>
      </c>
    </row>
    <row r="80" spans="1:20" ht="15.75" hidden="1" customHeight="1" x14ac:dyDescent="0.2">
      <c r="A80" s="12">
        <v>79</v>
      </c>
      <c r="B80" s="15" t="s">
        <v>234</v>
      </c>
      <c r="C80" s="15"/>
      <c r="D80" s="15"/>
      <c r="F80" s="12">
        <v>9</v>
      </c>
      <c r="I80" s="12">
        <f t="shared" si="2"/>
        <v>1</v>
      </c>
      <c r="J80" s="12">
        <v>6</v>
      </c>
      <c r="K80" s="12">
        <v>10</v>
      </c>
      <c r="L80" s="12" t="str">
        <f>VLOOKUP(K80,Subject!$A$2:$B$12, 2, FALSE)</f>
        <v>Supplementary</v>
      </c>
      <c r="M80" s="12" t="str">
        <f>VLOOKUP(K80, [1]Subject!$A$2:$E$11, 5, FALSE)</f>
        <v>SU</v>
      </c>
      <c r="O80" s="12" t="s">
        <v>170</v>
      </c>
      <c r="P80" s="12">
        <v>4</v>
      </c>
      <c r="Q80" s="12" t="str">
        <f>VLOOKUP(P80, [1]SubjectGroup!$A$2:$B$8, 2, FALSE)</f>
        <v>Applied Studies</v>
      </c>
      <c r="R80" s="12" t="s">
        <v>26</v>
      </c>
      <c r="S80" s="12" t="str">
        <f>B80</f>
        <v>A.C.E. Training</v>
      </c>
      <c r="T80" s="12">
        <v>0.8</v>
      </c>
    </row>
    <row r="81" spans="1:20" ht="15.75" customHeight="1" x14ac:dyDescent="0.2">
      <c r="A81" s="12">
        <v>80</v>
      </c>
      <c r="B81" s="12" t="s">
        <v>233</v>
      </c>
      <c r="C81" s="12" t="s">
        <v>232</v>
      </c>
      <c r="D81" s="12" t="s">
        <v>233</v>
      </c>
      <c r="F81" s="12">
        <v>9</v>
      </c>
      <c r="G81" s="12">
        <v>97</v>
      </c>
      <c r="H81" s="12">
        <v>108</v>
      </c>
      <c r="I81" s="12">
        <f t="shared" si="2"/>
        <v>12</v>
      </c>
      <c r="J81" s="12">
        <v>12</v>
      </c>
      <c r="K81" s="12">
        <v>6</v>
      </c>
      <c r="L81" s="12" t="str">
        <f>VLOOKUP(K81,Subject!$A$2:$B$12, 2, FALSE)</f>
        <v>Social Studies</v>
      </c>
      <c r="M81" s="12" t="str">
        <f>VLOOKUP(K81, [1]Subject!$A$2:$E$11, 5, FALSE)</f>
        <v>SS</v>
      </c>
      <c r="N81" s="14"/>
      <c r="O81" s="12" t="s">
        <v>231</v>
      </c>
      <c r="P81" s="12">
        <v>2</v>
      </c>
      <c r="Q81" s="12" t="str">
        <f>VLOOKUP(P81, [1]SubjectGroup!$A$2:$B$8, 2, FALSE)</f>
        <v>Core Academic Studies</v>
      </c>
      <c r="R81" s="12" t="s">
        <v>44</v>
      </c>
      <c r="S81" s="12" t="s">
        <v>230</v>
      </c>
      <c r="T81" s="12">
        <v>0.8</v>
      </c>
    </row>
    <row r="82" spans="1:20" ht="15.75" hidden="1" customHeight="1" x14ac:dyDescent="0.2">
      <c r="A82" s="12">
        <v>81</v>
      </c>
      <c r="B82" s="12" t="s">
        <v>68</v>
      </c>
      <c r="C82" s="12" t="s">
        <v>229</v>
      </c>
      <c r="F82" s="12">
        <v>9</v>
      </c>
      <c r="G82" s="12">
        <v>1</v>
      </c>
      <c r="H82" s="12">
        <v>2</v>
      </c>
      <c r="I82" s="12">
        <f t="shared" si="2"/>
        <v>2</v>
      </c>
      <c r="J82" s="12">
        <v>3</v>
      </c>
      <c r="K82" s="12">
        <v>7</v>
      </c>
      <c r="L82" s="12" t="str">
        <f>VLOOKUP(K82,Subject!$A$2:$B$12, 2, FALSE)</f>
        <v>Biblical Studies</v>
      </c>
      <c r="M82" s="12" t="str">
        <f>VLOOKUP(K82, [1]Subject!$A$2:$E$11, 5, FALSE)</f>
        <v>BS</v>
      </c>
      <c r="N82" s="12" t="s">
        <v>228</v>
      </c>
      <c r="O82" s="12" t="s">
        <v>62</v>
      </c>
      <c r="P82" s="12">
        <v>1</v>
      </c>
      <c r="Q82" s="12" t="str">
        <f>VLOOKUP(P82, [1]SubjectGroup!$A$2:$B$8, 2, FALSE)</f>
        <v>Christian Studies</v>
      </c>
      <c r="R82" s="12" t="s">
        <v>44</v>
      </c>
      <c r="S82" s="12" t="str">
        <f>B82</f>
        <v>Apologetics I</v>
      </c>
      <c r="T82" s="12">
        <v>0.8</v>
      </c>
    </row>
    <row r="83" spans="1:20" ht="15.75" hidden="1" customHeight="1" x14ac:dyDescent="0.2">
      <c r="A83" s="12">
        <v>82</v>
      </c>
      <c r="B83" s="12" t="s">
        <v>227</v>
      </c>
      <c r="F83" s="12">
        <v>9</v>
      </c>
      <c r="G83" s="12">
        <v>1</v>
      </c>
      <c r="H83" s="12">
        <v>6</v>
      </c>
      <c r="I83" s="12">
        <f t="shared" si="2"/>
        <v>6</v>
      </c>
      <c r="J83" s="12">
        <v>6</v>
      </c>
      <c r="K83" s="12">
        <v>7</v>
      </c>
      <c r="L83" s="12" t="str">
        <f>VLOOKUP(K83,Subject!$A$2:$B$12, 2, FALSE)</f>
        <v>Biblical Studies</v>
      </c>
      <c r="M83" s="12" t="str">
        <f>VLOOKUP(K83, [1]Subject!$A$2:$E$11, 5, FALSE)</f>
        <v>BS</v>
      </c>
      <c r="O83" s="12" t="s">
        <v>226</v>
      </c>
      <c r="P83" s="12">
        <v>1</v>
      </c>
      <c r="Q83" s="12" t="str">
        <f>VLOOKUP(P83, [1]SubjectGroup!$A$2:$B$8, 2, FALSE)</f>
        <v>Christian Studies</v>
      </c>
      <c r="R83" s="12" t="s">
        <v>26</v>
      </c>
      <c r="S83" s="12" t="str">
        <f>B83</f>
        <v>Missions</v>
      </c>
      <c r="T83" s="12">
        <v>0.8</v>
      </c>
    </row>
    <row r="84" spans="1:20" ht="15.75" hidden="1" customHeight="1" x14ac:dyDescent="0.2">
      <c r="A84" s="12">
        <v>83</v>
      </c>
      <c r="B84" s="12" t="s">
        <v>225</v>
      </c>
      <c r="E84" s="12" t="s">
        <v>225</v>
      </c>
      <c r="F84" s="12">
        <v>9</v>
      </c>
      <c r="G84" s="12">
        <v>1</v>
      </c>
      <c r="H84" s="12">
        <v>12</v>
      </c>
      <c r="I84" s="12">
        <f t="shared" si="2"/>
        <v>12</v>
      </c>
      <c r="J84" s="12">
        <v>12</v>
      </c>
      <c r="K84" s="12">
        <v>7</v>
      </c>
      <c r="L84" s="12" t="str">
        <f>VLOOKUP(K84,Subject!$A$2:$B$12, 2, FALSE)</f>
        <v>Biblical Studies</v>
      </c>
      <c r="M84" s="12" t="str">
        <f>VLOOKUP(K84, [1]Subject!$A$2:$E$11, 5, FALSE)</f>
        <v>BS</v>
      </c>
      <c r="N84" s="12" t="s">
        <v>224</v>
      </c>
      <c r="O84" s="12" t="s">
        <v>223</v>
      </c>
      <c r="P84" s="12">
        <v>1</v>
      </c>
      <c r="Q84" s="12" t="str">
        <f>VLOOKUP(P84, [1]SubjectGroup!$A$2:$B$8, 2, FALSE)</f>
        <v>Christian Studies</v>
      </c>
      <c r="R84" s="12" t="s">
        <v>44</v>
      </c>
      <c r="S84" s="12" t="str">
        <f>B84</f>
        <v>Successful Living</v>
      </c>
      <c r="T84" s="12">
        <v>0.8</v>
      </c>
    </row>
    <row r="85" spans="1:20" ht="15.75" hidden="1" customHeight="1" x14ac:dyDescent="0.2">
      <c r="A85" s="12">
        <v>84</v>
      </c>
      <c r="B85" s="15" t="s">
        <v>222</v>
      </c>
      <c r="C85" s="15"/>
      <c r="D85" s="15"/>
      <c r="F85" s="12">
        <v>9</v>
      </c>
      <c r="I85" s="12">
        <f t="shared" si="2"/>
        <v>1</v>
      </c>
      <c r="J85" s="12">
        <v>12</v>
      </c>
      <c r="K85" s="12">
        <v>10</v>
      </c>
      <c r="L85" s="12" t="str">
        <f>VLOOKUP(K85,Subject!$A$2:$B$12, 2, FALSE)</f>
        <v>Supplementary</v>
      </c>
      <c r="M85" s="12" t="str">
        <f>VLOOKUP(K85, [1]Subject!$A$2:$E$11, 5, FALSE)</f>
        <v>SU</v>
      </c>
      <c r="O85" s="12" t="s">
        <v>221</v>
      </c>
      <c r="P85" s="12">
        <v>4</v>
      </c>
      <c r="Q85" s="12" t="str">
        <f>VLOOKUP(P85, [1]SubjectGroup!$A$2:$B$8, 2, FALSE)</f>
        <v>Applied Studies</v>
      </c>
      <c r="R85" s="12" t="s">
        <v>26</v>
      </c>
      <c r="S85" s="12" t="str">
        <f>B85</f>
        <v>A.C.E. Training + 30 hours of service</v>
      </c>
      <c r="T85" s="12">
        <v>0.8</v>
      </c>
    </row>
    <row r="86" spans="1:20" ht="15.75" hidden="1" customHeight="1" x14ac:dyDescent="0.2">
      <c r="A86" s="12">
        <v>85</v>
      </c>
      <c r="B86" s="12" t="s">
        <v>220</v>
      </c>
      <c r="F86" s="12">
        <v>9</v>
      </c>
      <c r="G86" s="12">
        <v>1</v>
      </c>
      <c r="H86" s="12">
        <v>8</v>
      </c>
      <c r="I86" s="12">
        <f t="shared" si="2"/>
        <v>8</v>
      </c>
      <c r="K86" s="12">
        <v>10</v>
      </c>
      <c r="L86" s="12" t="str">
        <f>VLOOKUP(K86,Subject!$A$2:$B$12, 2, FALSE)</f>
        <v>Supplementary</v>
      </c>
      <c r="M86" s="12" t="str">
        <f>VLOOKUP(K86, [1]Subject!$A$2:$E$11, 5, FALSE)</f>
        <v>SU</v>
      </c>
      <c r="N86" s="15" t="s">
        <v>219</v>
      </c>
      <c r="O86" s="12" t="s">
        <v>218</v>
      </c>
      <c r="P86" s="12">
        <v>3</v>
      </c>
      <c r="Q86" s="12" t="str">
        <f>VLOOKUP(P86, [1]SubjectGroup!$A$2:$B$8, 2, FALSE)</f>
        <v>Core Expanded Studies</v>
      </c>
      <c r="R86" s="12" t="s">
        <v>44</v>
      </c>
      <c r="S86" s="12" t="str">
        <f>B86</f>
        <v>ECDL Course</v>
      </c>
      <c r="T86" s="12">
        <v>0.8</v>
      </c>
    </row>
    <row r="87" spans="1:20" ht="15.75" hidden="1" customHeight="1" x14ac:dyDescent="0.2">
      <c r="A87" s="12">
        <v>86</v>
      </c>
      <c r="B87" s="12" t="s">
        <v>217</v>
      </c>
      <c r="C87" s="12" t="s">
        <v>216</v>
      </c>
      <c r="F87" s="12">
        <v>10</v>
      </c>
      <c r="G87" s="12">
        <v>109</v>
      </c>
      <c r="H87" s="12">
        <v>120</v>
      </c>
      <c r="I87" s="12">
        <f t="shared" si="2"/>
        <v>12</v>
      </c>
      <c r="J87" s="12">
        <v>12</v>
      </c>
      <c r="K87" s="12">
        <v>1</v>
      </c>
      <c r="L87" s="12" t="str">
        <f>VLOOKUP(K87,Subject!$A$2:$B$12, 2, FALSE)</f>
        <v>Maths</v>
      </c>
      <c r="M87" s="12" t="str">
        <f>VLOOKUP(K87, [1]Subject!$A$2:$E$11, 5, FALSE)</f>
        <v>MA</v>
      </c>
      <c r="O87" s="12" t="s">
        <v>215</v>
      </c>
      <c r="P87" s="12">
        <v>2</v>
      </c>
      <c r="Q87" s="12" t="str">
        <f>VLOOKUP(P87, [1]SubjectGroup!$A$2:$B$8, 2, FALSE)</f>
        <v>Core Academic Studies</v>
      </c>
      <c r="R87" s="12" t="s">
        <v>44</v>
      </c>
      <c r="S87" s="12" t="str">
        <f>B87</f>
        <v>Geometry</v>
      </c>
      <c r="T87" s="12">
        <v>0.8</v>
      </c>
    </row>
    <row r="88" spans="1:20" ht="15.75" hidden="1" customHeight="1" x14ac:dyDescent="0.2">
      <c r="A88" s="12">
        <v>87</v>
      </c>
      <c r="B88" s="12" t="s">
        <v>214</v>
      </c>
      <c r="F88" s="12">
        <v>10</v>
      </c>
      <c r="G88" s="12">
        <v>109</v>
      </c>
      <c r="H88" s="12">
        <v>120</v>
      </c>
      <c r="I88" s="12">
        <f t="shared" si="2"/>
        <v>12</v>
      </c>
      <c r="J88" s="12">
        <v>12</v>
      </c>
      <c r="K88" s="12">
        <v>2</v>
      </c>
      <c r="L88" s="12" t="str">
        <f>VLOOKUP(K88,Subject!$A$2:$B$12, 2, FALSE)</f>
        <v>Language</v>
      </c>
      <c r="M88" s="12" t="str">
        <f>VLOOKUP(K88, [1]Subject!$A$2:$E$11, 5, FALSE)</f>
        <v>LA</v>
      </c>
      <c r="O88" s="12" t="s">
        <v>155</v>
      </c>
      <c r="P88" s="12">
        <v>2</v>
      </c>
      <c r="Q88" s="12" t="str">
        <f>VLOOKUP(P88, [1]SubjectGroup!$A$2:$B$8, 2, FALSE)</f>
        <v>Core Academic Studies</v>
      </c>
      <c r="R88" s="12" t="s">
        <v>44</v>
      </c>
      <c r="S88" s="12" t="str">
        <f>B88</f>
        <v>English II</v>
      </c>
      <c r="T88" s="12">
        <v>0.8</v>
      </c>
    </row>
    <row r="89" spans="1:20" ht="15.75" hidden="1" customHeight="1" x14ac:dyDescent="0.2">
      <c r="A89" s="12">
        <v>88</v>
      </c>
      <c r="B89" s="12" t="s">
        <v>213</v>
      </c>
      <c r="F89" s="12">
        <v>10</v>
      </c>
      <c r="G89" s="12">
        <v>3</v>
      </c>
      <c r="H89" s="12">
        <v>5</v>
      </c>
      <c r="I89" s="12">
        <f t="shared" si="2"/>
        <v>3</v>
      </c>
      <c r="J89" s="12">
        <v>6</v>
      </c>
      <c r="K89" s="12">
        <v>2</v>
      </c>
      <c r="L89" s="12" t="str">
        <f>VLOOKUP(K89,Subject!$A$2:$B$12, 2, FALSE)</f>
        <v>Language</v>
      </c>
      <c r="M89" s="12" t="str">
        <f>VLOOKUP(K89, [1]Subject!$A$2:$E$11, 5, FALSE)</f>
        <v>LA</v>
      </c>
      <c r="N89" s="12" t="s">
        <v>212</v>
      </c>
      <c r="O89" s="12" t="s">
        <v>45</v>
      </c>
      <c r="P89" s="12">
        <v>2</v>
      </c>
      <c r="Q89" s="12" t="str">
        <f>VLOOKUP(P89, [1]SubjectGroup!$A$2:$B$8, 2, FALSE)</f>
        <v>Core Academic Studies</v>
      </c>
      <c r="R89" s="12" t="s">
        <v>26</v>
      </c>
      <c r="S89" s="12" t="str">
        <f>B89</f>
        <v>Rosetta Stone Level 10</v>
      </c>
      <c r="T89" s="12">
        <v>0.8</v>
      </c>
    </row>
    <row r="90" spans="1:20" ht="15.75" hidden="1" customHeight="1" x14ac:dyDescent="0.2">
      <c r="A90" s="12">
        <v>89</v>
      </c>
      <c r="B90" s="12" t="s">
        <v>211</v>
      </c>
      <c r="F90" s="12">
        <v>10</v>
      </c>
      <c r="I90" s="12">
        <f t="shared" si="2"/>
        <v>1</v>
      </c>
      <c r="J90" s="12">
        <v>12</v>
      </c>
      <c r="K90" s="12">
        <v>10</v>
      </c>
      <c r="L90" s="12" t="str">
        <f>VLOOKUP(K90,Subject!$A$2:$B$12, 2, FALSE)</f>
        <v>Supplementary</v>
      </c>
      <c r="M90" s="12" t="str">
        <f>VLOOKUP(K90, [1]Subject!$A$2:$E$11, 5, FALSE)</f>
        <v>SU</v>
      </c>
      <c r="O90" s="12" t="s">
        <v>151</v>
      </c>
      <c r="P90" s="12">
        <v>3</v>
      </c>
      <c r="Q90" s="12" t="str">
        <f>VLOOKUP(P90, [1]SubjectGroup!$A$2:$B$8, 2, FALSE)</f>
        <v>Core Expanded Studies</v>
      </c>
      <c r="R90" s="12" t="s">
        <v>26</v>
      </c>
      <c r="S90" s="12" t="str">
        <f>B90</f>
        <v>Music Theory/Performance Grade 6</v>
      </c>
      <c r="T90" s="12">
        <v>0.8</v>
      </c>
    </row>
    <row r="91" spans="1:20" ht="15.75" customHeight="1" x14ac:dyDescent="0.2">
      <c r="A91" s="12">
        <v>90</v>
      </c>
      <c r="B91" s="12" t="s">
        <v>209</v>
      </c>
      <c r="E91" s="12" t="s">
        <v>210</v>
      </c>
      <c r="F91" s="12">
        <v>10</v>
      </c>
      <c r="G91" s="12">
        <v>109</v>
      </c>
      <c r="H91" s="12">
        <v>120</v>
      </c>
      <c r="I91" s="12">
        <f t="shared" si="2"/>
        <v>12</v>
      </c>
      <c r="J91" s="12">
        <v>12</v>
      </c>
      <c r="K91" s="12">
        <v>5</v>
      </c>
      <c r="L91" s="12" t="str">
        <f>VLOOKUP(K91,Subject!$A$2:$B$12, 2, FALSE)</f>
        <v>Science</v>
      </c>
      <c r="M91" s="12" t="str">
        <f>VLOOKUP(K91, [1]Subject!$A$2:$E$11, 5, FALSE)</f>
        <v>SC</v>
      </c>
      <c r="N91" s="12" t="s">
        <v>208</v>
      </c>
      <c r="O91" s="12" t="s">
        <v>207</v>
      </c>
      <c r="P91" s="12">
        <v>2</v>
      </c>
      <c r="Q91" s="12" t="str">
        <f>VLOOKUP(P91, [1]SubjectGroup!$A$2:$B$8, 2, FALSE)</f>
        <v>Core Academic Studies</v>
      </c>
      <c r="R91" s="12" t="s">
        <v>44</v>
      </c>
      <c r="S91" s="12" t="s">
        <v>206</v>
      </c>
      <c r="T91" s="12">
        <v>0.8</v>
      </c>
    </row>
    <row r="92" spans="1:20" ht="15.75" hidden="1" customHeight="1" x14ac:dyDescent="0.2">
      <c r="A92" s="12">
        <v>91</v>
      </c>
      <c r="B92" s="12" t="s">
        <v>205</v>
      </c>
      <c r="C92" s="12" t="s">
        <v>204</v>
      </c>
      <c r="E92" s="12" t="s">
        <v>205</v>
      </c>
      <c r="F92" s="12">
        <v>10</v>
      </c>
      <c r="G92" s="12">
        <v>1</v>
      </c>
      <c r="H92" s="12">
        <v>10</v>
      </c>
      <c r="I92" s="12">
        <f t="shared" si="2"/>
        <v>10</v>
      </c>
      <c r="J92" s="12">
        <v>12</v>
      </c>
      <c r="K92" s="12">
        <v>6</v>
      </c>
      <c r="L92" s="12" t="str">
        <f>VLOOKUP(K92,Subject!$A$2:$B$12, 2, FALSE)</f>
        <v>Social Studies</v>
      </c>
      <c r="M92" s="12" t="str">
        <f>VLOOKUP(K92, [1]Subject!$A$2:$E$11, 5, FALSE)</f>
        <v>SS</v>
      </c>
      <c r="N92" s="14"/>
      <c r="O92" s="12" t="s">
        <v>129</v>
      </c>
      <c r="P92" s="12">
        <v>2</v>
      </c>
      <c r="Q92" s="12" t="str">
        <f>VLOOKUP(P92, [1]SubjectGroup!$A$2:$B$8, 2, FALSE)</f>
        <v>Core Academic Studies</v>
      </c>
      <c r="R92" s="12" t="s">
        <v>44</v>
      </c>
      <c r="S92" s="15" t="s">
        <v>203</v>
      </c>
      <c r="T92" s="12">
        <v>0.8</v>
      </c>
    </row>
    <row r="93" spans="1:20" ht="15.75" hidden="1" customHeight="1" x14ac:dyDescent="0.2">
      <c r="A93" s="12">
        <v>92</v>
      </c>
      <c r="B93" s="12" t="s">
        <v>65</v>
      </c>
      <c r="C93" s="12" t="s">
        <v>202</v>
      </c>
      <c r="F93" s="12">
        <v>10</v>
      </c>
      <c r="G93" s="15">
        <v>7</v>
      </c>
      <c r="H93" s="15">
        <v>10</v>
      </c>
      <c r="I93" s="12">
        <f t="shared" si="2"/>
        <v>4</v>
      </c>
      <c r="J93" s="12">
        <v>3</v>
      </c>
      <c r="K93" s="12">
        <v>7</v>
      </c>
      <c r="L93" s="12" t="str">
        <f>VLOOKUP(K93,Subject!$A$2:$B$12, 2, FALSE)</f>
        <v>Biblical Studies</v>
      </c>
      <c r="M93" s="12" t="str">
        <f>VLOOKUP(K93, [1]Subject!$A$2:$E$11, 5, FALSE)</f>
        <v>BS</v>
      </c>
      <c r="N93" s="19" t="s">
        <v>201</v>
      </c>
      <c r="O93" s="12" t="s">
        <v>62</v>
      </c>
      <c r="P93" s="12">
        <v>1</v>
      </c>
      <c r="Q93" s="12" t="str">
        <f>VLOOKUP(P93, [1]SubjectGroup!$A$2:$B$8, 2, FALSE)</f>
        <v>Christian Studies</v>
      </c>
      <c r="R93" s="12" t="s">
        <v>26</v>
      </c>
      <c r="S93" s="12" t="str">
        <f>B93</f>
        <v>Apologetics II</v>
      </c>
      <c r="T93" s="12">
        <v>0.8</v>
      </c>
    </row>
    <row r="94" spans="1:20" ht="15.75" hidden="1" customHeight="1" x14ac:dyDescent="0.2">
      <c r="A94" s="12">
        <v>93</v>
      </c>
      <c r="B94" s="12" t="s">
        <v>200</v>
      </c>
      <c r="F94" s="12">
        <v>10</v>
      </c>
      <c r="G94" s="12">
        <v>1</v>
      </c>
      <c r="H94" s="12">
        <v>5</v>
      </c>
      <c r="I94" s="12">
        <f t="shared" si="2"/>
        <v>5</v>
      </c>
      <c r="J94" s="12">
        <v>6</v>
      </c>
      <c r="K94" s="12">
        <v>7</v>
      </c>
      <c r="L94" s="12" t="str">
        <f>VLOOKUP(K94,Subject!$A$2:$B$12, 2, FALSE)</f>
        <v>Biblical Studies</v>
      </c>
      <c r="M94" s="12" t="str">
        <f>VLOOKUP(K94, [1]Subject!$A$2:$E$11, 5, FALSE)</f>
        <v>BS</v>
      </c>
      <c r="N94" s="12" t="s">
        <v>199</v>
      </c>
      <c r="O94" s="12" t="s">
        <v>122</v>
      </c>
      <c r="P94" s="12">
        <v>1</v>
      </c>
      <c r="Q94" s="12" t="str">
        <f>VLOOKUP(P94, [1]SubjectGroup!$A$2:$B$8, 2, FALSE)</f>
        <v>Christian Studies</v>
      </c>
      <c r="R94" s="12" t="s">
        <v>26</v>
      </c>
      <c r="S94" s="12" t="str">
        <f>B94</f>
        <v>Christian Counselling I</v>
      </c>
      <c r="T94" s="12">
        <v>0.8</v>
      </c>
    </row>
    <row r="95" spans="1:20" ht="15.75" hidden="1" customHeight="1" x14ac:dyDescent="0.2">
      <c r="A95" s="12">
        <v>94</v>
      </c>
      <c r="B95" s="12" t="s">
        <v>198</v>
      </c>
      <c r="F95" s="12">
        <v>10</v>
      </c>
      <c r="G95" s="12">
        <v>133</v>
      </c>
      <c r="H95" s="12">
        <v>138</v>
      </c>
      <c r="I95" s="12">
        <f t="shared" si="2"/>
        <v>6</v>
      </c>
      <c r="K95" s="12">
        <v>7</v>
      </c>
      <c r="L95" s="12" t="str">
        <f>VLOOKUP(K95,Subject!$A$2:$B$12, 2, FALSE)</f>
        <v>Biblical Studies</v>
      </c>
      <c r="M95" s="12" t="str">
        <f>VLOOKUP(K95, [1]Subject!$A$2:$E$11, 5, FALSE)</f>
        <v>BS</v>
      </c>
      <c r="O95" s="12" t="s">
        <v>85</v>
      </c>
      <c r="P95" s="12">
        <v>1</v>
      </c>
      <c r="Q95" s="12" t="str">
        <f>VLOOKUP(P95, [1]SubjectGroup!$A$2:$B$8, 2, FALSE)</f>
        <v>Christian Studies</v>
      </c>
      <c r="R95" s="12" t="s">
        <v>26</v>
      </c>
      <c r="S95" s="12" t="str">
        <f>B95</f>
        <v>Life of Christ I</v>
      </c>
      <c r="T95" s="12">
        <v>0.8</v>
      </c>
    </row>
    <row r="96" spans="1:20" ht="15.75" hidden="1" customHeight="1" x14ac:dyDescent="0.2">
      <c r="A96" s="12">
        <v>95</v>
      </c>
      <c r="B96" s="12" t="s">
        <v>197</v>
      </c>
      <c r="C96" s="12" t="s">
        <v>196</v>
      </c>
      <c r="D96" s="12" t="s">
        <v>197</v>
      </c>
      <c r="E96" s="80" t="s">
        <v>1678</v>
      </c>
      <c r="F96" s="12">
        <v>10</v>
      </c>
      <c r="G96" s="12">
        <v>109</v>
      </c>
      <c r="H96" s="12">
        <v>120</v>
      </c>
      <c r="I96" s="12">
        <f t="shared" si="2"/>
        <v>12</v>
      </c>
      <c r="J96" s="12">
        <v>12</v>
      </c>
      <c r="K96" s="12">
        <v>7</v>
      </c>
      <c r="L96" s="12" t="str">
        <f>VLOOKUP(K96,Subject!$A$2:$B$12, 2, FALSE)</f>
        <v>Biblical Studies</v>
      </c>
      <c r="M96" s="12" t="str">
        <f>VLOOKUP(K96, [1]Subject!$A$2:$E$11, 5, FALSE)</f>
        <v>BS</v>
      </c>
      <c r="N96" s="15" t="s">
        <v>195</v>
      </c>
      <c r="O96" s="12" t="s">
        <v>194</v>
      </c>
      <c r="P96" s="12">
        <v>1</v>
      </c>
      <c r="Q96" s="12" t="str">
        <f>VLOOKUP(P96, [1]SubjectGroup!$A$2:$B$8, 2, FALSE)</f>
        <v>Christian Studies</v>
      </c>
      <c r="R96" s="12" t="s">
        <v>44</v>
      </c>
      <c r="S96" s="12" t="str">
        <f>B96</f>
        <v>Old Testament Survey</v>
      </c>
      <c r="T96" s="12">
        <v>0.8</v>
      </c>
    </row>
    <row r="97" spans="1:20" ht="15.75" hidden="1" customHeight="1" x14ac:dyDescent="0.2">
      <c r="A97" s="12">
        <v>96</v>
      </c>
      <c r="B97" s="12" t="s">
        <v>193</v>
      </c>
      <c r="F97" s="12">
        <v>10</v>
      </c>
      <c r="G97" s="12">
        <v>109</v>
      </c>
      <c r="H97" s="12">
        <v>114</v>
      </c>
      <c r="I97" s="12">
        <f t="shared" si="2"/>
        <v>6</v>
      </c>
      <c r="K97" s="12">
        <v>10</v>
      </c>
      <c r="L97" s="12" t="str">
        <f>VLOOKUP(K97,Subject!$A$2:$B$12, 2, FALSE)</f>
        <v>Supplementary</v>
      </c>
      <c r="M97" s="12" t="str">
        <f>VLOOKUP(K97, [1]Subject!$A$2:$E$11, 5, FALSE)</f>
        <v>SU</v>
      </c>
      <c r="O97" s="12" t="s">
        <v>192</v>
      </c>
      <c r="P97" s="12">
        <v>3</v>
      </c>
      <c r="Q97" s="12" t="str">
        <f>VLOOKUP(P97, [1]SubjectGroup!$A$2:$B$8, 2, FALSE)</f>
        <v>Core Expanded Studies</v>
      </c>
      <c r="R97" s="12" t="s">
        <v>26</v>
      </c>
      <c r="S97" s="12" t="str">
        <f>B97</f>
        <v>Auto Mechanics</v>
      </c>
      <c r="T97" s="12">
        <v>0.8</v>
      </c>
    </row>
    <row r="98" spans="1:20" ht="15.75" hidden="1" customHeight="1" x14ac:dyDescent="0.2">
      <c r="A98" s="12">
        <v>97</v>
      </c>
      <c r="B98" s="40" t="s">
        <v>1605</v>
      </c>
      <c r="C98" s="40" t="s">
        <v>1606</v>
      </c>
      <c r="D98" s="40"/>
      <c r="E98" s="40" t="s">
        <v>1607</v>
      </c>
      <c r="F98" s="40">
        <v>10</v>
      </c>
      <c r="G98" s="40">
        <v>1</v>
      </c>
      <c r="H98" s="40">
        <v>24</v>
      </c>
      <c r="I98" s="40">
        <f t="shared" ref="I98:I128" si="3">H98-G98+1</f>
        <v>24</v>
      </c>
      <c r="J98" s="12">
        <v>12</v>
      </c>
      <c r="K98" s="12">
        <v>11</v>
      </c>
      <c r="L98" s="12" t="str">
        <f>VLOOKUP(K98,Subject!$A$2:$B$12, 2, FALSE)</f>
        <v>Art Electives</v>
      </c>
      <c r="M98" s="12" t="e">
        <f>VLOOKUP(K98, [1]Subject!$A$2:$E$11, 5, FALSE)</f>
        <v>#N/A</v>
      </c>
      <c r="N98" s="12" t="s">
        <v>191</v>
      </c>
      <c r="O98" s="12" t="s">
        <v>190</v>
      </c>
      <c r="P98" s="12">
        <v>3</v>
      </c>
      <c r="Q98" s="12" t="str">
        <f>VLOOKUP(P98, [1]SubjectGroup!$A$2:$B$8, 2, FALSE)</f>
        <v>Core Expanded Studies</v>
      </c>
      <c r="R98" s="12" t="s">
        <v>26</v>
      </c>
      <c r="S98" s="12" t="str">
        <f>B98</f>
        <v>Digital Savvy</v>
      </c>
      <c r="T98" s="12">
        <v>0.8</v>
      </c>
    </row>
    <row r="99" spans="1:20" ht="15.75" hidden="1" customHeight="1" x14ac:dyDescent="0.2">
      <c r="A99" s="12">
        <v>98</v>
      </c>
      <c r="B99" s="12" t="s">
        <v>189</v>
      </c>
      <c r="F99" s="12">
        <v>11</v>
      </c>
      <c r="G99" s="12">
        <v>121</v>
      </c>
      <c r="H99" s="12">
        <v>132</v>
      </c>
      <c r="I99" s="12">
        <f t="shared" si="3"/>
        <v>12</v>
      </c>
      <c r="J99" s="12">
        <v>12</v>
      </c>
      <c r="K99" s="12">
        <v>1</v>
      </c>
      <c r="L99" s="12" t="str">
        <f>VLOOKUP(K99,Subject!$A$2:$B$12, 2, FALSE)</f>
        <v>Maths</v>
      </c>
      <c r="M99" s="12" t="str">
        <f>VLOOKUP(K99, [1]Subject!$A$2:$E$11, 5, FALSE)</f>
        <v>MA</v>
      </c>
      <c r="O99" s="12" t="s">
        <v>188</v>
      </c>
      <c r="P99" s="12">
        <v>2</v>
      </c>
      <c r="Q99" s="12" t="str">
        <f>VLOOKUP(P99, [1]SubjectGroup!$A$2:$B$8, 2, FALSE)</f>
        <v>Core Academic Studies</v>
      </c>
      <c r="R99" s="12" t="s">
        <v>44</v>
      </c>
      <c r="S99" s="12" t="str">
        <f>B99</f>
        <v>Algebra II</v>
      </c>
      <c r="T99" s="12">
        <v>0.8</v>
      </c>
    </row>
    <row r="100" spans="1:20" ht="15.75" hidden="1" customHeight="1" x14ac:dyDescent="0.2">
      <c r="A100" s="12">
        <v>99</v>
      </c>
      <c r="B100" s="12" t="s">
        <v>187</v>
      </c>
      <c r="F100" s="12">
        <v>11</v>
      </c>
      <c r="G100" s="12">
        <v>1</v>
      </c>
      <c r="H100" s="12">
        <v>5</v>
      </c>
      <c r="I100" s="12">
        <f t="shared" si="3"/>
        <v>5</v>
      </c>
      <c r="J100" s="12" t="s">
        <v>161</v>
      </c>
      <c r="K100" s="12">
        <v>4</v>
      </c>
      <c r="L100" s="12" t="str">
        <f>VLOOKUP(K100,Subject!$A$2:$B$12, 2, FALSE)</f>
        <v>Literature</v>
      </c>
      <c r="M100" s="12" t="str">
        <f>VLOOKUP(K100, [1]Subject!$A$2:$E$11, 5, FALSE)</f>
        <v>LI</v>
      </c>
      <c r="O100" s="12" t="s">
        <v>186</v>
      </c>
      <c r="P100" s="12">
        <v>2</v>
      </c>
      <c r="Q100" s="12" t="str">
        <f>VLOOKUP(P100, [1]SubjectGroup!$A$2:$B$8, 2, FALSE)</f>
        <v>Core Academic Studies</v>
      </c>
      <c r="R100" s="12" t="s">
        <v>44</v>
      </c>
      <c r="S100" s="12" t="str">
        <f>B100</f>
        <v>British Literature</v>
      </c>
      <c r="T100" s="12">
        <v>0.8</v>
      </c>
    </row>
    <row r="101" spans="1:20" ht="15.75" hidden="1" customHeight="1" x14ac:dyDescent="0.2">
      <c r="A101" s="12">
        <v>100</v>
      </c>
      <c r="B101" s="12" t="s">
        <v>185</v>
      </c>
      <c r="F101" s="12">
        <v>11</v>
      </c>
      <c r="I101" s="12">
        <f t="shared" si="3"/>
        <v>1</v>
      </c>
      <c r="J101" s="12">
        <v>18</v>
      </c>
      <c r="K101" s="12">
        <v>2</v>
      </c>
      <c r="L101" s="12" t="str">
        <f>VLOOKUP(K101,Subject!$A$2:$B$12, 2, FALSE)</f>
        <v>Language</v>
      </c>
      <c r="M101" s="12" t="str">
        <f>VLOOKUP(K101, [1]Subject!$A$2:$E$11, 5, FALSE)</f>
        <v>LA</v>
      </c>
      <c r="N101" s="15" t="s">
        <v>184</v>
      </c>
      <c r="O101" s="12" t="s">
        <v>105</v>
      </c>
      <c r="P101" s="12">
        <v>2</v>
      </c>
      <c r="Q101" s="12" t="str">
        <f>VLOOKUP(P101, [1]SubjectGroup!$A$2:$B$8, 2, FALSE)</f>
        <v>Core Academic Studies</v>
      </c>
      <c r="R101" s="12" t="s">
        <v>44</v>
      </c>
      <c r="S101" s="12" t="str">
        <f>B101</f>
        <v>Dutch Language Staatsexamen HAVO</v>
      </c>
      <c r="T101" s="12">
        <v>0.8</v>
      </c>
    </row>
    <row r="102" spans="1:20" ht="15.75" hidden="1" customHeight="1" x14ac:dyDescent="0.2">
      <c r="A102" s="12">
        <v>101</v>
      </c>
      <c r="B102" s="12" t="s">
        <v>183</v>
      </c>
      <c r="F102" s="12">
        <v>11</v>
      </c>
      <c r="G102" s="12">
        <v>121</v>
      </c>
      <c r="H102" s="12">
        <v>132</v>
      </c>
      <c r="I102" s="12">
        <f t="shared" si="3"/>
        <v>12</v>
      </c>
      <c r="J102" s="12">
        <v>12</v>
      </c>
      <c r="K102" s="12">
        <v>2</v>
      </c>
      <c r="L102" s="12" t="str">
        <f>VLOOKUP(K102,Subject!$A$2:$B$12, 2, FALSE)</f>
        <v>Language</v>
      </c>
      <c r="M102" s="12" t="str">
        <f>VLOOKUP(K102, [1]Subject!$A$2:$E$11, 5, FALSE)</f>
        <v>LA</v>
      </c>
      <c r="O102" s="12" t="s">
        <v>155</v>
      </c>
      <c r="P102" s="12">
        <v>2</v>
      </c>
      <c r="Q102" s="12" t="str">
        <f>VLOOKUP(P102, [1]SubjectGroup!$A$2:$B$8, 2, FALSE)</f>
        <v>Core Academic Studies</v>
      </c>
      <c r="R102" s="12" t="s">
        <v>44</v>
      </c>
      <c r="S102" s="12" t="str">
        <f>B102</f>
        <v>English III</v>
      </c>
      <c r="T102" s="12">
        <v>0.8</v>
      </c>
    </row>
    <row r="103" spans="1:20" ht="15.75" hidden="1" customHeight="1" x14ac:dyDescent="0.2">
      <c r="A103" s="12">
        <v>102</v>
      </c>
      <c r="B103" s="15" t="s">
        <v>182</v>
      </c>
      <c r="C103" s="15"/>
      <c r="D103" s="15"/>
      <c r="F103" s="15">
        <v>10</v>
      </c>
      <c r="G103" s="12">
        <v>1</v>
      </c>
      <c r="H103" s="12">
        <v>3</v>
      </c>
      <c r="I103" s="12">
        <f t="shared" si="3"/>
        <v>3</v>
      </c>
      <c r="J103" s="12">
        <v>6</v>
      </c>
      <c r="K103" s="12">
        <v>4</v>
      </c>
      <c r="L103" s="12" t="str">
        <f>VLOOKUP(K103,Subject!$A$2:$B$12, 2, FALSE)</f>
        <v>Literature</v>
      </c>
      <c r="M103" s="12" t="str">
        <f>VLOOKUP(K103, [1]Subject!$A$2:$E$11, 5, FALSE)</f>
        <v>LI</v>
      </c>
      <c r="N103" s="12" t="s">
        <v>181</v>
      </c>
      <c r="O103" s="12" t="s">
        <v>178</v>
      </c>
      <c r="P103" s="12">
        <v>2</v>
      </c>
      <c r="Q103" s="12" t="str">
        <f>VLOOKUP(P103, [1]SubjectGroup!$A$2:$B$8, 2, FALSE)</f>
        <v>Core Academic Studies</v>
      </c>
      <c r="R103" s="12" t="s">
        <v>26</v>
      </c>
      <c r="S103" s="12" t="str">
        <f>B103</f>
        <v>ICCE Literature 10 Part 1</v>
      </c>
      <c r="T103" s="12">
        <v>0.8</v>
      </c>
    </row>
    <row r="104" spans="1:20" ht="15.75" hidden="1" customHeight="1" x14ac:dyDescent="0.2">
      <c r="A104" s="12">
        <v>103</v>
      </c>
      <c r="B104" s="15" t="s">
        <v>180</v>
      </c>
      <c r="C104" s="15"/>
      <c r="D104" s="15"/>
      <c r="F104" s="15">
        <v>10</v>
      </c>
      <c r="G104" s="12">
        <v>1</v>
      </c>
      <c r="H104" s="12">
        <v>6</v>
      </c>
      <c r="I104" s="12">
        <f t="shared" si="3"/>
        <v>6</v>
      </c>
      <c r="J104" s="12">
        <v>12</v>
      </c>
      <c r="K104" s="12">
        <v>4</v>
      </c>
      <c r="L104" s="12" t="str">
        <f>VLOOKUP(K104,Subject!$A$2:$B$12, 2, FALSE)</f>
        <v>Literature</v>
      </c>
      <c r="M104" s="12" t="str">
        <f>VLOOKUP(K104, [1]Subject!$A$2:$E$11, 5, FALSE)</f>
        <v>LI</v>
      </c>
      <c r="N104" s="12" t="s">
        <v>179</v>
      </c>
      <c r="O104" s="12" t="s">
        <v>178</v>
      </c>
      <c r="P104" s="12">
        <v>2</v>
      </c>
      <c r="Q104" s="12" t="str">
        <f>VLOOKUP(P104, [1]SubjectGroup!$A$2:$B$8, 2, FALSE)</f>
        <v>Core Academic Studies</v>
      </c>
      <c r="R104" s="12" t="s">
        <v>26</v>
      </c>
      <c r="S104" s="12" t="str">
        <f>B104</f>
        <v>ICCE Literature 10</v>
      </c>
      <c r="T104" s="12">
        <v>0.8</v>
      </c>
    </row>
    <row r="105" spans="1:20" ht="15.75" hidden="1" customHeight="1" x14ac:dyDescent="0.2">
      <c r="A105" s="12">
        <v>104</v>
      </c>
      <c r="B105" s="12" t="s">
        <v>177</v>
      </c>
      <c r="F105" s="12">
        <v>11</v>
      </c>
      <c r="G105" s="12">
        <v>121</v>
      </c>
      <c r="H105" s="12">
        <v>132</v>
      </c>
      <c r="I105" s="12">
        <f t="shared" si="3"/>
        <v>12</v>
      </c>
      <c r="J105" s="12">
        <v>12</v>
      </c>
      <c r="K105" s="12">
        <v>2</v>
      </c>
      <c r="L105" s="12" t="str">
        <f>VLOOKUP(K105,Subject!$A$2:$B$12, 2, FALSE)</f>
        <v>Language</v>
      </c>
      <c r="M105" s="12" t="str">
        <f>VLOOKUP(K105, [1]Subject!$A$2:$E$11, 5, FALSE)</f>
        <v>LA</v>
      </c>
      <c r="O105" s="12" t="s">
        <v>72</v>
      </c>
      <c r="P105" s="12">
        <v>2</v>
      </c>
      <c r="Q105" s="12" t="str">
        <f>VLOOKUP(P105, [1]SubjectGroup!$A$2:$B$8, 2, FALSE)</f>
        <v>Core Academic Studies</v>
      </c>
      <c r="R105" s="12" t="s">
        <v>26</v>
      </c>
      <c r="S105" s="12" t="str">
        <f>B105</f>
        <v>N.T. Greek I</v>
      </c>
      <c r="T105" s="12">
        <v>0.8</v>
      </c>
    </row>
    <row r="106" spans="1:20" ht="15.75" hidden="1" customHeight="1" x14ac:dyDescent="0.2">
      <c r="A106" s="12">
        <v>105</v>
      </c>
      <c r="B106" s="12" t="s">
        <v>175</v>
      </c>
      <c r="E106" s="12" t="s">
        <v>176</v>
      </c>
      <c r="F106" s="12">
        <v>11</v>
      </c>
      <c r="G106" s="12">
        <v>121</v>
      </c>
      <c r="H106" s="12">
        <v>132</v>
      </c>
      <c r="I106" s="12">
        <f t="shared" si="3"/>
        <v>12</v>
      </c>
      <c r="J106" s="12">
        <v>12</v>
      </c>
      <c r="K106" s="12">
        <v>5</v>
      </c>
      <c r="L106" s="12" t="str">
        <f>VLOOKUP(K106,Subject!$A$2:$B$12, 2, FALSE)</f>
        <v>Science</v>
      </c>
      <c r="M106" s="12" t="str">
        <f>VLOOKUP(K106, [1]Subject!$A$2:$E$11, 5, FALSE)</f>
        <v>SC</v>
      </c>
      <c r="O106" s="12" t="s">
        <v>174</v>
      </c>
      <c r="P106" s="12">
        <v>2</v>
      </c>
      <c r="Q106" s="12" t="str">
        <f>VLOOKUP(P106, [1]SubjectGroup!$A$2:$B$8, 2, FALSE)</f>
        <v>Core Academic Studies</v>
      </c>
      <c r="R106" s="12" t="s">
        <v>44</v>
      </c>
      <c r="S106" s="12" t="s">
        <v>173</v>
      </c>
      <c r="T106" s="12">
        <v>0.8</v>
      </c>
    </row>
    <row r="107" spans="1:20" ht="15.75" hidden="1" customHeight="1" x14ac:dyDescent="0.2">
      <c r="A107" s="12">
        <v>106</v>
      </c>
      <c r="B107" s="12" t="s">
        <v>7</v>
      </c>
      <c r="C107" s="12" t="s">
        <v>172</v>
      </c>
      <c r="E107" s="12" t="s">
        <v>43</v>
      </c>
      <c r="F107" s="12">
        <v>12</v>
      </c>
      <c r="G107" s="12">
        <v>121</v>
      </c>
      <c r="H107" s="12">
        <v>132</v>
      </c>
      <c r="I107" s="12">
        <f t="shared" si="3"/>
        <v>12</v>
      </c>
      <c r="J107" s="12">
        <v>12</v>
      </c>
      <c r="K107" s="12">
        <v>7</v>
      </c>
      <c r="L107" s="12" t="str">
        <f>VLOOKUP(K107,Subject!$A$2:$B$12, 2, FALSE)</f>
        <v>Biblical Studies</v>
      </c>
      <c r="M107" s="12" t="str">
        <f>VLOOKUP(K107, [1]Subject!$A$2:$E$11, 5, FALSE)</f>
        <v>BS</v>
      </c>
      <c r="O107" s="12" t="s">
        <v>40</v>
      </c>
      <c r="P107" s="12">
        <v>1</v>
      </c>
      <c r="Q107" s="12" t="str">
        <f>VLOOKUP(P107, [1]SubjectGroup!$A$2:$B$8, 2, FALSE)</f>
        <v>Christian Studies</v>
      </c>
      <c r="R107" s="12" t="s">
        <v>44</v>
      </c>
      <c r="S107" s="12" t="str">
        <f>B107</f>
        <v>New Testament Church History</v>
      </c>
      <c r="T107" s="12">
        <v>0.8</v>
      </c>
    </row>
    <row r="108" spans="1:20" ht="15.75" hidden="1" customHeight="1" x14ac:dyDescent="0.2">
      <c r="A108" s="12">
        <v>107</v>
      </c>
      <c r="B108" s="12" t="s">
        <v>171</v>
      </c>
      <c r="F108" s="12">
        <v>12</v>
      </c>
      <c r="G108" s="12">
        <v>121</v>
      </c>
      <c r="H108" s="12">
        <v>132</v>
      </c>
      <c r="I108" s="12">
        <f t="shared" si="3"/>
        <v>12</v>
      </c>
      <c r="J108" s="12">
        <v>12</v>
      </c>
      <c r="K108" s="12">
        <v>1</v>
      </c>
      <c r="L108" s="12" t="str">
        <f>VLOOKUP(K108,Subject!$A$2:$B$12, 2, FALSE)</f>
        <v>Maths</v>
      </c>
      <c r="M108" s="12" t="str">
        <f>VLOOKUP(K108, [1]Subject!$A$2:$E$11, 5, FALSE)</f>
        <v>MA</v>
      </c>
      <c r="O108" s="12" t="s">
        <v>170</v>
      </c>
      <c r="P108" s="12">
        <v>3</v>
      </c>
      <c r="Q108" s="12" t="str">
        <f>VLOOKUP(P108, [1]SubjectGroup!$A$2:$B$8, 2, FALSE)</f>
        <v>Core Expanded Studies</v>
      </c>
      <c r="R108" s="12" t="s">
        <v>26</v>
      </c>
      <c r="S108" s="12" t="str">
        <f>B108</f>
        <v>Accounting (US)</v>
      </c>
      <c r="T108" s="12">
        <v>0.8</v>
      </c>
    </row>
    <row r="109" spans="1:20" ht="15.75" hidden="1" customHeight="1" x14ac:dyDescent="0.2">
      <c r="A109" s="12">
        <v>108</v>
      </c>
      <c r="B109" s="12" t="s">
        <v>168</v>
      </c>
      <c r="E109" s="12" t="s">
        <v>169</v>
      </c>
      <c r="F109" s="12">
        <v>12</v>
      </c>
      <c r="G109" s="12">
        <v>1</v>
      </c>
      <c r="H109" s="12">
        <v>10</v>
      </c>
      <c r="I109" s="12">
        <f t="shared" si="3"/>
        <v>10</v>
      </c>
      <c r="J109" s="12" t="s">
        <v>161</v>
      </c>
      <c r="K109" s="12">
        <v>1</v>
      </c>
      <c r="L109" s="12" t="str">
        <f>VLOOKUP(K109,Subject!$A$2:$B$12, 2, FALSE)</f>
        <v>Maths</v>
      </c>
      <c r="M109" s="12" t="str">
        <f>VLOOKUP(K109, [1]Subject!$A$2:$E$11, 5, FALSE)</f>
        <v>MA</v>
      </c>
      <c r="O109" s="12" t="s">
        <v>165</v>
      </c>
      <c r="P109" s="12">
        <v>2</v>
      </c>
      <c r="Q109" s="12" t="str">
        <f>VLOOKUP(P109, [1]SubjectGroup!$A$2:$B$8, 2, FALSE)</f>
        <v>Core Academic Studies</v>
      </c>
      <c r="R109" s="12" t="s">
        <v>26</v>
      </c>
      <c r="S109" s="12" t="str">
        <f>B109</f>
        <v>College Maths I</v>
      </c>
      <c r="T109" s="12">
        <v>0.8</v>
      </c>
    </row>
    <row r="110" spans="1:20" ht="15.75" hidden="1" customHeight="1" x14ac:dyDescent="0.2">
      <c r="A110" s="12">
        <v>109</v>
      </c>
      <c r="B110" s="12" t="s">
        <v>166</v>
      </c>
      <c r="E110" s="12" t="s">
        <v>167</v>
      </c>
      <c r="F110" s="12">
        <v>12</v>
      </c>
      <c r="G110" s="12">
        <v>11</v>
      </c>
      <c r="H110" s="12">
        <v>20</v>
      </c>
      <c r="I110" s="12">
        <f t="shared" si="3"/>
        <v>10</v>
      </c>
      <c r="J110" s="12" t="s">
        <v>161</v>
      </c>
      <c r="K110" s="12">
        <v>1</v>
      </c>
      <c r="L110" s="12" t="str">
        <f>VLOOKUP(K110,Subject!$A$2:$B$12, 2, FALSE)</f>
        <v>Maths</v>
      </c>
      <c r="M110" s="12" t="str">
        <f>VLOOKUP(K110, [1]Subject!$A$2:$E$11, 5, FALSE)</f>
        <v>MA</v>
      </c>
      <c r="O110" s="12" t="s">
        <v>165</v>
      </c>
      <c r="P110" s="12">
        <v>2</v>
      </c>
      <c r="Q110" s="12" t="str">
        <f>VLOOKUP(P110, [1]SubjectGroup!$A$2:$B$8, 2, FALSE)</f>
        <v>Core Academic Studies</v>
      </c>
      <c r="R110" s="12" t="s">
        <v>26</v>
      </c>
      <c r="S110" s="12" t="str">
        <f>B110</f>
        <v>College Maths II</v>
      </c>
      <c r="T110" s="12">
        <v>0.8</v>
      </c>
    </row>
    <row r="111" spans="1:20" ht="15.75" hidden="1" customHeight="1" x14ac:dyDescent="0.2">
      <c r="A111" s="12">
        <v>110</v>
      </c>
      <c r="B111" s="12" t="s">
        <v>164</v>
      </c>
      <c r="F111" s="12">
        <v>12</v>
      </c>
      <c r="G111" s="12">
        <v>139</v>
      </c>
      <c r="H111" s="12">
        <v>144</v>
      </c>
      <c r="I111" s="12">
        <f t="shared" si="3"/>
        <v>6</v>
      </c>
      <c r="J111" s="12" t="s">
        <v>161</v>
      </c>
      <c r="K111" s="12">
        <v>1</v>
      </c>
      <c r="L111" s="12" t="str">
        <f>VLOOKUP(K111,Subject!$A$2:$B$12, 2, FALSE)</f>
        <v>Maths</v>
      </c>
      <c r="M111" s="12" t="str">
        <f>VLOOKUP(K111, [1]Subject!$A$2:$E$11, 5, FALSE)</f>
        <v>MA</v>
      </c>
      <c r="O111" s="12" t="s">
        <v>163</v>
      </c>
      <c r="P111" s="12">
        <v>2</v>
      </c>
      <c r="Q111" s="12" t="str">
        <f>VLOOKUP(P111, [1]SubjectGroup!$A$2:$B$8, 2, FALSE)</f>
        <v>Core Academic Studies</v>
      </c>
      <c r="R111" s="12" t="s">
        <v>26</v>
      </c>
      <c r="S111" s="12" t="str">
        <f>B111</f>
        <v>Higher Maths</v>
      </c>
      <c r="T111" s="12">
        <v>0.8</v>
      </c>
    </row>
    <row r="112" spans="1:20" ht="15.75" hidden="1" customHeight="1" x14ac:dyDescent="0.2">
      <c r="A112" s="12">
        <v>111</v>
      </c>
      <c r="B112" s="12" t="s">
        <v>162</v>
      </c>
      <c r="F112" s="12">
        <v>12</v>
      </c>
      <c r="G112" s="12">
        <v>133</v>
      </c>
      <c r="H112" s="12">
        <v>138</v>
      </c>
      <c r="I112" s="12">
        <f t="shared" si="3"/>
        <v>6</v>
      </c>
      <c r="J112" s="12" t="s">
        <v>161</v>
      </c>
      <c r="K112" s="12">
        <v>1</v>
      </c>
      <c r="L112" s="12" t="str">
        <f>VLOOKUP(K112,Subject!$A$2:$B$12, 2, FALSE)</f>
        <v>Maths</v>
      </c>
      <c r="M112" s="12" t="str">
        <f>VLOOKUP(K112, [1]Subject!$A$2:$E$11, 5, FALSE)</f>
        <v>MA</v>
      </c>
      <c r="O112" s="12" t="s">
        <v>160</v>
      </c>
      <c r="P112" s="12">
        <v>2</v>
      </c>
      <c r="Q112" s="12" t="str">
        <f>VLOOKUP(P112, [1]SubjectGroup!$A$2:$B$8, 2, FALSE)</f>
        <v>Core Academic Studies</v>
      </c>
      <c r="R112" s="12" t="s">
        <v>26</v>
      </c>
      <c r="S112" s="12" t="str">
        <f>B112</f>
        <v>Trigonometry</v>
      </c>
      <c r="T112" s="12">
        <v>0.8</v>
      </c>
    </row>
    <row r="113" spans="1:21" ht="15.75" hidden="1" customHeight="1" x14ac:dyDescent="0.2">
      <c r="A113" s="12">
        <v>112</v>
      </c>
      <c r="B113" s="12" t="s">
        <v>159</v>
      </c>
      <c r="F113" s="12">
        <v>12</v>
      </c>
      <c r="G113" s="12">
        <v>1</v>
      </c>
      <c r="H113" s="12">
        <v>10</v>
      </c>
      <c r="I113" s="12">
        <f t="shared" si="3"/>
        <v>10</v>
      </c>
      <c r="K113" s="12">
        <v>2</v>
      </c>
      <c r="L113" s="12" t="str">
        <f>VLOOKUP(K113,Subject!$A$2:$B$12, 2, FALSE)</f>
        <v>Language</v>
      </c>
      <c r="M113" s="12" t="str">
        <f>VLOOKUP(K113, [1]Subject!$A$2:$E$11, 5, FALSE)</f>
        <v>LA</v>
      </c>
      <c r="N113" s="12" t="s">
        <v>158</v>
      </c>
      <c r="O113" s="12" t="s">
        <v>112</v>
      </c>
      <c r="P113" s="12">
        <v>2</v>
      </c>
      <c r="Q113" s="12" t="str">
        <f>VLOOKUP(P113, [1]SubjectGroup!$A$2:$B$8, 2, FALSE)</f>
        <v>Core Academic Studies</v>
      </c>
      <c r="R113" s="12" t="s">
        <v>26</v>
      </c>
      <c r="S113" s="12" t="str">
        <f>B113</f>
        <v>English Composition II</v>
      </c>
      <c r="T113" s="12">
        <v>0.8</v>
      </c>
    </row>
    <row r="114" spans="1:21" ht="15.75" hidden="1" customHeight="1" x14ac:dyDescent="0.2">
      <c r="A114" s="12">
        <v>113</v>
      </c>
      <c r="B114" s="12" t="s">
        <v>157</v>
      </c>
      <c r="F114" s="12">
        <v>12</v>
      </c>
      <c r="G114" s="12">
        <v>133</v>
      </c>
      <c r="H114" s="12">
        <v>144</v>
      </c>
      <c r="I114" s="12">
        <f t="shared" si="3"/>
        <v>12</v>
      </c>
      <c r="J114" s="12">
        <v>12</v>
      </c>
      <c r="K114" s="12">
        <v>2</v>
      </c>
      <c r="L114" s="12" t="str">
        <f>VLOOKUP(K114,Subject!$A$2:$B$12, 2, FALSE)</f>
        <v>Language</v>
      </c>
      <c r="M114" s="12" t="str">
        <f>VLOOKUP(K114, [1]Subject!$A$2:$E$11, 5, FALSE)</f>
        <v>LA</v>
      </c>
      <c r="N114" s="15" t="s">
        <v>156</v>
      </c>
      <c r="O114" s="12" t="s">
        <v>155</v>
      </c>
      <c r="P114" s="12">
        <v>2</v>
      </c>
      <c r="Q114" s="12" t="str">
        <f>VLOOKUP(P114, [1]SubjectGroup!$A$2:$B$8, 2, FALSE)</f>
        <v>Core Academic Studies</v>
      </c>
      <c r="R114" s="12" t="s">
        <v>44</v>
      </c>
      <c r="S114" s="12" t="str">
        <f>B114</f>
        <v>English IV</v>
      </c>
      <c r="T114" s="12">
        <v>0.8</v>
      </c>
    </row>
    <row r="115" spans="1:21" ht="15.75" hidden="1" customHeight="1" x14ac:dyDescent="0.2">
      <c r="A115" s="12">
        <v>114</v>
      </c>
      <c r="B115" s="12" t="s">
        <v>154</v>
      </c>
      <c r="F115" s="12">
        <v>12</v>
      </c>
      <c r="G115" s="12">
        <v>11</v>
      </c>
      <c r="H115" s="12">
        <v>20</v>
      </c>
      <c r="I115" s="12">
        <f t="shared" si="3"/>
        <v>10</v>
      </c>
      <c r="K115" s="12">
        <v>2</v>
      </c>
      <c r="L115" s="12" t="str">
        <f>VLOOKUP(K115,Subject!$A$2:$B$12, 2, FALSE)</f>
        <v>Language</v>
      </c>
      <c r="M115" s="12" t="str">
        <f>VLOOKUP(K115, [1]Subject!$A$2:$E$11, 5, FALSE)</f>
        <v>LA</v>
      </c>
      <c r="N115" s="15" t="s">
        <v>153</v>
      </c>
      <c r="O115" s="12" t="s">
        <v>72</v>
      </c>
      <c r="P115" s="12">
        <v>2</v>
      </c>
      <c r="Q115" s="12" t="str">
        <f>VLOOKUP(P115, [1]SubjectGroup!$A$2:$B$8, 2, FALSE)</f>
        <v>Core Academic Studies</v>
      </c>
      <c r="R115" s="12" t="s">
        <v>26</v>
      </c>
      <c r="S115" s="12" t="str">
        <f>B115</f>
        <v>N.T. Greek II</v>
      </c>
      <c r="T115" s="12">
        <v>0.8</v>
      </c>
    </row>
    <row r="116" spans="1:21" ht="15.75" hidden="1" customHeight="1" x14ac:dyDescent="0.2">
      <c r="A116" s="12">
        <v>115</v>
      </c>
      <c r="B116" s="12" t="s">
        <v>152</v>
      </c>
      <c r="F116" s="12">
        <v>12</v>
      </c>
      <c r="G116" s="12">
        <v>7</v>
      </c>
      <c r="H116" s="12">
        <v>8</v>
      </c>
      <c r="I116" s="12">
        <f t="shared" si="3"/>
        <v>2</v>
      </c>
      <c r="K116" s="12">
        <v>10</v>
      </c>
      <c r="L116" s="12" t="str">
        <f>VLOOKUP(K116,Subject!$A$2:$B$12, 2, FALSE)</f>
        <v>Supplementary</v>
      </c>
      <c r="M116" s="12" t="str">
        <f>VLOOKUP(K116, [1]Subject!$A$2:$E$11, 5, FALSE)</f>
        <v>SU</v>
      </c>
      <c r="O116" s="12" t="s">
        <v>151</v>
      </c>
      <c r="P116" s="12">
        <v>3</v>
      </c>
      <c r="Q116" s="12" t="str">
        <f>VLOOKUP(P116, [1]SubjectGroup!$A$2:$B$8, 2, FALSE)</f>
        <v>Core Expanded Studies</v>
      </c>
      <c r="R116" s="12" t="s">
        <v>26</v>
      </c>
      <c r="S116" s="12" t="str">
        <f>B116</f>
        <v>Music Theory/Performance Grade 7/8</v>
      </c>
      <c r="T116" s="12">
        <v>0.8</v>
      </c>
    </row>
    <row r="117" spans="1:21" ht="15.75" customHeight="1" x14ac:dyDescent="0.2">
      <c r="A117" s="12">
        <v>116</v>
      </c>
      <c r="B117" s="12" t="s">
        <v>149</v>
      </c>
      <c r="E117" s="12" t="s">
        <v>150</v>
      </c>
      <c r="F117" s="12">
        <v>12</v>
      </c>
      <c r="G117" s="12">
        <v>1</v>
      </c>
      <c r="H117" s="12">
        <v>10</v>
      </c>
      <c r="I117" s="12">
        <f t="shared" si="3"/>
        <v>10</v>
      </c>
      <c r="J117" s="12">
        <v>12</v>
      </c>
      <c r="K117" s="12">
        <v>5</v>
      </c>
      <c r="L117" s="12" t="str">
        <f>VLOOKUP(K117,Subject!$A$2:$B$12, 2, FALSE)</f>
        <v>Science</v>
      </c>
      <c r="M117" s="12" t="str">
        <f>VLOOKUP(K117, [1]Subject!$A$2:$E$11, 5, FALSE)</f>
        <v>SC</v>
      </c>
      <c r="O117" s="12" t="s">
        <v>148</v>
      </c>
      <c r="P117" s="12">
        <v>2</v>
      </c>
      <c r="Q117" s="12" t="str">
        <f>VLOOKUP(P117, [1]SubjectGroup!$A$2:$B$8, 2, FALSE)</f>
        <v>Core Academic Studies</v>
      </c>
      <c r="R117" s="12" t="s">
        <v>26</v>
      </c>
      <c r="S117" s="12" t="str">
        <f>B117</f>
        <v>College Physical Science</v>
      </c>
      <c r="T117" s="12">
        <v>0.8</v>
      </c>
    </row>
    <row r="118" spans="1:21" ht="15.75" customHeight="1" x14ac:dyDescent="0.2">
      <c r="A118" s="12">
        <v>117</v>
      </c>
      <c r="B118" s="12" t="s">
        <v>146</v>
      </c>
      <c r="E118" s="12" t="s">
        <v>147</v>
      </c>
      <c r="F118" s="15">
        <v>12</v>
      </c>
      <c r="G118" s="12">
        <v>133</v>
      </c>
      <c r="H118" s="12">
        <v>144</v>
      </c>
      <c r="I118" s="12">
        <f t="shared" si="3"/>
        <v>12</v>
      </c>
      <c r="J118" s="12">
        <v>12</v>
      </c>
      <c r="K118" s="12">
        <v>5</v>
      </c>
      <c r="L118" s="12" t="str">
        <f>VLOOKUP(K118,Subject!$A$2:$B$12, 2, FALSE)</f>
        <v>Science</v>
      </c>
      <c r="M118" s="12" t="str">
        <f>VLOOKUP(K118, [1]Subject!$A$2:$E$11, 5, FALSE)</f>
        <v>SC</v>
      </c>
      <c r="O118" s="12" t="s">
        <v>145</v>
      </c>
      <c r="P118" s="12">
        <v>2</v>
      </c>
      <c r="Q118" s="12" t="str">
        <f>VLOOKUP(P118, [1]SubjectGroup!$A$2:$B$8, 2, FALSE)</f>
        <v>Core Academic Studies</v>
      </c>
      <c r="R118" s="12" t="s">
        <v>26</v>
      </c>
      <c r="S118" s="12" t="s">
        <v>144</v>
      </c>
      <c r="T118" s="12">
        <v>0.8</v>
      </c>
    </row>
    <row r="119" spans="1:21" ht="15.75" hidden="1" customHeight="1" x14ac:dyDescent="0.2">
      <c r="A119" s="12">
        <v>118</v>
      </c>
      <c r="B119" s="12" t="s">
        <v>143</v>
      </c>
      <c r="C119" s="12" t="s">
        <v>142</v>
      </c>
      <c r="F119" s="12">
        <v>8</v>
      </c>
      <c r="G119" s="12">
        <v>85</v>
      </c>
      <c r="H119" s="12">
        <v>96</v>
      </c>
      <c r="I119" s="12">
        <f t="shared" si="3"/>
        <v>12</v>
      </c>
      <c r="J119" s="12">
        <v>12</v>
      </c>
      <c r="K119" s="12">
        <v>6</v>
      </c>
      <c r="L119" s="12" t="str">
        <f>VLOOKUP(K119,Subject!$A$2:$B$12, 2, FALSE)</f>
        <v>Social Studies</v>
      </c>
      <c r="M119" s="12" t="str">
        <f>VLOOKUP(K119, [1]Subject!$A$2:$E$11, 5, FALSE)</f>
        <v>SS</v>
      </c>
      <c r="N119" s="14" t="s">
        <v>141</v>
      </c>
      <c r="O119" s="12" t="s">
        <v>140</v>
      </c>
      <c r="P119" s="12">
        <v>2</v>
      </c>
      <c r="Q119" s="12" t="str">
        <f>VLOOKUP(P119, [1]SubjectGroup!$A$2:$B$8, 2, FALSE)</f>
        <v>Core Academic Studies</v>
      </c>
      <c r="R119" s="12" t="s">
        <v>26</v>
      </c>
      <c r="S119" s="12" t="s">
        <v>139</v>
      </c>
      <c r="T119" s="12">
        <v>0.8</v>
      </c>
    </row>
    <row r="120" spans="1:21" ht="15.75" hidden="1" customHeight="1" x14ac:dyDescent="0.2">
      <c r="A120" s="12">
        <v>119</v>
      </c>
      <c r="B120" s="12" t="s">
        <v>138</v>
      </c>
      <c r="E120" s="12" t="s">
        <v>138</v>
      </c>
      <c r="F120" s="12">
        <v>12</v>
      </c>
      <c r="G120" s="12">
        <v>133</v>
      </c>
      <c r="H120" s="12">
        <v>144</v>
      </c>
      <c r="I120" s="12">
        <f t="shared" si="3"/>
        <v>12</v>
      </c>
      <c r="J120" s="12">
        <v>12</v>
      </c>
      <c r="K120" s="12">
        <v>6</v>
      </c>
      <c r="L120" s="12" t="str">
        <f>VLOOKUP(K120,Subject!$A$2:$B$12, 2, FALSE)</f>
        <v>Social Studies</v>
      </c>
      <c r="M120" s="12" t="str">
        <f>VLOOKUP(K120, [1]Subject!$A$2:$E$11, 5, FALSE)</f>
        <v>SS</v>
      </c>
      <c r="N120" s="14" t="s">
        <v>137</v>
      </c>
      <c r="O120" s="12" t="s">
        <v>136</v>
      </c>
      <c r="P120" s="12">
        <v>2</v>
      </c>
      <c r="Q120" s="12" t="str">
        <f>VLOOKUP(P120, [1]SubjectGroup!$A$2:$B$8, 2, FALSE)</f>
        <v>Core Academic Studies</v>
      </c>
      <c r="R120" s="12" t="s">
        <v>26</v>
      </c>
      <c r="S120" s="15" t="s">
        <v>25</v>
      </c>
      <c r="T120" s="12">
        <v>0.8</v>
      </c>
    </row>
    <row r="121" spans="1:21" ht="15.75" hidden="1" customHeight="1" x14ac:dyDescent="0.2">
      <c r="A121" s="12">
        <v>120</v>
      </c>
      <c r="B121" s="12" t="s">
        <v>135</v>
      </c>
      <c r="F121" s="12">
        <v>12</v>
      </c>
      <c r="G121" s="12">
        <v>133</v>
      </c>
      <c r="H121" s="12">
        <v>138</v>
      </c>
      <c r="I121" s="12">
        <f t="shared" si="3"/>
        <v>6</v>
      </c>
      <c r="J121" s="12">
        <v>6</v>
      </c>
      <c r="K121" s="12">
        <v>6</v>
      </c>
      <c r="L121" s="12" t="str">
        <f>VLOOKUP(K121,Subject!$A$2:$B$12, 2, FALSE)</f>
        <v>Social Studies</v>
      </c>
      <c r="M121" s="12" t="str">
        <f>VLOOKUP(K121, [1]Subject!$A$2:$E$11, 5, FALSE)</f>
        <v>SS</v>
      </c>
      <c r="N121" s="14" t="s">
        <v>134</v>
      </c>
      <c r="O121" s="12" t="s">
        <v>133</v>
      </c>
      <c r="P121" s="12">
        <v>1</v>
      </c>
      <c r="Q121" s="12" t="str">
        <f>VLOOKUP(P121, [1]SubjectGroup!$A$2:$B$8, 2, FALSE)</f>
        <v>Christian Studies</v>
      </c>
      <c r="R121" s="12" t="s">
        <v>26</v>
      </c>
      <c r="S121" s="15" t="s">
        <v>132</v>
      </c>
      <c r="T121" s="12">
        <v>0.8</v>
      </c>
    </row>
    <row r="122" spans="1:21" ht="15.75" hidden="1" customHeight="1" x14ac:dyDescent="0.2">
      <c r="A122" s="12">
        <v>121</v>
      </c>
      <c r="B122" s="12" t="s">
        <v>131</v>
      </c>
      <c r="E122" s="12" t="s">
        <v>131</v>
      </c>
      <c r="F122" s="12">
        <v>11</v>
      </c>
      <c r="G122" s="12">
        <v>11</v>
      </c>
      <c r="H122" s="12">
        <v>20</v>
      </c>
      <c r="I122" s="12">
        <f t="shared" si="3"/>
        <v>10</v>
      </c>
      <c r="J122" s="12">
        <v>12</v>
      </c>
      <c r="K122" s="12">
        <v>6</v>
      </c>
      <c r="L122" s="12" t="str">
        <f>VLOOKUP(K122,Subject!$A$2:$B$12, 2, FALSE)</f>
        <v>Social Studies</v>
      </c>
      <c r="M122" s="12" t="str">
        <f>VLOOKUP(K122, [1]Subject!$A$2:$E$11, 5, FALSE)</f>
        <v>SS</v>
      </c>
      <c r="N122" s="16" t="s">
        <v>130</v>
      </c>
      <c r="O122" s="12" t="s">
        <v>129</v>
      </c>
      <c r="P122" s="12">
        <v>2</v>
      </c>
      <c r="Q122" s="12" t="str">
        <f>VLOOKUP(P122, [1]SubjectGroup!$A$2:$B$8, 2, FALSE)</f>
        <v>Core Academic Studies</v>
      </c>
      <c r="R122" s="12" t="s">
        <v>44</v>
      </c>
      <c r="S122" s="15" t="s">
        <v>128</v>
      </c>
      <c r="T122" s="12">
        <v>0.8</v>
      </c>
    </row>
    <row r="123" spans="1:21" ht="15.75" hidden="1" customHeight="1" x14ac:dyDescent="0.2">
      <c r="A123" s="12">
        <v>122</v>
      </c>
      <c r="B123" s="12" t="s">
        <v>127</v>
      </c>
      <c r="F123" s="12">
        <v>12</v>
      </c>
      <c r="G123" s="12">
        <v>133</v>
      </c>
      <c r="H123" s="12">
        <v>136</v>
      </c>
      <c r="I123" s="12">
        <f t="shared" si="3"/>
        <v>4</v>
      </c>
      <c r="J123" s="12">
        <v>6</v>
      </c>
      <c r="K123" s="12">
        <v>6</v>
      </c>
      <c r="L123" s="12" t="str">
        <f>VLOOKUP(K123,Subject!$A$2:$B$12, 2, FALSE)</f>
        <v>Social Studies</v>
      </c>
      <c r="M123" s="12" t="str">
        <f>VLOOKUP(K123, [1]Subject!$A$2:$E$11, 5, FALSE)</f>
        <v>SS</v>
      </c>
      <c r="N123" s="14"/>
      <c r="O123" s="12" t="s">
        <v>126</v>
      </c>
      <c r="P123" s="12">
        <v>2</v>
      </c>
      <c r="Q123" s="12" t="str">
        <f>VLOOKUP(P123, [1]SubjectGroup!$A$2:$B$8, 2, FALSE)</f>
        <v>Core Academic Studies</v>
      </c>
      <c r="R123" s="12" t="s">
        <v>26</v>
      </c>
      <c r="S123" s="15" t="s">
        <v>125</v>
      </c>
      <c r="T123" s="12">
        <v>0.8</v>
      </c>
    </row>
    <row r="124" spans="1:21" ht="15.75" hidden="1" customHeight="1" x14ac:dyDescent="0.2">
      <c r="A124" s="12">
        <v>123</v>
      </c>
      <c r="B124" s="12" t="s">
        <v>124</v>
      </c>
      <c r="F124" s="12">
        <v>12</v>
      </c>
      <c r="G124" s="12">
        <v>6</v>
      </c>
      <c r="H124" s="12">
        <v>10</v>
      </c>
      <c r="I124" s="12">
        <f t="shared" si="3"/>
        <v>5</v>
      </c>
      <c r="J124" s="12">
        <v>6</v>
      </c>
      <c r="K124" s="12">
        <v>7</v>
      </c>
      <c r="L124" s="12" t="str">
        <f>VLOOKUP(K124,Subject!$A$2:$B$12, 2, FALSE)</f>
        <v>Biblical Studies</v>
      </c>
      <c r="M124" s="12" t="str">
        <f>VLOOKUP(K124, [1]Subject!$A$2:$E$11, 5, FALSE)</f>
        <v>BS</v>
      </c>
      <c r="N124" s="15" t="s">
        <v>123</v>
      </c>
      <c r="O124" s="12" t="s">
        <v>122</v>
      </c>
      <c r="P124" s="12">
        <v>1</v>
      </c>
      <c r="Q124" s="12" t="str">
        <f>VLOOKUP(P124, [1]SubjectGroup!$A$2:$B$8, 2, FALSE)</f>
        <v>Christian Studies</v>
      </c>
      <c r="R124" s="12" t="s">
        <v>26</v>
      </c>
      <c r="S124" s="12" t="str">
        <f>B124</f>
        <v>Christian Counselling II</v>
      </c>
      <c r="T124" s="12">
        <v>0.8</v>
      </c>
    </row>
    <row r="125" spans="1:21" ht="15.75" hidden="1" customHeight="1" x14ac:dyDescent="0.2">
      <c r="A125" s="12">
        <v>124</v>
      </c>
      <c r="B125" s="12" t="s">
        <v>120</v>
      </c>
      <c r="C125" s="12" t="s">
        <v>119</v>
      </c>
      <c r="E125" s="12" t="s">
        <v>121</v>
      </c>
      <c r="F125" s="12">
        <v>12</v>
      </c>
      <c r="G125" s="12">
        <v>133</v>
      </c>
      <c r="H125" s="12">
        <v>138</v>
      </c>
      <c r="I125" s="12">
        <f t="shared" si="3"/>
        <v>6</v>
      </c>
      <c r="J125" s="12">
        <v>6</v>
      </c>
      <c r="K125" s="12">
        <v>7</v>
      </c>
      <c r="L125" s="12" t="str">
        <f>VLOOKUP(K125,Subject!$A$2:$B$12, 2, FALSE)</f>
        <v>Biblical Studies</v>
      </c>
      <c r="M125" s="12" t="str">
        <f>VLOOKUP(K125, [1]Subject!$A$2:$E$11, 5, FALSE)</f>
        <v>BS</v>
      </c>
      <c r="O125" s="12" t="s">
        <v>118</v>
      </c>
      <c r="P125" s="12">
        <v>1</v>
      </c>
      <c r="Q125" s="12" t="str">
        <f>VLOOKUP(P125, [1]SubjectGroup!$A$2:$B$8, 2, FALSE)</f>
        <v>Christian Studies</v>
      </c>
      <c r="R125" s="12" t="s">
        <v>26</v>
      </c>
      <c r="S125" s="12" t="str">
        <f>B125</f>
        <v>Christian Growth</v>
      </c>
      <c r="T125" s="12">
        <v>0.8</v>
      </c>
    </row>
    <row r="126" spans="1:21" ht="15.75" hidden="1" customHeight="1" x14ac:dyDescent="0.2">
      <c r="A126" s="12">
        <v>125</v>
      </c>
      <c r="B126" s="12" t="s">
        <v>117</v>
      </c>
      <c r="F126" s="12">
        <v>12</v>
      </c>
      <c r="G126" s="12">
        <v>139</v>
      </c>
      <c r="H126" s="12">
        <v>144</v>
      </c>
      <c r="I126" s="12">
        <f t="shared" si="3"/>
        <v>6</v>
      </c>
      <c r="K126" s="12">
        <v>7</v>
      </c>
      <c r="L126" s="12" t="str">
        <f>VLOOKUP(K126,Subject!$A$2:$B$12, 2, FALSE)</f>
        <v>Biblical Studies</v>
      </c>
      <c r="M126" s="12" t="str">
        <f>VLOOKUP(K126, [1]Subject!$A$2:$E$11, 5, FALSE)</f>
        <v>BS</v>
      </c>
      <c r="N126" s="12" t="s">
        <v>115</v>
      </c>
      <c r="O126" s="12" t="s">
        <v>85</v>
      </c>
      <c r="P126" s="12">
        <v>1</v>
      </c>
      <c r="Q126" s="12" t="str">
        <f>VLOOKUP(P126, [1]SubjectGroup!$A$2:$B$8, 2, FALSE)</f>
        <v>Christian Studies</v>
      </c>
      <c r="R126" s="12" t="s">
        <v>26</v>
      </c>
      <c r="S126" s="12" t="str">
        <f>B126</f>
        <v>Life of Christ II</v>
      </c>
      <c r="T126" s="12">
        <v>0.8</v>
      </c>
    </row>
    <row r="127" spans="1:21" ht="15.75" hidden="1" customHeight="1" x14ac:dyDescent="0.2">
      <c r="A127" s="12">
        <v>126</v>
      </c>
      <c r="B127" s="12" t="s">
        <v>116</v>
      </c>
      <c r="E127" s="12" t="s">
        <v>43</v>
      </c>
      <c r="F127" s="12">
        <v>12</v>
      </c>
      <c r="G127" s="12">
        <v>127</v>
      </c>
      <c r="H127" s="12">
        <v>132</v>
      </c>
      <c r="I127" s="12">
        <f t="shared" si="3"/>
        <v>6</v>
      </c>
      <c r="J127" s="12">
        <v>6</v>
      </c>
      <c r="K127" s="12">
        <v>7</v>
      </c>
      <c r="L127" s="12" t="str">
        <f>VLOOKUP(K127,Subject!$A$2:$B$12, 2, FALSE)</f>
        <v>Biblical Studies</v>
      </c>
      <c r="M127" s="12" t="str">
        <f>VLOOKUP(K127, [1]Subject!$A$2:$E$11, 5, FALSE)</f>
        <v>BS</v>
      </c>
      <c r="N127" s="12" t="s">
        <v>115</v>
      </c>
      <c r="O127" s="12" t="s">
        <v>40</v>
      </c>
      <c r="P127" s="12">
        <v>1</v>
      </c>
      <c r="Q127" s="12" t="str">
        <f>VLOOKUP(P127, [1]SubjectGroup!$A$2:$B$8, 2, FALSE)</f>
        <v>Christian Studies</v>
      </c>
      <c r="R127" s="12" t="s">
        <v>26</v>
      </c>
      <c r="S127" s="12" t="str">
        <f>B127</f>
        <v>New Testament Church History II</v>
      </c>
      <c r="T127" s="12">
        <v>0.8</v>
      </c>
      <c r="U127" s="12" t="s">
        <v>36</v>
      </c>
    </row>
    <row r="128" spans="1:21" ht="15.75" hidden="1" customHeight="1" x14ac:dyDescent="0.2">
      <c r="A128" s="12">
        <v>127</v>
      </c>
      <c r="B128" s="12" t="s">
        <v>114</v>
      </c>
      <c r="F128" s="15">
        <v>10</v>
      </c>
      <c r="G128" s="12">
        <v>1</v>
      </c>
      <c r="H128" s="12">
        <v>10</v>
      </c>
      <c r="I128" s="12">
        <f t="shared" si="3"/>
        <v>10</v>
      </c>
      <c r="K128" s="12">
        <v>2</v>
      </c>
      <c r="L128" s="12" t="str">
        <f>VLOOKUP(K128,Subject!$A$2:$B$12, 2, FALSE)</f>
        <v>Language</v>
      </c>
      <c r="M128" s="12" t="str">
        <f>VLOOKUP(K128, [1]Subject!$A$2:$E$11, 5, FALSE)</f>
        <v>LA</v>
      </c>
      <c r="N128" s="15" t="s">
        <v>113</v>
      </c>
      <c r="O128" s="12" t="s">
        <v>112</v>
      </c>
      <c r="P128" s="12">
        <v>2</v>
      </c>
      <c r="Q128" s="12" t="str">
        <f>VLOOKUP(P128, [1]SubjectGroup!$A$2:$B$8, 2, FALSE)</f>
        <v>Core Academic Studies</v>
      </c>
      <c r="R128" s="12" t="s">
        <v>44</v>
      </c>
      <c r="S128" s="12" t="str">
        <f>B128</f>
        <v>English Composition I</v>
      </c>
      <c r="T128" s="12">
        <v>0.8</v>
      </c>
    </row>
    <row r="129" spans="1:21" ht="15.75" hidden="1" customHeight="1" x14ac:dyDescent="0.2">
      <c r="A129" s="12">
        <v>128</v>
      </c>
    </row>
    <row r="130" spans="1:21" ht="15.75" hidden="1" customHeight="1" x14ac:dyDescent="0.2">
      <c r="A130" s="12">
        <v>129</v>
      </c>
      <c r="B130" s="12" t="s">
        <v>111</v>
      </c>
      <c r="F130" s="12">
        <v>9</v>
      </c>
      <c r="G130" s="12">
        <v>1</v>
      </c>
      <c r="H130" s="12">
        <v>6</v>
      </c>
      <c r="I130" s="12">
        <f t="shared" ref="I130:I151" si="4">H130-G130+1</f>
        <v>6</v>
      </c>
      <c r="K130" s="12">
        <v>5</v>
      </c>
      <c r="L130" s="12" t="str">
        <f>VLOOKUP(K130, [1]Subject!$A$2:$B$15, 2, FALSE)</f>
        <v>Science</v>
      </c>
      <c r="M130" s="12" t="str">
        <f>VLOOKUP(K130, [1]Subject!$A$2:$E$11, 5, FALSE)</f>
        <v>SC</v>
      </c>
      <c r="O130" s="12" t="s">
        <v>110</v>
      </c>
      <c r="P130" s="12">
        <v>2</v>
      </c>
      <c r="Q130" s="12" t="str">
        <f>VLOOKUP(P130, [1]SubjectGroup!$A$2:$B$8, 2, FALSE)</f>
        <v>Core Academic Studies</v>
      </c>
      <c r="R130" s="12" t="s">
        <v>26</v>
      </c>
      <c r="S130" s="12" t="str">
        <f>B130</f>
        <v>ICCE Biology</v>
      </c>
      <c r="T130" s="12">
        <v>0.8</v>
      </c>
    </row>
    <row r="131" spans="1:21" ht="15.75" hidden="1" customHeight="1" x14ac:dyDescent="0.2">
      <c r="A131" s="12">
        <v>130</v>
      </c>
      <c r="B131" s="12" t="s">
        <v>109</v>
      </c>
      <c r="F131" s="12">
        <v>10</v>
      </c>
      <c r="G131" s="12">
        <v>1</v>
      </c>
      <c r="H131" s="12">
        <v>16</v>
      </c>
      <c r="I131" s="12">
        <f t="shared" si="4"/>
        <v>16</v>
      </c>
      <c r="K131" s="12">
        <v>5</v>
      </c>
      <c r="L131" s="12" t="str">
        <f>VLOOKUP(K131, [1]Subject!$A$2:$B$15, 2, FALSE)</f>
        <v>Science</v>
      </c>
      <c r="M131" s="12" t="str">
        <f>VLOOKUP(K131, [1]Subject!$A$2:$E$11, 5, FALSE)</f>
        <v>SC</v>
      </c>
      <c r="O131" s="12" t="s">
        <v>108</v>
      </c>
      <c r="P131" s="12">
        <v>2</v>
      </c>
      <c r="Q131" s="12" t="str">
        <f>VLOOKUP(P131, [1]SubjectGroup!$A$2:$B$8, 2, FALSE)</f>
        <v>Core Academic Studies</v>
      </c>
      <c r="R131" s="12" t="s">
        <v>26</v>
      </c>
      <c r="S131" s="12" t="str">
        <f>B131</f>
        <v>Biology Apologia</v>
      </c>
      <c r="T131" s="12">
        <v>0.8</v>
      </c>
    </row>
    <row r="132" spans="1:21" ht="15.75" hidden="1" customHeight="1" x14ac:dyDescent="0.2">
      <c r="A132" s="12">
        <v>131</v>
      </c>
      <c r="B132" s="12" t="s">
        <v>107</v>
      </c>
      <c r="F132" s="12">
        <v>12</v>
      </c>
      <c r="G132" s="12">
        <v>133</v>
      </c>
      <c r="H132" s="12">
        <v>144</v>
      </c>
      <c r="I132" s="12">
        <f t="shared" si="4"/>
        <v>12</v>
      </c>
      <c r="J132" s="12">
        <v>12</v>
      </c>
      <c r="K132" s="12">
        <v>7</v>
      </c>
      <c r="L132" s="12" t="str">
        <f>VLOOKUP(K132, [1]Subject!$A$2:$B$15, 2, FALSE)</f>
        <v>Biblical Studies</v>
      </c>
      <c r="M132" s="12" t="str">
        <f>VLOOKUP(K132, [1]Subject!$A$2:$E$11, 5, FALSE)</f>
        <v>BS</v>
      </c>
      <c r="O132" s="12" t="s">
        <v>85</v>
      </c>
      <c r="P132" s="12">
        <v>1</v>
      </c>
      <c r="Q132" s="12" t="str">
        <f>VLOOKUP(P132, [1]SubjectGroup!$A$2:$B$8, 2, FALSE)</f>
        <v>Christian Studies</v>
      </c>
      <c r="R132" s="12" t="s">
        <v>26</v>
      </c>
      <c r="S132" s="12" t="str">
        <f>B132</f>
        <v>Life of Christ</v>
      </c>
      <c r="T132" s="12">
        <v>0.8</v>
      </c>
      <c r="U132" s="12" t="s">
        <v>36</v>
      </c>
    </row>
    <row r="133" spans="1:21" ht="15.75" hidden="1" customHeight="1" x14ac:dyDescent="0.2">
      <c r="A133" s="12">
        <v>132</v>
      </c>
      <c r="B133" s="12" t="s">
        <v>106</v>
      </c>
      <c r="F133" s="12">
        <v>9</v>
      </c>
      <c r="I133" s="12">
        <f t="shared" si="4"/>
        <v>1</v>
      </c>
      <c r="J133" s="12">
        <v>12</v>
      </c>
      <c r="K133" s="12">
        <v>2</v>
      </c>
      <c r="L133" s="12" t="str">
        <f>VLOOKUP(K133, [1]Subject!$A$2:$B$15, 2, FALSE)</f>
        <v>Language</v>
      </c>
      <c r="M133" s="12" t="str">
        <f>VLOOKUP(K133, [1]Subject!$A$2:$E$11, 5, FALSE)</f>
        <v>LA</v>
      </c>
      <c r="O133" s="12" t="s">
        <v>105</v>
      </c>
      <c r="P133" s="12">
        <v>2</v>
      </c>
      <c r="Q133" s="12" t="str">
        <f>VLOOKUP(P133, [1]SubjectGroup!$A$2:$B$8, 2, FALSE)</f>
        <v>Core Academic Studies</v>
      </c>
      <c r="R133" s="12" t="s">
        <v>26</v>
      </c>
      <c r="S133" s="12" t="str">
        <f>B133</f>
        <v>Dutch Language Staatsexamen VMBO</v>
      </c>
      <c r="T133" s="12">
        <v>0.8</v>
      </c>
    </row>
    <row r="134" spans="1:21" ht="15.75" hidden="1" customHeight="1" x14ac:dyDescent="0.2">
      <c r="A134" s="12">
        <v>133</v>
      </c>
      <c r="B134" s="12" t="s">
        <v>104</v>
      </c>
      <c r="F134" s="12">
        <v>9</v>
      </c>
      <c r="I134" s="12">
        <f t="shared" si="4"/>
        <v>1</v>
      </c>
      <c r="J134" s="12">
        <v>3</v>
      </c>
      <c r="K134" s="12">
        <v>6</v>
      </c>
      <c r="L134" s="12" t="str">
        <f>VLOOKUP(K134, [1]Subject!$A$2:$B$15, 2, FALSE)</f>
        <v>Social Studies</v>
      </c>
      <c r="M134" s="12" t="str">
        <f>VLOOKUP(K134, [1]Subject!$A$2:$E$11, 5, FALSE)</f>
        <v>SS</v>
      </c>
      <c r="N134" s="14"/>
      <c r="O134" s="12" t="s">
        <v>91</v>
      </c>
      <c r="P134" s="12">
        <v>7</v>
      </c>
      <c r="Q134" s="12" t="str">
        <f>VLOOKUP(P134, [1]SubjectGroup!$A$2:$B$8, 2, FALSE)</f>
        <v>Coursework</v>
      </c>
      <c r="R134" s="12" t="s">
        <v>88</v>
      </c>
      <c r="S134" s="12" t="str">
        <f>B134</f>
        <v>Social Studies Essay General</v>
      </c>
      <c r="T134" s="12">
        <v>0.8</v>
      </c>
    </row>
    <row r="135" spans="1:21" ht="15.75" hidden="1" customHeight="1" x14ac:dyDescent="0.2">
      <c r="A135" s="12">
        <v>134</v>
      </c>
      <c r="B135" s="12" t="s">
        <v>103</v>
      </c>
      <c r="F135" s="12">
        <v>9</v>
      </c>
      <c r="I135" s="12">
        <f t="shared" si="4"/>
        <v>1</v>
      </c>
      <c r="J135" s="12">
        <v>3</v>
      </c>
      <c r="K135" s="12">
        <v>5</v>
      </c>
      <c r="L135" s="12" t="str">
        <f>VLOOKUP(K135, [1]Subject!$A$2:$B$15, 2, FALSE)</f>
        <v>Science</v>
      </c>
      <c r="M135" s="12" t="str">
        <f>VLOOKUP(K135, [1]Subject!$A$2:$E$11, 5, FALSE)</f>
        <v>SC</v>
      </c>
      <c r="O135" s="12" t="s">
        <v>91</v>
      </c>
      <c r="P135" s="12">
        <v>7</v>
      </c>
      <c r="Q135" s="12" t="str">
        <f>VLOOKUP(P135, [1]SubjectGroup!$A$2:$B$8, 2, FALSE)</f>
        <v>Coursework</v>
      </c>
      <c r="R135" s="12" t="s">
        <v>88</v>
      </c>
      <c r="S135" s="12" t="str">
        <f>B135</f>
        <v>Science Essay General</v>
      </c>
      <c r="T135" s="12">
        <v>0.8</v>
      </c>
    </row>
    <row r="136" spans="1:21" ht="15.75" hidden="1" customHeight="1" x14ac:dyDescent="0.2">
      <c r="A136" s="12">
        <v>135</v>
      </c>
      <c r="B136" s="12" t="s">
        <v>102</v>
      </c>
      <c r="F136" s="12">
        <v>10</v>
      </c>
      <c r="I136" s="12">
        <f t="shared" si="4"/>
        <v>1</v>
      </c>
      <c r="J136" s="12">
        <v>2</v>
      </c>
      <c r="K136" s="12">
        <v>7</v>
      </c>
      <c r="L136" s="12" t="str">
        <f>VLOOKUP(K136, [1]Subject!$A$2:$B$15, 2, FALSE)</f>
        <v>Biblical Studies</v>
      </c>
      <c r="M136" s="12" t="str">
        <f>VLOOKUP(K136, [1]Subject!$A$2:$E$11, 5, FALSE)</f>
        <v>BS</v>
      </c>
      <c r="O136" s="12" t="s">
        <v>91</v>
      </c>
      <c r="P136" s="12">
        <v>7</v>
      </c>
      <c r="Q136" s="12" t="str">
        <f>VLOOKUP(P136, [1]SubjectGroup!$A$2:$B$8, 2, FALSE)</f>
        <v>Coursework</v>
      </c>
      <c r="R136" s="12" t="s">
        <v>88</v>
      </c>
      <c r="S136" s="12" t="str">
        <f>B136</f>
        <v>Biblical Studies Essay Intermediate</v>
      </c>
      <c r="T136" s="12">
        <v>0.8</v>
      </c>
      <c r="U136" s="12" t="s">
        <v>36</v>
      </c>
    </row>
    <row r="137" spans="1:21" ht="15.75" hidden="1" customHeight="1" x14ac:dyDescent="0.2">
      <c r="A137" s="12">
        <v>136</v>
      </c>
      <c r="B137" s="12" t="s">
        <v>101</v>
      </c>
      <c r="F137" s="12">
        <v>10</v>
      </c>
      <c r="I137" s="12">
        <f t="shared" si="4"/>
        <v>1</v>
      </c>
      <c r="J137" s="12">
        <v>2</v>
      </c>
      <c r="K137" s="12">
        <v>2</v>
      </c>
      <c r="L137" s="12" t="str">
        <f>VLOOKUP(K137, [1]Subject!$A$2:$B$15, 2, FALSE)</f>
        <v>Language</v>
      </c>
      <c r="M137" s="12" t="str">
        <f>VLOOKUP(K137, [1]Subject!$A$2:$E$11, 5, FALSE)</f>
        <v>LA</v>
      </c>
      <c r="O137" s="12" t="s">
        <v>91</v>
      </c>
      <c r="P137" s="12">
        <v>7</v>
      </c>
      <c r="Q137" s="12" t="str">
        <f>VLOOKUP(P137, [1]SubjectGroup!$A$2:$B$8, 2, FALSE)</f>
        <v>Coursework</v>
      </c>
      <c r="R137" s="12" t="s">
        <v>88</v>
      </c>
      <c r="S137" s="12" t="str">
        <f>B137</f>
        <v>English Essay Intermediate</v>
      </c>
      <c r="T137" s="12">
        <v>0.8</v>
      </c>
    </row>
    <row r="138" spans="1:21" ht="15.75" hidden="1" customHeight="1" x14ac:dyDescent="0.2">
      <c r="A138" s="12">
        <v>137</v>
      </c>
      <c r="B138" s="12" t="s">
        <v>100</v>
      </c>
      <c r="F138" s="12">
        <v>10</v>
      </c>
      <c r="I138" s="12">
        <f t="shared" si="4"/>
        <v>1</v>
      </c>
      <c r="J138" s="12">
        <v>2</v>
      </c>
      <c r="K138" s="12">
        <v>6</v>
      </c>
      <c r="L138" s="12" t="str">
        <f>VLOOKUP(K138, [1]Subject!$A$2:$B$15, 2, FALSE)</f>
        <v>Social Studies</v>
      </c>
      <c r="M138" s="12" t="str">
        <f>VLOOKUP(K138, [1]Subject!$A$2:$E$11, 5, FALSE)</f>
        <v>SS</v>
      </c>
      <c r="N138" s="14"/>
      <c r="O138" s="12" t="s">
        <v>91</v>
      </c>
      <c r="P138" s="12">
        <v>7</v>
      </c>
      <c r="Q138" s="12" t="str">
        <f>VLOOKUP(P138, [1]SubjectGroup!$A$2:$B$8, 2, FALSE)</f>
        <v>Coursework</v>
      </c>
      <c r="R138" s="12" t="s">
        <v>88</v>
      </c>
      <c r="S138" s="12" t="str">
        <f>B138</f>
        <v>Social Studies Essay Intermediate</v>
      </c>
      <c r="T138" s="12">
        <v>0.8</v>
      </c>
    </row>
    <row r="139" spans="1:21" ht="15.75" hidden="1" customHeight="1" x14ac:dyDescent="0.2">
      <c r="A139" s="12">
        <v>138</v>
      </c>
      <c r="B139" s="12" t="s">
        <v>99</v>
      </c>
      <c r="F139" s="12">
        <v>10</v>
      </c>
      <c r="I139" s="12">
        <f t="shared" si="4"/>
        <v>1</v>
      </c>
      <c r="J139" s="12">
        <v>2</v>
      </c>
      <c r="K139" s="12">
        <v>5</v>
      </c>
      <c r="L139" s="12" t="str">
        <f>VLOOKUP(K139, [1]Subject!$A$2:$B$15, 2, FALSE)</f>
        <v>Science</v>
      </c>
      <c r="M139" s="12" t="str">
        <f>VLOOKUP(K139, [1]Subject!$A$2:$E$11, 5, FALSE)</f>
        <v>SC</v>
      </c>
      <c r="O139" s="12" t="s">
        <v>91</v>
      </c>
      <c r="P139" s="12">
        <v>7</v>
      </c>
      <c r="Q139" s="12" t="str">
        <f>VLOOKUP(P139, [1]SubjectGroup!$A$2:$B$8, 2, FALSE)</f>
        <v>Coursework</v>
      </c>
      <c r="R139" s="12" t="s">
        <v>88</v>
      </c>
      <c r="S139" s="12" t="str">
        <f>B139</f>
        <v>Science Essay Intermediate</v>
      </c>
      <c r="T139" s="12">
        <v>0.8</v>
      </c>
    </row>
    <row r="140" spans="1:21" ht="15.75" hidden="1" customHeight="1" x14ac:dyDescent="0.2">
      <c r="A140" s="12">
        <v>139</v>
      </c>
      <c r="B140" s="12" t="s">
        <v>98</v>
      </c>
      <c r="F140" s="12">
        <v>12</v>
      </c>
      <c r="I140" s="12">
        <f t="shared" si="4"/>
        <v>1</v>
      </c>
      <c r="J140" s="12">
        <v>2</v>
      </c>
      <c r="K140" s="12">
        <v>7</v>
      </c>
      <c r="L140" s="12" t="str">
        <f>VLOOKUP(K140, [1]Subject!$A$2:$B$15, 2, FALSE)</f>
        <v>Biblical Studies</v>
      </c>
      <c r="M140" s="12" t="str">
        <f>VLOOKUP(K140, [1]Subject!$A$2:$E$11, 5, FALSE)</f>
        <v>BS</v>
      </c>
      <c r="O140" s="12" t="s">
        <v>91</v>
      </c>
      <c r="P140" s="12">
        <v>7</v>
      </c>
      <c r="Q140" s="12" t="str">
        <f>VLOOKUP(P140, [1]SubjectGroup!$A$2:$B$8, 2, FALSE)</f>
        <v>Coursework</v>
      </c>
      <c r="R140" s="12" t="s">
        <v>88</v>
      </c>
      <c r="S140" s="12" t="str">
        <f>B140</f>
        <v>Biblical Studies Essay Advanced</v>
      </c>
      <c r="T140" s="12">
        <v>0.8</v>
      </c>
      <c r="U140" s="12" t="s">
        <v>36</v>
      </c>
    </row>
    <row r="141" spans="1:21" ht="15.75" hidden="1" customHeight="1" x14ac:dyDescent="0.2">
      <c r="A141" s="12">
        <v>140</v>
      </c>
      <c r="B141" s="12" t="s">
        <v>97</v>
      </c>
      <c r="F141" s="12">
        <v>12</v>
      </c>
      <c r="I141" s="12">
        <f t="shared" si="4"/>
        <v>1</v>
      </c>
      <c r="J141" s="12">
        <v>2</v>
      </c>
      <c r="K141" s="12">
        <v>1</v>
      </c>
      <c r="L141" s="12" t="str">
        <f>VLOOKUP(K141, [1]Subject!$A$2:$B$15, 2, FALSE)</f>
        <v>Maths</v>
      </c>
      <c r="M141" s="12" t="str">
        <f>VLOOKUP(K141, [1]Subject!$A$2:$E$11, 5, FALSE)</f>
        <v>MA</v>
      </c>
      <c r="O141" s="12" t="s">
        <v>91</v>
      </c>
      <c r="P141" s="12">
        <v>7</v>
      </c>
      <c r="Q141" s="12" t="str">
        <f>VLOOKUP(P141, [1]SubjectGroup!$A$2:$B$8, 2, FALSE)</f>
        <v>Coursework</v>
      </c>
      <c r="R141" s="12" t="s">
        <v>88</v>
      </c>
      <c r="S141" s="12" t="str">
        <f>B141</f>
        <v>Maths Paper Advanced</v>
      </c>
      <c r="T141" s="12">
        <v>0.8</v>
      </c>
    </row>
    <row r="142" spans="1:21" ht="15.75" hidden="1" customHeight="1" x14ac:dyDescent="0.2">
      <c r="A142" s="12">
        <v>141</v>
      </c>
      <c r="B142" s="12" t="s">
        <v>96</v>
      </c>
      <c r="F142" s="12">
        <v>12</v>
      </c>
      <c r="I142" s="12">
        <f t="shared" si="4"/>
        <v>1</v>
      </c>
      <c r="J142" s="12">
        <v>2</v>
      </c>
      <c r="K142" s="12">
        <v>2</v>
      </c>
      <c r="L142" s="12" t="str">
        <f>VLOOKUP(K142, [1]Subject!$A$2:$B$15, 2, FALSE)</f>
        <v>Language</v>
      </c>
      <c r="M142" s="12" t="str">
        <f>VLOOKUP(K142, [1]Subject!$A$2:$E$11, 5, FALSE)</f>
        <v>LA</v>
      </c>
      <c r="O142" s="12" t="s">
        <v>91</v>
      </c>
      <c r="P142" s="12">
        <v>7</v>
      </c>
      <c r="Q142" s="12" t="str">
        <f>VLOOKUP(P142, [1]SubjectGroup!$A$2:$B$8, 2, FALSE)</f>
        <v>Coursework</v>
      </c>
      <c r="R142" s="12" t="s">
        <v>88</v>
      </c>
      <c r="S142" s="12" t="str">
        <f>B142</f>
        <v>English Essay Advanced</v>
      </c>
      <c r="T142" s="12">
        <v>0.8</v>
      </c>
    </row>
    <row r="143" spans="1:21" ht="15.75" hidden="1" customHeight="1" x14ac:dyDescent="0.2">
      <c r="A143" s="12">
        <v>142</v>
      </c>
      <c r="B143" s="12" t="s">
        <v>95</v>
      </c>
      <c r="F143" s="12">
        <v>12</v>
      </c>
      <c r="I143" s="12">
        <f t="shared" si="4"/>
        <v>1</v>
      </c>
      <c r="J143" s="12">
        <v>2</v>
      </c>
      <c r="K143" s="12">
        <v>6</v>
      </c>
      <c r="L143" s="12" t="str">
        <f>VLOOKUP(K143, [1]Subject!$A$2:$B$15, 2, FALSE)</f>
        <v>Social Studies</v>
      </c>
      <c r="M143" s="12" t="str">
        <f>VLOOKUP(K143, [1]Subject!$A$2:$E$11, 5, FALSE)</f>
        <v>SS</v>
      </c>
      <c r="N143" s="14"/>
      <c r="O143" s="12" t="s">
        <v>91</v>
      </c>
      <c r="P143" s="12">
        <v>7</v>
      </c>
      <c r="Q143" s="12" t="str">
        <f>VLOOKUP(P143, [1]SubjectGroup!$A$2:$B$8, 2, FALSE)</f>
        <v>Coursework</v>
      </c>
      <c r="R143" s="12" t="s">
        <v>88</v>
      </c>
      <c r="S143" s="12" t="str">
        <f>B143</f>
        <v>Social Studies Essay Advanced</v>
      </c>
      <c r="T143" s="12">
        <v>0.8</v>
      </c>
    </row>
    <row r="144" spans="1:21" ht="15.75" hidden="1" customHeight="1" x14ac:dyDescent="0.2">
      <c r="A144" s="12">
        <v>143</v>
      </c>
      <c r="B144" s="12" t="s">
        <v>94</v>
      </c>
      <c r="F144" s="12">
        <v>12</v>
      </c>
      <c r="I144" s="12">
        <f t="shared" si="4"/>
        <v>1</v>
      </c>
      <c r="J144" s="12">
        <v>2</v>
      </c>
      <c r="K144" s="12">
        <v>5</v>
      </c>
      <c r="L144" s="12" t="str">
        <f>VLOOKUP(K144, [1]Subject!$A$2:$B$15, 2, FALSE)</f>
        <v>Science</v>
      </c>
      <c r="M144" s="12" t="str">
        <f>VLOOKUP(K144, [1]Subject!$A$2:$E$11, 5, FALSE)</f>
        <v>SC</v>
      </c>
      <c r="O144" s="12" t="s">
        <v>93</v>
      </c>
      <c r="P144" s="12">
        <v>7</v>
      </c>
      <c r="Q144" s="12" t="str">
        <f>VLOOKUP(P144, [1]SubjectGroup!$A$2:$B$8, 2, FALSE)</f>
        <v>Coursework</v>
      </c>
      <c r="R144" s="12" t="s">
        <v>88</v>
      </c>
      <c r="S144" s="12" t="str">
        <f>B144</f>
        <v>Sciences Project Advanced</v>
      </c>
      <c r="T144" s="12">
        <v>0.8</v>
      </c>
    </row>
    <row r="145" spans="1:21" ht="15.75" hidden="1" customHeight="1" x14ac:dyDescent="0.2">
      <c r="A145" s="12">
        <v>144</v>
      </c>
      <c r="B145" s="12" t="s">
        <v>92</v>
      </c>
      <c r="F145" s="12">
        <v>12</v>
      </c>
      <c r="I145" s="12">
        <f t="shared" si="4"/>
        <v>1</v>
      </c>
      <c r="J145" s="12">
        <v>2</v>
      </c>
      <c r="K145" s="12">
        <v>5</v>
      </c>
      <c r="L145" s="12" t="str">
        <f>VLOOKUP(K145, [1]Subject!$A$2:$B$15, 2, FALSE)</f>
        <v>Science</v>
      </c>
      <c r="M145" s="12" t="str">
        <f>VLOOKUP(K145, [1]Subject!$A$2:$E$11, 5, FALSE)</f>
        <v>SC</v>
      </c>
      <c r="O145" s="12" t="s">
        <v>91</v>
      </c>
      <c r="P145" s="12">
        <v>7</v>
      </c>
      <c r="Q145" s="12" t="str">
        <f>VLOOKUP(P145, [1]SubjectGroup!$A$2:$B$8, 2, FALSE)</f>
        <v>Coursework</v>
      </c>
      <c r="R145" s="12" t="s">
        <v>88</v>
      </c>
      <c r="S145" s="12" t="str">
        <f>B145</f>
        <v>Sciences Essay Advanced</v>
      </c>
      <c r="T145" s="12">
        <v>0.8</v>
      </c>
    </row>
    <row r="146" spans="1:21" ht="15.75" hidden="1" customHeight="1" x14ac:dyDescent="0.2">
      <c r="A146" s="12">
        <v>145</v>
      </c>
      <c r="B146" s="12" t="s">
        <v>90</v>
      </c>
      <c r="F146" s="12">
        <v>12</v>
      </c>
      <c r="I146" s="12">
        <f t="shared" si="4"/>
        <v>1</v>
      </c>
      <c r="J146" s="12">
        <v>2</v>
      </c>
      <c r="K146" s="12">
        <v>2</v>
      </c>
      <c r="L146" s="12" t="str">
        <f>VLOOKUP(K146, [1]Subject!$A$2:$B$15, 2, FALSE)</f>
        <v>Language</v>
      </c>
      <c r="M146" s="12" t="str">
        <f>VLOOKUP(K146, [1]Subject!$A$2:$E$11, 5, FALSE)</f>
        <v>LA</v>
      </c>
      <c r="O146" s="12" t="s">
        <v>89</v>
      </c>
      <c r="P146" s="12">
        <v>7</v>
      </c>
      <c r="Q146" s="12" t="str">
        <f>VLOOKUP(P146, [1]SubjectGroup!$A$2:$B$8, 2, FALSE)</f>
        <v>Coursework</v>
      </c>
      <c r="R146" s="12" t="s">
        <v>88</v>
      </c>
      <c r="S146" s="12" t="str">
        <f>B146</f>
        <v>English III Dissertation</v>
      </c>
      <c r="T146" s="12">
        <v>0.8</v>
      </c>
    </row>
    <row r="147" spans="1:21" ht="15.75" hidden="1" customHeight="1" x14ac:dyDescent="0.2">
      <c r="A147" s="12">
        <v>146</v>
      </c>
      <c r="B147" s="18" t="s">
        <v>87</v>
      </c>
      <c r="C147" s="18"/>
      <c r="D147" s="18"/>
      <c r="F147" s="12">
        <v>9</v>
      </c>
      <c r="G147" s="12">
        <v>98</v>
      </c>
      <c r="H147" s="12">
        <v>108</v>
      </c>
      <c r="I147" s="12">
        <f t="shared" si="4"/>
        <v>11</v>
      </c>
      <c r="J147" s="12">
        <v>6</v>
      </c>
      <c r="K147" s="12">
        <v>4</v>
      </c>
      <c r="L147" s="12" t="str">
        <f>VLOOKUP(K147, [1]Subject!$A$2:$B$15, 2, FALSE)</f>
        <v>Literature</v>
      </c>
      <c r="M147" s="12" t="str">
        <f>VLOOKUP(K147, [1]Subject!$A$2:$E$11, 5, FALSE)</f>
        <v>LI</v>
      </c>
      <c r="N147" s="15" t="s">
        <v>86</v>
      </c>
      <c r="O147" s="12" t="s">
        <v>85</v>
      </c>
      <c r="P147" s="12">
        <v>2</v>
      </c>
      <c r="Q147" s="12" t="str">
        <f>VLOOKUP(P147, [1]SubjectGroup!$A$2:$B$8, 2, FALSE)</f>
        <v>Core Academic Studies</v>
      </c>
      <c r="R147" s="12" t="s">
        <v>44</v>
      </c>
      <c r="S147" s="12" t="str">
        <f>B147</f>
        <v>Literature Level 9</v>
      </c>
      <c r="T147" s="12">
        <v>0.8</v>
      </c>
    </row>
    <row r="148" spans="1:21" ht="15.75" hidden="1" customHeight="1" x14ac:dyDescent="0.2">
      <c r="A148" s="12">
        <v>147</v>
      </c>
      <c r="B148" s="12" t="s">
        <v>84</v>
      </c>
      <c r="F148" s="12">
        <v>5</v>
      </c>
      <c r="G148" s="12">
        <v>49</v>
      </c>
      <c r="H148" s="12">
        <v>60</v>
      </c>
      <c r="I148" s="12">
        <f t="shared" si="4"/>
        <v>12</v>
      </c>
      <c r="J148" s="12">
        <v>12</v>
      </c>
      <c r="K148" s="12">
        <v>6</v>
      </c>
      <c r="L148" s="12" t="s">
        <v>83</v>
      </c>
      <c r="M148" s="12" t="str">
        <f>VLOOKUP(K148, [1]Subject!$A$2:$E$11, 5, FALSE)</f>
        <v>SS</v>
      </c>
      <c r="N148" s="14"/>
      <c r="O148" s="12" t="s">
        <v>82</v>
      </c>
      <c r="P148" s="12">
        <v>2</v>
      </c>
      <c r="Q148" s="12" t="s">
        <v>75</v>
      </c>
      <c r="R148" s="12" t="s">
        <v>44</v>
      </c>
      <c r="S148" s="12" t="s">
        <v>81</v>
      </c>
      <c r="T148" s="12">
        <v>0.8</v>
      </c>
    </row>
    <row r="149" spans="1:21" ht="15.75" hidden="1" customHeight="1" x14ac:dyDescent="0.2">
      <c r="A149" s="12">
        <v>148</v>
      </c>
      <c r="B149" s="12" t="s">
        <v>80</v>
      </c>
      <c r="F149" s="12">
        <v>10</v>
      </c>
      <c r="G149" s="12">
        <v>109</v>
      </c>
      <c r="H149" s="12">
        <v>120</v>
      </c>
      <c r="I149" s="12">
        <f t="shared" si="4"/>
        <v>12</v>
      </c>
      <c r="J149" s="12">
        <v>12</v>
      </c>
      <c r="K149" s="12">
        <v>6</v>
      </c>
      <c r="L149" s="12" t="str">
        <f>VLOOKUP(K149, [1]Subject!$A$2:$B$15, 2, FALSE)</f>
        <v>Social Studies</v>
      </c>
      <c r="M149" s="12" t="str">
        <f>VLOOKUP(K149, [1]Subject!$A$2:$E$11, 5, FALSE)</f>
        <v>SS</v>
      </c>
      <c r="N149" s="14"/>
      <c r="O149" s="12" t="s">
        <v>79</v>
      </c>
      <c r="P149" s="12">
        <v>2</v>
      </c>
      <c r="Q149" s="12" t="str">
        <f>VLOOKUP(P149, [1]SubjectGroup!$A$2:$B$8, 2, FALSE)</f>
        <v>Core Academic Studies</v>
      </c>
      <c r="R149" s="12" t="s">
        <v>26</v>
      </c>
      <c r="S149" s="15" t="s">
        <v>78</v>
      </c>
      <c r="T149" s="12">
        <v>0.8</v>
      </c>
    </row>
    <row r="150" spans="1:21" ht="15.75" hidden="1" customHeight="1" x14ac:dyDescent="0.2">
      <c r="A150" s="12">
        <v>149</v>
      </c>
      <c r="B150" s="12" t="s">
        <v>77</v>
      </c>
      <c r="F150" s="12">
        <v>2</v>
      </c>
      <c r="G150" s="12">
        <v>13</v>
      </c>
      <c r="H150" s="12">
        <v>24</v>
      </c>
      <c r="I150" s="12">
        <f t="shared" si="4"/>
        <v>12</v>
      </c>
      <c r="J150" s="12">
        <v>12</v>
      </c>
      <c r="K150" s="12">
        <v>5</v>
      </c>
      <c r="L150" s="12" t="str">
        <f>VLOOKUP(K150, [1]Subject!$A$2:$B$15, 2, FALSE)</f>
        <v>Science</v>
      </c>
      <c r="M150" s="12" t="str">
        <f>VLOOKUP(K150, [1]Subject!$A$2:$E$11, 5, FALSE)</f>
        <v>SC</v>
      </c>
      <c r="O150" s="12" t="s">
        <v>76</v>
      </c>
      <c r="P150" s="12">
        <v>2</v>
      </c>
      <c r="Q150" s="12" t="s">
        <v>75</v>
      </c>
      <c r="R150" s="12" t="s">
        <v>44</v>
      </c>
      <c r="S150" s="12" t="s">
        <v>74</v>
      </c>
      <c r="T150" s="12">
        <v>0.8</v>
      </c>
    </row>
    <row r="151" spans="1:21" ht="15.75" hidden="1" customHeight="1" x14ac:dyDescent="0.2">
      <c r="A151" s="12">
        <v>150</v>
      </c>
      <c r="B151" s="12" t="s">
        <v>73</v>
      </c>
      <c r="E151" s="12" t="s">
        <v>69</v>
      </c>
      <c r="F151" s="12">
        <v>6</v>
      </c>
      <c r="G151" s="12">
        <v>1</v>
      </c>
      <c r="H151" s="12">
        <v>6</v>
      </c>
      <c r="I151" s="12">
        <f t="shared" si="4"/>
        <v>6</v>
      </c>
      <c r="J151" s="12">
        <v>6</v>
      </c>
      <c r="K151" s="12">
        <v>2</v>
      </c>
      <c r="L151" s="12" t="str">
        <f>VLOOKUP(K151, [1]Subject!$A$2:$B$15, 2, FALSE)</f>
        <v>Language</v>
      </c>
      <c r="M151" s="12" t="s">
        <v>72</v>
      </c>
      <c r="N151" s="12" t="s">
        <v>71</v>
      </c>
      <c r="O151" s="12" t="s">
        <v>70</v>
      </c>
      <c r="P151" s="12">
        <v>2</v>
      </c>
      <c r="Q151" s="12" t="str">
        <f>VLOOKUP(P151, [1]SubjectGroup!$A$2:$B$8, 2, FALSE)</f>
        <v>Core Academic Studies</v>
      </c>
      <c r="R151" s="12" t="s">
        <v>26</v>
      </c>
      <c r="S151" s="12" t="s">
        <v>69</v>
      </c>
      <c r="T151" s="12">
        <v>0.8</v>
      </c>
    </row>
    <row r="152" spans="1:21" ht="15.75" hidden="1" customHeight="1" x14ac:dyDescent="0.2">
      <c r="A152" s="12">
        <v>151</v>
      </c>
      <c r="B152" s="12" t="s">
        <v>68</v>
      </c>
      <c r="C152" s="12" t="s">
        <v>67</v>
      </c>
      <c r="E152" s="38" t="s">
        <v>1579</v>
      </c>
      <c r="F152" s="12">
        <v>9</v>
      </c>
      <c r="G152" s="12">
        <v>97</v>
      </c>
      <c r="H152" s="12">
        <v>102</v>
      </c>
      <c r="I152" s="12">
        <v>2</v>
      </c>
      <c r="J152" s="12">
        <v>6</v>
      </c>
      <c r="K152" s="12">
        <v>7</v>
      </c>
      <c r="L152" s="12" t="str">
        <f>VLOOKUP(K152, [1]Subject!$A$2:$B$15, 2, FALSE)</f>
        <v>Biblical Studies</v>
      </c>
      <c r="M152" s="12" t="str">
        <f>VLOOKUP(K152, [1]Subject!$A$2:$E$11, 5, FALSE)</f>
        <v>BS</v>
      </c>
      <c r="N152" s="12" t="s">
        <v>66</v>
      </c>
      <c r="O152" s="12" t="s">
        <v>62</v>
      </c>
      <c r="P152" s="12">
        <v>1</v>
      </c>
      <c r="Q152" s="12" t="str">
        <f>VLOOKUP(P152, [1]SubjectGroup!$A$2:$B$8, 2, FALSE)</f>
        <v>Christian Studies</v>
      </c>
      <c r="R152" s="12" t="s">
        <v>44</v>
      </c>
      <c r="T152" s="12">
        <v>0.8</v>
      </c>
      <c r="U152" s="12" t="s">
        <v>36</v>
      </c>
    </row>
    <row r="153" spans="1:21" ht="15.75" hidden="1" customHeight="1" x14ac:dyDescent="0.2">
      <c r="A153" s="12">
        <v>152</v>
      </c>
      <c r="B153" s="12" t="s">
        <v>65</v>
      </c>
      <c r="C153" s="12" t="s">
        <v>64</v>
      </c>
      <c r="E153" s="38" t="s">
        <v>1580</v>
      </c>
      <c r="F153" s="12">
        <v>10</v>
      </c>
      <c r="G153" s="12">
        <v>98</v>
      </c>
      <c r="H153" s="12">
        <v>101</v>
      </c>
      <c r="I153" s="12">
        <v>4</v>
      </c>
      <c r="J153" s="12">
        <v>6</v>
      </c>
      <c r="K153" s="12">
        <v>7</v>
      </c>
      <c r="L153" s="12" t="str">
        <f>VLOOKUP(K153, [1]Subject!$A$2:$B$15, 2, FALSE)</f>
        <v>Biblical Studies</v>
      </c>
      <c r="M153" s="12" t="str">
        <f>VLOOKUP(K153, [1]Subject!$A$2:$E$11, 5, FALSE)</f>
        <v>BS</v>
      </c>
      <c r="N153" s="12" t="s">
        <v>63</v>
      </c>
      <c r="O153" s="12" t="s">
        <v>62</v>
      </c>
      <c r="P153" s="12">
        <v>1</v>
      </c>
      <c r="Q153" s="12" t="str">
        <f>VLOOKUP(P153, [1]SubjectGroup!$A$2:$B$8, 2, FALSE)</f>
        <v>Christian Studies</v>
      </c>
      <c r="R153" s="12" t="s">
        <v>44</v>
      </c>
      <c r="T153" s="12">
        <v>0.8</v>
      </c>
      <c r="U153" s="12" t="s">
        <v>36</v>
      </c>
    </row>
    <row r="154" spans="1:21" ht="15.75" hidden="1" customHeight="1" x14ac:dyDescent="0.2">
      <c r="A154" s="12">
        <v>153</v>
      </c>
      <c r="B154" s="12" t="s">
        <v>61</v>
      </c>
      <c r="E154" s="12" t="s">
        <v>61</v>
      </c>
      <c r="F154" s="12">
        <v>10</v>
      </c>
      <c r="G154" s="12">
        <v>97</v>
      </c>
      <c r="H154" s="12">
        <v>108</v>
      </c>
      <c r="I154" s="12">
        <f>H154-G154+1</f>
        <v>12</v>
      </c>
      <c r="J154" s="12">
        <v>12</v>
      </c>
      <c r="K154" s="12">
        <v>6</v>
      </c>
      <c r="L154" s="12" t="str">
        <f>VLOOKUP(K154, [1]Subject!$A$2:$B$15, 2, FALSE)</f>
        <v>Social Studies</v>
      </c>
      <c r="M154" s="12" t="str">
        <f>VLOOKUP(K154, [1]Subject!$A$2:$E$11, 5, FALSE)</f>
        <v>SS</v>
      </c>
      <c r="N154" s="14" t="s">
        <v>60</v>
      </c>
      <c r="O154" s="12" t="s">
        <v>59</v>
      </c>
      <c r="P154" s="12">
        <v>2</v>
      </c>
      <c r="Q154" s="12" t="str">
        <f>VLOOKUP(P154, [1]SubjectGroup!$A$2:$B$8, 2, FALSE)</f>
        <v>Core Academic Studies</v>
      </c>
      <c r="R154" s="12" t="s">
        <v>44</v>
      </c>
      <c r="S154" s="12" t="s">
        <v>58</v>
      </c>
      <c r="T154" s="12">
        <v>0.8</v>
      </c>
      <c r="U154" s="12" t="s">
        <v>36</v>
      </c>
    </row>
    <row r="155" spans="1:21" ht="15.75" hidden="1" customHeight="1" x14ac:dyDescent="0.2">
      <c r="A155" s="12">
        <v>154</v>
      </c>
      <c r="B155" s="12" t="s">
        <v>55</v>
      </c>
      <c r="C155" s="12" t="s">
        <v>57</v>
      </c>
      <c r="F155" s="12">
        <v>12</v>
      </c>
      <c r="I155" s="12">
        <v>12</v>
      </c>
      <c r="J155" s="12">
        <v>2</v>
      </c>
      <c r="K155" s="12">
        <v>1</v>
      </c>
      <c r="L155" s="12" t="str">
        <f>VLOOKUP(K155, [1]Subject!$A$2:$B$15, 2, FALSE)</f>
        <v>Maths</v>
      </c>
      <c r="M155" s="12" t="str">
        <f>VLOOKUP(K155, [1]Subject!$A$2:$E$11, 5, FALSE)</f>
        <v>MA</v>
      </c>
      <c r="N155" s="14" t="s">
        <v>56</v>
      </c>
      <c r="O155" s="12" t="s">
        <v>52</v>
      </c>
      <c r="P155" s="12">
        <v>2</v>
      </c>
      <c r="Q155" s="12" t="str">
        <f>VLOOKUP(P155, [1]SubjectGroup!$A$2:$B$8, 2, FALSE)</f>
        <v>Core Academic Studies</v>
      </c>
      <c r="R155" s="12" t="s">
        <v>44</v>
      </c>
      <c r="S155" s="12" t="s">
        <v>55</v>
      </c>
      <c r="T155" s="12">
        <v>0.8</v>
      </c>
    </row>
    <row r="156" spans="1:21" ht="15.75" hidden="1" customHeight="1" x14ac:dyDescent="0.2">
      <c r="A156" s="12">
        <v>155</v>
      </c>
      <c r="B156" s="12" t="s">
        <v>51</v>
      </c>
      <c r="C156" s="12" t="s">
        <v>54</v>
      </c>
      <c r="F156" s="12">
        <v>12</v>
      </c>
      <c r="I156" s="12">
        <v>12</v>
      </c>
      <c r="J156" s="12">
        <v>2</v>
      </c>
      <c r="K156" s="12">
        <v>1</v>
      </c>
      <c r="L156" s="12" t="str">
        <f>VLOOKUP(K156, [1]Subject!$A$2:$B$15, 2, FALSE)</f>
        <v>Maths</v>
      </c>
      <c r="M156" s="12" t="str">
        <f>VLOOKUP(K156, [1]Subject!$A$2:$E$11, 5, FALSE)</f>
        <v>MA</v>
      </c>
      <c r="N156" s="14" t="s">
        <v>53</v>
      </c>
      <c r="O156" s="12" t="s">
        <v>52</v>
      </c>
      <c r="P156" s="12">
        <v>2</v>
      </c>
      <c r="Q156" s="12" t="str">
        <f>VLOOKUP(P156, [1]SubjectGroup!$A$2:$B$8, 2, FALSE)</f>
        <v>Core Academic Studies</v>
      </c>
      <c r="R156" s="12" t="s">
        <v>44</v>
      </c>
      <c r="S156" s="12" t="s">
        <v>51</v>
      </c>
      <c r="T156" s="12">
        <v>0.8</v>
      </c>
    </row>
    <row r="157" spans="1:21" ht="15.75" customHeight="1" x14ac:dyDescent="0.2">
      <c r="A157" s="12">
        <v>159</v>
      </c>
      <c r="B157" s="40" t="s">
        <v>20</v>
      </c>
      <c r="C157" s="154" t="s">
        <v>1684</v>
      </c>
      <c r="D157" t="s">
        <v>1679</v>
      </c>
      <c r="E157" s="39" t="s">
        <v>1683</v>
      </c>
      <c r="F157" s="12">
        <v>9</v>
      </c>
      <c r="G157" s="12">
        <v>85</v>
      </c>
      <c r="H157" s="12">
        <v>88</v>
      </c>
      <c r="I157" s="12">
        <v>4</v>
      </c>
      <c r="J157" s="12">
        <v>6</v>
      </c>
      <c r="K157" s="12">
        <v>5</v>
      </c>
      <c r="L157" s="12" t="str">
        <f>VLOOKUP(K157, [1]Subject!$A$2:$B$15, 2, FALSE)</f>
        <v>Science</v>
      </c>
      <c r="M157" s="12" t="str">
        <f>VLOOKUP(K157, [1]Subject!$A$2:$E$11, 5, FALSE)</f>
        <v>SC</v>
      </c>
      <c r="N157" s="17" t="s">
        <v>1687</v>
      </c>
      <c r="O157" s="12" t="s">
        <v>50</v>
      </c>
      <c r="P157" s="12">
        <v>2</v>
      </c>
      <c r="Q157" s="12" t="str">
        <f>VLOOKUP(P157, [1]SubjectGroup!$A$2:$B$8, 2, FALSE)</f>
        <v>Core Academic Studies</v>
      </c>
      <c r="R157" s="12" t="s">
        <v>44</v>
      </c>
      <c r="S157" s="12" t="s">
        <v>49</v>
      </c>
      <c r="T157" s="12">
        <v>0.8</v>
      </c>
    </row>
    <row r="158" spans="1:21" ht="15.75" customHeight="1" x14ac:dyDescent="0.2">
      <c r="A158" s="12">
        <v>160</v>
      </c>
      <c r="B158" s="40" t="s">
        <v>20</v>
      </c>
      <c r="C158" s="154" t="s">
        <v>1688</v>
      </c>
      <c r="D158" t="s">
        <v>1679</v>
      </c>
      <c r="E158" s="39" t="s">
        <v>1575</v>
      </c>
      <c r="F158" s="12">
        <v>9</v>
      </c>
      <c r="G158" s="12">
        <v>97</v>
      </c>
      <c r="H158" s="12">
        <v>100</v>
      </c>
      <c r="I158" s="12">
        <v>4</v>
      </c>
      <c r="J158" s="12">
        <v>6</v>
      </c>
      <c r="K158" s="12">
        <v>5</v>
      </c>
      <c r="L158" s="12" t="str">
        <f>VLOOKUP(K158, [1]Subject!$A$2:$B$15, 2, FALSE)</f>
        <v>Science</v>
      </c>
      <c r="M158" s="12" t="str">
        <f>VLOOKUP(K158, [1]Subject!$A$2:$E$11, 5, FALSE)</f>
        <v>SC</v>
      </c>
      <c r="N158" s="17" t="s">
        <v>1686</v>
      </c>
      <c r="O158" s="12" t="s">
        <v>50</v>
      </c>
      <c r="P158" s="12">
        <v>2</v>
      </c>
      <c r="Q158" s="12" t="str">
        <f>VLOOKUP(P158, [1]SubjectGroup!$A$2:$B$8, 2, FALSE)</f>
        <v>Core Academic Studies</v>
      </c>
      <c r="R158" s="12" t="s">
        <v>44</v>
      </c>
      <c r="S158" s="12" t="s">
        <v>49</v>
      </c>
      <c r="T158" s="12">
        <v>0.8</v>
      </c>
    </row>
    <row r="159" spans="1:21" ht="15.75" hidden="1" customHeight="1" x14ac:dyDescent="0.2">
      <c r="A159" s="12">
        <v>999</v>
      </c>
      <c r="B159" s="15" t="s">
        <v>48</v>
      </c>
      <c r="L159" s="12" t="s">
        <v>47</v>
      </c>
      <c r="M159" s="12" t="e">
        <f>VLOOKUP(K159, [1]Subject!$A$2:$E$11, 5, FALSE)</f>
        <v>#N/A</v>
      </c>
      <c r="N159" s="16" t="s">
        <v>46</v>
      </c>
      <c r="O159" s="12" t="s">
        <v>45</v>
      </c>
      <c r="P159" s="12">
        <v>2</v>
      </c>
      <c r="Q159" s="12" t="str">
        <f>VLOOKUP(P159, [1]SubjectGroup!$A$2:$B$8, 2, FALSE)</f>
        <v>Core Academic Studies</v>
      </c>
      <c r="R159" s="12" t="s">
        <v>44</v>
      </c>
      <c r="T159" s="12">
        <v>0.8</v>
      </c>
    </row>
    <row r="160" spans="1:21" ht="15.75" hidden="1" customHeight="1" x14ac:dyDescent="0.2">
      <c r="A160" s="12">
        <v>161</v>
      </c>
      <c r="B160" s="12" t="s">
        <v>42</v>
      </c>
      <c r="E160" s="12" t="s">
        <v>43</v>
      </c>
      <c r="F160" s="12">
        <v>12</v>
      </c>
      <c r="G160" s="12">
        <v>121</v>
      </c>
      <c r="H160" s="12">
        <v>126</v>
      </c>
      <c r="I160" s="12">
        <f t="shared" ref="I160:I165" si="5">H160-G160+1</f>
        <v>6</v>
      </c>
      <c r="J160" s="12">
        <v>6</v>
      </c>
      <c r="K160" s="12">
        <v>7</v>
      </c>
      <c r="L160" s="12" t="str">
        <f>VLOOKUP(K160, [1]Subject!$A$2:$B$15, 2, FALSE)</f>
        <v>Biblical Studies</v>
      </c>
      <c r="M160" s="12" t="str">
        <f>VLOOKUP(K160, [1]Subject!$A$2:$E$11, 5, FALSE)</f>
        <v>BS</v>
      </c>
      <c r="N160" s="12" t="s">
        <v>41</v>
      </c>
      <c r="O160" s="12" t="s">
        <v>40</v>
      </c>
      <c r="P160" s="12">
        <v>1</v>
      </c>
      <c r="Q160" s="12" t="str">
        <f>VLOOKUP(P160, [1]SubjectGroup!$A$2:$B$8, 2, FALSE)</f>
        <v>Christian Studies</v>
      </c>
      <c r="R160" s="12" t="s">
        <v>26</v>
      </c>
      <c r="S160" s="12" t="str">
        <f>B160</f>
        <v>New Testament Church History I</v>
      </c>
      <c r="T160" s="12">
        <v>0.8</v>
      </c>
      <c r="U160" s="12" t="s">
        <v>36</v>
      </c>
    </row>
    <row r="161" spans="1:21" ht="15.75" hidden="1" customHeight="1" x14ac:dyDescent="0.2">
      <c r="A161" s="12">
        <v>162</v>
      </c>
      <c r="B161" s="12" t="s">
        <v>38</v>
      </c>
      <c r="E161" s="12" t="s">
        <v>39</v>
      </c>
      <c r="F161" s="15">
        <v>12</v>
      </c>
      <c r="G161" s="12">
        <v>1</v>
      </c>
      <c r="H161" s="12">
        <v>10</v>
      </c>
      <c r="I161" s="12">
        <f t="shared" si="5"/>
        <v>10</v>
      </c>
      <c r="J161" s="12">
        <v>12</v>
      </c>
      <c r="K161" s="12">
        <v>7</v>
      </c>
      <c r="L161" s="12" t="str">
        <f>VLOOKUP(K161, [1]Subject!$A$2:$B$15, 2, FALSE)</f>
        <v>Biblical Studies</v>
      </c>
      <c r="M161" s="12" t="str">
        <f>VLOOKUP(K161, [1]Subject!$A$2:$E$11, 5, FALSE)</f>
        <v>BS</v>
      </c>
      <c r="N161" s="14"/>
      <c r="O161" s="12" t="s">
        <v>37</v>
      </c>
      <c r="P161" s="12">
        <v>1</v>
      </c>
      <c r="Q161" s="12" t="str">
        <f>VLOOKUP(P161, [1]SubjectGroup!$A$2:$B$8, 2, FALSE)</f>
        <v>Christian Studies</v>
      </c>
      <c r="R161" s="12" t="s">
        <v>26</v>
      </c>
      <c r="S161" s="12" t="str">
        <f>B161</f>
        <v>Biographies of Christians</v>
      </c>
      <c r="T161" s="12">
        <v>0.8</v>
      </c>
      <c r="U161" s="12" t="s">
        <v>36</v>
      </c>
    </row>
    <row r="162" spans="1:21" ht="15.75" hidden="1" customHeight="1" x14ac:dyDescent="0.2">
      <c r="A162" s="12">
        <v>163</v>
      </c>
      <c r="B162" s="12" t="s">
        <v>34</v>
      </c>
      <c r="E162" s="12" t="s">
        <v>35</v>
      </c>
      <c r="F162" s="12">
        <v>12</v>
      </c>
      <c r="G162" s="12">
        <v>1</v>
      </c>
      <c r="H162" s="12">
        <v>10</v>
      </c>
      <c r="I162" s="12">
        <f t="shared" si="5"/>
        <v>10</v>
      </c>
      <c r="J162" s="12">
        <v>12</v>
      </c>
      <c r="K162" s="12">
        <v>7</v>
      </c>
      <c r="L162" s="12" t="str">
        <f>VLOOKUP(K162, [1]Subject!$A$2:$B$15, 2, FALSE)</f>
        <v>Biblical Studies</v>
      </c>
      <c r="M162" s="12" t="str">
        <f>VLOOKUP(K162, [1]Subject!$A$2:$E$11, 5, FALSE)</f>
        <v>BS</v>
      </c>
      <c r="N162" s="14"/>
      <c r="O162" s="12" t="s">
        <v>33</v>
      </c>
      <c r="P162" s="12">
        <v>1</v>
      </c>
      <c r="Q162" s="12" t="str">
        <f>VLOOKUP(P162, [1]SubjectGroup!$A$2:$B$8, 2, FALSE)</f>
        <v>Christian Studies</v>
      </c>
      <c r="R162" s="12" t="s">
        <v>26</v>
      </c>
      <c r="S162" s="12" t="str">
        <f>B162</f>
        <v>College Old Testament Survey</v>
      </c>
      <c r="T162" s="12">
        <v>0.8</v>
      </c>
      <c r="U162" s="12" t="s">
        <v>32</v>
      </c>
    </row>
    <row r="163" spans="1:21" ht="15.75" hidden="1" customHeight="1" x14ac:dyDescent="0.2">
      <c r="A163" s="12">
        <v>164</v>
      </c>
      <c r="B163" s="12" t="s">
        <v>30</v>
      </c>
      <c r="E163" s="12" t="s">
        <v>31</v>
      </c>
      <c r="F163" s="12">
        <v>12</v>
      </c>
      <c r="G163" s="12">
        <v>133</v>
      </c>
      <c r="H163" s="12">
        <v>138</v>
      </c>
      <c r="I163" s="12">
        <f t="shared" si="5"/>
        <v>6</v>
      </c>
      <c r="J163" s="12">
        <v>6</v>
      </c>
      <c r="K163" s="12">
        <v>6</v>
      </c>
      <c r="L163" s="12" t="str">
        <f>VLOOKUP(K163, [1]Subject!$A$2:$B$15, 2, FALSE)</f>
        <v>Social Studies</v>
      </c>
      <c r="M163" s="12" t="str">
        <f>VLOOKUP(K163, [1]Subject!$A$2:$E$11, 5, FALSE)</f>
        <v>SS</v>
      </c>
      <c r="N163" s="14"/>
      <c r="O163" s="12" t="s">
        <v>29</v>
      </c>
      <c r="P163" s="12">
        <v>2</v>
      </c>
      <c r="Q163" s="12" t="str">
        <f>VLOOKUP(P163, [1]SubjectGroup!$A$2:$B$8, 2, FALSE)</f>
        <v>Core Academic Studies</v>
      </c>
      <c r="R163" s="12" t="s">
        <v>26</v>
      </c>
      <c r="S163" s="12" t="s">
        <v>25</v>
      </c>
      <c r="T163" s="12">
        <v>0.8</v>
      </c>
    </row>
    <row r="164" spans="1:21" ht="15.75" hidden="1" customHeight="1" x14ac:dyDescent="0.2">
      <c r="A164" s="12">
        <v>165</v>
      </c>
      <c r="B164" s="12" t="s">
        <v>28</v>
      </c>
      <c r="E164" s="12" t="s">
        <v>28</v>
      </c>
      <c r="F164" s="12">
        <v>12</v>
      </c>
      <c r="G164" s="12">
        <v>139</v>
      </c>
      <c r="H164" s="12">
        <v>144</v>
      </c>
      <c r="I164" s="12">
        <f t="shared" si="5"/>
        <v>6</v>
      </c>
      <c r="J164" s="12">
        <v>6</v>
      </c>
      <c r="K164" s="12">
        <v>6</v>
      </c>
      <c r="L164" s="12" t="str">
        <f>VLOOKUP(K164, [1]Subject!$A$2:$B$15, 2, FALSE)</f>
        <v>Social Studies</v>
      </c>
      <c r="M164" s="12" t="str">
        <f>VLOOKUP(K164, [1]Subject!$A$2:$E$11, 5, FALSE)</f>
        <v>SS</v>
      </c>
      <c r="N164" s="14"/>
      <c r="O164" s="12" t="s">
        <v>27</v>
      </c>
      <c r="P164" s="12">
        <v>2</v>
      </c>
      <c r="Q164" s="12" t="str">
        <f>VLOOKUP(P164, [1]SubjectGroup!$A$2:$B$8, 2, FALSE)</f>
        <v>Core Academic Studies</v>
      </c>
      <c r="R164" s="12" t="s">
        <v>26</v>
      </c>
      <c r="S164" s="12" t="s">
        <v>25</v>
      </c>
      <c r="T164" s="12">
        <v>0.8</v>
      </c>
    </row>
    <row r="165" spans="1:21" ht="15.75" hidden="1" customHeight="1" x14ac:dyDescent="0.2">
      <c r="A165" s="12">
        <v>166</v>
      </c>
      <c r="B165" s="12" t="s">
        <v>24</v>
      </c>
      <c r="E165" s="12" t="s">
        <v>24</v>
      </c>
      <c r="F165" s="12">
        <v>10</v>
      </c>
      <c r="G165" s="12">
        <v>1</v>
      </c>
      <c r="H165" s="12">
        <v>12</v>
      </c>
      <c r="I165" s="12">
        <f t="shared" si="5"/>
        <v>12</v>
      </c>
      <c r="J165" s="12">
        <v>12</v>
      </c>
      <c r="N165" s="14"/>
    </row>
    <row r="166" spans="1:21" ht="15.75" customHeight="1" x14ac:dyDescent="0.2">
      <c r="N166" s="13"/>
    </row>
    <row r="167" spans="1:21" ht="15.75" customHeight="1" x14ac:dyDescent="0.2">
      <c r="N167" s="13"/>
    </row>
    <row r="168" spans="1:21" ht="15.75" customHeight="1" x14ac:dyDescent="0.2">
      <c r="N168" s="13"/>
    </row>
    <row r="169" spans="1:21" ht="15.75" customHeight="1" x14ac:dyDescent="0.2">
      <c r="N169" s="13"/>
    </row>
    <row r="170" spans="1:21" ht="15.75" customHeight="1" x14ac:dyDescent="0.2">
      <c r="N170" s="13"/>
    </row>
    <row r="171" spans="1:21" ht="15.75" customHeight="1" x14ac:dyDescent="0.2">
      <c r="N171" s="13"/>
    </row>
    <row r="172" spans="1:21" ht="15.75" customHeight="1" x14ac:dyDescent="0.2">
      <c r="N172" s="13"/>
    </row>
    <row r="173" spans="1:21" ht="15.75" customHeight="1" x14ac:dyDescent="0.2">
      <c r="N173" s="13"/>
    </row>
    <row r="174" spans="1:21" ht="15.75" customHeight="1" x14ac:dyDescent="0.2">
      <c r="N174" s="13"/>
    </row>
    <row r="175" spans="1:21" ht="15.75" customHeight="1" x14ac:dyDescent="0.2">
      <c r="N175" s="13"/>
    </row>
    <row r="176" spans="1:21" ht="15.75" customHeight="1" x14ac:dyDescent="0.2">
      <c r="N176" s="13"/>
    </row>
    <row r="177" spans="14:14" ht="15.75" customHeight="1" x14ac:dyDescent="0.2">
      <c r="N177" s="13"/>
    </row>
    <row r="178" spans="14:14" ht="15.75" customHeight="1" x14ac:dyDescent="0.2">
      <c r="N178" s="13"/>
    </row>
    <row r="179" spans="14:14" ht="15.75" customHeight="1" x14ac:dyDescent="0.2">
      <c r="N179" s="13"/>
    </row>
    <row r="180" spans="14:14" ht="15.75" customHeight="1" x14ac:dyDescent="0.2">
      <c r="N180" s="13"/>
    </row>
    <row r="181" spans="14:14" ht="15.75" customHeight="1" x14ac:dyDescent="0.2">
      <c r="N181" s="13"/>
    </row>
    <row r="182" spans="14:14" ht="15.75" customHeight="1" x14ac:dyDescent="0.2">
      <c r="N182" s="13"/>
    </row>
    <row r="183" spans="14:14" ht="15.75" customHeight="1" x14ac:dyDescent="0.2">
      <c r="N183" s="13"/>
    </row>
    <row r="184" spans="14:14" ht="15.75" customHeight="1" x14ac:dyDescent="0.2">
      <c r="N184" s="13"/>
    </row>
    <row r="185" spans="14:14" ht="15.75" customHeight="1" x14ac:dyDescent="0.2">
      <c r="N185" s="13"/>
    </row>
    <row r="186" spans="14:14" ht="15.75" customHeight="1" x14ac:dyDescent="0.2">
      <c r="N186" s="13"/>
    </row>
    <row r="187" spans="14:14" ht="15.75" customHeight="1" x14ac:dyDescent="0.2">
      <c r="N187" s="13"/>
    </row>
    <row r="188" spans="14:14" ht="15.75" customHeight="1" x14ac:dyDescent="0.2">
      <c r="N188" s="13"/>
    </row>
    <row r="189" spans="14:14" ht="15.75" customHeight="1" x14ac:dyDescent="0.2">
      <c r="N189" s="13"/>
    </row>
    <row r="190" spans="14:14" ht="15.75" customHeight="1" x14ac:dyDescent="0.2">
      <c r="N190" s="13"/>
    </row>
    <row r="191" spans="14:14" ht="15.75" customHeight="1" x14ac:dyDescent="0.2">
      <c r="N191" s="13"/>
    </row>
    <row r="192" spans="14:14" ht="15.75" customHeight="1" x14ac:dyDescent="0.2">
      <c r="N192" s="13"/>
    </row>
    <row r="193" spans="14:14" ht="15.75" customHeight="1" x14ac:dyDescent="0.2">
      <c r="N193" s="13"/>
    </row>
    <row r="194" spans="14:14" ht="15.75" customHeight="1" x14ac:dyDescent="0.2">
      <c r="N194" s="13"/>
    </row>
    <row r="195" spans="14:14" ht="15.75" customHeight="1" x14ac:dyDescent="0.2">
      <c r="N195" s="13"/>
    </row>
    <row r="196" spans="14:14" ht="15.75" customHeight="1" x14ac:dyDescent="0.2">
      <c r="N196" s="13"/>
    </row>
    <row r="197" spans="14:14" ht="15.75" customHeight="1" x14ac:dyDescent="0.2">
      <c r="N197" s="13"/>
    </row>
    <row r="198" spans="14:14" ht="15.75" customHeight="1" x14ac:dyDescent="0.2">
      <c r="N198" s="13"/>
    </row>
    <row r="199" spans="14:14" ht="15.75" customHeight="1" x14ac:dyDescent="0.2">
      <c r="N199" s="13"/>
    </row>
    <row r="200" spans="14:14" ht="15.75" customHeight="1" x14ac:dyDescent="0.2">
      <c r="N200" s="13"/>
    </row>
    <row r="201" spans="14:14" ht="15.75" customHeight="1" x14ac:dyDescent="0.2">
      <c r="N201" s="13"/>
    </row>
    <row r="202" spans="14:14" ht="15.75" customHeight="1" x14ac:dyDescent="0.2">
      <c r="N202" s="13"/>
    </row>
    <row r="203" spans="14:14" ht="15.75" customHeight="1" x14ac:dyDescent="0.2">
      <c r="N203" s="13"/>
    </row>
    <row r="204" spans="14:14" ht="15.75" customHeight="1" x14ac:dyDescent="0.2">
      <c r="N204" s="13"/>
    </row>
    <row r="205" spans="14:14" ht="15.75" customHeight="1" x14ac:dyDescent="0.2">
      <c r="N205" s="13"/>
    </row>
    <row r="206" spans="14:14" ht="15.75" customHeight="1" x14ac:dyDescent="0.2">
      <c r="N206" s="13"/>
    </row>
    <row r="207" spans="14:14" ht="15.75" customHeight="1" x14ac:dyDescent="0.2">
      <c r="N207" s="13"/>
    </row>
    <row r="208" spans="14:14" ht="15.75" customHeight="1" x14ac:dyDescent="0.2">
      <c r="N208" s="13"/>
    </row>
    <row r="209" spans="14:14" ht="15.75" customHeight="1" x14ac:dyDescent="0.2">
      <c r="N209" s="13"/>
    </row>
    <row r="210" spans="14:14" ht="15.75" customHeight="1" x14ac:dyDescent="0.2">
      <c r="N210" s="13"/>
    </row>
    <row r="211" spans="14:14" ht="15.75" customHeight="1" x14ac:dyDescent="0.2">
      <c r="N211" s="13"/>
    </row>
    <row r="212" spans="14:14" ht="15.75" customHeight="1" x14ac:dyDescent="0.2">
      <c r="N212" s="13"/>
    </row>
    <row r="213" spans="14:14" ht="15.75" customHeight="1" x14ac:dyDescent="0.2">
      <c r="N213" s="13"/>
    </row>
    <row r="214" spans="14:14" ht="15.75" customHeight="1" x14ac:dyDescent="0.2">
      <c r="N214" s="13"/>
    </row>
    <row r="215" spans="14:14" ht="15.75" customHeight="1" x14ac:dyDescent="0.2">
      <c r="N215" s="13"/>
    </row>
    <row r="216" spans="14:14" ht="15.75" customHeight="1" x14ac:dyDescent="0.2">
      <c r="N216" s="13"/>
    </row>
    <row r="217" spans="14:14" ht="15.75" customHeight="1" x14ac:dyDescent="0.2">
      <c r="N217" s="13"/>
    </row>
    <row r="218" spans="14:14" ht="15.75" customHeight="1" x14ac:dyDescent="0.2">
      <c r="N218" s="13"/>
    </row>
    <row r="219" spans="14:14" ht="15.75" customHeight="1" x14ac:dyDescent="0.2">
      <c r="N219" s="13"/>
    </row>
    <row r="220" spans="14:14" ht="15.75" customHeight="1" x14ac:dyDescent="0.2">
      <c r="N220" s="13"/>
    </row>
    <row r="221" spans="14:14" ht="15.75" customHeight="1" x14ac:dyDescent="0.2">
      <c r="N221" s="13"/>
    </row>
    <row r="222" spans="14:14" ht="15.75" customHeight="1" x14ac:dyDescent="0.2">
      <c r="N222" s="13"/>
    </row>
    <row r="223" spans="14:14" ht="15.75" customHeight="1" x14ac:dyDescent="0.2">
      <c r="N223" s="13"/>
    </row>
    <row r="224" spans="14:14" ht="15.75" customHeight="1" x14ac:dyDescent="0.2">
      <c r="N224" s="13"/>
    </row>
    <row r="225" spans="14:14" ht="15.75" customHeight="1" x14ac:dyDescent="0.2">
      <c r="N225" s="13"/>
    </row>
    <row r="226" spans="14:14" ht="15.75" customHeight="1" x14ac:dyDescent="0.2">
      <c r="N226" s="13"/>
    </row>
    <row r="227" spans="14:14" ht="15.75" customHeight="1" x14ac:dyDescent="0.2">
      <c r="N227" s="13"/>
    </row>
    <row r="228" spans="14:14" ht="15.75" customHeight="1" x14ac:dyDescent="0.2">
      <c r="N228" s="13"/>
    </row>
    <row r="229" spans="14:14" ht="15.75" customHeight="1" x14ac:dyDescent="0.2">
      <c r="N229" s="13"/>
    </row>
    <row r="230" spans="14:14" ht="15.75" customHeight="1" x14ac:dyDescent="0.2">
      <c r="N230" s="13"/>
    </row>
    <row r="231" spans="14:14" ht="15.75" customHeight="1" x14ac:dyDescent="0.2">
      <c r="N231" s="13"/>
    </row>
    <row r="232" spans="14:14" ht="15.75" customHeight="1" x14ac:dyDescent="0.2">
      <c r="N232" s="13"/>
    </row>
    <row r="233" spans="14:14" ht="15.75" customHeight="1" x14ac:dyDescent="0.2">
      <c r="N233" s="13"/>
    </row>
    <row r="234" spans="14:14" ht="15.75" customHeight="1" x14ac:dyDescent="0.2">
      <c r="N234" s="13"/>
    </row>
    <row r="235" spans="14:14" ht="15.75" customHeight="1" x14ac:dyDescent="0.2">
      <c r="N235" s="13"/>
    </row>
    <row r="236" spans="14:14" ht="15.75" customHeight="1" x14ac:dyDescent="0.2">
      <c r="N236" s="13"/>
    </row>
    <row r="237" spans="14:14" ht="15.75" customHeight="1" x14ac:dyDescent="0.2">
      <c r="N237" s="13"/>
    </row>
    <row r="238" spans="14:14" ht="15.75" customHeight="1" x14ac:dyDescent="0.2">
      <c r="N238" s="13"/>
    </row>
    <row r="239" spans="14:14" ht="15.75" customHeight="1" x14ac:dyDescent="0.2">
      <c r="N239" s="13"/>
    </row>
    <row r="240" spans="14:14" ht="15.75" customHeight="1" x14ac:dyDescent="0.2">
      <c r="N240" s="13"/>
    </row>
    <row r="241" spans="14:14" ht="15.75" customHeight="1" x14ac:dyDescent="0.2">
      <c r="N241" s="13"/>
    </row>
    <row r="242" spans="14:14" ht="15.75" customHeight="1" x14ac:dyDescent="0.2">
      <c r="N242" s="13"/>
    </row>
    <row r="243" spans="14:14" ht="15.75" customHeight="1" x14ac:dyDescent="0.2">
      <c r="N243" s="13"/>
    </row>
    <row r="244" spans="14:14" ht="15.75" customHeight="1" x14ac:dyDescent="0.2">
      <c r="N244" s="13"/>
    </row>
    <row r="245" spans="14:14" ht="15.75" customHeight="1" x14ac:dyDescent="0.2">
      <c r="N245" s="13"/>
    </row>
    <row r="246" spans="14:14" ht="15.75" customHeight="1" x14ac:dyDescent="0.2">
      <c r="N246" s="13"/>
    </row>
    <row r="247" spans="14:14" ht="15.75" customHeight="1" x14ac:dyDescent="0.2">
      <c r="N247" s="13"/>
    </row>
    <row r="248" spans="14:14" ht="15.75" customHeight="1" x14ac:dyDescent="0.2">
      <c r="N248" s="13"/>
    </row>
    <row r="249" spans="14:14" ht="15.75" customHeight="1" x14ac:dyDescent="0.2">
      <c r="N249" s="13"/>
    </row>
    <row r="250" spans="14:14" ht="15.75" customHeight="1" x14ac:dyDescent="0.2">
      <c r="N250" s="13"/>
    </row>
    <row r="251" spans="14:14" ht="15.75" customHeight="1" x14ac:dyDescent="0.2">
      <c r="N251" s="13"/>
    </row>
    <row r="252" spans="14:14" ht="15.75" customHeight="1" x14ac:dyDescent="0.2">
      <c r="N252" s="13"/>
    </row>
    <row r="253" spans="14:14" ht="15.75" customHeight="1" x14ac:dyDescent="0.2">
      <c r="N253" s="13"/>
    </row>
    <row r="254" spans="14:14" ht="15.75" customHeight="1" x14ac:dyDescent="0.2">
      <c r="N254" s="13"/>
    </row>
    <row r="255" spans="14:14" ht="15.75" customHeight="1" x14ac:dyDescent="0.2">
      <c r="N255" s="13"/>
    </row>
    <row r="256" spans="14:14" ht="15.75" customHeight="1" x14ac:dyDescent="0.2">
      <c r="N256" s="13"/>
    </row>
    <row r="257" spans="14:14" ht="15.75" customHeight="1" x14ac:dyDescent="0.2">
      <c r="N257" s="13"/>
    </row>
    <row r="258" spans="14:14" ht="15.75" customHeight="1" x14ac:dyDescent="0.2">
      <c r="N258" s="13"/>
    </row>
    <row r="259" spans="14:14" ht="15.75" customHeight="1" x14ac:dyDescent="0.2">
      <c r="N259" s="13"/>
    </row>
    <row r="260" spans="14:14" ht="15.75" customHeight="1" x14ac:dyDescent="0.2">
      <c r="N260" s="13"/>
    </row>
    <row r="261" spans="14:14" ht="15.75" customHeight="1" x14ac:dyDescent="0.2">
      <c r="N261" s="13"/>
    </row>
    <row r="262" spans="14:14" ht="15.75" customHeight="1" x14ac:dyDescent="0.2">
      <c r="N262" s="13"/>
    </row>
    <row r="263" spans="14:14" ht="15.75" customHeight="1" x14ac:dyDescent="0.2">
      <c r="N263" s="13"/>
    </row>
    <row r="264" spans="14:14" ht="15.75" customHeight="1" x14ac:dyDescent="0.2">
      <c r="N264" s="13"/>
    </row>
    <row r="265" spans="14:14" ht="15.75" customHeight="1" x14ac:dyDescent="0.2">
      <c r="N265" s="13"/>
    </row>
    <row r="266" spans="14:14" ht="15.75" customHeight="1" x14ac:dyDescent="0.2">
      <c r="N266" s="13"/>
    </row>
    <row r="267" spans="14:14" ht="15.75" customHeight="1" x14ac:dyDescent="0.2">
      <c r="N267" s="13"/>
    </row>
    <row r="268" spans="14:14" ht="15.75" customHeight="1" x14ac:dyDescent="0.2">
      <c r="N268" s="13"/>
    </row>
    <row r="269" spans="14:14" ht="15.75" customHeight="1" x14ac:dyDescent="0.2">
      <c r="N269" s="13"/>
    </row>
    <row r="270" spans="14:14" ht="15.75" customHeight="1" x14ac:dyDescent="0.2">
      <c r="N270" s="13"/>
    </row>
    <row r="271" spans="14:14" ht="15.75" customHeight="1" x14ac:dyDescent="0.2">
      <c r="N271" s="13"/>
    </row>
    <row r="272" spans="14:14" ht="15.75" customHeight="1" x14ac:dyDescent="0.2">
      <c r="N272" s="13"/>
    </row>
    <row r="273" spans="14:14" ht="15.75" customHeight="1" x14ac:dyDescent="0.2">
      <c r="N273" s="13"/>
    </row>
    <row r="274" spans="14:14" ht="15.75" customHeight="1" x14ac:dyDescent="0.2">
      <c r="N274" s="13"/>
    </row>
    <row r="275" spans="14:14" ht="15.75" customHeight="1" x14ac:dyDescent="0.2">
      <c r="N275" s="13"/>
    </row>
    <row r="276" spans="14:14" ht="15.75" customHeight="1" x14ac:dyDescent="0.2">
      <c r="N276" s="13"/>
    </row>
    <row r="277" spans="14:14" ht="15.75" customHeight="1" x14ac:dyDescent="0.2">
      <c r="N277" s="13"/>
    </row>
    <row r="278" spans="14:14" ht="15.75" customHeight="1" x14ac:dyDescent="0.2">
      <c r="N278" s="13"/>
    </row>
    <row r="279" spans="14:14" ht="15.75" customHeight="1" x14ac:dyDescent="0.2">
      <c r="N279" s="13"/>
    </row>
    <row r="280" spans="14:14" ht="15.75" customHeight="1" x14ac:dyDescent="0.2">
      <c r="N280" s="13"/>
    </row>
    <row r="281" spans="14:14" ht="15.75" customHeight="1" x14ac:dyDescent="0.2">
      <c r="N281" s="13"/>
    </row>
    <row r="282" spans="14:14" ht="15.75" customHeight="1" x14ac:dyDescent="0.2">
      <c r="N282" s="13"/>
    </row>
    <row r="283" spans="14:14" ht="15.75" customHeight="1" x14ac:dyDescent="0.2">
      <c r="N283" s="13"/>
    </row>
    <row r="284" spans="14:14" ht="15.75" customHeight="1" x14ac:dyDescent="0.2">
      <c r="N284" s="13"/>
    </row>
    <row r="285" spans="14:14" ht="15.75" customHeight="1" x14ac:dyDescent="0.2">
      <c r="N285" s="13"/>
    </row>
    <row r="286" spans="14:14" ht="15.75" customHeight="1" x14ac:dyDescent="0.2">
      <c r="N286" s="13"/>
    </row>
    <row r="287" spans="14:14" ht="15.75" customHeight="1" x14ac:dyDescent="0.2">
      <c r="N287" s="13"/>
    </row>
    <row r="288" spans="14:14" ht="15.75" customHeight="1" x14ac:dyDescent="0.2">
      <c r="N288" s="13"/>
    </row>
    <row r="289" spans="14:14" ht="15.75" customHeight="1" x14ac:dyDescent="0.2">
      <c r="N289" s="13"/>
    </row>
    <row r="290" spans="14:14" ht="15.75" customHeight="1" x14ac:dyDescent="0.2">
      <c r="N290" s="13"/>
    </row>
    <row r="291" spans="14:14" ht="15.75" customHeight="1" x14ac:dyDescent="0.2">
      <c r="N291" s="13"/>
    </row>
    <row r="292" spans="14:14" ht="15.75" customHeight="1" x14ac:dyDescent="0.2">
      <c r="N292" s="13"/>
    </row>
    <row r="293" spans="14:14" ht="15.75" customHeight="1" x14ac:dyDescent="0.2">
      <c r="N293" s="13"/>
    </row>
    <row r="294" spans="14:14" ht="15.75" customHeight="1" x14ac:dyDescent="0.2">
      <c r="N294" s="13"/>
    </row>
    <row r="295" spans="14:14" ht="15.75" customHeight="1" x14ac:dyDescent="0.2">
      <c r="N295" s="13"/>
    </row>
    <row r="296" spans="14:14" ht="15.75" customHeight="1" x14ac:dyDescent="0.2">
      <c r="N296" s="13"/>
    </row>
    <row r="297" spans="14:14" ht="15.75" customHeight="1" x14ac:dyDescent="0.2">
      <c r="N297" s="13"/>
    </row>
    <row r="298" spans="14:14" ht="15.75" customHeight="1" x14ac:dyDescent="0.2">
      <c r="N298" s="13"/>
    </row>
    <row r="299" spans="14:14" ht="15.75" customHeight="1" x14ac:dyDescent="0.2">
      <c r="N299" s="13"/>
    </row>
    <row r="300" spans="14:14" ht="15.75" customHeight="1" x14ac:dyDescent="0.2">
      <c r="N300" s="13"/>
    </row>
    <row r="301" spans="14:14" ht="15.75" customHeight="1" x14ac:dyDescent="0.2">
      <c r="N301" s="13"/>
    </row>
    <row r="302" spans="14:14" ht="15.75" customHeight="1" x14ac:dyDescent="0.2">
      <c r="N302" s="13"/>
    </row>
    <row r="303" spans="14:14" ht="15.75" customHeight="1" x14ac:dyDescent="0.2">
      <c r="N303" s="13"/>
    </row>
    <row r="304" spans="14:14" ht="15.75" customHeight="1" x14ac:dyDescent="0.2">
      <c r="N304" s="13"/>
    </row>
    <row r="305" spans="14:14" ht="15.75" customHeight="1" x14ac:dyDescent="0.2">
      <c r="N305" s="13"/>
    </row>
    <row r="306" spans="14:14" ht="15.75" customHeight="1" x14ac:dyDescent="0.2">
      <c r="N306" s="13"/>
    </row>
    <row r="307" spans="14:14" ht="15.75" customHeight="1" x14ac:dyDescent="0.2">
      <c r="N307" s="13"/>
    </row>
    <row r="308" spans="14:14" ht="15.75" customHeight="1" x14ac:dyDescent="0.2">
      <c r="N308" s="13"/>
    </row>
    <row r="309" spans="14:14" ht="15.75" customHeight="1" x14ac:dyDescent="0.2">
      <c r="N309" s="13"/>
    </row>
    <row r="310" spans="14:14" ht="15.75" customHeight="1" x14ac:dyDescent="0.2">
      <c r="N310" s="13"/>
    </row>
    <row r="311" spans="14:14" ht="15.75" customHeight="1" x14ac:dyDescent="0.2">
      <c r="N311" s="13"/>
    </row>
    <row r="312" spans="14:14" ht="15.75" customHeight="1" x14ac:dyDescent="0.2">
      <c r="N312" s="13"/>
    </row>
    <row r="313" spans="14:14" ht="15.75" customHeight="1" x14ac:dyDescent="0.2">
      <c r="N313" s="13"/>
    </row>
    <row r="314" spans="14:14" ht="15.75" customHeight="1" x14ac:dyDescent="0.2">
      <c r="N314" s="13"/>
    </row>
    <row r="315" spans="14:14" ht="15.75" customHeight="1" x14ac:dyDescent="0.2">
      <c r="N315" s="13"/>
    </row>
    <row r="316" spans="14:14" ht="15.75" customHeight="1" x14ac:dyDescent="0.2">
      <c r="N316" s="13"/>
    </row>
    <row r="317" spans="14:14" ht="15.75" customHeight="1" x14ac:dyDescent="0.2">
      <c r="N317" s="13"/>
    </row>
    <row r="318" spans="14:14" ht="15.75" customHeight="1" x14ac:dyDescent="0.2">
      <c r="N318" s="13"/>
    </row>
    <row r="319" spans="14:14" ht="15.75" customHeight="1" x14ac:dyDescent="0.2">
      <c r="N319" s="13"/>
    </row>
    <row r="320" spans="14:14" ht="15.75" customHeight="1" x14ac:dyDescent="0.2">
      <c r="N320" s="13"/>
    </row>
    <row r="321" spans="14:14" ht="15.75" customHeight="1" x14ac:dyDescent="0.2">
      <c r="N321" s="13"/>
    </row>
    <row r="322" spans="14:14" ht="15.75" customHeight="1" x14ac:dyDescent="0.2">
      <c r="N322" s="13"/>
    </row>
    <row r="323" spans="14:14" ht="15.75" customHeight="1" x14ac:dyDescent="0.2">
      <c r="N323" s="13"/>
    </row>
    <row r="324" spans="14:14" ht="15.75" customHeight="1" x14ac:dyDescent="0.2">
      <c r="N324" s="13"/>
    </row>
    <row r="325" spans="14:14" ht="15.75" customHeight="1" x14ac:dyDescent="0.2">
      <c r="N325" s="13"/>
    </row>
    <row r="326" spans="14:14" ht="15.75" customHeight="1" x14ac:dyDescent="0.2">
      <c r="N326" s="13"/>
    </row>
    <row r="327" spans="14:14" ht="15.75" customHeight="1" x14ac:dyDescent="0.2">
      <c r="N327" s="13"/>
    </row>
    <row r="328" spans="14:14" ht="15.75" customHeight="1" x14ac:dyDescent="0.2">
      <c r="N328" s="13"/>
    </row>
    <row r="329" spans="14:14" ht="15.75" customHeight="1" x14ac:dyDescent="0.2">
      <c r="N329" s="13"/>
    </row>
    <row r="330" spans="14:14" ht="15.75" customHeight="1" x14ac:dyDescent="0.2">
      <c r="N330" s="13"/>
    </row>
    <row r="331" spans="14:14" ht="15.75" customHeight="1" x14ac:dyDescent="0.2">
      <c r="N331" s="13"/>
    </row>
    <row r="332" spans="14:14" ht="15.75" customHeight="1" x14ac:dyDescent="0.2">
      <c r="N332" s="13"/>
    </row>
    <row r="333" spans="14:14" ht="15.75" customHeight="1" x14ac:dyDescent="0.2">
      <c r="N333" s="13"/>
    </row>
    <row r="334" spans="14:14" ht="15.75" customHeight="1" x14ac:dyDescent="0.2">
      <c r="N334" s="13"/>
    </row>
    <row r="335" spans="14:14" ht="15.75" customHeight="1" x14ac:dyDescent="0.2">
      <c r="N335" s="13"/>
    </row>
    <row r="336" spans="14:14" ht="15.75" customHeight="1" x14ac:dyDescent="0.2">
      <c r="N336" s="13"/>
    </row>
    <row r="337" spans="14:14" ht="15.75" customHeight="1" x14ac:dyDescent="0.2">
      <c r="N337" s="13"/>
    </row>
    <row r="338" spans="14:14" ht="15.75" customHeight="1" x14ac:dyDescent="0.2">
      <c r="N338" s="13"/>
    </row>
    <row r="339" spans="14:14" ht="15.75" customHeight="1" x14ac:dyDescent="0.2">
      <c r="N339" s="13"/>
    </row>
    <row r="340" spans="14:14" ht="15.75" customHeight="1" x14ac:dyDescent="0.2">
      <c r="N340" s="13"/>
    </row>
    <row r="341" spans="14:14" ht="15.75" customHeight="1" x14ac:dyDescent="0.2">
      <c r="N341" s="13"/>
    </row>
    <row r="342" spans="14:14" ht="15.75" customHeight="1" x14ac:dyDescent="0.2">
      <c r="N342" s="13"/>
    </row>
    <row r="343" spans="14:14" ht="15.75" customHeight="1" x14ac:dyDescent="0.2">
      <c r="N343" s="13"/>
    </row>
    <row r="344" spans="14:14" ht="15.75" customHeight="1" x14ac:dyDescent="0.2">
      <c r="N344" s="13"/>
    </row>
    <row r="345" spans="14:14" ht="15.75" customHeight="1" x14ac:dyDescent="0.2">
      <c r="N345" s="13"/>
    </row>
    <row r="346" spans="14:14" ht="15.75" customHeight="1" x14ac:dyDescent="0.2">
      <c r="N346" s="13"/>
    </row>
    <row r="347" spans="14:14" ht="15.75" customHeight="1" x14ac:dyDescent="0.2">
      <c r="N347" s="13"/>
    </row>
    <row r="348" spans="14:14" ht="15.75" customHeight="1" x14ac:dyDescent="0.2">
      <c r="N348" s="13"/>
    </row>
    <row r="349" spans="14:14" ht="15.75" customHeight="1" x14ac:dyDescent="0.2">
      <c r="N349" s="13"/>
    </row>
    <row r="350" spans="14:14" ht="15.75" customHeight="1" x14ac:dyDescent="0.2">
      <c r="N350" s="13"/>
    </row>
    <row r="351" spans="14:14" ht="15.75" customHeight="1" x14ac:dyDescent="0.2">
      <c r="N351" s="13"/>
    </row>
    <row r="352" spans="14:14" ht="15.75" customHeight="1" x14ac:dyDescent="0.2">
      <c r="N352" s="13"/>
    </row>
    <row r="353" spans="14:14" ht="15.75" customHeight="1" x14ac:dyDescent="0.2">
      <c r="N353" s="13"/>
    </row>
    <row r="354" spans="14:14" ht="15.75" customHeight="1" x14ac:dyDescent="0.2">
      <c r="N354" s="13"/>
    </row>
    <row r="355" spans="14:14" ht="15.75" customHeight="1" x14ac:dyDescent="0.2">
      <c r="N355" s="13"/>
    </row>
    <row r="356" spans="14:14" ht="15.75" customHeight="1" x14ac:dyDescent="0.2">
      <c r="N356" s="13"/>
    </row>
    <row r="357" spans="14:14" ht="15.75" customHeight="1" x14ac:dyDescent="0.2">
      <c r="N357" s="13"/>
    </row>
    <row r="358" spans="14:14" ht="15.75" customHeight="1" x14ac:dyDescent="0.2">
      <c r="N358" s="13"/>
    </row>
    <row r="359" spans="14:14" ht="15.75" customHeight="1" x14ac:dyDescent="0.2">
      <c r="N359" s="13"/>
    </row>
    <row r="360" spans="14:14" ht="15.75" customHeight="1" x14ac:dyDescent="0.2">
      <c r="N360" s="13"/>
    </row>
    <row r="361" spans="14:14" ht="15.75" customHeight="1" x14ac:dyDescent="0.2">
      <c r="N361" s="13"/>
    </row>
    <row r="362" spans="14:14" ht="15.75" customHeight="1" x14ac:dyDescent="0.2">
      <c r="N362" s="13"/>
    </row>
    <row r="363" spans="14:14" ht="15.75" customHeight="1" x14ac:dyDescent="0.2">
      <c r="N363" s="13"/>
    </row>
    <row r="364" spans="14:14" ht="15.75" customHeight="1" x14ac:dyDescent="0.2">
      <c r="N364" s="13"/>
    </row>
    <row r="365" spans="14:14" ht="15.75" customHeight="1" x14ac:dyDescent="0.2">
      <c r="N365" s="13"/>
    </row>
    <row r="366" spans="14:14" ht="15.75" customHeight="1" x14ac:dyDescent="0.2">
      <c r="N366" s="13"/>
    </row>
    <row r="367" spans="14:14" ht="15.75" customHeight="1" x14ac:dyDescent="0.2">
      <c r="N367" s="13"/>
    </row>
    <row r="368" spans="14:14" ht="15.75" customHeight="1" x14ac:dyDescent="0.2">
      <c r="N368" s="13"/>
    </row>
    <row r="369" spans="14:14" ht="15.75" customHeight="1" x14ac:dyDescent="0.2">
      <c r="N369" s="13"/>
    </row>
    <row r="370" spans="14:14" ht="15.75" customHeight="1" x14ac:dyDescent="0.2">
      <c r="N370" s="13"/>
    </row>
    <row r="371" spans="14:14" ht="15.75" customHeight="1" x14ac:dyDescent="0.2">
      <c r="N371" s="13"/>
    </row>
    <row r="372" spans="14:14" ht="15.75" customHeight="1" x14ac:dyDescent="0.2">
      <c r="N372" s="13"/>
    </row>
    <row r="373" spans="14:14" ht="15.75" customHeight="1" x14ac:dyDescent="0.2">
      <c r="N373" s="13"/>
    </row>
    <row r="374" spans="14:14" ht="15.75" customHeight="1" x14ac:dyDescent="0.2">
      <c r="N374" s="13"/>
    </row>
    <row r="375" spans="14:14" ht="15.75" customHeight="1" x14ac:dyDescent="0.2">
      <c r="N375" s="13"/>
    </row>
    <row r="376" spans="14:14" ht="15.75" customHeight="1" x14ac:dyDescent="0.2">
      <c r="N376" s="13"/>
    </row>
    <row r="377" spans="14:14" ht="15.75" customHeight="1" x14ac:dyDescent="0.2">
      <c r="N377" s="13"/>
    </row>
    <row r="378" spans="14:14" ht="15.75" customHeight="1" x14ac:dyDescent="0.2">
      <c r="N378" s="13"/>
    </row>
    <row r="379" spans="14:14" ht="15.75" customHeight="1" x14ac:dyDescent="0.2">
      <c r="N379" s="13"/>
    </row>
    <row r="380" spans="14:14" ht="15.75" customHeight="1" x14ac:dyDescent="0.2">
      <c r="N380" s="13"/>
    </row>
    <row r="381" spans="14:14" ht="15.75" customHeight="1" x14ac:dyDescent="0.2">
      <c r="N381" s="13"/>
    </row>
    <row r="382" spans="14:14" ht="15.75" customHeight="1" x14ac:dyDescent="0.2">
      <c r="N382" s="13"/>
    </row>
    <row r="383" spans="14:14" ht="15.75" customHeight="1" x14ac:dyDescent="0.2">
      <c r="N383" s="13"/>
    </row>
    <row r="384" spans="14:14" ht="15.75" customHeight="1" x14ac:dyDescent="0.2">
      <c r="N384" s="13"/>
    </row>
    <row r="385" spans="14:14" ht="15.75" customHeight="1" x14ac:dyDescent="0.2">
      <c r="N385" s="13"/>
    </row>
    <row r="386" spans="14:14" ht="15.75" customHeight="1" x14ac:dyDescent="0.2">
      <c r="N386" s="13"/>
    </row>
    <row r="387" spans="14:14" ht="15.75" customHeight="1" x14ac:dyDescent="0.2">
      <c r="N387" s="13"/>
    </row>
    <row r="388" spans="14:14" ht="15.75" customHeight="1" x14ac:dyDescent="0.2">
      <c r="N388" s="13"/>
    </row>
    <row r="389" spans="14:14" ht="15.75" customHeight="1" x14ac:dyDescent="0.2">
      <c r="N389" s="13"/>
    </row>
    <row r="390" spans="14:14" ht="15.75" customHeight="1" x14ac:dyDescent="0.2">
      <c r="N390" s="13"/>
    </row>
    <row r="391" spans="14:14" ht="15.75" customHeight="1" x14ac:dyDescent="0.2">
      <c r="N391" s="13"/>
    </row>
    <row r="392" spans="14:14" ht="15.75" customHeight="1" x14ac:dyDescent="0.2">
      <c r="N392" s="13"/>
    </row>
    <row r="393" spans="14:14" ht="15.75" customHeight="1" x14ac:dyDescent="0.2">
      <c r="N393" s="13"/>
    </row>
    <row r="394" spans="14:14" ht="15.75" customHeight="1" x14ac:dyDescent="0.2">
      <c r="N394" s="13"/>
    </row>
    <row r="395" spans="14:14" ht="15.75" customHeight="1" x14ac:dyDescent="0.2">
      <c r="N395" s="13"/>
    </row>
    <row r="396" spans="14:14" ht="15.75" customHeight="1" x14ac:dyDescent="0.2">
      <c r="N396" s="13"/>
    </row>
    <row r="397" spans="14:14" ht="15.75" customHeight="1" x14ac:dyDescent="0.2">
      <c r="N397" s="13"/>
    </row>
    <row r="398" spans="14:14" ht="15.75" customHeight="1" x14ac:dyDescent="0.2">
      <c r="N398" s="13"/>
    </row>
    <row r="399" spans="14:14" ht="15.75" customHeight="1" x14ac:dyDescent="0.2">
      <c r="N399" s="13"/>
    </row>
    <row r="400" spans="14:14" ht="15.75" customHeight="1" x14ac:dyDescent="0.2">
      <c r="N400" s="13"/>
    </row>
    <row r="401" spans="14:14" ht="15.75" customHeight="1" x14ac:dyDescent="0.2">
      <c r="N401" s="13"/>
    </row>
    <row r="402" spans="14:14" ht="15.75" customHeight="1" x14ac:dyDescent="0.2">
      <c r="N402" s="13"/>
    </row>
    <row r="403" spans="14:14" ht="15.75" customHeight="1" x14ac:dyDescent="0.2">
      <c r="N403" s="13"/>
    </row>
    <row r="404" spans="14:14" ht="15.75" customHeight="1" x14ac:dyDescent="0.2">
      <c r="N404" s="13"/>
    </row>
    <row r="405" spans="14:14" ht="15.75" customHeight="1" x14ac:dyDescent="0.2">
      <c r="N405" s="13"/>
    </row>
    <row r="406" spans="14:14" ht="15.75" customHeight="1" x14ac:dyDescent="0.2">
      <c r="N406" s="13"/>
    </row>
    <row r="407" spans="14:14" ht="15.75" customHeight="1" x14ac:dyDescent="0.2">
      <c r="N407" s="13"/>
    </row>
    <row r="408" spans="14:14" ht="15.75" customHeight="1" x14ac:dyDescent="0.2">
      <c r="N408" s="13"/>
    </row>
    <row r="409" spans="14:14" ht="15.75" customHeight="1" x14ac:dyDescent="0.2">
      <c r="N409" s="13"/>
    </row>
    <row r="410" spans="14:14" ht="15.75" customHeight="1" x14ac:dyDescent="0.2">
      <c r="N410" s="13"/>
    </row>
    <row r="411" spans="14:14" ht="15.75" customHeight="1" x14ac:dyDescent="0.2">
      <c r="N411" s="13"/>
    </row>
    <row r="412" spans="14:14" ht="15.75" customHeight="1" x14ac:dyDescent="0.2">
      <c r="N412" s="13"/>
    </row>
    <row r="413" spans="14:14" ht="15.75" customHeight="1" x14ac:dyDescent="0.2">
      <c r="N413" s="13"/>
    </row>
    <row r="414" spans="14:14" ht="15.75" customHeight="1" x14ac:dyDescent="0.2">
      <c r="N414" s="13"/>
    </row>
    <row r="415" spans="14:14" ht="15.75" customHeight="1" x14ac:dyDescent="0.2">
      <c r="N415" s="13"/>
    </row>
    <row r="416" spans="14:14" ht="15.75" customHeight="1" x14ac:dyDescent="0.2">
      <c r="N416" s="13"/>
    </row>
    <row r="417" spans="14:14" ht="15.75" customHeight="1" x14ac:dyDescent="0.2">
      <c r="N417" s="13"/>
    </row>
    <row r="418" spans="14:14" ht="15.75" customHeight="1" x14ac:dyDescent="0.2">
      <c r="N418" s="13"/>
    </row>
    <row r="419" spans="14:14" ht="15.75" customHeight="1" x14ac:dyDescent="0.2">
      <c r="N419" s="13"/>
    </row>
    <row r="420" spans="14:14" ht="15.75" customHeight="1" x14ac:dyDescent="0.2">
      <c r="N420" s="13"/>
    </row>
    <row r="421" spans="14:14" ht="15.75" customHeight="1" x14ac:dyDescent="0.2">
      <c r="N421" s="13"/>
    </row>
    <row r="422" spans="14:14" ht="15.75" customHeight="1" x14ac:dyDescent="0.2">
      <c r="N422" s="13"/>
    </row>
    <row r="423" spans="14:14" ht="15.75" customHeight="1" x14ac:dyDescent="0.2">
      <c r="N423" s="13"/>
    </row>
    <row r="424" spans="14:14" ht="15.75" customHeight="1" x14ac:dyDescent="0.2">
      <c r="N424" s="13"/>
    </row>
    <row r="425" spans="14:14" ht="15.75" customHeight="1" x14ac:dyDescent="0.2">
      <c r="N425" s="13"/>
    </row>
    <row r="426" spans="14:14" ht="15.75" customHeight="1" x14ac:dyDescent="0.2">
      <c r="N426" s="13"/>
    </row>
    <row r="427" spans="14:14" ht="15.75" customHeight="1" x14ac:dyDescent="0.2">
      <c r="N427" s="13"/>
    </row>
    <row r="428" spans="14:14" ht="15.75" customHeight="1" x14ac:dyDescent="0.2">
      <c r="N428" s="13"/>
    </row>
    <row r="429" spans="14:14" ht="15.75" customHeight="1" x14ac:dyDescent="0.2">
      <c r="N429" s="13"/>
    </row>
    <row r="430" spans="14:14" ht="15.75" customHeight="1" x14ac:dyDescent="0.2">
      <c r="N430" s="13"/>
    </row>
    <row r="431" spans="14:14" ht="15.75" customHeight="1" x14ac:dyDescent="0.2">
      <c r="N431" s="13"/>
    </row>
    <row r="432" spans="14:14" ht="15.75" customHeight="1" x14ac:dyDescent="0.2">
      <c r="N432" s="13"/>
    </row>
    <row r="433" spans="14:14" ht="15.75" customHeight="1" x14ac:dyDescent="0.2">
      <c r="N433" s="13"/>
    </row>
    <row r="434" spans="14:14" ht="15.75" customHeight="1" x14ac:dyDescent="0.2">
      <c r="N434" s="13"/>
    </row>
    <row r="435" spans="14:14" ht="15.75" customHeight="1" x14ac:dyDescent="0.2">
      <c r="N435" s="13"/>
    </row>
    <row r="436" spans="14:14" ht="15.75" customHeight="1" x14ac:dyDescent="0.2">
      <c r="N436" s="13"/>
    </row>
    <row r="437" spans="14:14" ht="15.75" customHeight="1" x14ac:dyDescent="0.2">
      <c r="N437" s="13"/>
    </row>
    <row r="438" spans="14:14" ht="15.75" customHeight="1" x14ac:dyDescent="0.2">
      <c r="N438" s="13"/>
    </row>
    <row r="439" spans="14:14" ht="15.75" customHeight="1" x14ac:dyDescent="0.2">
      <c r="N439" s="13"/>
    </row>
    <row r="440" spans="14:14" ht="15.75" customHeight="1" x14ac:dyDescent="0.2">
      <c r="N440" s="13"/>
    </row>
    <row r="441" spans="14:14" ht="15.75" customHeight="1" x14ac:dyDescent="0.2">
      <c r="N441" s="13"/>
    </row>
    <row r="442" spans="14:14" ht="15.75" customHeight="1" x14ac:dyDescent="0.2">
      <c r="N442" s="13"/>
    </row>
    <row r="443" spans="14:14" ht="15.75" customHeight="1" x14ac:dyDescent="0.2">
      <c r="N443" s="13"/>
    </row>
    <row r="444" spans="14:14" ht="15.75" customHeight="1" x14ac:dyDescent="0.2">
      <c r="N444" s="13"/>
    </row>
    <row r="445" spans="14:14" ht="15.75" customHeight="1" x14ac:dyDescent="0.2">
      <c r="N445" s="13"/>
    </row>
    <row r="446" spans="14:14" ht="15.75" customHeight="1" x14ac:dyDescent="0.2">
      <c r="N446" s="13"/>
    </row>
    <row r="447" spans="14:14" ht="15.75" customHeight="1" x14ac:dyDescent="0.2">
      <c r="N447" s="13"/>
    </row>
    <row r="448" spans="14:14" ht="15.75" customHeight="1" x14ac:dyDescent="0.2">
      <c r="N448" s="13"/>
    </row>
    <row r="449" spans="14:14" ht="15.75" customHeight="1" x14ac:dyDescent="0.2">
      <c r="N449" s="13"/>
    </row>
    <row r="450" spans="14:14" ht="15.75" customHeight="1" x14ac:dyDescent="0.2">
      <c r="N450" s="13"/>
    </row>
    <row r="451" spans="14:14" ht="15.75" customHeight="1" x14ac:dyDescent="0.2">
      <c r="N451" s="13"/>
    </row>
    <row r="452" spans="14:14" ht="15.75" customHeight="1" x14ac:dyDescent="0.2">
      <c r="N452" s="13"/>
    </row>
    <row r="453" spans="14:14" ht="15.75" customHeight="1" x14ac:dyDescent="0.2">
      <c r="N453" s="13"/>
    </row>
    <row r="454" spans="14:14" ht="15.75" customHeight="1" x14ac:dyDescent="0.2">
      <c r="N454" s="13"/>
    </row>
    <row r="455" spans="14:14" ht="15.75" customHeight="1" x14ac:dyDescent="0.2">
      <c r="N455" s="13"/>
    </row>
    <row r="456" spans="14:14" ht="15.75" customHeight="1" x14ac:dyDescent="0.2">
      <c r="N456" s="13"/>
    </row>
    <row r="457" spans="14:14" ht="15.75" customHeight="1" x14ac:dyDescent="0.2">
      <c r="N457" s="13"/>
    </row>
    <row r="458" spans="14:14" ht="15.75" customHeight="1" x14ac:dyDescent="0.2">
      <c r="N458" s="13"/>
    </row>
    <row r="459" spans="14:14" ht="15.75" customHeight="1" x14ac:dyDescent="0.2">
      <c r="N459" s="13"/>
    </row>
    <row r="460" spans="14:14" ht="15.75" customHeight="1" x14ac:dyDescent="0.2">
      <c r="N460" s="13"/>
    </row>
    <row r="461" spans="14:14" ht="15.75" customHeight="1" x14ac:dyDescent="0.2">
      <c r="N461" s="13"/>
    </row>
    <row r="462" spans="14:14" ht="15.75" customHeight="1" x14ac:dyDescent="0.2">
      <c r="N462" s="13"/>
    </row>
    <row r="463" spans="14:14" ht="15.75" customHeight="1" x14ac:dyDescent="0.2">
      <c r="N463" s="13"/>
    </row>
    <row r="464" spans="14:14" ht="15.75" customHeight="1" x14ac:dyDescent="0.2">
      <c r="N464" s="13"/>
    </row>
    <row r="465" spans="14:14" ht="15.75" customHeight="1" x14ac:dyDescent="0.2">
      <c r="N465" s="13"/>
    </row>
    <row r="466" spans="14:14" ht="15.75" customHeight="1" x14ac:dyDescent="0.2">
      <c r="N466" s="13"/>
    </row>
    <row r="467" spans="14:14" ht="15.75" customHeight="1" x14ac:dyDescent="0.2">
      <c r="N467" s="13"/>
    </row>
    <row r="468" spans="14:14" ht="15.75" customHeight="1" x14ac:dyDescent="0.2">
      <c r="N468" s="13"/>
    </row>
    <row r="469" spans="14:14" ht="15.75" customHeight="1" x14ac:dyDescent="0.2">
      <c r="N469" s="13"/>
    </row>
    <row r="470" spans="14:14" ht="15.75" customHeight="1" x14ac:dyDescent="0.2">
      <c r="N470" s="13"/>
    </row>
    <row r="471" spans="14:14" ht="15.75" customHeight="1" x14ac:dyDescent="0.2">
      <c r="N471" s="13"/>
    </row>
    <row r="472" spans="14:14" ht="15.75" customHeight="1" x14ac:dyDescent="0.2">
      <c r="N472" s="13"/>
    </row>
    <row r="473" spans="14:14" ht="15.75" customHeight="1" x14ac:dyDescent="0.2">
      <c r="N473" s="13"/>
    </row>
    <row r="474" spans="14:14" ht="15.75" customHeight="1" x14ac:dyDescent="0.2">
      <c r="N474" s="13"/>
    </row>
    <row r="475" spans="14:14" ht="15.75" customHeight="1" x14ac:dyDescent="0.2">
      <c r="N475" s="13"/>
    </row>
    <row r="476" spans="14:14" ht="15.75" customHeight="1" x14ac:dyDescent="0.2">
      <c r="N476" s="13"/>
    </row>
    <row r="477" spans="14:14" ht="15.75" customHeight="1" x14ac:dyDescent="0.2">
      <c r="N477" s="13"/>
    </row>
    <row r="478" spans="14:14" ht="15.75" customHeight="1" x14ac:dyDescent="0.2">
      <c r="N478" s="13"/>
    </row>
    <row r="479" spans="14:14" ht="15.75" customHeight="1" x14ac:dyDescent="0.2">
      <c r="N479" s="13"/>
    </row>
    <row r="480" spans="14:14" ht="15.75" customHeight="1" x14ac:dyDescent="0.2">
      <c r="N480" s="13"/>
    </row>
    <row r="481" spans="14:14" ht="15.75" customHeight="1" x14ac:dyDescent="0.2">
      <c r="N481" s="13"/>
    </row>
    <row r="482" spans="14:14" ht="15.75" customHeight="1" x14ac:dyDescent="0.2">
      <c r="N482" s="13"/>
    </row>
    <row r="483" spans="14:14" ht="15.75" customHeight="1" x14ac:dyDescent="0.2">
      <c r="N483" s="13"/>
    </row>
    <row r="484" spans="14:14" ht="15.75" customHeight="1" x14ac:dyDescent="0.2">
      <c r="N484" s="13"/>
    </row>
    <row r="485" spans="14:14" ht="15.75" customHeight="1" x14ac:dyDescent="0.2">
      <c r="N485" s="13"/>
    </row>
    <row r="486" spans="14:14" ht="15.75" customHeight="1" x14ac:dyDescent="0.2">
      <c r="N486" s="13"/>
    </row>
    <row r="487" spans="14:14" ht="15.75" customHeight="1" x14ac:dyDescent="0.2">
      <c r="N487" s="13"/>
    </row>
    <row r="488" spans="14:14" ht="15.75" customHeight="1" x14ac:dyDescent="0.2">
      <c r="N488" s="13"/>
    </row>
    <row r="489" spans="14:14" ht="15.75" customHeight="1" x14ac:dyDescent="0.2">
      <c r="N489" s="13"/>
    </row>
    <row r="490" spans="14:14" ht="15.75" customHeight="1" x14ac:dyDescent="0.2">
      <c r="N490" s="13"/>
    </row>
    <row r="491" spans="14:14" ht="15.75" customHeight="1" x14ac:dyDescent="0.2">
      <c r="N491" s="13"/>
    </row>
    <row r="492" spans="14:14" ht="15.75" customHeight="1" x14ac:dyDescent="0.2">
      <c r="N492" s="13"/>
    </row>
    <row r="493" spans="14:14" ht="15.75" customHeight="1" x14ac:dyDescent="0.2">
      <c r="N493" s="13"/>
    </row>
    <row r="494" spans="14:14" ht="15.75" customHeight="1" x14ac:dyDescent="0.2">
      <c r="N494" s="13"/>
    </row>
    <row r="495" spans="14:14" ht="15.75" customHeight="1" x14ac:dyDescent="0.2">
      <c r="N495" s="13"/>
    </row>
    <row r="496" spans="14:14" ht="15.75" customHeight="1" x14ac:dyDescent="0.2">
      <c r="N496" s="13"/>
    </row>
    <row r="497" spans="14:14" ht="15.75" customHeight="1" x14ac:dyDescent="0.2">
      <c r="N497" s="13"/>
    </row>
    <row r="498" spans="14:14" ht="15.75" customHeight="1" x14ac:dyDescent="0.2">
      <c r="N498" s="13"/>
    </row>
    <row r="499" spans="14:14" ht="15.75" customHeight="1" x14ac:dyDescent="0.2">
      <c r="N499" s="13"/>
    </row>
    <row r="500" spans="14:14" ht="15.75" customHeight="1" x14ac:dyDescent="0.2">
      <c r="N500" s="13"/>
    </row>
    <row r="501" spans="14:14" ht="15.75" customHeight="1" x14ac:dyDescent="0.2">
      <c r="N501" s="13"/>
    </row>
    <row r="502" spans="14:14" ht="15.75" customHeight="1" x14ac:dyDescent="0.2">
      <c r="N502" s="13"/>
    </row>
    <row r="503" spans="14:14" ht="15.75" customHeight="1" x14ac:dyDescent="0.2">
      <c r="N503" s="13"/>
    </row>
    <row r="504" spans="14:14" ht="15.75" customHeight="1" x14ac:dyDescent="0.2">
      <c r="N504" s="13"/>
    </row>
    <row r="505" spans="14:14" ht="15.75" customHeight="1" x14ac:dyDescent="0.2">
      <c r="N505" s="13"/>
    </row>
    <row r="506" spans="14:14" ht="15.75" customHeight="1" x14ac:dyDescent="0.2">
      <c r="N506" s="13"/>
    </row>
    <row r="507" spans="14:14" ht="15.75" customHeight="1" x14ac:dyDescent="0.2">
      <c r="N507" s="13"/>
    </row>
    <row r="508" spans="14:14" ht="15.75" customHeight="1" x14ac:dyDescent="0.2">
      <c r="N508" s="13"/>
    </row>
    <row r="509" spans="14:14" ht="15.75" customHeight="1" x14ac:dyDescent="0.2">
      <c r="N509" s="13"/>
    </row>
    <row r="510" spans="14:14" ht="15.75" customHeight="1" x14ac:dyDescent="0.2">
      <c r="N510" s="13"/>
    </row>
    <row r="511" spans="14:14" ht="15.75" customHeight="1" x14ac:dyDescent="0.2">
      <c r="N511" s="13"/>
    </row>
    <row r="512" spans="14:14" ht="15.75" customHeight="1" x14ac:dyDescent="0.2">
      <c r="N512" s="13"/>
    </row>
    <row r="513" spans="14:14" ht="15.75" customHeight="1" x14ac:dyDescent="0.2">
      <c r="N513" s="13"/>
    </row>
    <row r="514" spans="14:14" ht="15.75" customHeight="1" x14ac:dyDescent="0.2">
      <c r="N514" s="13"/>
    </row>
    <row r="515" spans="14:14" ht="15.75" customHeight="1" x14ac:dyDescent="0.2">
      <c r="N515" s="13"/>
    </row>
    <row r="516" spans="14:14" ht="15.75" customHeight="1" x14ac:dyDescent="0.2">
      <c r="N516" s="13"/>
    </row>
    <row r="517" spans="14:14" ht="15.75" customHeight="1" x14ac:dyDescent="0.2">
      <c r="N517" s="13"/>
    </row>
    <row r="518" spans="14:14" ht="15.75" customHeight="1" x14ac:dyDescent="0.2">
      <c r="N518" s="13"/>
    </row>
    <row r="519" spans="14:14" ht="15.75" customHeight="1" x14ac:dyDescent="0.2">
      <c r="N519" s="13"/>
    </row>
    <row r="520" spans="14:14" ht="15.75" customHeight="1" x14ac:dyDescent="0.2">
      <c r="N520" s="13"/>
    </row>
    <row r="521" spans="14:14" ht="15.75" customHeight="1" x14ac:dyDescent="0.2">
      <c r="N521" s="13"/>
    </row>
    <row r="522" spans="14:14" ht="15.75" customHeight="1" x14ac:dyDescent="0.2">
      <c r="N522" s="13"/>
    </row>
    <row r="523" spans="14:14" ht="15.75" customHeight="1" x14ac:dyDescent="0.2">
      <c r="N523" s="13"/>
    </row>
    <row r="524" spans="14:14" ht="15.75" customHeight="1" x14ac:dyDescent="0.2">
      <c r="N524" s="13"/>
    </row>
    <row r="525" spans="14:14" ht="15.75" customHeight="1" x14ac:dyDescent="0.2">
      <c r="N525" s="13"/>
    </row>
    <row r="526" spans="14:14" ht="15.75" customHeight="1" x14ac:dyDescent="0.2">
      <c r="N526" s="13"/>
    </row>
    <row r="527" spans="14:14" ht="15.75" customHeight="1" x14ac:dyDescent="0.2">
      <c r="N527" s="13"/>
    </row>
    <row r="528" spans="14:14" ht="15.75" customHeight="1" x14ac:dyDescent="0.2">
      <c r="N528" s="13"/>
    </row>
    <row r="529" spans="14:14" ht="15.75" customHeight="1" x14ac:dyDescent="0.2">
      <c r="N529" s="13"/>
    </row>
    <row r="530" spans="14:14" ht="15.75" customHeight="1" x14ac:dyDescent="0.2">
      <c r="N530" s="13"/>
    </row>
    <row r="531" spans="14:14" ht="15.75" customHeight="1" x14ac:dyDescent="0.2">
      <c r="N531" s="13"/>
    </row>
    <row r="532" spans="14:14" ht="15.75" customHeight="1" x14ac:dyDescent="0.2">
      <c r="N532" s="13"/>
    </row>
    <row r="533" spans="14:14" ht="15.75" customHeight="1" x14ac:dyDescent="0.2">
      <c r="N533" s="13"/>
    </row>
    <row r="534" spans="14:14" ht="15.75" customHeight="1" x14ac:dyDescent="0.2">
      <c r="N534" s="13"/>
    </row>
    <row r="535" spans="14:14" ht="15.75" customHeight="1" x14ac:dyDescent="0.2">
      <c r="N535" s="13"/>
    </row>
    <row r="536" spans="14:14" ht="15.75" customHeight="1" x14ac:dyDescent="0.2">
      <c r="N536" s="13"/>
    </row>
    <row r="537" spans="14:14" ht="15.75" customHeight="1" x14ac:dyDescent="0.2">
      <c r="N537" s="13"/>
    </row>
    <row r="538" spans="14:14" ht="15.75" customHeight="1" x14ac:dyDescent="0.2">
      <c r="N538" s="13"/>
    </row>
    <row r="539" spans="14:14" ht="15.75" customHeight="1" x14ac:dyDescent="0.2">
      <c r="N539" s="13"/>
    </row>
    <row r="540" spans="14:14" ht="15.75" customHeight="1" x14ac:dyDescent="0.2">
      <c r="N540" s="13"/>
    </row>
    <row r="541" spans="14:14" ht="15.75" customHeight="1" x14ac:dyDescent="0.2">
      <c r="N541" s="13"/>
    </row>
    <row r="542" spans="14:14" ht="15.75" customHeight="1" x14ac:dyDescent="0.2">
      <c r="N542" s="13"/>
    </row>
    <row r="543" spans="14:14" ht="15.75" customHeight="1" x14ac:dyDescent="0.2">
      <c r="N543" s="13"/>
    </row>
    <row r="544" spans="14:14" ht="15.75" customHeight="1" x14ac:dyDescent="0.2">
      <c r="N544" s="13"/>
    </row>
    <row r="545" spans="14:14" ht="15.75" customHeight="1" x14ac:dyDescent="0.2">
      <c r="N545" s="13"/>
    </row>
    <row r="546" spans="14:14" ht="15.75" customHeight="1" x14ac:dyDescent="0.2">
      <c r="N546" s="13"/>
    </row>
    <row r="547" spans="14:14" ht="15.75" customHeight="1" x14ac:dyDescent="0.2">
      <c r="N547" s="13"/>
    </row>
    <row r="548" spans="14:14" ht="15.75" customHeight="1" x14ac:dyDescent="0.2">
      <c r="N548" s="13"/>
    </row>
    <row r="549" spans="14:14" ht="15.75" customHeight="1" x14ac:dyDescent="0.2">
      <c r="N549" s="13"/>
    </row>
    <row r="550" spans="14:14" ht="15.75" customHeight="1" x14ac:dyDescent="0.2">
      <c r="N550" s="13"/>
    </row>
    <row r="551" spans="14:14" ht="15.75" customHeight="1" x14ac:dyDescent="0.2">
      <c r="N551" s="13"/>
    </row>
    <row r="552" spans="14:14" ht="15.75" customHeight="1" x14ac:dyDescent="0.2">
      <c r="N552" s="13"/>
    </row>
    <row r="553" spans="14:14" ht="15.75" customHeight="1" x14ac:dyDescent="0.2">
      <c r="N553" s="13"/>
    </row>
    <row r="554" spans="14:14" ht="15.75" customHeight="1" x14ac:dyDescent="0.2">
      <c r="N554" s="13"/>
    </row>
    <row r="555" spans="14:14" ht="15.75" customHeight="1" x14ac:dyDescent="0.2">
      <c r="N555" s="13"/>
    </row>
    <row r="556" spans="14:14" ht="15.75" customHeight="1" x14ac:dyDescent="0.2">
      <c r="N556" s="13"/>
    </row>
    <row r="557" spans="14:14" ht="15.75" customHeight="1" x14ac:dyDescent="0.2">
      <c r="N557" s="13"/>
    </row>
    <row r="558" spans="14:14" ht="15.75" customHeight="1" x14ac:dyDescent="0.2">
      <c r="N558" s="13"/>
    </row>
    <row r="559" spans="14:14" ht="15.75" customHeight="1" x14ac:dyDescent="0.2">
      <c r="N559" s="13"/>
    </row>
    <row r="560" spans="14:14" ht="15.75" customHeight="1" x14ac:dyDescent="0.2">
      <c r="N560" s="13"/>
    </row>
    <row r="561" spans="14:14" ht="15.75" customHeight="1" x14ac:dyDescent="0.2">
      <c r="N561" s="13"/>
    </row>
    <row r="562" spans="14:14" ht="15.75" customHeight="1" x14ac:dyDescent="0.2">
      <c r="N562" s="13"/>
    </row>
    <row r="563" spans="14:14" ht="15.75" customHeight="1" x14ac:dyDescent="0.2">
      <c r="N563" s="13"/>
    </row>
    <row r="564" spans="14:14" ht="15.75" customHeight="1" x14ac:dyDescent="0.2">
      <c r="N564" s="13"/>
    </row>
    <row r="565" spans="14:14" ht="15.75" customHeight="1" x14ac:dyDescent="0.2">
      <c r="N565" s="13"/>
    </row>
    <row r="566" spans="14:14" ht="15.75" customHeight="1" x14ac:dyDescent="0.2">
      <c r="N566" s="13"/>
    </row>
    <row r="567" spans="14:14" ht="15.75" customHeight="1" x14ac:dyDescent="0.2">
      <c r="N567" s="13"/>
    </row>
    <row r="568" spans="14:14" ht="15.75" customHeight="1" x14ac:dyDescent="0.2">
      <c r="N568" s="13"/>
    </row>
    <row r="569" spans="14:14" ht="15.75" customHeight="1" x14ac:dyDescent="0.2">
      <c r="N569" s="13"/>
    </row>
    <row r="570" spans="14:14" ht="15.75" customHeight="1" x14ac:dyDescent="0.2">
      <c r="N570" s="13"/>
    </row>
    <row r="571" spans="14:14" ht="15.75" customHeight="1" x14ac:dyDescent="0.2">
      <c r="N571" s="13"/>
    </row>
    <row r="572" spans="14:14" ht="15.75" customHeight="1" x14ac:dyDescent="0.2">
      <c r="N572" s="13"/>
    </row>
    <row r="573" spans="14:14" ht="15.75" customHeight="1" x14ac:dyDescent="0.2">
      <c r="N573" s="13"/>
    </row>
    <row r="574" spans="14:14" ht="15.75" customHeight="1" x14ac:dyDescent="0.2">
      <c r="N574" s="13"/>
    </row>
    <row r="575" spans="14:14" ht="15.75" customHeight="1" x14ac:dyDescent="0.2">
      <c r="N575" s="13"/>
    </row>
    <row r="576" spans="14:14" ht="15.75" customHeight="1" x14ac:dyDescent="0.2">
      <c r="N576" s="13"/>
    </row>
    <row r="577" spans="14:14" ht="15.75" customHeight="1" x14ac:dyDescent="0.2">
      <c r="N577" s="13"/>
    </row>
    <row r="578" spans="14:14" ht="15.75" customHeight="1" x14ac:dyDescent="0.2">
      <c r="N578" s="13"/>
    </row>
    <row r="579" spans="14:14" ht="15.75" customHeight="1" x14ac:dyDescent="0.2">
      <c r="N579" s="13"/>
    </row>
    <row r="580" spans="14:14" ht="15.75" customHeight="1" x14ac:dyDescent="0.2">
      <c r="N580" s="13"/>
    </row>
    <row r="581" spans="14:14" ht="15.75" customHeight="1" x14ac:dyDescent="0.2">
      <c r="N581" s="13"/>
    </row>
    <row r="582" spans="14:14" ht="15.75" customHeight="1" x14ac:dyDescent="0.2">
      <c r="N582" s="13"/>
    </row>
    <row r="583" spans="14:14" ht="15.75" customHeight="1" x14ac:dyDescent="0.2">
      <c r="N583" s="13"/>
    </row>
    <row r="584" spans="14:14" ht="15.75" customHeight="1" x14ac:dyDescent="0.2">
      <c r="N584" s="13"/>
    </row>
    <row r="585" spans="14:14" ht="15.75" customHeight="1" x14ac:dyDescent="0.2">
      <c r="N585" s="13"/>
    </row>
    <row r="586" spans="14:14" ht="15.75" customHeight="1" x14ac:dyDescent="0.2">
      <c r="N586" s="13"/>
    </row>
    <row r="587" spans="14:14" ht="15.75" customHeight="1" x14ac:dyDescent="0.2">
      <c r="N587" s="13"/>
    </row>
    <row r="588" spans="14:14" ht="15.75" customHeight="1" x14ac:dyDescent="0.2">
      <c r="N588" s="13"/>
    </row>
    <row r="589" spans="14:14" ht="15.75" customHeight="1" x14ac:dyDescent="0.2">
      <c r="N589" s="13"/>
    </row>
    <row r="590" spans="14:14" ht="15.75" customHeight="1" x14ac:dyDescent="0.2">
      <c r="N590" s="13"/>
    </row>
    <row r="591" spans="14:14" ht="15.75" customHeight="1" x14ac:dyDescent="0.2">
      <c r="N591" s="13"/>
    </row>
    <row r="592" spans="14:14" ht="15.75" customHeight="1" x14ac:dyDescent="0.2">
      <c r="N592" s="13"/>
    </row>
    <row r="593" spans="14:14" ht="15.75" customHeight="1" x14ac:dyDescent="0.2">
      <c r="N593" s="13"/>
    </row>
    <row r="594" spans="14:14" ht="15.75" customHeight="1" x14ac:dyDescent="0.2">
      <c r="N594" s="13"/>
    </row>
    <row r="595" spans="14:14" ht="15.75" customHeight="1" x14ac:dyDescent="0.2">
      <c r="N595" s="13"/>
    </row>
    <row r="596" spans="14:14" ht="15.75" customHeight="1" x14ac:dyDescent="0.2">
      <c r="N596" s="13"/>
    </row>
    <row r="597" spans="14:14" ht="15.75" customHeight="1" x14ac:dyDescent="0.2">
      <c r="N597" s="13"/>
    </row>
    <row r="598" spans="14:14" ht="15.75" customHeight="1" x14ac:dyDescent="0.2">
      <c r="N598" s="13"/>
    </row>
    <row r="599" spans="14:14" ht="15.75" customHeight="1" x14ac:dyDescent="0.2">
      <c r="N599" s="13"/>
    </row>
    <row r="600" spans="14:14" ht="15.75" customHeight="1" x14ac:dyDescent="0.2">
      <c r="N600" s="13"/>
    </row>
    <row r="601" spans="14:14" ht="15.75" customHeight="1" x14ac:dyDescent="0.2">
      <c r="N601" s="13"/>
    </row>
    <row r="602" spans="14:14" ht="15.75" customHeight="1" x14ac:dyDescent="0.2">
      <c r="N602" s="13"/>
    </row>
    <row r="603" spans="14:14" ht="15.75" customHeight="1" x14ac:dyDescent="0.2">
      <c r="N603" s="13"/>
    </row>
    <row r="604" spans="14:14" ht="15.75" customHeight="1" x14ac:dyDescent="0.2">
      <c r="N604" s="13"/>
    </row>
    <row r="605" spans="14:14" ht="15.75" customHeight="1" x14ac:dyDescent="0.2">
      <c r="N605" s="13"/>
    </row>
    <row r="606" spans="14:14" ht="15.75" customHeight="1" x14ac:dyDescent="0.2">
      <c r="N606" s="13"/>
    </row>
    <row r="607" spans="14:14" ht="15.75" customHeight="1" x14ac:dyDescent="0.2">
      <c r="N607" s="13"/>
    </row>
    <row r="608" spans="14:14" ht="15.75" customHeight="1" x14ac:dyDescent="0.2">
      <c r="N608" s="13"/>
    </row>
    <row r="609" spans="14:14" ht="15.75" customHeight="1" x14ac:dyDescent="0.2">
      <c r="N609" s="13"/>
    </row>
    <row r="610" spans="14:14" ht="15.75" customHeight="1" x14ac:dyDescent="0.2">
      <c r="N610" s="13"/>
    </row>
    <row r="611" spans="14:14" ht="15.75" customHeight="1" x14ac:dyDescent="0.2">
      <c r="N611" s="13"/>
    </row>
    <row r="612" spans="14:14" ht="15.75" customHeight="1" x14ac:dyDescent="0.2">
      <c r="N612" s="13"/>
    </row>
    <row r="613" spans="14:14" ht="15.75" customHeight="1" x14ac:dyDescent="0.2">
      <c r="N613" s="13"/>
    </row>
    <row r="614" spans="14:14" ht="15.75" customHeight="1" x14ac:dyDescent="0.2">
      <c r="N614" s="13"/>
    </row>
    <row r="615" spans="14:14" ht="15.75" customHeight="1" x14ac:dyDescent="0.2">
      <c r="N615" s="13"/>
    </row>
    <row r="616" spans="14:14" ht="15.75" customHeight="1" x14ac:dyDescent="0.2">
      <c r="N616" s="13"/>
    </row>
    <row r="617" spans="14:14" ht="15.75" customHeight="1" x14ac:dyDescent="0.2">
      <c r="N617" s="13"/>
    </row>
    <row r="618" spans="14:14" ht="15.75" customHeight="1" x14ac:dyDescent="0.2">
      <c r="N618" s="13"/>
    </row>
    <row r="619" spans="14:14" ht="15.75" customHeight="1" x14ac:dyDescent="0.2">
      <c r="N619" s="13"/>
    </row>
    <row r="620" spans="14:14" ht="15.75" customHeight="1" x14ac:dyDescent="0.2">
      <c r="N620" s="13"/>
    </row>
    <row r="621" spans="14:14" ht="15.75" customHeight="1" x14ac:dyDescent="0.2">
      <c r="N621" s="13"/>
    </row>
    <row r="622" spans="14:14" ht="15.75" customHeight="1" x14ac:dyDescent="0.2">
      <c r="N622" s="13"/>
    </row>
    <row r="623" spans="14:14" ht="15.75" customHeight="1" x14ac:dyDescent="0.2">
      <c r="N623" s="13"/>
    </row>
    <row r="624" spans="14:14" ht="15.75" customHeight="1" x14ac:dyDescent="0.2">
      <c r="N624" s="13"/>
    </row>
    <row r="625" spans="14:14" ht="15.75" customHeight="1" x14ac:dyDescent="0.2">
      <c r="N625" s="13"/>
    </row>
    <row r="626" spans="14:14" ht="15.75" customHeight="1" x14ac:dyDescent="0.2">
      <c r="N626" s="13"/>
    </row>
    <row r="627" spans="14:14" ht="15.75" customHeight="1" x14ac:dyDescent="0.2">
      <c r="N627" s="13"/>
    </row>
    <row r="628" spans="14:14" ht="15.75" customHeight="1" x14ac:dyDescent="0.2">
      <c r="N628" s="13"/>
    </row>
    <row r="629" spans="14:14" ht="15.75" customHeight="1" x14ac:dyDescent="0.2">
      <c r="N629" s="13"/>
    </row>
    <row r="630" spans="14:14" ht="15.75" customHeight="1" x14ac:dyDescent="0.2">
      <c r="N630" s="13"/>
    </row>
    <row r="631" spans="14:14" ht="15.75" customHeight="1" x14ac:dyDescent="0.2">
      <c r="N631" s="13"/>
    </row>
    <row r="632" spans="14:14" ht="15.75" customHeight="1" x14ac:dyDescent="0.2">
      <c r="N632" s="13"/>
    </row>
    <row r="633" spans="14:14" ht="15.75" customHeight="1" x14ac:dyDescent="0.2">
      <c r="N633" s="13"/>
    </row>
    <row r="634" spans="14:14" ht="15.75" customHeight="1" x14ac:dyDescent="0.2">
      <c r="N634" s="13"/>
    </row>
    <row r="635" spans="14:14" ht="15.75" customHeight="1" x14ac:dyDescent="0.2">
      <c r="N635" s="13"/>
    </row>
    <row r="636" spans="14:14" ht="15.75" customHeight="1" x14ac:dyDescent="0.2">
      <c r="N636" s="13"/>
    </row>
    <row r="637" spans="14:14" ht="15.75" customHeight="1" x14ac:dyDescent="0.2">
      <c r="N637" s="13"/>
    </row>
    <row r="638" spans="14:14" ht="15.75" customHeight="1" x14ac:dyDescent="0.2">
      <c r="N638" s="13"/>
    </row>
    <row r="639" spans="14:14" ht="15.75" customHeight="1" x14ac:dyDescent="0.2">
      <c r="N639" s="13"/>
    </row>
    <row r="640" spans="14:14" ht="15.75" customHeight="1" x14ac:dyDescent="0.2">
      <c r="N640" s="13"/>
    </row>
    <row r="641" spans="14:14" ht="15.75" customHeight="1" x14ac:dyDescent="0.2">
      <c r="N641" s="13"/>
    </row>
    <row r="642" spans="14:14" ht="15.75" customHeight="1" x14ac:dyDescent="0.2">
      <c r="N642" s="13"/>
    </row>
    <row r="643" spans="14:14" ht="15.75" customHeight="1" x14ac:dyDescent="0.2">
      <c r="N643" s="13"/>
    </row>
    <row r="644" spans="14:14" ht="15.75" customHeight="1" x14ac:dyDescent="0.2">
      <c r="N644" s="13"/>
    </row>
    <row r="645" spans="14:14" ht="15.75" customHeight="1" x14ac:dyDescent="0.2">
      <c r="N645" s="13"/>
    </row>
    <row r="646" spans="14:14" ht="15.75" customHeight="1" x14ac:dyDescent="0.2">
      <c r="N646" s="13"/>
    </row>
    <row r="647" spans="14:14" ht="15.75" customHeight="1" x14ac:dyDescent="0.2">
      <c r="N647" s="13"/>
    </row>
    <row r="648" spans="14:14" ht="15.75" customHeight="1" x14ac:dyDescent="0.2">
      <c r="N648" s="13"/>
    </row>
    <row r="649" spans="14:14" ht="15.75" customHeight="1" x14ac:dyDescent="0.2">
      <c r="N649" s="13"/>
    </row>
    <row r="650" spans="14:14" ht="15.75" customHeight="1" x14ac:dyDescent="0.2">
      <c r="N650" s="13"/>
    </row>
    <row r="651" spans="14:14" ht="15.75" customHeight="1" x14ac:dyDescent="0.2">
      <c r="N651" s="13"/>
    </row>
    <row r="652" spans="14:14" ht="15.75" customHeight="1" x14ac:dyDescent="0.2">
      <c r="N652" s="13"/>
    </row>
    <row r="653" spans="14:14" ht="15.75" customHeight="1" x14ac:dyDescent="0.2">
      <c r="N653" s="13"/>
    </row>
    <row r="654" spans="14:14" ht="15.75" customHeight="1" x14ac:dyDescent="0.2">
      <c r="N654" s="13"/>
    </row>
    <row r="655" spans="14:14" ht="15.75" customHeight="1" x14ac:dyDescent="0.2">
      <c r="N655" s="13"/>
    </row>
    <row r="656" spans="14:14" ht="15.75" customHeight="1" x14ac:dyDescent="0.2">
      <c r="N656" s="13"/>
    </row>
    <row r="657" spans="14:14" ht="15.75" customHeight="1" x14ac:dyDescent="0.2">
      <c r="N657" s="13"/>
    </row>
    <row r="658" spans="14:14" ht="15.75" customHeight="1" x14ac:dyDescent="0.2">
      <c r="N658" s="13"/>
    </row>
    <row r="659" spans="14:14" ht="15.75" customHeight="1" x14ac:dyDescent="0.2">
      <c r="N659" s="13"/>
    </row>
    <row r="660" spans="14:14" ht="15.75" customHeight="1" x14ac:dyDescent="0.2">
      <c r="N660" s="13"/>
    </row>
    <row r="661" spans="14:14" ht="15.75" customHeight="1" x14ac:dyDescent="0.2">
      <c r="N661" s="13"/>
    </row>
    <row r="662" spans="14:14" ht="15.75" customHeight="1" x14ac:dyDescent="0.2">
      <c r="N662" s="13"/>
    </row>
    <row r="663" spans="14:14" ht="15.75" customHeight="1" x14ac:dyDescent="0.2">
      <c r="N663" s="13"/>
    </row>
    <row r="664" spans="14:14" ht="15.75" customHeight="1" x14ac:dyDescent="0.2">
      <c r="N664" s="13"/>
    </row>
    <row r="665" spans="14:14" ht="15.75" customHeight="1" x14ac:dyDescent="0.2">
      <c r="N665" s="13"/>
    </row>
    <row r="666" spans="14:14" ht="15.75" customHeight="1" x14ac:dyDescent="0.2">
      <c r="N666" s="13"/>
    </row>
    <row r="667" spans="14:14" ht="15.75" customHeight="1" x14ac:dyDescent="0.2">
      <c r="N667" s="13"/>
    </row>
    <row r="668" spans="14:14" ht="15.75" customHeight="1" x14ac:dyDescent="0.2">
      <c r="N668" s="13"/>
    </row>
    <row r="669" spans="14:14" ht="15.75" customHeight="1" x14ac:dyDescent="0.2">
      <c r="N669" s="13"/>
    </row>
    <row r="670" spans="14:14" ht="15.75" customHeight="1" x14ac:dyDescent="0.2">
      <c r="N670" s="13"/>
    </row>
    <row r="671" spans="14:14" ht="15.75" customHeight="1" x14ac:dyDescent="0.2">
      <c r="N671" s="13"/>
    </row>
    <row r="672" spans="14:14" ht="15.75" customHeight="1" x14ac:dyDescent="0.2">
      <c r="N672" s="13"/>
    </row>
    <row r="673" spans="14:14" ht="15.75" customHeight="1" x14ac:dyDescent="0.2">
      <c r="N673" s="13"/>
    </row>
    <row r="674" spans="14:14" ht="15.75" customHeight="1" x14ac:dyDescent="0.2">
      <c r="N674" s="13"/>
    </row>
    <row r="675" spans="14:14" ht="15.75" customHeight="1" x14ac:dyDescent="0.2">
      <c r="N675" s="13"/>
    </row>
    <row r="676" spans="14:14" ht="15.75" customHeight="1" x14ac:dyDescent="0.2">
      <c r="N676" s="13"/>
    </row>
    <row r="677" spans="14:14" ht="15.75" customHeight="1" x14ac:dyDescent="0.2">
      <c r="N677" s="13"/>
    </row>
    <row r="678" spans="14:14" ht="15.75" customHeight="1" x14ac:dyDescent="0.2">
      <c r="N678" s="13"/>
    </row>
    <row r="679" spans="14:14" ht="15.75" customHeight="1" x14ac:dyDescent="0.2">
      <c r="N679" s="13"/>
    </row>
    <row r="680" spans="14:14" ht="15.75" customHeight="1" x14ac:dyDescent="0.2">
      <c r="N680" s="13"/>
    </row>
    <row r="681" spans="14:14" ht="15.75" customHeight="1" x14ac:dyDescent="0.2">
      <c r="N681" s="13"/>
    </row>
    <row r="682" spans="14:14" ht="15.75" customHeight="1" x14ac:dyDescent="0.2">
      <c r="N682" s="13"/>
    </row>
    <row r="683" spans="14:14" ht="15.75" customHeight="1" x14ac:dyDescent="0.2">
      <c r="N683" s="13"/>
    </row>
    <row r="684" spans="14:14" ht="15.75" customHeight="1" x14ac:dyDescent="0.2">
      <c r="N684" s="13"/>
    </row>
    <row r="685" spans="14:14" ht="15.75" customHeight="1" x14ac:dyDescent="0.2">
      <c r="N685" s="13"/>
    </row>
    <row r="686" spans="14:14" ht="15.75" customHeight="1" x14ac:dyDescent="0.2">
      <c r="N686" s="13"/>
    </row>
    <row r="687" spans="14:14" ht="15.75" customHeight="1" x14ac:dyDescent="0.2">
      <c r="N687" s="13"/>
    </row>
    <row r="688" spans="14:14" ht="15.75" customHeight="1" x14ac:dyDescent="0.2">
      <c r="N688" s="13"/>
    </row>
    <row r="689" spans="14:14" ht="15.75" customHeight="1" x14ac:dyDescent="0.2">
      <c r="N689" s="13"/>
    </row>
    <row r="690" spans="14:14" ht="15.75" customHeight="1" x14ac:dyDescent="0.2">
      <c r="N690" s="13"/>
    </row>
    <row r="691" spans="14:14" ht="15.75" customHeight="1" x14ac:dyDescent="0.2">
      <c r="N691" s="13"/>
    </row>
    <row r="692" spans="14:14" ht="15.75" customHeight="1" x14ac:dyDescent="0.2">
      <c r="N692" s="13"/>
    </row>
    <row r="693" spans="14:14" ht="15.75" customHeight="1" x14ac:dyDescent="0.2">
      <c r="N693" s="13"/>
    </row>
    <row r="694" spans="14:14" ht="15.75" customHeight="1" x14ac:dyDescent="0.2">
      <c r="N694" s="13"/>
    </row>
    <row r="695" spans="14:14" ht="15.75" customHeight="1" x14ac:dyDescent="0.2">
      <c r="N695" s="13"/>
    </row>
    <row r="696" spans="14:14" ht="15.75" customHeight="1" x14ac:dyDescent="0.2">
      <c r="N696" s="13"/>
    </row>
    <row r="697" spans="14:14" ht="15.75" customHeight="1" x14ac:dyDescent="0.2">
      <c r="N697" s="13"/>
    </row>
    <row r="698" spans="14:14" ht="15.75" customHeight="1" x14ac:dyDescent="0.2">
      <c r="N698" s="13"/>
    </row>
    <row r="699" spans="14:14" ht="15.75" customHeight="1" x14ac:dyDescent="0.2">
      <c r="N699" s="13"/>
    </row>
    <row r="700" spans="14:14" ht="15.75" customHeight="1" x14ac:dyDescent="0.2">
      <c r="N700" s="13"/>
    </row>
    <row r="701" spans="14:14" ht="15.75" customHeight="1" x14ac:dyDescent="0.2">
      <c r="N701" s="13"/>
    </row>
    <row r="702" spans="14:14" ht="15.75" customHeight="1" x14ac:dyDescent="0.2">
      <c r="N702" s="13"/>
    </row>
    <row r="703" spans="14:14" ht="15.75" customHeight="1" x14ac:dyDescent="0.2">
      <c r="N703" s="13"/>
    </row>
    <row r="704" spans="14:14" ht="15.75" customHeight="1" x14ac:dyDescent="0.2">
      <c r="N704" s="13"/>
    </row>
    <row r="705" spans="14:14" ht="15.75" customHeight="1" x14ac:dyDescent="0.2">
      <c r="N705" s="13"/>
    </row>
    <row r="706" spans="14:14" ht="15.75" customHeight="1" x14ac:dyDescent="0.2">
      <c r="N706" s="13"/>
    </row>
    <row r="707" spans="14:14" ht="15.75" customHeight="1" x14ac:dyDescent="0.2">
      <c r="N707" s="13"/>
    </row>
    <row r="708" spans="14:14" ht="15.75" customHeight="1" x14ac:dyDescent="0.2">
      <c r="N708" s="13"/>
    </row>
    <row r="709" spans="14:14" ht="15.75" customHeight="1" x14ac:dyDescent="0.2">
      <c r="N709" s="13"/>
    </row>
    <row r="710" spans="14:14" ht="15.75" customHeight="1" x14ac:dyDescent="0.2">
      <c r="N710" s="13"/>
    </row>
    <row r="711" spans="14:14" ht="15.75" customHeight="1" x14ac:dyDescent="0.2">
      <c r="N711" s="13"/>
    </row>
    <row r="712" spans="14:14" ht="15.75" customHeight="1" x14ac:dyDescent="0.2">
      <c r="N712" s="13"/>
    </row>
    <row r="713" spans="14:14" ht="15.75" customHeight="1" x14ac:dyDescent="0.2">
      <c r="N713" s="13"/>
    </row>
    <row r="714" spans="14:14" ht="15.75" customHeight="1" x14ac:dyDescent="0.2">
      <c r="N714" s="13"/>
    </row>
    <row r="715" spans="14:14" ht="15.75" customHeight="1" x14ac:dyDescent="0.2">
      <c r="N715" s="13"/>
    </row>
    <row r="716" spans="14:14" ht="15.75" customHeight="1" x14ac:dyDescent="0.2">
      <c r="N716" s="13"/>
    </row>
    <row r="717" spans="14:14" ht="15.75" customHeight="1" x14ac:dyDescent="0.2">
      <c r="N717" s="13"/>
    </row>
    <row r="718" spans="14:14" ht="15.75" customHeight="1" x14ac:dyDescent="0.2">
      <c r="N718" s="13"/>
    </row>
    <row r="719" spans="14:14" ht="15.75" customHeight="1" x14ac:dyDescent="0.2">
      <c r="N719" s="13"/>
    </row>
    <row r="720" spans="14:14" ht="15.75" customHeight="1" x14ac:dyDescent="0.2">
      <c r="N720" s="13"/>
    </row>
    <row r="721" spans="14:14" ht="15.75" customHeight="1" x14ac:dyDescent="0.2">
      <c r="N721" s="13"/>
    </row>
    <row r="722" spans="14:14" ht="15.75" customHeight="1" x14ac:dyDescent="0.2">
      <c r="N722" s="13"/>
    </row>
    <row r="723" spans="14:14" ht="15.75" customHeight="1" x14ac:dyDescent="0.2">
      <c r="N723" s="13"/>
    </row>
    <row r="724" spans="14:14" ht="15.75" customHeight="1" x14ac:dyDescent="0.2">
      <c r="N724" s="13"/>
    </row>
    <row r="725" spans="14:14" ht="15.75" customHeight="1" x14ac:dyDescent="0.2">
      <c r="N725" s="13"/>
    </row>
    <row r="726" spans="14:14" ht="15.75" customHeight="1" x14ac:dyDescent="0.2">
      <c r="N726" s="13"/>
    </row>
    <row r="727" spans="14:14" ht="15.75" customHeight="1" x14ac:dyDescent="0.2">
      <c r="N727" s="13"/>
    </row>
    <row r="728" spans="14:14" ht="15.75" customHeight="1" x14ac:dyDescent="0.2">
      <c r="N728" s="13"/>
    </row>
    <row r="729" spans="14:14" ht="15.75" customHeight="1" x14ac:dyDescent="0.2">
      <c r="N729" s="13"/>
    </row>
    <row r="730" spans="14:14" ht="15.75" customHeight="1" x14ac:dyDescent="0.2">
      <c r="N730" s="13"/>
    </row>
    <row r="731" spans="14:14" ht="15.75" customHeight="1" x14ac:dyDescent="0.2">
      <c r="N731" s="13"/>
    </row>
    <row r="732" spans="14:14" ht="15.75" customHeight="1" x14ac:dyDescent="0.2">
      <c r="N732" s="13"/>
    </row>
    <row r="733" spans="14:14" ht="15.75" customHeight="1" x14ac:dyDescent="0.2">
      <c r="N733" s="13"/>
    </row>
    <row r="734" spans="14:14" ht="15.75" customHeight="1" x14ac:dyDescent="0.2">
      <c r="N734" s="13"/>
    </row>
    <row r="735" spans="14:14" ht="15.75" customHeight="1" x14ac:dyDescent="0.2">
      <c r="N735" s="13"/>
    </row>
    <row r="736" spans="14:14" ht="15.75" customHeight="1" x14ac:dyDescent="0.2">
      <c r="N736" s="13"/>
    </row>
    <row r="737" spans="14:14" ht="15.75" customHeight="1" x14ac:dyDescent="0.2">
      <c r="N737" s="13"/>
    </row>
    <row r="738" spans="14:14" ht="15.75" customHeight="1" x14ac:dyDescent="0.2">
      <c r="N738" s="13"/>
    </row>
    <row r="739" spans="14:14" ht="15.75" customHeight="1" x14ac:dyDescent="0.2">
      <c r="N739" s="13"/>
    </row>
    <row r="740" spans="14:14" ht="15.75" customHeight="1" x14ac:dyDescent="0.2">
      <c r="N740" s="13"/>
    </row>
    <row r="741" spans="14:14" ht="15.75" customHeight="1" x14ac:dyDescent="0.2">
      <c r="N741" s="13"/>
    </row>
    <row r="742" spans="14:14" ht="15.75" customHeight="1" x14ac:dyDescent="0.2">
      <c r="N742" s="13"/>
    </row>
    <row r="743" spans="14:14" ht="15.75" customHeight="1" x14ac:dyDescent="0.2">
      <c r="N743" s="13"/>
    </row>
    <row r="744" spans="14:14" ht="15.75" customHeight="1" x14ac:dyDescent="0.2">
      <c r="N744" s="13"/>
    </row>
    <row r="745" spans="14:14" ht="15.75" customHeight="1" x14ac:dyDescent="0.2">
      <c r="N745" s="13"/>
    </row>
    <row r="746" spans="14:14" ht="15.75" customHeight="1" x14ac:dyDescent="0.2">
      <c r="N746" s="13"/>
    </row>
    <row r="747" spans="14:14" ht="15.75" customHeight="1" x14ac:dyDescent="0.2">
      <c r="N747" s="13"/>
    </row>
    <row r="748" spans="14:14" ht="15.75" customHeight="1" x14ac:dyDescent="0.2">
      <c r="N748" s="13"/>
    </row>
    <row r="749" spans="14:14" ht="15.75" customHeight="1" x14ac:dyDescent="0.2">
      <c r="N749" s="13"/>
    </row>
    <row r="750" spans="14:14" ht="15.75" customHeight="1" x14ac:dyDescent="0.2">
      <c r="N750" s="13"/>
    </row>
    <row r="751" spans="14:14" ht="15.75" customHeight="1" x14ac:dyDescent="0.2">
      <c r="N751" s="13"/>
    </row>
    <row r="752" spans="14:14" ht="15.75" customHeight="1" x14ac:dyDescent="0.2">
      <c r="N752" s="13"/>
    </row>
    <row r="753" spans="14:14" ht="15.75" customHeight="1" x14ac:dyDescent="0.2">
      <c r="N753" s="13"/>
    </row>
    <row r="754" spans="14:14" ht="15.75" customHeight="1" x14ac:dyDescent="0.2">
      <c r="N754" s="13"/>
    </row>
    <row r="755" spans="14:14" ht="15.75" customHeight="1" x14ac:dyDescent="0.2">
      <c r="N755" s="13"/>
    </row>
    <row r="756" spans="14:14" ht="15.75" customHeight="1" x14ac:dyDescent="0.2">
      <c r="N756" s="13"/>
    </row>
    <row r="757" spans="14:14" ht="15.75" customHeight="1" x14ac:dyDescent="0.2">
      <c r="N757" s="13"/>
    </row>
    <row r="758" spans="14:14" ht="15.75" customHeight="1" x14ac:dyDescent="0.2">
      <c r="N758" s="13"/>
    </row>
    <row r="759" spans="14:14" ht="15.75" customHeight="1" x14ac:dyDescent="0.2">
      <c r="N759" s="13"/>
    </row>
    <row r="760" spans="14:14" ht="15.75" customHeight="1" x14ac:dyDescent="0.2">
      <c r="N760" s="13"/>
    </row>
    <row r="761" spans="14:14" ht="15.75" customHeight="1" x14ac:dyDescent="0.2">
      <c r="N761" s="13"/>
    </row>
    <row r="762" spans="14:14" ht="15.75" customHeight="1" x14ac:dyDescent="0.2">
      <c r="N762" s="13"/>
    </row>
    <row r="763" spans="14:14" ht="15.75" customHeight="1" x14ac:dyDescent="0.2">
      <c r="N763" s="13"/>
    </row>
    <row r="764" spans="14:14" ht="15.75" customHeight="1" x14ac:dyDescent="0.2">
      <c r="N764" s="13"/>
    </row>
    <row r="765" spans="14:14" ht="15.75" customHeight="1" x14ac:dyDescent="0.2">
      <c r="N765" s="13"/>
    </row>
    <row r="766" spans="14:14" ht="15.75" customHeight="1" x14ac:dyDescent="0.2">
      <c r="N766" s="13"/>
    </row>
    <row r="767" spans="14:14" ht="15.75" customHeight="1" x14ac:dyDescent="0.2">
      <c r="N767" s="13"/>
    </row>
    <row r="768" spans="14:14" ht="15.75" customHeight="1" x14ac:dyDescent="0.2">
      <c r="N768" s="13"/>
    </row>
    <row r="769" spans="14:14" ht="15.75" customHeight="1" x14ac:dyDescent="0.2">
      <c r="N769" s="13"/>
    </row>
    <row r="770" spans="14:14" ht="15.75" customHeight="1" x14ac:dyDescent="0.2">
      <c r="N770" s="13"/>
    </row>
    <row r="771" spans="14:14" ht="15.75" customHeight="1" x14ac:dyDescent="0.2">
      <c r="N771" s="13"/>
    </row>
    <row r="772" spans="14:14" ht="15.75" customHeight="1" x14ac:dyDescent="0.2">
      <c r="N772" s="13"/>
    </row>
    <row r="773" spans="14:14" ht="15.75" customHeight="1" x14ac:dyDescent="0.2">
      <c r="N773" s="13"/>
    </row>
    <row r="774" spans="14:14" ht="15.75" customHeight="1" x14ac:dyDescent="0.2">
      <c r="N774" s="13"/>
    </row>
    <row r="775" spans="14:14" ht="15.75" customHeight="1" x14ac:dyDescent="0.2">
      <c r="N775" s="13"/>
    </row>
    <row r="776" spans="14:14" ht="15.75" customHeight="1" x14ac:dyDescent="0.2">
      <c r="N776" s="13"/>
    </row>
    <row r="777" spans="14:14" ht="15.75" customHeight="1" x14ac:dyDescent="0.2">
      <c r="N777" s="13"/>
    </row>
    <row r="778" spans="14:14" ht="15.75" customHeight="1" x14ac:dyDescent="0.2">
      <c r="N778" s="13"/>
    </row>
    <row r="779" spans="14:14" ht="15.75" customHeight="1" x14ac:dyDescent="0.2">
      <c r="N779" s="13"/>
    </row>
    <row r="780" spans="14:14" ht="15.75" customHeight="1" x14ac:dyDescent="0.2">
      <c r="N780" s="13"/>
    </row>
    <row r="781" spans="14:14" ht="15.75" customHeight="1" x14ac:dyDescent="0.2">
      <c r="N781" s="13"/>
    </row>
    <row r="782" spans="14:14" ht="15.75" customHeight="1" x14ac:dyDescent="0.2">
      <c r="N782" s="13"/>
    </row>
    <row r="783" spans="14:14" ht="15.75" customHeight="1" x14ac:dyDescent="0.2">
      <c r="N783" s="13"/>
    </row>
    <row r="784" spans="14:14" ht="15.75" customHeight="1" x14ac:dyDescent="0.2">
      <c r="N784" s="13"/>
    </row>
    <row r="785" spans="14:14" ht="15.75" customHeight="1" x14ac:dyDescent="0.2">
      <c r="N785" s="13"/>
    </row>
    <row r="786" spans="14:14" ht="15.75" customHeight="1" x14ac:dyDescent="0.2">
      <c r="N786" s="13"/>
    </row>
    <row r="787" spans="14:14" ht="15.75" customHeight="1" x14ac:dyDescent="0.2">
      <c r="N787" s="13"/>
    </row>
    <row r="788" spans="14:14" ht="15.75" customHeight="1" x14ac:dyDescent="0.2">
      <c r="N788" s="13"/>
    </row>
    <row r="789" spans="14:14" ht="15.75" customHeight="1" x14ac:dyDescent="0.2">
      <c r="N789" s="13"/>
    </row>
    <row r="790" spans="14:14" ht="15.75" customHeight="1" x14ac:dyDescent="0.2">
      <c r="N790" s="13"/>
    </row>
    <row r="791" spans="14:14" ht="15.75" customHeight="1" x14ac:dyDescent="0.2">
      <c r="N791" s="13"/>
    </row>
    <row r="792" spans="14:14" ht="15.75" customHeight="1" x14ac:dyDescent="0.2">
      <c r="N792" s="13"/>
    </row>
    <row r="793" spans="14:14" ht="15.75" customHeight="1" x14ac:dyDescent="0.2">
      <c r="N793" s="13"/>
    </row>
    <row r="794" spans="14:14" ht="15.75" customHeight="1" x14ac:dyDescent="0.2">
      <c r="N794" s="13"/>
    </row>
    <row r="795" spans="14:14" ht="15.75" customHeight="1" x14ac:dyDescent="0.2">
      <c r="N795" s="13"/>
    </row>
    <row r="796" spans="14:14" ht="15.75" customHeight="1" x14ac:dyDescent="0.2">
      <c r="N796" s="13"/>
    </row>
    <row r="797" spans="14:14" ht="15.75" customHeight="1" x14ac:dyDescent="0.2">
      <c r="N797" s="13"/>
    </row>
    <row r="798" spans="14:14" ht="15.75" customHeight="1" x14ac:dyDescent="0.2">
      <c r="N798" s="13"/>
    </row>
    <row r="799" spans="14:14" ht="15.75" customHeight="1" x14ac:dyDescent="0.2">
      <c r="N799" s="13"/>
    </row>
    <row r="800" spans="14:14" ht="15.75" customHeight="1" x14ac:dyDescent="0.2">
      <c r="N800" s="13"/>
    </row>
    <row r="801" spans="14:14" ht="15.75" customHeight="1" x14ac:dyDescent="0.2">
      <c r="N801" s="13"/>
    </row>
    <row r="802" spans="14:14" ht="15.75" customHeight="1" x14ac:dyDescent="0.2">
      <c r="N802" s="13"/>
    </row>
    <row r="803" spans="14:14" ht="15.75" customHeight="1" x14ac:dyDescent="0.2">
      <c r="N803" s="13"/>
    </row>
    <row r="804" spans="14:14" ht="15.75" customHeight="1" x14ac:dyDescent="0.2">
      <c r="N804" s="13"/>
    </row>
    <row r="805" spans="14:14" ht="15.75" customHeight="1" x14ac:dyDescent="0.2">
      <c r="N805" s="13"/>
    </row>
    <row r="806" spans="14:14" ht="15.75" customHeight="1" x14ac:dyDescent="0.2">
      <c r="N806" s="13"/>
    </row>
    <row r="807" spans="14:14" ht="15.75" customHeight="1" x14ac:dyDescent="0.2">
      <c r="N807" s="13"/>
    </row>
    <row r="808" spans="14:14" ht="15.75" customHeight="1" x14ac:dyDescent="0.2">
      <c r="N808" s="13"/>
    </row>
    <row r="809" spans="14:14" ht="15.75" customHeight="1" x14ac:dyDescent="0.2">
      <c r="N809" s="13"/>
    </row>
    <row r="810" spans="14:14" ht="15.75" customHeight="1" x14ac:dyDescent="0.2">
      <c r="N810" s="13"/>
    </row>
    <row r="811" spans="14:14" ht="15.75" customHeight="1" x14ac:dyDescent="0.2">
      <c r="N811" s="13"/>
    </row>
    <row r="812" spans="14:14" ht="15.75" customHeight="1" x14ac:dyDescent="0.2">
      <c r="N812" s="13"/>
    </row>
    <row r="813" spans="14:14" ht="15.75" customHeight="1" x14ac:dyDescent="0.2">
      <c r="N813" s="13"/>
    </row>
    <row r="814" spans="14:14" ht="15.75" customHeight="1" x14ac:dyDescent="0.2">
      <c r="N814" s="13"/>
    </row>
    <row r="815" spans="14:14" ht="15.75" customHeight="1" x14ac:dyDescent="0.2">
      <c r="N815" s="13"/>
    </row>
    <row r="816" spans="14:14" ht="15.75" customHeight="1" x14ac:dyDescent="0.2">
      <c r="N816" s="13"/>
    </row>
    <row r="817" spans="14:14" ht="15.75" customHeight="1" x14ac:dyDescent="0.2">
      <c r="N817" s="13"/>
    </row>
    <row r="818" spans="14:14" ht="15.75" customHeight="1" x14ac:dyDescent="0.2">
      <c r="N818" s="13"/>
    </row>
    <row r="819" spans="14:14" ht="15.75" customHeight="1" x14ac:dyDescent="0.2">
      <c r="N819" s="13"/>
    </row>
    <row r="820" spans="14:14" ht="15.75" customHeight="1" x14ac:dyDescent="0.2">
      <c r="N820" s="13"/>
    </row>
    <row r="821" spans="14:14" ht="15.75" customHeight="1" x14ac:dyDescent="0.2">
      <c r="N821" s="13"/>
    </row>
    <row r="822" spans="14:14" ht="15.75" customHeight="1" x14ac:dyDescent="0.2">
      <c r="N822" s="13"/>
    </row>
    <row r="823" spans="14:14" ht="15.75" customHeight="1" x14ac:dyDescent="0.2">
      <c r="N823" s="13"/>
    </row>
    <row r="824" spans="14:14" ht="15.75" customHeight="1" x14ac:dyDescent="0.2">
      <c r="N824" s="13"/>
    </row>
    <row r="825" spans="14:14" ht="15.75" customHeight="1" x14ac:dyDescent="0.2">
      <c r="N825" s="13"/>
    </row>
    <row r="826" spans="14:14" ht="15.75" customHeight="1" x14ac:dyDescent="0.2">
      <c r="N826" s="13"/>
    </row>
    <row r="827" spans="14:14" ht="15.75" customHeight="1" x14ac:dyDescent="0.2">
      <c r="N827" s="13"/>
    </row>
    <row r="828" spans="14:14" ht="15.75" customHeight="1" x14ac:dyDescent="0.2">
      <c r="N828" s="13"/>
    </row>
    <row r="829" spans="14:14" ht="15.75" customHeight="1" x14ac:dyDescent="0.2">
      <c r="N829" s="13"/>
    </row>
    <row r="830" spans="14:14" ht="15.75" customHeight="1" x14ac:dyDescent="0.2">
      <c r="N830" s="13"/>
    </row>
    <row r="831" spans="14:14" ht="15.75" customHeight="1" x14ac:dyDescent="0.2">
      <c r="N831" s="13"/>
    </row>
    <row r="832" spans="14:14" ht="15.75" customHeight="1" x14ac:dyDescent="0.2">
      <c r="N832" s="13"/>
    </row>
    <row r="833" spans="14:14" ht="15.75" customHeight="1" x14ac:dyDescent="0.2">
      <c r="N833" s="13"/>
    </row>
    <row r="834" spans="14:14" ht="15.75" customHeight="1" x14ac:dyDescent="0.2">
      <c r="N834" s="13"/>
    </row>
    <row r="835" spans="14:14" ht="15.75" customHeight="1" x14ac:dyDescent="0.2">
      <c r="N835" s="13"/>
    </row>
    <row r="836" spans="14:14" ht="15.75" customHeight="1" x14ac:dyDescent="0.2">
      <c r="N836" s="13"/>
    </row>
    <row r="837" spans="14:14" ht="15.75" customHeight="1" x14ac:dyDescent="0.2">
      <c r="N837" s="13"/>
    </row>
    <row r="838" spans="14:14" ht="15.75" customHeight="1" x14ac:dyDescent="0.2">
      <c r="N838" s="13"/>
    </row>
    <row r="839" spans="14:14" ht="15.75" customHeight="1" x14ac:dyDescent="0.2">
      <c r="N839" s="13"/>
    </row>
    <row r="840" spans="14:14" ht="15.75" customHeight="1" x14ac:dyDescent="0.2">
      <c r="N840" s="13"/>
    </row>
    <row r="841" spans="14:14" ht="15.75" customHeight="1" x14ac:dyDescent="0.2">
      <c r="N841" s="13"/>
    </row>
    <row r="842" spans="14:14" ht="15.75" customHeight="1" x14ac:dyDescent="0.2">
      <c r="N842" s="13"/>
    </row>
    <row r="843" spans="14:14" ht="15.75" customHeight="1" x14ac:dyDescent="0.2">
      <c r="N843" s="13"/>
    </row>
    <row r="844" spans="14:14" ht="15.75" customHeight="1" x14ac:dyDescent="0.2">
      <c r="N844" s="13"/>
    </row>
    <row r="845" spans="14:14" ht="15.75" customHeight="1" x14ac:dyDescent="0.2">
      <c r="N845" s="13"/>
    </row>
    <row r="846" spans="14:14" ht="15.75" customHeight="1" x14ac:dyDescent="0.2">
      <c r="N846" s="13"/>
    </row>
    <row r="847" spans="14:14" ht="15.75" customHeight="1" x14ac:dyDescent="0.2">
      <c r="N847" s="13"/>
    </row>
    <row r="848" spans="14:14" ht="15.75" customHeight="1" x14ac:dyDescent="0.2">
      <c r="N848" s="13"/>
    </row>
    <row r="849" spans="14:14" ht="15.75" customHeight="1" x14ac:dyDescent="0.2">
      <c r="N849" s="13"/>
    </row>
    <row r="850" spans="14:14" ht="15.75" customHeight="1" x14ac:dyDescent="0.2">
      <c r="N850" s="13"/>
    </row>
    <row r="851" spans="14:14" ht="15.75" customHeight="1" x14ac:dyDescent="0.2">
      <c r="N851" s="13"/>
    </row>
    <row r="852" spans="14:14" ht="15.75" customHeight="1" x14ac:dyDescent="0.2">
      <c r="N852" s="13"/>
    </row>
    <row r="853" spans="14:14" ht="15.75" customHeight="1" x14ac:dyDescent="0.2">
      <c r="N853" s="13"/>
    </row>
    <row r="854" spans="14:14" ht="15.75" customHeight="1" x14ac:dyDescent="0.2">
      <c r="N854" s="13"/>
    </row>
    <row r="855" spans="14:14" ht="15.75" customHeight="1" x14ac:dyDescent="0.2">
      <c r="N855" s="13"/>
    </row>
    <row r="856" spans="14:14" ht="15.75" customHeight="1" x14ac:dyDescent="0.2">
      <c r="N856" s="13"/>
    </row>
    <row r="857" spans="14:14" ht="15.75" customHeight="1" x14ac:dyDescent="0.2">
      <c r="N857" s="13"/>
    </row>
    <row r="858" spans="14:14" ht="15.75" customHeight="1" x14ac:dyDescent="0.2">
      <c r="N858" s="13"/>
    </row>
    <row r="859" spans="14:14" ht="15.75" customHeight="1" x14ac:dyDescent="0.2">
      <c r="N859" s="13"/>
    </row>
    <row r="860" spans="14:14" ht="15.75" customHeight="1" x14ac:dyDescent="0.2">
      <c r="N860" s="13"/>
    </row>
    <row r="861" spans="14:14" ht="15.75" customHeight="1" x14ac:dyDescent="0.2">
      <c r="N861" s="13"/>
    </row>
    <row r="862" spans="14:14" ht="15.75" customHeight="1" x14ac:dyDescent="0.2">
      <c r="N862" s="13"/>
    </row>
    <row r="863" spans="14:14" ht="15.75" customHeight="1" x14ac:dyDescent="0.2">
      <c r="N863" s="13"/>
    </row>
    <row r="864" spans="14:14" ht="15.75" customHeight="1" x14ac:dyDescent="0.2">
      <c r="N864" s="13"/>
    </row>
    <row r="865" spans="14:14" ht="15.75" customHeight="1" x14ac:dyDescent="0.2">
      <c r="N865" s="13"/>
    </row>
    <row r="866" spans="14:14" ht="15.75" customHeight="1" x14ac:dyDescent="0.2">
      <c r="N866" s="13"/>
    </row>
    <row r="867" spans="14:14" ht="15.75" customHeight="1" x14ac:dyDescent="0.2">
      <c r="N867" s="13"/>
    </row>
    <row r="868" spans="14:14" ht="15.75" customHeight="1" x14ac:dyDescent="0.2">
      <c r="N868" s="13"/>
    </row>
    <row r="869" spans="14:14" ht="15.75" customHeight="1" x14ac:dyDescent="0.2">
      <c r="N869" s="13"/>
    </row>
    <row r="870" spans="14:14" ht="15.75" customHeight="1" x14ac:dyDescent="0.2">
      <c r="N870" s="13"/>
    </row>
    <row r="871" spans="14:14" ht="15.75" customHeight="1" x14ac:dyDescent="0.2">
      <c r="N871" s="13"/>
    </row>
    <row r="872" spans="14:14" ht="15.75" customHeight="1" x14ac:dyDescent="0.2">
      <c r="N872" s="13"/>
    </row>
    <row r="873" spans="14:14" ht="15.75" customHeight="1" x14ac:dyDescent="0.2">
      <c r="N873" s="13"/>
    </row>
    <row r="874" spans="14:14" ht="15.75" customHeight="1" x14ac:dyDescent="0.2">
      <c r="N874" s="13"/>
    </row>
    <row r="875" spans="14:14" ht="15.75" customHeight="1" x14ac:dyDescent="0.2">
      <c r="N875" s="13"/>
    </row>
    <row r="876" spans="14:14" ht="15.75" customHeight="1" x14ac:dyDescent="0.2">
      <c r="N876" s="13"/>
    </row>
    <row r="877" spans="14:14" ht="15.75" customHeight="1" x14ac:dyDescent="0.2">
      <c r="N877" s="13"/>
    </row>
    <row r="878" spans="14:14" ht="15.75" customHeight="1" x14ac:dyDescent="0.2">
      <c r="N878" s="13"/>
    </row>
    <row r="879" spans="14:14" ht="15.75" customHeight="1" x14ac:dyDescent="0.2">
      <c r="N879" s="13"/>
    </row>
    <row r="880" spans="14:14" ht="15.75" customHeight="1" x14ac:dyDescent="0.2">
      <c r="N880" s="13"/>
    </row>
    <row r="881" spans="14:14" ht="15.75" customHeight="1" x14ac:dyDescent="0.2">
      <c r="N881" s="13"/>
    </row>
    <row r="882" spans="14:14" ht="15.75" customHeight="1" x14ac:dyDescent="0.2">
      <c r="N882" s="13"/>
    </row>
    <row r="883" spans="14:14" ht="15.75" customHeight="1" x14ac:dyDescent="0.2">
      <c r="N883" s="13"/>
    </row>
    <row r="884" spans="14:14" ht="15.75" customHeight="1" x14ac:dyDescent="0.2">
      <c r="N884" s="13"/>
    </row>
    <row r="885" spans="14:14" ht="15.75" customHeight="1" x14ac:dyDescent="0.2">
      <c r="N885" s="13"/>
    </row>
    <row r="886" spans="14:14" ht="15.75" customHeight="1" x14ac:dyDescent="0.2">
      <c r="N886" s="13"/>
    </row>
    <row r="887" spans="14:14" ht="15.75" customHeight="1" x14ac:dyDescent="0.2">
      <c r="N887" s="13"/>
    </row>
    <row r="888" spans="14:14" ht="15.75" customHeight="1" x14ac:dyDescent="0.2">
      <c r="N888" s="13"/>
    </row>
    <row r="889" spans="14:14" ht="15.75" customHeight="1" x14ac:dyDescent="0.2">
      <c r="N889" s="13"/>
    </row>
    <row r="890" spans="14:14" ht="15.75" customHeight="1" x14ac:dyDescent="0.2">
      <c r="N890" s="13"/>
    </row>
    <row r="891" spans="14:14" ht="15.75" customHeight="1" x14ac:dyDescent="0.2">
      <c r="N891" s="13"/>
    </row>
    <row r="892" spans="14:14" ht="15.75" customHeight="1" x14ac:dyDescent="0.2">
      <c r="N892" s="13"/>
    </row>
    <row r="893" spans="14:14" ht="15.75" customHeight="1" x14ac:dyDescent="0.2">
      <c r="N893" s="13"/>
    </row>
    <row r="894" spans="14:14" ht="15.75" customHeight="1" x14ac:dyDescent="0.2">
      <c r="N894" s="13"/>
    </row>
    <row r="895" spans="14:14" ht="15.75" customHeight="1" x14ac:dyDescent="0.2">
      <c r="N895" s="13"/>
    </row>
    <row r="896" spans="14:14" ht="15.75" customHeight="1" x14ac:dyDescent="0.2">
      <c r="N896" s="13"/>
    </row>
    <row r="897" spans="14:14" ht="15.75" customHeight="1" x14ac:dyDescent="0.2">
      <c r="N897" s="13"/>
    </row>
    <row r="898" spans="14:14" ht="15.75" customHeight="1" x14ac:dyDescent="0.2">
      <c r="N898" s="13"/>
    </row>
    <row r="899" spans="14:14" ht="15.75" customHeight="1" x14ac:dyDescent="0.2">
      <c r="N899" s="13"/>
    </row>
    <row r="900" spans="14:14" ht="15.75" customHeight="1" x14ac:dyDescent="0.2">
      <c r="N900" s="13"/>
    </row>
    <row r="901" spans="14:14" ht="15.75" customHeight="1" x14ac:dyDescent="0.2">
      <c r="N901" s="13"/>
    </row>
    <row r="902" spans="14:14" ht="15.75" customHeight="1" x14ac:dyDescent="0.2">
      <c r="N902" s="13"/>
    </row>
    <row r="903" spans="14:14" ht="15.75" customHeight="1" x14ac:dyDescent="0.2">
      <c r="N903" s="13"/>
    </row>
    <row r="904" spans="14:14" ht="15.75" customHeight="1" x14ac:dyDescent="0.2">
      <c r="N904" s="13"/>
    </row>
    <row r="905" spans="14:14" ht="15.75" customHeight="1" x14ac:dyDescent="0.2">
      <c r="N905" s="13"/>
    </row>
    <row r="906" spans="14:14" ht="15.75" customHeight="1" x14ac:dyDescent="0.2">
      <c r="N906" s="13"/>
    </row>
    <row r="907" spans="14:14" ht="15.75" customHeight="1" x14ac:dyDescent="0.2">
      <c r="N907" s="13"/>
    </row>
    <row r="908" spans="14:14" ht="15.75" customHeight="1" x14ac:dyDescent="0.2">
      <c r="N908" s="13"/>
    </row>
    <row r="909" spans="14:14" ht="15.75" customHeight="1" x14ac:dyDescent="0.2">
      <c r="N909" s="13"/>
    </row>
    <row r="910" spans="14:14" ht="15.75" customHeight="1" x14ac:dyDescent="0.2">
      <c r="N910" s="13"/>
    </row>
    <row r="911" spans="14:14" ht="15.75" customHeight="1" x14ac:dyDescent="0.2">
      <c r="N911" s="13"/>
    </row>
    <row r="912" spans="14:14" ht="15.75" customHeight="1" x14ac:dyDescent="0.2">
      <c r="N912" s="13"/>
    </row>
    <row r="913" spans="14:14" ht="15.75" customHeight="1" x14ac:dyDescent="0.2">
      <c r="N913" s="13"/>
    </row>
    <row r="914" spans="14:14" ht="15.75" customHeight="1" x14ac:dyDescent="0.2">
      <c r="N914" s="13"/>
    </row>
    <row r="915" spans="14:14" ht="15.75" customHeight="1" x14ac:dyDescent="0.2">
      <c r="N915" s="13"/>
    </row>
    <row r="916" spans="14:14" ht="15.75" customHeight="1" x14ac:dyDescent="0.2">
      <c r="N916" s="13"/>
    </row>
    <row r="917" spans="14:14" ht="15.75" customHeight="1" x14ac:dyDescent="0.2">
      <c r="N917" s="13"/>
    </row>
    <row r="918" spans="14:14" ht="15.75" customHeight="1" x14ac:dyDescent="0.2">
      <c r="N918" s="13"/>
    </row>
    <row r="919" spans="14:14" ht="15.75" customHeight="1" x14ac:dyDescent="0.2">
      <c r="N919" s="13"/>
    </row>
    <row r="920" spans="14:14" ht="15.75" customHeight="1" x14ac:dyDescent="0.2">
      <c r="N920" s="13"/>
    </row>
    <row r="921" spans="14:14" ht="15.75" customHeight="1" x14ac:dyDescent="0.2">
      <c r="N921" s="13"/>
    </row>
    <row r="922" spans="14:14" ht="15.75" customHeight="1" x14ac:dyDescent="0.2">
      <c r="N922" s="13"/>
    </row>
    <row r="923" spans="14:14" ht="15.75" customHeight="1" x14ac:dyDescent="0.2">
      <c r="N923" s="13"/>
    </row>
    <row r="924" spans="14:14" ht="15.75" customHeight="1" x14ac:dyDescent="0.2">
      <c r="N924" s="13"/>
    </row>
    <row r="925" spans="14:14" ht="15.75" customHeight="1" x14ac:dyDescent="0.2">
      <c r="N925" s="13"/>
    </row>
    <row r="926" spans="14:14" ht="15.75" customHeight="1" x14ac:dyDescent="0.2">
      <c r="N926" s="13"/>
    </row>
    <row r="927" spans="14:14" ht="15.75" customHeight="1" x14ac:dyDescent="0.2">
      <c r="N927" s="13"/>
    </row>
    <row r="928" spans="14:14" ht="15.75" customHeight="1" x14ac:dyDescent="0.2">
      <c r="N928" s="13"/>
    </row>
    <row r="929" spans="14:14" ht="15.75" customHeight="1" x14ac:dyDescent="0.2">
      <c r="N929" s="13"/>
    </row>
    <row r="930" spans="14:14" ht="15.75" customHeight="1" x14ac:dyDescent="0.2">
      <c r="N930" s="13"/>
    </row>
    <row r="931" spans="14:14" ht="15.75" customHeight="1" x14ac:dyDescent="0.2">
      <c r="N931" s="13"/>
    </row>
    <row r="932" spans="14:14" ht="15.75" customHeight="1" x14ac:dyDescent="0.2">
      <c r="N932" s="13"/>
    </row>
    <row r="933" spans="14:14" ht="15.75" customHeight="1" x14ac:dyDescent="0.2">
      <c r="N933" s="13"/>
    </row>
    <row r="934" spans="14:14" ht="15.75" customHeight="1" x14ac:dyDescent="0.2">
      <c r="N934" s="13"/>
    </row>
    <row r="935" spans="14:14" ht="15.75" customHeight="1" x14ac:dyDescent="0.2">
      <c r="N935" s="13"/>
    </row>
    <row r="936" spans="14:14" ht="15.75" customHeight="1" x14ac:dyDescent="0.2">
      <c r="N936" s="13"/>
    </row>
    <row r="937" spans="14:14" ht="15.75" customHeight="1" x14ac:dyDescent="0.2">
      <c r="N937" s="13"/>
    </row>
    <row r="938" spans="14:14" ht="15.75" customHeight="1" x14ac:dyDescent="0.2">
      <c r="N938" s="13"/>
    </row>
    <row r="939" spans="14:14" ht="15.75" customHeight="1" x14ac:dyDescent="0.2">
      <c r="N939" s="13"/>
    </row>
    <row r="940" spans="14:14" ht="15.75" customHeight="1" x14ac:dyDescent="0.2">
      <c r="N940" s="13"/>
    </row>
    <row r="941" spans="14:14" ht="15.75" customHeight="1" x14ac:dyDescent="0.2">
      <c r="N941" s="13"/>
    </row>
    <row r="942" spans="14:14" ht="15.75" customHeight="1" x14ac:dyDescent="0.2">
      <c r="N942" s="13"/>
    </row>
    <row r="943" spans="14:14" ht="15.75" customHeight="1" x14ac:dyDescent="0.2">
      <c r="N943" s="13"/>
    </row>
    <row r="944" spans="14:14" ht="15.75" customHeight="1" x14ac:dyDescent="0.2">
      <c r="N944" s="13"/>
    </row>
    <row r="945" spans="14:14" ht="15.75" customHeight="1" x14ac:dyDescent="0.2">
      <c r="N945" s="13"/>
    </row>
    <row r="946" spans="14:14" ht="15.75" customHeight="1" x14ac:dyDescent="0.2">
      <c r="N946" s="13"/>
    </row>
    <row r="947" spans="14:14" ht="15.75" customHeight="1" x14ac:dyDescent="0.2">
      <c r="N947" s="13"/>
    </row>
    <row r="948" spans="14:14" ht="15.75" customHeight="1" x14ac:dyDescent="0.2">
      <c r="N948" s="13"/>
    </row>
    <row r="949" spans="14:14" ht="15.75" customHeight="1" x14ac:dyDescent="0.2">
      <c r="N949" s="13"/>
    </row>
    <row r="950" spans="14:14" ht="15.75" customHeight="1" x14ac:dyDescent="0.2">
      <c r="N950" s="13"/>
    </row>
    <row r="951" spans="14:14" ht="15.75" customHeight="1" x14ac:dyDescent="0.2">
      <c r="N951" s="13"/>
    </row>
    <row r="952" spans="14:14" ht="15.75" customHeight="1" x14ac:dyDescent="0.2">
      <c r="N952" s="13"/>
    </row>
    <row r="953" spans="14:14" ht="15.75" customHeight="1" x14ac:dyDescent="0.2">
      <c r="N953" s="13"/>
    </row>
    <row r="954" spans="14:14" ht="15.75" customHeight="1" x14ac:dyDescent="0.2">
      <c r="N954" s="13"/>
    </row>
    <row r="955" spans="14:14" ht="15.75" customHeight="1" x14ac:dyDescent="0.2">
      <c r="N955" s="13"/>
    </row>
    <row r="956" spans="14:14" ht="15.75" customHeight="1" x14ac:dyDescent="0.2">
      <c r="N956" s="13"/>
    </row>
    <row r="957" spans="14:14" ht="15.75" customHeight="1" x14ac:dyDescent="0.2">
      <c r="N957" s="13"/>
    </row>
    <row r="958" spans="14:14" ht="15.75" customHeight="1" x14ac:dyDescent="0.2">
      <c r="N958" s="13"/>
    </row>
    <row r="959" spans="14:14" ht="15.75" customHeight="1" x14ac:dyDescent="0.2">
      <c r="N959" s="13"/>
    </row>
    <row r="960" spans="14:14" ht="15.75" customHeight="1" x14ac:dyDescent="0.2">
      <c r="N960" s="13"/>
    </row>
    <row r="961" spans="14:14" ht="15.75" customHeight="1" x14ac:dyDescent="0.2">
      <c r="N961" s="13"/>
    </row>
    <row r="962" spans="14:14" ht="15.75" customHeight="1" x14ac:dyDescent="0.2">
      <c r="N962" s="13"/>
    </row>
    <row r="963" spans="14:14" ht="15.75" customHeight="1" x14ac:dyDescent="0.2">
      <c r="N963" s="13"/>
    </row>
    <row r="964" spans="14:14" ht="15.75" customHeight="1" x14ac:dyDescent="0.2">
      <c r="N964" s="13"/>
    </row>
    <row r="965" spans="14:14" ht="15.75" customHeight="1" x14ac:dyDescent="0.2">
      <c r="N965" s="13"/>
    </row>
    <row r="966" spans="14:14" ht="15.75" customHeight="1" x14ac:dyDescent="0.2">
      <c r="N966" s="13"/>
    </row>
    <row r="967" spans="14:14" ht="15.75" customHeight="1" x14ac:dyDescent="0.2">
      <c r="N967" s="13"/>
    </row>
    <row r="968" spans="14:14" ht="15.75" customHeight="1" x14ac:dyDescent="0.2">
      <c r="N968" s="13"/>
    </row>
    <row r="969" spans="14:14" ht="15.75" customHeight="1" x14ac:dyDescent="0.2">
      <c r="N969" s="13"/>
    </row>
    <row r="970" spans="14:14" ht="15.75" customHeight="1" x14ac:dyDescent="0.2">
      <c r="N970" s="13"/>
    </row>
    <row r="971" spans="14:14" ht="15.75" customHeight="1" x14ac:dyDescent="0.2">
      <c r="N971" s="13"/>
    </row>
    <row r="972" spans="14:14" ht="15.75" customHeight="1" x14ac:dyDescent="0.2">
      <c r="N972" s="13"/>
    </row>
    <row r="973" spans="14:14" ht="15.75" customHeight="1" x14ac:dyDescent="0.2">
      <c r="N973" s="13"/>
    </row>
    <row r="974" spans="14:14" ht="15.75" customHeight="1" x14ac:dyDescent="0.2">
      <c r="N974" s="13"/>
    </row>
    <row r="975" spans="14:14" ht="15.75" customHeight="1" x14ac:dyDescent="0.2">
      <c r="N975" s="13"/>
    </row>
    <row r="976" spans="14:14" ht="15.75" customHeight="1" x14ac:dyDescent="0.2">
      <c r="N976" s="13"/>
    </row>
    <row r="977" spans="14:14" ht="15.75" customHeight="1" x14ac:dyDescent="0.2">
      <c r="N977" s="13"/>
    </row>
    <row r="978" spans="14:14" ht="15.75" customHeight="1" x14ac:dyDescent="0.2">
      <c r="N978" s="13"/>
    </row>
    <row r="979" spans="14:14" ht="15.75" customHeight="1" x14ac:dyDescent="0.2">
      <c r="N979" s="13"/>
    </row>
    <row r="980" spans="14:14" ht="15.75" customHeight="1" x14ac:dyDescent="0.2">
      <c r="N980" s="13"/>
    </row>
    <row r="981" spans="14:14" ht="15.75" customHeight="1" x14ac:dyDescent="0.2">
      <c r="N981" s="13"/>
    </row>
    <row r="982" spans="14:14" ht="15.75" customHeight="1" x14ac:dyDescent="0.2">
      <c r="N982" s="13"/>
    </row>
    <row r="983" spans="14:14" ht="15.75" customHeight="1" x14ac:dyDescent="0.2">
      <c r="N983" s="13"/>
    </row>
    <row r="984" spans="14:14" ht="15.75" customHeight="1" x14ac:dyDescent="0.2">
      <c r="N984" s="13"/>
    </row>
    <row r="985" spans="14:14" ht="15.75" customHeight="1" x14ac:dyDescent="0.2">
      <c r="N985" s="13"/>
    </row>
    <row r="986" spans="14:14" ht="15.75" customHeight="1" x14ac:dyDescent="0.2">
      <c r="N986" s="13"/>
    </row>
    <row r="987" spans="14:14" ht="15.75" customHeight="1" x14ac:dyDescent="0.2">
      <c r="N987" s="13"/>
    </row>
    <row r="988" spans="14:14" ht="15.75" customHeight="1" x14ac:dyDescent="0.2">
      <c r="N988" s="13"/>
    </row>
    <row r="989" spans="14:14" ht="15.75" customHeight="1" x14ac:dyDescent="0.2">
      <c r="N989" s="13"/>
    </row>
    <row r="990" spans="14:14" ht="15.75" customHeight="1" x14ac:dyDescent="0.2">
      <c r="N990" s="13"/>
    </row>
    <row r="991" spans="14:14" ht="15.75" customHeight="1" x14ac:dyDescent="0.2">
      <c r="N991" s="13"/>
    </row>
    <row r="992" spans="14:14" ht="15.75" customHeight="1" x14ac:dyDescent="0.2">
      <c r="N992" s="13"/>
    </row>
    <row r="993" spans="14:14" ht="15.75" customHeight="1" x14ac:dyDescent="0.2">
      <c r="N993" s="13"/>
    </row>
    <row r="994" spans="14:14" ht="15.75" customHeight="1" x14ac:dyDescent="0.2">
      <c r="N994" s="13"/>
    </row>
    <row r="995" spans="14:14" ht="15.75" customHeight="1" x14ac:dyDescent="0.2">
      <c r="N995" s="13"/>
    </row>
    <row r="996" spans="14:14" ht="15.75" customHeight="1" x14ac:dyDescent="0.2">
      <c r="N996" s="13"/>
    </row>
    <row r="997" spans="14:14" ht="15.75" customHeight="1" x14ac:dyDescent="0.2">
      <c r="N997" s="13"/>
    </row>
    <row r="998" spans="14:14" ht="15.75" customHeight="1" x14ac:dyDescent="0.2">
      <c r="N998" s="13"/>
    </row>
    <row r="999" spans="14:14" ht="15.75" customHeight="1" x14ac:dyDescent="0.2">
      <c r="N999" s="13"/>
    </row>
    <row r="1000" spans="14:14" ht="15.75" customHeight="1" x14ac:dyDescent="0.2">
      <c r="N1000" s="13"/>
    </row>
  </sheetData>
  <autoFilter ref="A1:U165" xr:uid="{CE87DBAD-FC3F-2048-947A-879F0BF70628}">
    <filterColumn colId="1">
      <filters>
        <filter val="College Physical Science"/>
        <filter val="ICCE Physical Science"/>
        <filter val="Physical Science"/>
        <filter val="Physics"/>
        <filter val="World Geography"/>
      </filters>
    </filterColumn>
  </autoFilter>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FE5B-0FB1-4FC5-9F51-FEFB05D6160B}">
  <dimension ref="A1:J37"/>
  <sheetViews>
    <sheetView zoomScale="257" zoomScaleNormal="280" workbookViewId="0">
      <pane xSplit="2" ySplit="1" topLeftCell="C8" activePane="bottomRight" state="frozen"/>
      <selection pane="topRight" activeCell="C1" sqref="C1"/>
      <selection pane="bottomLeft" activeCell="A2" sqref="A2"/>
      <selection pane="bottomRight" activeCell="F14" sqref="F14"/>
    </sheetView>
  </sheetViews>
  <sheetFormatPr baseColWidth="10" defaultColWidth="8.83203125" defaultRowHeight="15" x14ac:dyDescent="0.2"/>
  <cols>
    <col min="1" max="1" width="3.1640625" bestFit="1" customWidth="1"/>
    <col min="2" max="2" width="10.6640625" bestFit="1" customWidth="1"/>
    <col min="3" max="3" width="14" bestFit="1" customWidth="1"/>
    <col min="4" max="4" width="11" bestFit="1" customWidth="1"/>
    <col min="5" max="5" width="10.33203125" bestFit="1" customWidth="1"/>
    <col min="6" max="6" width="12" style="159" bestFit="1" customWidth="1"/>
  </cols>
  <sheetData>
    <row r="1" spans="1:10" x14ac:dyDescent="0.2">
      <c r="A1" s="37" t="s">
        <v>372</v>
      </c>
      <c r="B1" s="37" t="s">
        <v>1600</v>
      </c>
      <c r="C1" s="37" t="s">
        <v>357</v>
      </c>
      <c r="D1" s="37" t="s">
        <v>1572</v>
      </c>
      <c r="E1" s="37" t="s">
        <v>1750</v>
      </c>
      <c r="F1" s="158" t="s">
        <v>1578</v>
      </c>
      <c r="G1" s="37" t="s">
        <v>1691</v>
      </c>
    </row>
    <row r="2" spans="1:10" x14ac:dyDescent="0.2">
      <c r="A2">
        <v>1</v>
      </c>
      <c r="B2" t="s">
        <v>1618</v>
      </c>
      <c r="C2" t="s">
        <v>288</v>
      </c>
      <c r="D2" s="168">
        <v>96</v>
      </c>
      <c r="E2" s="50">
        <v>0.97499999999999998</v>
      </c>
      <c r="F2" s="159">
        <v>45933</v>
      </c>
      <c r="G2">
        <f>VLOOKUP(F2,Date!$B$2:$K$1623, 7, FALSE)</f>
        <v>1</v>
      </c>
    </row>
    <row r="3" spans="1:10" x14ac:dyDescent="0.2">
      <c r="A3">
        <v>2</v>
      </c>
      <c r="B3" t="s">
        <v>1618</v>
      </c>
      <c r="C3" t="s">
        <v>286</v>
      </c>
      <c r="D3" s="168">
        <v>95</v>
      </c>
      <c r="E3" s="170">
        <v>1</v>
      </c>
      <c r="F3" s="159">
        <v>45919</v>
      </c>
      <c r="G3">
        <f>VLOOKUP(F3,Date!$B$2:$K$1623, 7, FALSE)</f>
        <v>1</v>
      </c>
    </row>
    <row r="4" spans="1:10" x14ac:dyDescent="0.2">
      <c r="A4">
        <v>3</v>
      </c>
      <c r="B4" t="s">
        <v>1618</v>
      </c>
      <c r="C4" t="s">
        <v>286</v>
      </c>
      <c r="D4" s="168">
        <v>96</v>
      </c>
      <c r="E4" s="170">
        <v>1</v>
      </c>
      <c r="F4" s="159">
        <v>45945</v>
      </c>
      <c r="G4">
        <f>VLOOKUP(F4,Date!$B$2:$K$1623, 7, FALSE)</f>
        <v>1</v>
      </c>
    </row>
    <row r="5" spans="1:10" x14ac:dyDescent="0.2">
      <c r="A5">
        <v>4</v>
      </c>
      <c r="B5" t="s">
        <v>1618</v>
      </c>
      <c r="C5" t="s">
        <v>285</v>
      </c>
      <c r="D5" s="168">
        <v>95</v>
      </c>
      <c r="E5" s="170">
        <v>0.995</v>
      </c>
      <c r="F5" s="159">
        <v>45919</v>
      </c>
      <c r="G5">
        <f>VLOOKUP(F5,Date!$B$2:$K$1623, 7, FALSE)</f>
        <v>1</v>
      </c>
    </row>
    <row r="6" spans="1:10" x14ac:dyDescent="0.2">
      <c r="A6">
        <v>5</v>
      </c>
      <c r="B6" t="s">
        <v>1618</v>
      </c>
      <c r="C6" t="s">
        <v>285</v>
      </c>
      <c r="D6" s="168">
        <v>96</v>
      </c>
      <c r="E6" s="170">
        <v>1</v>
      </c>
      <c r="F6" s="159">
        <v>45945</v>
      </c>
      <c r="G6">
        <f>VLOOKUP(F6,Date!$B$2:$K$1623, 7, FALSE)</f>
        <v>1</v>
      </c>
    </row>
    <row r="7" spans="1:10" x14ac:dyDescent="0.2">
      <c r="A7">
        <v>6</v>
      </c>
      <c r="B7" t="s">
        <v>1618</v>
      </c>
      <c r="C7" s="46" t="s">
        <v>20</v>
      </c>
      <c r="D7" s="168">
        <v>98</v>
      </c>
      <c r="E7" s="170">
        <v>1</v>
      </c>
      <c r="F7" s="159">
        <v>45926</v>
      </c>
      <c r="G7">
        <f>VLOOKUP(F7,Date!$B$2:$K$1623, 7, FALSE)</f>
        <v>1</v>
      </c>
      <c r="J7" t="s">
        <v>1581</v>
      </c>
    </row>
    <row r="8" spans="1:10" x14ac:dyDescent="0.2">
      <c r="A8">
        <v>7</v>
      </c>
      <c r="B8" t="s">
        <v>1618</v>
      </c>
      <c r="C8" t="s">
        <v>281</v>
      </c>
      <c r="D8" s="168">
        <v>96</v>
      </c>
      <c r="E8" s="170">
        <v>0.97499999999999998</v>
      </c>
      <c r="F8" s="159">
        <v>45919</v>
      </c>
      <c r="G8">
        <f>VLOOKUP(F8,Date!$B$2:$K$1623, 7, FALSE)</f>
        <v>1</v>
      </c>
    </row>
    <row r="9" spans="1:10" x14ac:dyDescent="0.2">
      <c r="A9">
        <v>8</v>
      </c>
      <c r="B9" t="s">
        <v>1618</v>
      </c>
      <c r="C9" t="s">
        <v>1604</v>
      </c>
      <c r="D9" s="168">
        <v>97</v>
      </c>
      <c r="E9" s="170">
        <v>1</v>
      </c>
      <c r="F9" s="159">
        <v>45945</v>
      </c>
      <c r="G9">
        <f>VLOOKUP(F9,Date!$B$2:$K$1623, 7, FALSE)</f>
        <v>1</v>
      </c>
    </row>
    <row r="10" spans="1:10" x14ac:dyDescent="0.2">
      <c r="A10">
        <v>9</v>
      </c>
      <c r="B10" t="s">
        <v>1618</v>
      </c>
      <c r="C10" t="s">
        <v>143</v>
      </c>
      <c r="D10" s="168">
        <v>96</v>
      </c>
      <c r="E10" s="170">
        <v>1</v>
      </c>
      <c r="F10" s="159">
        <v>45933</v>
      </c>
      <c r="G10">
        <f>VLOOKUP(F10,Date!$B$2:$K$1623, 7, FALSE)</f>
        <v>1</v>
      </c>
    </row>
    <row r="11" spans="1:10" x14ac:dyDescent="0.2">
      <c r="A11">
        <v>10</v>
      </c>
      <c r="B11" t="s">
        <v>1618</v>
      </c>
      <c r="C11" t="s">
        <v>233</v>
      </c>
      <c r="D11" s="168">
        <v>97</v>
      </c>
      <c r="E11" s="170">
        <v>0.98</v>
      </c>
      <c r="F11" s="159">
        <v>45945</v>
      </c>
      <c r="G11">
        <f>VLOOKUP(F11,Date!$B$2:$K$1623, 7, FALSE)</f>
        <v>1</v>
      </c>
    </row>
    <row r="12" spans="1:10" x14ac:dyDescent="0.2">
      <c r="A12">
        <v>11</v>
      </c>
      <c r="B12" t="s">
        <v>1618</v>
      </c>
      <c r="C12" t="s">
        <v>272</v>
      </c>
      <c r="D12" s="168">
        <v>108</v>
      </c>
      <c r="E12" s="170">
        <v>0.99</v>
      </c>
      <c r="F12" s="159">
        <v>45926</v>
      </c>
      <c r="G12">
        <f>VLOOKUP(F12,Date!$B$2:$K$1623, 7, FALSE)</f>
        <v>1</v>
      </c>
    </row>
    <row r="13" spans="1:10" x14ac:dyDescent="0.2">
      <c r="A13">
        <v>12</v>
      </c>
      <c r="B13" t="s">
        <v>1618</v>
      </c>
      <c r="C13" t="s">
        <v>1605</v>
      </c>
      <c r="D13" s="169" t="s">
        <v>1695</v>
      </c>
      <c r="E13" s="170">
        <v>1</v>
      </c>
      <c r="F13" s="159">
        <v>45926</v>
      </c>
      <c r="G13">
        <f>VLOOKUP(F13,Date!$B$2:$K$1623, 7, FALSE)</f>
        <v>1</v>
      </c>
    </row>
    <row r="14" spans="1:10" x14ac:dyDescent="0.2">
      <c r="A14">
        <v>13</v>
      </c>
      <c r="B14" t="s">
        <v>1618</v>
      </c>
      <c r="C14" s="46" t="s">
        <v>270</v>
      </c>
      <c r="D14" s="168">
        <v>100</v>
      </c>
      <c r="E14" s="170">
        <v>0.99</v>
      </c>
      <c r="F14" s="159">
        <v>46066</v>
      </c>
      <c r="G14">
        <f>VLOOKUP(F14,Date!$B$2:$K$1623, 7, FALSE)</f>
        <v>3</v>
      </c>
    </row>
    <row r="15" spans="1:10" x14ac:dyDescent="0.2">
      <c r="A15">
        <v>14</v>
      </c>
      <c r="B15" t="s">
        <v>1618</v>
      </c>
      <c r="C15" s="46" t="s">
        <v>270</v>
      </c>
      <c r="D15" s="168">
        <v>99</v>
      </c>
      <c r="E15" s="170">
        <v>1</v>
      </c>
      <c r="F15" s="159">
        <v>46045</v>
      </c>
      <c r="G15">
        <f>VLOOKUP(F15,Date!$B$2:$K$1623, 7, FALSE)</f>
        <v>3</v>
      </c>
    </row>
    <row r="16" spans="1:10" x14ac:dyDescent="0.2">
      <c r="A16">
        <v>15</v>
      </c>
      <c r="B16" t="s">
        <v>1618</v>
      </c>
      <c r="C16" t="s">
        <v>286</v>
      </c>
      <c r="D16" s="168">
        <v>100</v>
      </c>
      <c r="E16" s="170">
        <v>1</v>
      </c>
      <c r="F16" s="159">
        <v>46065</v>
      </c>
      <c r="G16">
        <f>VLOOKUP(F16,Date!$B$2:$K$1623, 7, FALSE)</f>
        <v>3</v>
      </c>
    </row>
    <row r="17" spans="1:7" x14ac:dyDescent="0.2">
      <c r="A17">
        <v>16</v>
      </c>
      <c r="B17" t="s">
        <v>1618</v>
      </c>
      <c r="C17" t="s">
        <v>286</v>
      </c>
      <c r="D17" s="168">
        <v>99</v>
      </c>
      <c r="E17" s="170">
        <v>0.98</v>
      </c>
      <c r="F17" s="159">
        <v>46045</v>
      </c>
      <c r="G17">
        <f>VLOOKUP(F17,Date!$B$2:$K$1623, 7, FALSE)</f>
        <v>3</v>
      </c>
    </row>
    <row r="18" spans="1:7" x14ac:dyDescent="0.2">
      <c r="A18">
        <v>17</v>
      </c>
      <c r="B18" t="s">
        <v>1618</v>
      </c>
      <c r="C18" s="46" t="s">
        <v>258</v>
      </c>
      <c r="D18" s="168">
        <v>100</v>
      </c>
      <c r="E18" s="170">
        <v>0.99</v>
      </c>
      <c r="F18" s="159">
        <v>46066</v>
      </c>
      <c r="G18">
        <f>VLOOKUP(F18,Date!$B$2:$K$1623, 7, FALSE)</f>
        <v>3</v>
      </c>
    </row>
    <row r="19" spans="1:7" x14ac:dyDescent="0.2">
      <c r="A19">
        <v>18</v>
      </c>
      <c r="B19" t="s">
        <v>1618</v>
      </c>
      <c r="C19" s="46" t="s">
        <v>258</v>
      </c>
      <c r="D19" s="168">
        <v>99</v>
      </c>
      <c r="E19" s="170">
        <v>1</v>
      </c>
      <c r="F19" s="159">
        <v>46045</v>
      </c>
      <c r="G19">
        <f>VLOOKUP(F19,Date!$B$2:$K$1623, 7, FALSE)</f>
        <v>3</v>
      </c>
    </row>
    <row r="20" spans="1:7" x14ac:dyDescent="0.2">
      <c r="A20">
        <v>19</v>
      </c>
      <c r="B20" t="s">
        <v>1618</v>
      </c>
      <c r="C20" t="s">
        <v>1586</v>
      </c>
      <c r="D20" s="168">
        <v>102</v>
      </c>
      <c r="E20" s="170">
        <v>1</v>
      </c>
      <c r="F20" s="159">
        <v>46044</v>
      </c>
      <c r="G20">
        <f>VLOOKUP(F20,Date!$B$2:$K$1623, 7, FALSE)</f>
        <v>3</v>
      </c>
    </row>
    <row r="21" spans="1:7" x14ac:dyDescent="0.2">
      <c r="A21">
        <v>20</v>
      </c>
      <c r="B21" t="s">
        <v>1618</v>
      </c>
      <c r="C21" t="s">
        <v>281</v>
      </c>
      <c r="D21" s="168">
        <v>100</v>
      </c>
      <c r="E21" s="170">
        <v>1</v>
      </c>
      <c r="F21" s="159">
        <v>46066</v>
      </c>
      <c r="G21">
        <f>VLOOKUP(F21,Date!$B$2:$K$1623, 7, FALSE)</f>
        <v>3</v>
      </c>
    </row>
    <row r="22" spans="1:7" x14ac:dyDescent="0.2">
      <c r="A22">
        <v>21</v>
      </c>
      <c r="B22" t="s">
        <v>1618</v>
      </c>
      <c r="C22" t="s">
        <v>281</v>
      </c>
      <c r="D22" s="168">
        <v>99</v>
      </c>
      <c r="E22" s="170">
        <v>1</v>
      </c>
      <c r="F22" s="159">
        <v>46052</v>
      </c>
      <c r="G22">
        <f>VLOOKUP(F22,Date!$B$2:$K$1623, 7, FALSE)</f>
        <v>3</v>
      </c>
    </row>
    <row r="23" spans="1:7" x14ac:dyDescent="0.2">
      <c r="A23">
        <v>22</v>
      </c>
      <c r="B23" t="s">
        <v>1618</v>
      </c>
      <c r="C23" t="s">
        <v>246</v>
      </c>
      <c r="D23" s="168">
        <v>4</v>
      </c>
      <c r="E23" s="170">
        <v>0.92</v>
      </c>
      <c r="F23" s="159">
        <v>46072</v>
      </c>
      <c r="G23">
        <f>VLOOKUP(F23,Date!$B$2:$K$1623, 7, FALSE)</f>
        <v>3</v>
      </c>
    </row>
    <row r="24" spans="1:7" x14ac:dyDescent="0.2">
      <c r="A24">
        <v>23</v>
      </c>
      <c r="B24" t="s">
        <v>1618</v>
      </c>
      <c r="C24" t="s">
        <v>233</v>
      </c>
      <c r="D24" s="168">
        <v>100</v>
      </c>
      <c r="E24" s="170">
        <v>1</v>
      </c>
      <c r="F24" s="159">
        <v>46072</v>
      </c>
      <c r="G24">
        <f>VLOOKUP(F24,Date!$B$2:$K$1623, 7, FALSE)</f>
        <v>3</v>
      </c>
    </row>
    <row r="25" spans="1:7" x14ac:dyDescent="0.2">
      <c r="A25">
        <v>24</v>
      </c>
      <c r="B25" t="s">
        <v>1618</v>
      </c>
      <c r="C25" t="s">
        <v>233</v>
      </c>
      <c r="D25" s="168">
        <v>99</v>
      </c>
      <c r="E25" s="170">
        <v>0.97499999999999998</v>
      </c>
      <c r="F25" s="159">
        <v>46052</v>
      </c>
      <c r="G25">
        <f>VLOOKUP(F25,Date!$B$2:$K$1623, 7, FALSE)</f>
        <v>3</v>
      </c>
    </row>
    <row r="26" spans="1:7" x14ac:dyDescent="0.2">
      <c r="A26">
        <v>25</v>
      </c>
      <c r="B26" t="s">
        <v>1618</v>
      </c>
      <c r="C26" t="s">
        <v>1605</v>
      </c>
      <c r="D26" s="168" t="s">
        <v>1696</v>
      </c>
      <c r="E26" s="170">
        <v>1</v>
      </c>
      <c r="F26" s="159">
        <v>46052</v>
      </c>
      <c r="G26">
        <f>VLOOKUP(F26,Date!$B$2:$K$1623, 7, FALSE)</f>
        <v>3</v>
      </c>
    </row>
    <row r="27" spans="1:7" x14ac:dyDescent="0.2">
      <c r="A27">
        <v>26</v>
      </c>
      <c r="B27" t="s">
        <v>1618</v>
      </c>
      <c r="C27" t="s">
        <v>1605</v>
      </c>
      <c r="D27" s="168" t="s">
        <v>1697</v>
      </c>
      <c r="E27" s="170">
        <v>1</v>
      </c>
      <c r="F27" s="159">
        <v>46072</v>
      </c>
      <c r="G27">
        <f>VLOOKUP(F27,Date!$B$2:$K$1623, 7, FALSE)</f>
        <v>3</v>
      </c>
    </row>
    <row r="28" spans="1:7" x14ac:dyDescent="0.2">
      <c r="C28" s="46"/>
    </row>
    <row r="29" spans="1:7" x14ac:dyDescent="0.2">
      <c r="C29" s="46"/>
    </row>
    <row r="30" spans="1:7" x14ac:dyDescent="0.2">
      <c r="C30" s="46"/>
    </row>
    <row r="31" spans="1:7" x14ac:dyDescent="0.2">
      <c r="C31" s="46"/>
    </row>
    <row r="32" spans="1:7" x14ac:dyDescent="0.2">
      <c r="C32" s="46"/>
    </row>
    <row r="33" spans="3:3" x14ac:dyDescent="0.2">
      <c r="C33" s="46"/>
    </row>
    <row r="34" spans="3:3" x14ac:dyDescent="0.2">
      <c r="C34" s="46"/>
    </row>
    <row r="35" spans="3:3" x14ac:dyDescent="0.2">
      <c r="C35" s="46"/>
    </row>
    <row r="36" spans="3:3" x14ac:dyDescent="0.2">
      <c r="C36" s="46"/>
    </row>
    <row r="37" spans="3:3" x14ac:dyDescent="0.2">
      <c r="C37" s="46"/>
    </row>
  </sheetData>
  <autoFilter ref="A1:G28" xr:uid="{AF4EFE5B-0FB1-4FC5-9F51-FEFB05D6160B}"/>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E3BDA260-9D4A-5845-B4D2-AE6517B8FD76}">
          <x14:formula1>
            <xm:f>Course!$B$2:$B$165</xm:f>
          </x14:formula1>
          <xm:sqref>C28:C37 C7 C18:C19 C14:C15</xm:sqref>
        </x14:dataValidation>
        <x14:dataValidation type="list" showInputMessage="1" showErrorMessage="1" xr:uid="{73E5BCBC-B1A8-A047-AD1D-A791CE934D02}">
          <x14:formula1>
            <xm:f>Student!$F$2:$F$24</xm:f>
          </x14:formula1>
          <xm:sqref>B2:B28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ABFA-7DA1-FE4A-88A5-0D4AF9CAD6A9}">
  <sheetPr filterMode="1">
    <tabColor rgb="FF548135"/>
  </sheetPr>
  <dimension ref="A1:Z1358"/>
  <sheetViews>
    <sheetView workbookViewId="0">
      <pane xSplit="3" ySplit="1" topLeftCell="D809" activePane="bottomRight" state="frozen"/>
      <selection activeCell="D152" sqref="D152"/>
      <selection pane="topRight" activeCell="D152" sqref="D152"/>
      <selection pane="bottomLeft" activeCell="D152" sqref="D152"/>
      <selection pane="bottomRight" activeCell="F810" sqref="F810"/>
    </sheetView>
  </sheetViews>
  <sheetFormatPr baseColWidth="10" defaultColWidth="14.5" defaultRowHeight="15" customHeight="1" x14ac:dyDescent="0.2"/>
  <cols>
    <col min="1" max="1" width="5.33203125" style="31" customWidth="1"/>
    <col min="2" max="2" width="10.5" style="31" customWidth="1"/>
    <col min="3" max="3" width="9.83203125" style="31" customWidth="1"/>
    <col min="4" max="4" width="16.5" style="31" customWidth="1"/>
    <col min="5" max="5" width="11.5" style="31" customWidth="1"/>
    <col min="6" max="6" width="51.83203125" style="31" customWidth="1"/>
    <col min="7" max="7" width="12.6640625" style="31" customWidth="1"/>
    <col min="8" max="8" width="9.1640625" style="31" customWidth="1"/>
    <col min="9" max="10" width="13.83203125" style="31" customWidth="1"/>
    <col min="11" max="11" width="7.33203125" style="31" customWidth="1"/>
    <col min="12" max="12" width="17.6640625" style="31" customWidth="1"/>
    <col min="13" max="13" width="11.1640625" style="31" customWidth="1"/>
    <col min="14" max="14" width="51.83203125" style="31" customWidth="1"/>
    <col min="15" max="26" width="8.83203125" style="31" customWidth="1"/>
    <col min="27" max="16384" width="14.5" style="31"/>
  </cols>
  <sheetData>
    <row r="1" spans="1:26" x14ac:dyDescent="0.2">
      <c r="A1" s="34" t="s">
        <v>372</v>
      </c>
      <c r="B1" s="34" t="s">
        <v>1546</v>
      </c>
      <c r="C1" s="34" t="s">
        <v>1572</v>
      </c>
      <c r="D1" s="34" t="s">
        <v>1571</v>
      </c>
      <c r="E1" s="36" t="s">
        <v>1570</v>
      </c>
      <c r="F1" s="34" t="s">
        <v>1545</v>
      </c>
      <c r="G1" s="34" t="s">
        <v>1569</v>
      </c>
      <c r="H1" s="35" t="s">
        <v>1568</v>
      </c>
      <c r="I1" s="35" t="s">
        <v>1567</v>
      </c>
      <c r="J1" s="35" t="s">
        <v>1566</v>
      </c>
      <c r="K1" s="34" t="s">
        <v>1565</v>
      </c>
      <c r="L1" s="34" t="s">
        <v>1564</v>
      </c>
      <c r="M1" s="34" t="s">
        <v>366</v>
      </c>
      <c r="N1" s="34" t="s">
        <v>1540</v>
      </c>
      <c r="O1" s="34"/>
      <c r="P1" s="34"/>
      <c r="Q1" s="34"/>
      <c r="R1" s="34"/>
      <c r="S1" s="34"/>
      <c r="T1" s="34"/>
      <c r="U1" s="34"/>
      <c r="V1" s="34"/>
      <c r="W1" s="34"/>
      <c r="X1" s="34"/>
      <c r="Y1" s="34"/>
      <c r="Z1" s="34"/>
    </row>
    <row r="2" spans="1:26" hidden="1" x14ac:dyDescent="0.2">
      <c r="A2" s="31">
        <v>1</v>
      </c>
      <c r="B2" s="31">
        <v>1</v>
      </c>
      <c r="C2" s="31">
        <v>2</v>
      </c>
      <c r="D2" s="31" t="s">
        <v>353</v>
      </c>
      <c r="E2" s="31" t="str">
        <f>UPPER(LEFT(G2,2)) &amp; RIGHT("00" &amp; C2, 3) &amp; D2 &amp; RIGHT("0" &amp; H2, 2) &amp; K2</f>
        <v>12002RR03PT</v>
      </c>
      <c r="F2" s="31">
        <f>VLOOKUP(B2,[1]Course!$A$2:$R$329,2,FALSE)</f>
        <v>0</v>
      </c>
      <c r="G2" s="31">
        <f>VLOOKUP(B2, [1]Course!$A$2:$L$950, 8, FALSE)</f>
        <v>12</v>
      </c>
      <c r="H2" s="31">
        <v>3</v>
      </c>
      <c r="I2" s="31">
        <v>1</v>
      </c>
      <c r="K2" s="31" t="s">
        <v>1548</v>
      </c>
      <c r="L2" s="31" t="str">
        <f>VLOOKUP(B2, [1]Course!$A$1:$O$933, 14, FALSE)</f>
        <v>RR</v>
      </c>
      <c r="M2" s="31">
        <v>1</v>
      </c>
    </row>
    <row r="3" spans="1:26" hidden="1" x14ac:dyDescent="0.2">
      <c r="A3" s="31">
        <v>2</v>
      </c>
      <c r="B3" s="31">
        <v>1</v>
      </c>
      <c r="C3" s="31">
        <v>3</v>
      </c>
      <c r="D3" s="31" t="s">
        <v>353</v>
      </c>
      <c r="E3" s="31" t="str">
        <f t="shared" ref="E3:E66" si="0">UPPER(LEFT(G3,2)) &amp; RIGHT("0" &amp; C3, 2) &amp; D3 &amp; RIGHT("0" &amp; H3, 2) &amp; K3</f>
        <v>1203RR03PT</v>
      </c>
      <c r="F3" s="31">
        <f>VLOOKUP(B3,[1]Course!$A$2:$R$329,2,FALSE)</f>
        <v>0</v>
      </c>
      <c r="G3" s="31">
        <f>VLOOKUP(B3, [1]Course!$A$2:$L$950, 8, FALSE)</f>
        <v>12</v>
      </c>
      <c r="H3" s="31">
        <v>3</v>
      </c>
      <c r="I3" s="31">
        <v>1</v>
      </c>
      <c r="K3" s="31" t="s">
        <v>1548</v>
      </c>
      <c r="L3" s="31" t="str">
        <f>VLOOKUP(B3, [1]Course!$A$1:$O$933, 14, FALSE)</f>
        <v>RR</v>
      </c>
      <c r="M3" s="31">
        <v>1</v>
      </c>
    </row>
    <row r="4" spans="1:26" hidden="1" x14ac:dyDescent="0.2">
      <c r="A4" s="31">
        <v>3</v>
      </c>
      <c r="B4" s="31">
        <v>1</v>
      </c>
      <c r="C4" s="31">
        <v>4</v>
      </c>
      <c r="D4" s="31" t="s">
        <v>353</v>
      </c>
      <c r="E4" s="31" t="str">
        <f t="shared" si="0"/>
        <v>1204RR03PT</v>
      </c>
      <c r="F4" s="31">
        <f>VLOOKUP(B4,[1]Course!$A$2:$R$329,2,FALSE)</f>
        <v>0</v>
      </c>
      <c r="G4" s="31">
        <f>VLOOKUP(B4, [1]Course!$A$2:$L$950, 8, FALSE)</f>
        <v>12</v>
      </c>
      <c r="H4" s="31">
        <v>3</v>
      </c>
      <c r="I4" s="31">
        <v>1</v>
      </c>
      <c r="K4" s="31" t="s">
        <v>1548</v>
      </c>
      <c r="L4" s="31" t="str">
        <f>VLOOKUP(B4, [1]Course!$A$1:$O$933, 14, FALSE)</f>
        <v>RR</v>
      </c>
      <c r="M4" s="31">
        <v>1</v>
      </c>
    </row>
    <row r="5" spans="1:26" hidden="1" x14ac:dyDescent="0.2">
      <c r="A5" s="31">
        <v>4</v>
      </c>
      <c r="B5" s="31">
        <v>1</v>
      </c>
      <c r="C5" s="31">
        <v>5</v>
      </c>
      <c r="D5" s="31" t="s">
        <v>353</v>
      </c>
      <c r="E5" s="31" t="str">
        <f t="shared" si="0"/>
        <v>1205RR03PT</v>
      </c>
      <c r="F5" s="31">
        <f>VLOOKUP(B5,[1]Course!$A$2:$R$329,2,FALSE)</f>
        <v>0</v>
      </c>
      <c r="G5" s="31">
        <f>VLOOKUP(B5, [1]Course!$A$2:$L$950, 8, FALSE)</f>
        <v>12</v>
      </c>
      <c r="H5" s="31">
        <v>3</v>
      </c>
      <c r="I5" s="31">
        <v>1</v>
      </c>
      <c r="K5" s="31" t="s">
        <v>1548</v>
      </c>
      <c r="L5" s="31" t="str">
        <f>VLOOKUP(B5, [1]Course!$A$1:$O$933, 14, FALSE)</f>
        <v>RR</v>
      </c>
      <c r="M5" s="31">
        <v>1</v>
      </c>
    </row>
    <row r="6" spans="1:26" hidden="1" x14ac:dyDescent="0.2">
      <c r="A6" s="31">
        <v>5</v>
      </c>
      <c r="B6" s="31">
        <v>1</v>
      </c>
      <c r="C6" s="31">
        <v>6</v>
      </c>
      <c r="D6" s="31" t="s">
        <v>353</v>
      </c>
      <c r="E6" s="31" t="str">
        <f t="shared" si="0"/>
        <v>1206RR03PT</v>
      </c>
      <c r="F6" s="31">
        <f>VLOOKUP(B6,[1]Course!$A$2:$R$329,2,FALSE)</f>
        <v>0</v>
      </c>
      <c r="G6" s="31">
        <f>VLOOKUP(B6, [1]Course!$A$2:$L$950, 8, FALSE)</f>
        <v>12</v>
      </c>
      <c r="H6" s="31">
        <v>3</v>
      </c>
      <c r="I6" s="31">
        <v>1</v>
      </c>
      <c r="K6" s="31" t="s">
        <v>1548</v>
      </c>
      <c r="L6" s="31" t="str">
        <f>VLOOKUP(B6, [1]Course!$A$1:$O$933, 14, FALSE)</f>
        <v>RR</v>
      </c>
      <c r="M6" s="31">
        <v>1</v>
      </c>
    </row>
    <row r="7" spans="1:26" hidden="1" x14ac:dyDescent="0.2">
      <c r="A7" s="31">
        <v>6</v>
      </c>
      <c r="B7" s="31">
        <v>1</v>
      </c>
      <c r="C7" s="31">
        <v>7</v>
      </c>
      <c r="D7" s="31" t="s">
        <v>353</v>
      </c>
      <c r="E7" s="31" t="str">
        <f t="shared" si="0"/>
        <v>1207RR03PT</v>
      </c>
      <c r="F7" s="31">
        <f>VLOOKUP(B7,[1]Course!$A$2:$R$329,2,FALSE)</f>
        <v>0</v>
      </c>
      <c r="G7" s="31">
        <f>VLOOKUP(B7, [1]Course!$A$2:$L$950, 8, FALSE)</f>
        <v>12</v>
      </c>
      <c r="H7" s="31">
        <v>3</v>
      </c>
      <c r="I7" s="31">
        <v>1</v>
      </c>
      <c r="K7" s="31" t="s">
        <v>1548</v>
      </c>
      <c r="L7" s="31" t="str">
        <f>VLOOKUP(B7, [1]Course!$A$1:$O$933, 14, FALSE)</f>
        <v>RR</v>
      </c>
      <c r="M7" s="31">
        <v>1</v>
      </c>
    </row>
    <row r="8" spans="1:26" hidden="1" x14ac:dyDescent="0.2">
      <c r="A8" s="31">
        <v>7</v>
      </c>
      <c r="B8" s="31">
        <v>1</v>
      </c>
      <c r="C8" s="31">
        <v>8</v>
      </c>
      <c r="D8" s="31" t="s">
        <v>353</v>
      </c>
      <c r="E8" s="31" t="str">
        <f t="shared" si="0"/>
        <v>1208RR03PT</v>
      </c>
      <c r="F8" s="31">
        <f>VLOOKUP(B8,[1]Course!$A$2:$R$329,2,FALSE)</f>
        <v>0</v>
      </c>
      <c r="G8" s="31">
        <f>VLOOKUP(B8, [1]Course!$A$2:$L$950, 8, FALSE)</f>
        <v>12</v>
      </c>
      <c r="H8" s="31">
        <v>3</v>
      </c>
      <c r="I8" s="31">
        <v>1</v>
      </c>
      <c r="K8" s="31" t="s">
        <v>1548</v>
      </c>
      <c r="L8" s="31" t="str">
        <f>VLOOKUP(B8, [1]Course!$A$1:$O$933, 14, FALSE)</f>
        <v>RR</v>
      </c>
      <c r="M8" s="31">
        <v>1</v>
      </c>
    </row>
    <row r="9" spans="1:26" hidden="1" x14ac:dyDescent="0.2">
      <c r="A9" s="31">
        <v>8</v>
      </c>
      <c r="B9" s="31">
        <v>1</v>
      </c>
      <c r="C9" s="31">
        <v>9</v>
      </c>
      <c r="D9" s="31" t="s">
        <v>353</v>
      </c>
      <c r="E9" s="31" t="str">
        <f t="shared" si="0"/>
        <v>1209RR03PT</v>
      </c>
      <c r="F9" s="31">
        <f>VLOOKUP(B9,[1]Course!$A$2:$R$329,2,FALSE)</f>
        <v>0</v>
      </c>
      <c r="G9" s="31">
        <f>VLOOKUP(B9, [1]Course!$A$2:$L$950, 8, FALSE)</f>
        <v>12</v>
      </c>
      <c r="H9" s="31">
        <v>3</v>
      </c>
      <c r="I9" s="31">
        <v>1</v>
      </c>
      <c r="K9" s="31" t="s">
        <v>1548</v>
      </c>
      <c r="L9" s="31" t="str">
        <f>VLOOKUP(B9, [1]Course!$A$1:$O$933, 14, FALSE)</f>
        <v>RR</v>
      </c>
      <c r="M9" s="31">
        <v>1</v>
      </c>
    </row>
    <row r="10" spans="1:26" hidden="1" x14ac:dyDescent="0.2">
      <c r="A10" s="31">
        <v>9</v>
      </c>
      <c r="B10" s="31">
        <v>1</v>
      </c>
      <c r="C10" s="31">
        <v>10</v>
      </c>
      <c r="D10" s="31" t="s">
        <v>353</v>
      </c>
      <c r="E10" s="31" t="str">
        <f t="shared" si="0"/>
        <v>1210RR03PT</v>
      </c>
      <c r="F10" s="31">
        <f>VLOOKUP(B10,[1]Course!$A$2:$R$329,2,FALSE)</f>
        <v>0</v>
      </c>
      <c r="G10" s="31">
        <f>VLOOKUP(B10, [1]Course!$A$2:$L$950, 8, FALSE)</f>
        <v>12</v>
      </c>
      <c r="H10" s="31">
        <v>3</v>
      </c>
      <c r="I10" s="31">
        <v>1</v>
      </c>
      <c r="K10" s="31" t="s">
        <v>1548</v>
      </c>
      <c r="L10" s="31" t="str">
        <f>VLOOKUP(B10, [1]Course!$A$1:$O$933, 14, FALSE)</f>
        <v>RR</v>
      </c>
      <c r="M10" s="31">
        <v>1</v>
      </c>
    </row>
    <row r="11" spans="1:26" hidden="1" x14ac:dyDescent="0.2">
      <c r="A11" s="31">
        <v>10</v>
      </c>
      <c r="B11" s="31">
        <v>1</v>
      </c>
      <c r="C11" s="31">
        <v>11</v>
      </c>
      <c r="D11" s="31" t="s">
        <v>353</v>
      </c>
      <c r="E11" s="31" t="str">
        <f t="shared" si="0"/>
        <v>1211RR03PT</v>
      </c>
      <c r="F11" s="31">
        <f>VLOOKUP(B11,[1]Course!$A$2:$R$329,2,FALSE)</f>
        <v>0</v>
      </c>
      <c r="G11" s="31">
        <f>VLOOKUP(B11, [1]Course!$A$2:$L$950, 8, FALSE)</f>
        <v>12</v>
      </c>
      <c r="H11" s="31">
        <v>3</v>
      </c>
      <c r="I11" s="31">
        <v>3</v>
      </c>
      <c r="K11" s="31" t="s">
        <v>1548</v>
      </c>
      <c r="L11" s="31" t="str">
        <f>VLOOKUP(B11, [1]Course!$A$1:$O$933, 14, FALSE)</f>
        <v>RR</v>
      </c>
      <c r="M11" s="31">
        <v>1</v>
      </c>
    </row>
    <row r="12" spans="1:26" hidden="1" x14ac:dyDescent="0.2">
      <c r="A12" s="31">
        <v>11</v>
      </c>
      <c r="B12" s="31">
        <v>1</v>
      </c>
      <c r="C12" s="31">
        <v>12</v>
      </c>
      <c r="D12" s="31" t="s">
        <v>353</v>
      </c>
      <c r="E12" s="31" t="str">
        <f t="shared" si="0"/>
        <v>1212RR03PT</v>
      </c>
      <c r="F12" s="31">
        <f>VLOOKUP(B12,[1]Course!$A$2:$R$329,2,FALSE)</f>
        <v>0</v>
      </c>
      <c r="G12" s="31">
        <f>VLOOKUP(B12, [1]Course!$A$2:$L$950, 8, FALSE)</f>
        <v>12</v>
      </c>
      <c r="H12" s="31">
        <v>3</v>
      </c>
      <c r="I12" s="31">
        <v>2</v>
      </c>
      <c r="K12" s="31" t="s">
        <v>1548</v>
      </c>
      <c r="L12" s="31" t="str">
        <f>VLOOKUP(B12, [1]Course!$A$1:$O$933, 14, FALSE)</f>
        <v>RR</v>
      </c>
      <c r="M12" s="31">
        <v>1</v>
      </c>
    </row>
    <row r="13" spans="1:26" hidden="1" x14ac:dyDescent="0.2">
      <c r="A13" s="31">
        <v>12</v>
      </c>
      <c r="B13" s="31">
        <v>2</v>
      </c>
      <c r="C13" s="31">
        <v>1</v>
      </c>
      <c r="D13" s="31" t="s">
        <v>52</v>
      </c>
      <c r="E13" s="31" t="str">
        <f t="shared" si="0"/>
        <v>1201MA03PT</v>
      </c>
      <c r="F13" s="31">
        <f>VLOOKUP(B13,[1]Course!$A$2:$R$329,2,FALSE)</f>
        <v>0</v>
      </c>
      <c r="G13" s="31">
        <f>VLOOKUP(B13, [1]Course!$A$2:$L$950, 8, FALSE)</f>
        <v>12</v>
      </c>
      <c r="H13" s="31">
        <v>3</v>
      </c>
      <c r="I13" s="31">
        <v>1</v>
      </c>
      <c r="K13" s="31" t="s">
        <v>1548</v>
      </c>
      <c r="L13" s="31" t="str">
        <f>VLOOKUP(B13, [1]Course!$A$1:$O$933, 14, FALSE)</f>
        <v>MA</v>
      </c>
      <c r="M13" s="31">
        <v>1</v>
      </c>
    </row>
    <row r="14" spans="1:26" hidden="1" x14ac:dyDescent="0.2">
      <c r="A14" s="31">
        <v>13</v>
      </c>
      <c r="B14" s="31">
        <v>2</v>
      </c>
      <c r="C14" s="31">
        <v>2</v>
      </c>
      <c r="D14" s="31" t="s">
        <v>52</v>
      </c>
      <c r="E14" s="31" t="str">
        <f t="shared" si="0"/>
        <v>1202MA03PT</v>
      </c>
      <c r="F14" s="31">
        <f>VLOOKUP(B14,[1]Course!$A$2:$R$329,2,FALSE)</f>
        <v>0</v>
      </c>
      <c r="G14" s="31">
        <f>VLOOKUP(B14, [1]Course!$A$2:$L$950, 8, FALSE)</f>
        <v>12</v>
      </c>
      <c r="H14" s="31">
        <v>3</v>
      </c>
      <c r="I14" s="31">
        <v>2</v>
      </c>
      <c r="K14" s="31" t="s">
        <v>1548</v>
      </c>
      <c r="L14" s="31" t="str">
        <f>VLOOKUP(B14, [1]Course!$A$1:$O$933, 14, FALSE)</f>
        <v>MA</v>
      </c>
      <c r="M14" s="31">
        <v>1</v>
      </c>
    </row>
    <row r="15" spans="1:26" hidden="1" x14ac:dyDescent="0.2">
      <c r="A15" s="31">
        <v>14</v>
      </c>
      <c r="B15" s="31">
        <v>2</v>
      </c>
      <c r="C15" s="31">
        <v>3</v>
      </c>
      <c r="D15" s="31" t="s">
        <v>52</v>
      </c>
      <c r="E15" s="31" t="str">
        <f t="shared" si="0"/>
        <v>1203MA03PT</v>
      </c>
      <c r="F15" s="31">
        <f>VLOOKUP(B15,[1]Course!$A$2:$R$329,2,FALSE)</f>
        <v>0</v>
      </c>
      <c r="G15" s="31">
        <f>VLOOKUP(B15, [1]Course!$A$2:$L$950, 8, FALSE)</f>
        <v>12</v>
      </c>
      <c r="H15" s="31">
        <v>3</v>
      </c>
      <c r="I15" s="31">
        <v>2</v>
      </c>
      <c r="K15" s="31" t="s">
        <v>1548</v>
      </c>
      <c r="L15" s="31" t="str">
        <f>VLOOKUP(B15, [1]Course!$A$1:$O$933, 14, FALSE)</f>
        <v>MA</v>
      </c>
      <c r="M15" s="31">
        <v>1</v>
      </c>
    </row>
    <row r="16" spans="1:26" hidden="1" x14ac:dyDescent="0.2">
      <c r="A16" s="31">
        <v>15</v>
      </c>
      <c r="B16" s="31">
        <v>2</v>
      </c>
      <c r="C16" s="31">
        <v>4</v>
      </c>
      <c r="D16" s="31" t="s">
        <v>52</v>
      </c>
      <c r="E16" s="31" t="str">
        <f t="shared" si="0"/>
        <v>1204MA03PT</v>
      </c>
      <c r="F16" s="31">
        <f>VLOOKUP(B16,[1]Course!$A$2:$R$329,2,FALSE)</f>
        <v>0</v>
      </c>
      <c r="G16" s="31">
        <f>VLOOKUP(B16, [1]Course!$A$2:$L$950, 8, FALSE)</f>
        <v>12</v>
      </c>
      <c r="H16" s="31">
        <v>3</v>
      </c>
      <c r="I16" s="31">
        <v>2</v>
      </c>
      <c r="K16" s="31" t="s">
        <v>1548</v>
      </c>
      <c r="L16" s="31" t="str">
        <f>VLOOKUP(B16, [1]Course!$A$1:$O$933, 14, FALSE)</f>
        <v>MA</v>
      </c>
      <c r="M16" s="31">
        <v>1</v>
      </c>
    </row>
    <row r="17" spans="1:14" hidden="1" x14ac:dyDescent="0.2">
      <c r="A17" s="31">
        <v>16</v>
      </c>
      <c r="B17" s="31">
        <v>2</v>
      </c>
      <c r="C17" s="31">
        <v>5</v>
      </c>
      <c r="D17" s="31" t="s">
        <v>52</v>
      </c>
      <c r="E17" s="31" t="str">
        <f t="shared" si="0"/>
        <v>1205MA03PT</v>
      </c>
      <c r="F17" s="31">
        <f>VLOOKUP(B17,[1]Course!$A$2:$R$329,2,FALSE)</f>
        <v>0</v>
      </c>
      <c r="G17" s="31">
        <f>VLOOKUP(B17, [1]Course!$A$2:$L$950, 8, FALSE)</f>
        <v>12</v>
      </c>
      <c r="H17" s="31">
        <v>3</v>
      </c>
      <c r="I17" s="31">
        <v>2</v>
      </c>
      <c r="K17" s="31" t="s">
        <v>1548</v>
      </c>
      <c r="L17" s="31" t="str">
        <f>VLOOKUP(B17, [1]Course!$A$1:$O$933, 14, FALSE)</f>
        <v>MA</v>
      </c>
      <c r="M17" s="31">
        <v>1</v>
      </c>
    </row>
    <row r="18" spans="1:14" hidden="1" x14ac:dyDescent="0.2">
      <c r="A18" s="31">
        <v>17</v>
      </c>
      <c r="B18" s="31">
        <v>2</v>
      </c>
      <c r="C18" s="31">
        <v>6</v>
      </c>
      <c r="D18" s="31" t="s">
        <v>52</v>
      </c>
      <c r="E18" s="31" t="str">
        <f t="shared" si="0"/>
        <v>1206MA03PT</v>
      </c>
      <c r="F18" s="31">
        <f>VLOOKUP(B18,[1]Course!$A$2:$R$329,2,FALSE)</f>
        <v>0</v>
      </c>
      <c r="G18" s="31">
        <f>VLOOKUP(B18, [1]Course!$A$2:$L$950, 8, FALSE)</f>
        <v>12</v>
      </c>
      <c r="H18" s="31">
        <v>3</v>
      </c>
      <c r="I18" s="31">
        <v>2</v>
      </c>
      <c r="K18" s="31" t="s">
        <v>1548</v>
      </c>
      <c r="L18" s="31" t="str">
        <f>VLOOKUP(B18, [1]Course!$A$1:$O$933, 14, FALSE)</f>
        <v>MA</v>
      </c>
      <c r="M18" s="31">
        <v>1</v>
      </c>
    </row>
    <row r="19" spans="1:14" hidden="1" x14ac:dyDescent="0.2">
      <c r="A19" s="31">
        <v>18</v>
      </c>
      <c r="B19" s="31">
        <v>2</v>
      </c>
      <c r="C19" s="31">
        <v>7</v>
      </c>
      <c r="D19" s="31" t="s">
        <v>52</v>
      </c>
      <c r="E19" s="31" t="str">
        <f t="shared" si="0"/>
        <v>1207MA03PT</v>
      </c>
      <c r="F19" s="31">
        <f>VLOOKUP(B19,[1]Course!$A$2:$R$329,2,FALSE)</f>
        <v>0</v>
      </c>
      <c r="G19" s="31">
        <f>VLOOKUP(B19, [1]Course!$A$2:$L$950, 8, FALSE)</f>
        <v>12</v>
      </c>
      <c r="H19" s="31">
        <v>3</v>
      </c>
      <c r="I19" s="31">
        <v>2</v>
      </c>
      <c r="K19" s="31" t="s">
        <v>1548</v>
      </c>
      <c r="L19" s="31" t="str">
        <f>VLOOKUP(B19, [1]Course!$A$1:$O$933, 14, FALSE)</f>
        <v>MA</v>
      </c>
      <c r="M19" s="31">
        <v>1</v>
      </c>
    </row>
    <row r="20" spans="1:14" hidden="1" x14ac:dyDescent="0.2">
      <c r="A20" s="31">
        <v>19</v>
      </c>
      <c r="B20" s="31">
        <v>2</v>
      </c>
      <c r="C20" s="31">
        <v>8</v>
      </c>
      <c r="D20" s="31" t="s">
        <v>52</v>
      </c>
      <c r="E20" s="31" t="str">
        <f t="shared" si="0"/>
        <v>1208MA03PT</v>
      </c>
      <c r="F20" s="31">
        <f>VLOOKUP(B20,[1]Course!$A$2:$R$329,2,FALSE)</f>
        <v>0</v>
      </c>
      <c r="G20" s="31">
        <f>VLOOKUP(B20, [1]Course!$A$2:$L$950, 8, FALSE)</f>
        <v>12</v>
      </c>
      <c r="H20" s="31">
        <v>3</v>
      </c>
      <c r="I20" s="31">
        <v>2</v>
      </c>
      <c r="K20" s="31" t="s">
        <v>1548</v>
      </c>
      <c r="L20" s="31" t="str">
        <f>VLOOKUP(B20, [1]Course!$A$1:$O$933, 14, FALSE)</f>
        <v>MA</v>
      </c>
      <c r="M20" s="31">
        <v>1</v>
      </c>
    </row>
    <row r="21" spans="1:14" ht="15.75" hidden="1" customHeight="1" x14ac:dyDescent="0.2">
      <c r="A21" s="31">
        <v>20</v>
      </c>
      <c r="B21" s="31">
        <v>2</v>
      </c>
      <c r="C21" s="31">
        <v>9</v>
      </c>
      <c r="D21" s="31" t="s">
        <v>52</v>
      </c>
      <c r="E21" s="31" t="str">
        <f t="shared" si="0"/>
        <v>1209MA03PT</v>
      </c>
      <c r="F21" s="31">
        <f>VLOOKUP(B21,[1]Course!$A$2:$R$329,2,FALSE)</f>
        <v>0</v>
      </c>
      <c r="G21" s="31">
        <f>VLOOKUP(B21, [1]Course!$A$2:$L$950, 8, FALSE)</f>
        <v>12</v>
      </c>
      <c r="H21" s="31">
        <v>3</v>
      </c>
      <c r="I21" s="31">
        <v>2</v>
      </c>
      <c r="K21" s="31" t="s">
        <v>1548</v>
      </c>
      <c r="L21" s="31" t="str">
        <f>VLOOKUP(B21, [1]Course!$A$1:$O$933, 14, FALSE)</f>
        <v>MA</v>
      </c>
      <c r="M21" s="31">
        <v>1</v>
      </c>
    </row>
    <row r="22" spans="1:14" ht="15.75" hidden="1" customHeight="1" x14ac:dyDescent="0.2">
      <c r="A22" s="31">
        <v>21</v>
      </c>
      <c r="B22" s="31">
        <v>2</v>
      </c>
      <c r="C22" s="31">
        <v>10</v>
      </c>
      <c r="D22" s="31" t="s">
        <v>52</v>
      </c>
      <c r="E22" s="31" t="str">
        <f t="shared" si="0"/>
        <v>1210MA03PT</v>
      </c>
      <c r="F22" s="31">
        <f>VLOOKUP(B22,[1]Course!$A$2:$R$329,2,FALSE)</f>
        <v>0</v>
      </c>
      <c r="G22" s="31">
        <f>VLOOKUP(B22, [1]Course!$A$2:$L$950, 8, FALSE)</f>
        <v>12</v>
      </c>
      <c r="H22" s="31">
        <v>3</v>
      </c>
      <c r="I22" s="31">
        <v>2</v>
      </c>
      <c r="K22" s="31" t="s">
        <v>1548</v>
      </c>
      <c r="L22" s="31" t="str">
        <f>VLOOKUP(B22, [1]Course!$A$1:$O$933, 14, FALSE)</f>
        <v>MA</v>
      </c>
      <c r="M22" s="31">
        <v>1</v>
      </c>
    </row>
    <row r="23" spans="1:14" ht="15.75" hidden="1" customHeight="1" x14ac:dyDescent="0.2">
      <c r="A23" s="31">
        <v>22</v>
      </c>
      <c r="B23" s="31">
        <v>2</v>
      </c>
      <c r="C23" s="31">
        <v>11</v>
      </c>
      <c r="D23" s="31" t="s">
        <v>52</v>
      </c>
      <c r="E23" s="31" t="str">
        <f t="shared" si="0"/>
        <v>1211MA03PT</v>
      </c>
      <c r="F23" s="31">
        <f>VLOOKUP(B23,[1]Course!$A$2:$R$329,2,FALSE)</f>
        <v>0</v>
      </c>
      <c r="G23" s="31">
        <f>VLOOKUP(B23, [1]Course!$A$2:$L$950, 8, FALSE)</f>
        <v>12</v>
      </c>
      <c r="H23" s="31">
        <v>3</v>
      </c>
      <c r="I23" s="31">
        <v>2</v>
      </c>
      <c r="K23" s="31" t="s">
        <v>1548</v>
      </c>
      <c r="L23" s="31" t="str">
        <f>VLOOKUP(B23, [1]Course!$A$1:$O$933, 14, FALSE)</f>
        <v>MA</v>
      </c>
      <c r="M23" s="31">
        <v>1</v>
      </c>
    </row>
    <row r="24" spans="1:14" ht="15.75" hidden="1" customHeight="1" x14ac:dyDescent="0.2">
      <c r="A24" s="31">
        <v>23</v>
      </c>
      <c r="B24" s="31">
        <v>2</v>
      </c>
      <c r="C24" s="31">
        <v>12</v>
      </c>
      <c r="D24" s="31" t="s">
        <v>52</v>
      </c>
      <c r="E24" s="31" t="str">
        <f t="shared" si="0"/>
        <v>1212MA03PT</v>
      </c>
      <c r="F24" s="31">
        <f>VLOOKUP(B24,[1]Course!$A$2:$R$329,2,FALSE)</f>
        <v>0</v>
      </c>
      <c r="G24" s="31">
        <f>VLOOKUP(B24, [1]Course!$A$2:$L$950, 8, FALSE)</f>
        <v>12</v>
      </c>
      <c r="H24" s="31">
        <v>3</v>
      </c>
      <c r="I24" s="31">
        <v>2</v>
      </c>
      <c r="K24" s="31" t="s">
        <v>1548</v>
      </c>
      <c r="L24" s="31" t="str">
        <f>VLOOKUP(B24, [1]Course!$A$1:$O$933, 14, FALSE)</f>
        <v>MA</v>
      </c>
      <c r="M24" s="31">
        <v>1</v>
      </c>
      <c r="N24" s="33"/>
    </row>
    <row r="25" spans="1:14" ht="15.75" hidden="1" customHeight="1" x14ac:dyDescent="0.2">
      <c r="A25" s="31">
        <v>24</v>
      </c>
      <c r="B25" s="31">
        <v>3</v>
      </c>
      <c r="C25" s="31">
        <v>1</v>
      </c>
      <c r="D25" s="31" t="s">
        <v>155</v>
      </c>
      <c r="E25" s="31" t="str">
        <f t="shared" si="0"/>
        <v>1201EN03PT</v>
      </c>
      <c r="F25" s="31">
        <f>VLOOKUP(B25,[1]Course!$A$2:$R$329,2,FALSE)</f>
        <v>0</v>
      </c>
      <c r="G25" s="31">
        <f>VLOOKUP(B25, [1]Course!$A$2:$L$950, 8, FALSE)</f>
        <v>12</v>
      </c>
      <c r="H25" s="31">
        <v>3</v>
      </c>
      <c r="I25" s="31">
        <v>3</v>
      </c>
      <c r="K25" s="31" t="s">
        <v>1548</v>
      </c>
      <c r="L25" s="31" t="str">
        <f>VLOOKUP(B25, [1]Course!$A$1:$O$933, 14, FALSE)</f>
        <v>EN</v>
      </c>
      <c r="M25" s="31">
        <v>1</v>
      </c>
    </row>
    <row r="26" spans="1:14" ht="15.75" hidden="1" customHeight="1" x14ac:dyDescent="0.2">
      <c r="A26" s="31">
        <v>25</v>
      </c>
      <c r="B26" s="31">
        <v>3</v>
      </c>
      <c r="C26" s="31">
        <v>2</v>
      </c>
      <c r="D26" s="31" t="s">
        <v>155</v>
      </c>
      <c r="E26" s="31" t="str">
        <f t="shared" si="0"/>
        <v>1202EN03PT</v>
      </c>
      <c r="F26" s="31">
        <f>VLOOKUP(B26,[1]Course!$A$2:$R$329,2,FALSE)</f>
        <v>0</v>
      </c>
      <c r="G26" s="31">
        <f>VLOOKUP(B26, [1]Course!$A$2:$L$950, 8, FALSE)</f>
        <v>12</v>
      </c>
      <c r="H26" s="31">
        <v>3</v>
      </c>
      <c r="I26" s="31">
        <v>2</v>
      </c>
      <c r="K26" s="31" t="s">
        <v>1548</v>
      </c>
      <c r="L26" s="31" t="str">
        <f>VLOOKUP(B26, [1]Course!$A$1:$O$933, 14, FALSE)</f>
        <v>EN</v>
      </c>
      <c r="M26" s="31">
        <v>1</v>
      </c>
    </row>
    <row r="27" spans="1:14" ht="15.75" hidden="1" customHeight="1" x14ac:dyDescent="0.2">
      <c r="A27" s="31">
        <v>26</v>
      </c>
      <c r="B27" s="31">
        <v>3</v>
      </c>
      <c r="C27" s="31">
        <v>3</v>
      </c>
      <c r="D27" s="31" t="s">
        <v>155</v>
      </c>
      <c r="E27" s="31" t="str">
        <f t="shared" si="0"/>
        <v>1203EN03PT</v>
      </c>
      <c r="F27" s="31">
        <f>VLOOKUP(B27,[1]Course!$A$2:$R$329,2,FALSE)</f>
        <v>0</v>
      </c>
      <c r="G27" s="31">
        <f>VLOOKUP(B27, [1]Course!$A$2:$L$950, 8, FALSE)</f>
        <v>12</v>
      </c>
      <c r="H27" s="31">
        <v>3</v>
      </c>
      <c r="I27" s="31">
        <v>2</v>
      </c>
      <c r="K27" s="31" t="s">
        <v>1548</v>
      </c>
      <c r="L27" s="31" t="str">
        <f>VLOOKUP(B27, [1]Course!$A$1:$O$933, 14, FALSE)</f>
        <v>EN</v>
      </c>
      <c r="M27" s="31">
        <v>1</v>
      </c>
    </row>
    <row r="28" spans="1:14" ht="15.75" hidden="1" customHeight="1" x14ac:dyDescent="0.2">
      <c r="A28" s="31">
        <v>27</v>
      </c>
      <c r="B28" s="31">
        <v>3</v>
      </c>
      <c r="C28" s="31">
        <v>4</v>
      </c>
      <c r="D28" s="31" t="s">
        <v>155</v>
      </c>
      <c r="E28" s="31" t="str">
        <f t="shared" si="0"/>
        <v>1204EN03PT</v>
      </c>
      <c r="F28" s="31">
        <f>VLOOKUP(B28,[1]Course!$A$2:$R$329,2,FALSE)</f>
        <v>0</v>
      </c>
      <c r="G28" s="31">
        <f>VLOOKUP(B28, [1]Course!$A$2:$L$950, 8, FALSE)</f>
        <v>12</v>
      </c>
      <c r="H28" s="31">
        <v>3</v>
      </c>
      <c r="I28" s="31">
        <v>2</v>
      </c>
      <c r="K28" s="31" t="s">
        <v>1548</v>
      </c>
      <c r="L28" s="31" t="str">
        <f>VLOOKUP(B28, [1]Course!$A$1:$O$933, 14, FALSE)</f>
        <v>EN</v>
      </c>
      <c r="M28" s="31">
        <v>1</v>
      </c>
    </row>
    <row r="29" spans="1:14" ht="15.75" hidden="1" customHeight="1" x14ac:dyDescent="0.2">
      <c r="A29" s="31">
        <v>28</v>
      </c>
      <c r="B29" s="31">
        <v>3</v>
      </c>
      <c r="C29" s="31">
        <v>5</v>
      </c>
      <c r="D29" s="31" t="s">
        <v>155</v>
      </c>
      <c r="E29" s="31" t="str">
        <f t="shared" si="0"/>
        <v>1205EN03PT</v>
      </c>
      <c r="F29" s="31">
        <f>VLOOKUP(B29,[1]Course!$A$2:$R$329,2,FALSE)</f>
        <v>0</v>
      </c>
      <c r="G29" s="31">
        <f>VLOOKUP(B29, [1]Course!$A$2:$L$950, 8, FALSE)</f>
        <v>12</v>
      </c>
      <c r="H29" s="31">
        <v>3</v>
      </c>
      <c r="I29" s="31">
        <v>2</v>
      </c>
      <c r="K29" s="31" t="s">
        <v>1548</v>
      </c>
      <c r="L29" s="31" t="str">
        <f>VLOOKUP(B29, [1]Course!$A$1:$O$933, 14, FALSE)</f>
        <v>EN</v>
      </c>
      <c r="M29" s="31">
        <v>1</v>
      </c>
    </row>
    <row r="30" spans="1:14" ht="15.75" hidden="1" customHeight="1" x14ac:dyDescent="0.2">
      <c r="A30" s="31">
        <v>29</v>
      </c>
      <c r="B30" s="31">
        <v>3</v>
      </c>
      <c r="C30" s="31">
        <v>6</v>
      </c>
      <c r="D30" s="31" t="s">
        <v>155</v>
      </c>
      <c r="E30" s="31" t="str">
        <f t="shared" si="0"/>
        <v>1206EN03PT</v>
      </c>
      <c r="F30" s="31">
        <f>VLOOKUP(B30,[1]Course!$A$2:$R$329,2,FALSE)</f>
        <v>0</v>
      </c>
      <c r="G30" s="31">
        <f>VLOOKUP(B30, [1]Course!$A$2:$L$950, 8, FALSE)</f>
        <v>12</v>
      </c>
      <c r="H30" s="31">
        <v>3</v>
      </c>
      <c r="I30" s="31">
        <v>2</v>
      </c>
      <c r="K30" s="31" t="s">
        <v>1548</v>
      </c>
      <c r="L30" s="31" t="str">
        <f>VLOOKUP(B30, [1]Course!$A$1:$O$933, 14, FALSE)</f>
        <v>EN</v>
      </c>
      <c r="M30" s="31">
        <v>1</v>
      </c>
    </row>
    <row r="31" spans="1:14" ht="15.75" hidden="1" customHeight="1" x14ac:dyDescent="0.2">
      <c r="A31" s="31">
        <v>30</v>
      </c>
      <c r="B31" s="31">
        <v>3</v>
      </c>
      <c r="C31" s="31">
        <v>7</v>
      </c>
      <c r="D31" s="31" t="s">
        <v>155</v>
      </c>
      <c r="E31" s="31" t="str">
        <f t="shared" si="0"/>
        <v>1207EN03PT</v>
      </c>
      <c r="F31" s="31">
        <f>VLOOKUP(B31,[1]Course!$A$2:$R$329,2,FALSE)</f>
        <v>0</v>
      </c>
      <c r="G31" s="31">
        <f>VLOOKUP(B31, [1]Course!$A$2:$L$950, 8, FALSE)</f>
        <v>12</v>
      </c>
      <c r="H31" s="31">
        <v>3</v>
      </c>
      <c r="I31" s="31">
        <v>2</v>
      </c>
      <c r="K31" s="31" t="s">
        <v>1548</v>
      </c>
      <c r="L31" s="31" t="str">
        <f>VLOOKUP(B31, [1]Course!$A$1:$O$933, 14, FALSE)</f>
        <v>EN</v>
      </c>
      <c r="M31" s="31">
        <v>1</v>
      </c>
    </row>
    <row r="32" spans="1:14" ht="15.75" hidden="1" customHeight="1" x14ac:dyDescent="0.2">
      <c r="A32" s="31">
        <v>31</v>
      </c>
      <c r="B32" s="31">
        <v>3</v>
      </c>
      <c r="C32" s="31">
        <v>8</v>
      </c>
      <c r="D32" s="31" t="s">
        <v>155</v>
      </c>
      <c r="E32" s="31" t="str">
        <f t="shared" si="0"/>
        <v>1208EN03PT</v>
      </c>
      <c r="F32" s="31">
        <f>VLOOKUP(B32,[1]Course!$A$2:$R$329,2,FALSE)</f>
        <v>0</v>
      </c>
      <c r="G32" s="31">
        <f>VLOOKUP(B32, [1]Course!$A$2:$L$950, 8, FALSE)</f>
        <v>12</v>
      </c>
      <c r="H32" s="31">
        <v>3</v>
      </c>
      <c r="I32" s="31">
        <v>2</v>
      </c>
      <c r="K32" s="31" t="s">
        <v>1548</v>
      </c>
      <c r="L32" s="31" t="str">
        <f>VLOOKUP(B32, [1]Course!$A$1:$O$933, 14, FALSE)</f>
        <v>EN</v>
      </c>
      <c r="M32" s="31">
        <v>1</v>
      </c>
    </row>
    <row r="33" spans="1:13" ht="15.75" hidden="1" customHeight="1" x14ac:dyDescent="0.2">
      <c r="A33" s="31">
        <v>32</v>
      </c>
      <c r="B33" s="31">
        <v>3</v>
      </c>
      <c r="C33" s="31">
        <v>9</v>
      </c>
      <c r="D33" s="31" t="s">
        <v>155</v>
      </c>
      <c r="E33" s="31" t="str">
        <f t="shared" si="0"/>
        <v>1209EN03PT</v>
      </c>
      <c r="F33" s="31">
        <f>VLOOKUP(B33,[1]Course!$A$2:$R$329,2,FALSE)</f>
        <v>0</v>
      </c>
      <c r="G33" s="31">
        <f>VLOOKUP(B33, [1]Course!$A$2:$L$950, 8, FALSE)</f>
        <v>12</v>
      </c>
      <c r="H33" s="31">
        <v>3</v>
      </c>
      <c r="I33" s="31">
        <v>2</v>
      </c>
      <c r="K33" s="31" t="s">
        <v>1548</v>
      </c>
      <c r="L33" s="31" t="str">
        <f>VLOOKUP(B33, [1]Course!$A$1:$O$933, 14, FALSE)</f>
        <v>EN</v>
      </c>
      <c r="M33" s="31">
        <v>1</v>
      </c>
    </row>
    <row r="34" spans="1:13" ht="15.75" hidden="1" customHeight="1" x14ac:dyDescent="0.2">
      <c r="A34" s="31">
        <v>33</v>
      </c>
      <c r="B34" s="31">
        <v>3</v>
      </c>
      <c r="C34" s="31">
        <v>10</v>
      </c>
      <c r="D34" s="31" t="s">
        <v>155</v>
      </c>
      <c r="E34" s="31" t="str">
        <f t="shared" si="0"/>
        <v>1210EN03PT</v>
      </c>
      <c r="F34" s="31">
        <f>VLOOKUP(B34,[1]Course!$A$2:$R$329,2,FALSE)</f>
        <v>0</v>
      </c>
      <c r="G34" s="31">
        <f>VLOOKUP(B34, [1]Course!$A$2:$L$950, 8, FALSE)</f>
        <v>12</v>
      </c>
      <c r="H34" s="31">
        <v>3</v>
      </c>
      <c r="I34" s="31">
        <v>2</v>
      </c>
      <c r="K34" s="31" t="s">
        <v>1548</v>
      </c>
      <c r="L34" s="31" t="str">
        <f>VLOOKUP(B34, [1]Course!$A$1:$O$933, 14, FALSE)</f>
        <v>EN</v>
      </c>
      <c r="M34" s="31">
        <v>1</v>
      </c>
    </row>
    <row r="35" spans="1:13" ht="15.75" hidden="1" customHeight="1" x14ac:dyDescent="0.2">
      <c r="A35" s="31">
        <v>34</v>
      </c>
      <c r="B35" s="31">
        <v>3</v>
      </c>
      <c r="C35" s="31">
        <v>11</v>
      </c>
      <c r="D35" s="31" t="s">
        <v>155</v>
      </c>
      <c r="E35" s="31" t="str">
        <f t="shared" si="0"/>
        <v>1211EN03PT</v>
      </c>
      <c r="F35" s="31">
        <f>VLOOKUP(B35,[1]Course!$A$2:$R$329,2,FALSE)</f>
        <v>0</v>
      </c>
      <c r="G35" s="31">
        <f>VLOOKUP(B35, [1]Course!$A$2:$L$950, 8, FALSE)</f>
        <v>12</v>
      </c>
      <c r="H35" s="31">
        <v>3</v>
      </c>
      <c r="I35" s="31">
        <v>2</v>
      </c>
      <c r="K35" s="31" t="s">
        <v>1548</v>
      </c>
      <c r="L35" s="31" t="str">
        <f>VLOOKUP(B35, [1]Course!$A$1:$O$933, 14, FALSE)</f>
        <v>EN</v>
      </c>
      <c r="M35" s="31">
        <v>1</v>
      </c>
    </row>
    <row r="36" spans="1:13" ht="15.75" hidden="1" customHeight="1" x14ac:dyDescent="0.2">
      <c r="A36" s="31">
        <v>35</v>
      </c>
      <c r="B36" s="31">
        <v>3</v>
      </c>
      <c r="C36" s="31">
        <v>12</v>
      </c>
      <c r="D36" s="31" t="s">
        <v>155</v>
      </c>
      <c r="E36" s="31" t="str">
        <f t="shared" si="0"/>
        <v>1212EN03PT</v>
      </c>
      <c r="F36" s="31">
        <f>VLOOKUP(B36,[1]Course!$A$2:$R$329,2,FALSE)</f>
        <v>0</v>
      </c>
      <c r="G36" s="31">
        <f>VLOOKUP(B36, [1]Course!$A$2:$L$950, 8, FALSE)</f>
        <v>12</v>
      </c>
      <c r="H36" s="31">
        <v>3</v>
      </c>
      <c r="I36" s="31">
        <v>2</v>
      </c>
      <c r="K36" s="31" t="s">
        <v>1548</v>
      </c>
      <c r="L36" s="31" t="str">
        <f>VLOOKUP(B36, [1]Course!$A$1:$O$933, 14, FALSE)</f>
        <v>EN</v>
      </c>
      <c r="M36" s="31">
        <v>1</v>
      </c>
    </row>
    <row r="37" spans="1:13" ht="15.75" hidden="1" customHeight="1" x14ac:dyDescent="0.2">
      <c r="A37" s="31">
        <v>36</v>
      </c>
      <c r="B37" s="31">
        <v>4</v>
      </c>
      <c r="C37" s="31">
        <v>1</v>
      </c>
      <c r="D37" s="31" t="s">
        <v>284</v>
      </c>
      <c r="E37" s="31" t="str">
        <f t="shared" si="0"/>
        <v>1201WB03PT</v>
      </c>
      <c r="F37" s="31">
        <f>VLOOKUP(B37,[1]Course!$A$2:$R$329,2,FALSE)</f>
        <v>0</v>
      </c>
      <c r="G37" s="31">
        <f>VLOOKUP(B37, [1]Course!$A$2:$L$950, 8, FALSE)</f>
        <v>12</v>
      </c>
      <c r="H37" s="31">
        <v>3</v>
      </c>
      <c r="I37" s="31">
        <v>3</v>
      </c>
      <c r="K37" s="31" t="s">
        <v>1548</v>
      </c>
      <c r="L37" s="31" t="str">
        <f>VLOOKUP(B37, [1]Course!$A$1:$O$933, 14, FALSE)</f>
        <v>WB</v>
      </c>
      <c r="M37" s="31">
        <v>1</v>
      </c>
    </row>
    <row r="38" spans="1:13" ht="15.75" hidden="1" customHeight="1" x14ac:dyDescent="0.2">
      <c r="A38" s="31">
        <v>37</v>
      </c>
      <c r="B38" s="31">
        <v>4</v>
      </c>
      <c r="C38" s="31">
        <v>2</v>
      </c>
      <c r="D38" s="31" t="s">
        <v>284</v>
      </c>
      <c r="E38" s="31" t="str">
        <f t="shared" si="0"/>
        <v>1202WB03PT</v>
      </c>
      <c r="F38" s="31">
        <f>VLOOKUP(B38,[1]Course!$A$2:$R$329,2,FALSE)</f>
        <v>0</v>
      </c>
      <c r="G38" s="31">
        <f>VLOOKUP(B38, [1]Course!$A$2:$L$950, 8, FALSE)</f>
        <v>12</v>
      </c>
      <c r="H38" s="31">
        <v>3</v>
      </c>
      <c r="I38" s="31">
        <v>2</v>
      </c>
      <c r="K38" s="31" t="s">
        <v>1548</v>
      </c>
      <c r="L38" s="31" t="str">
        <f>VLOOKUP(B38, [1]Course!$A$1:$O$933, 14, FALSE)</f>
        <v>WB</v>
      </c>
      <c r="M38" s="31">
        <v>1</v>
      </c>
    </row>
    <row r="39" spans="1:13" ht="15.75" hidden="1" customHeight="1" x14ac:dyDescent="0.2">
      <c r="A39" s="31">
        <v>38</v>
      </c>
      <c r="B39" s="31">
        <v>4</v>
      </c>
      <c r="C39" s="31">
        <v>3</v>
      </c>
      <c r="D39" s="31" t="s">
        <v>284</v>
      </c>
      <c r="E39" s="31" t="str">
        <f t="shared" si="0"/>
        <v>1203WB03PT</v>
      </c>
      <c r="F39" s="31">
        <f>VLOOKUP(B39,[1]Course!$A$2:$R$329,2,FALSE)</f>
        <v>0</v>
      </c>
      <c r="G39" s="31">
        <f>VLOOKUP(B39, [1]Course!$A$2:$L$950, 8, FALSE)</f>
        <v>12</v>
      </c>
      <c r="H39" s="31">
        <v>3</v>
      </c>
      <c r="I39" s="31">
        <v>2</v>
      </c>
      <c r="K39" s="31" t="s">
        <v>1548</v>
      </c>
      <c r="L39" s="31" t="str">
        <f>VLOOKUP(B39, [1]Course!$A$1:$O$933, 14, FALSE)</f>
        <v>WB</v>
      </c>
      <c r="M39" s="31">
        <v>1</v>
      </c>
    </row>
    <row r="40" spans="1:13" ht="15.75" hidden="1" customHeight="1" x14ac:dyDescent="0.2">
      <c r="A40" s="31">
        <v>39</v>
      </c>
      <c r="B40" s="31">
        <v>4</v>
      </c>
      <c r="C40" s="31">
        <v>4</v>
      </c>
      <c r="D40" s="31" t="s">
        <v>284</v>
      </c>
      <c r="E40" s="31" t="str">
        <f t="shared" si="0"/>
        <v>1204WB03PT</v>
      </c>
      <c r="F40" s="31">
        <f>VLOOKUP(B40,[1]Course!$A$2:$R$329,2,FALSE)</f>
        <v>0</v>
      </c>
      <c r="G40" s="31">
        <f>VLOOKUP(B40, [1]Course!$A$2:$L$950, 8, FALSE)</f>
        <v>12</v>
      </c>
      <c r="H40" s="31">
        <v>3</v>
      </c>
      <c r="I40" s="31">
        <v>2</v>
      </c>
      <c r="K40" s="31" t="s">
        <v>1548</v>
      </c>
      <c r="L40" s="31" t="str">
        <f>VLOOKUP(B40, [1]Course!$A$1:$O$933, 14, FALSE)</f>
        <v>WB</v>
      </c>
      <c r="M40" s="31">
        <v>1</v>
      </c>
    </row>
    <row r="41" spans="1:13" ht="15.75" hidden="1" customHeight="1" x14ac:dyDescent="0.2">
      <c r="A41" s="31">
        <v>40</v>
      </c>
      <c r="B41" s="31">
        <v>4</v>
      </c>
      <c r="C41" s="31">
        <v>5</v>
      </c>
      <c r="D41" s="31" t="s">
        <v>284</v>
      </c>
      <c r="E41" s="31" t="str">
        <f t="shared" si="0"/>
        <v>1205WB03PT</v>
      </c>
      <c r="F41" s="31">
        <f>VLOOKUP(B41,[1]Course!$A$2:$R$329,2,FALSE)</f>
        <v>0</v>
      </c>
      <c r="G41" s="31">
        <f>VLOOKUP(B41, [1]Course!$A$2:$L$950, 8, FALSE)</f>
        <v>12</v>
      </c>
      <c r="H41" s="31">
        <v>3</v>
      </c>
      <c r="I41" s="31">
        <v>2</v>
      </c>
      <c r="K41" s="31" t="s">
        <v>1548</v>
      </c>
      <c r="L41" s="31" t="str">
        <f>VLOOKUP(B41, [1]Course!$A$1:$O$933, 14, FALSE)</f>
        <v>WB</v>
      </c>
      <c r="M41" s="31">
        <v>1</v>
      </c>
    </row>
    <row r="42" spans="1:13" ht="15.75" hidden="1" customHeight="1" x14ac:dyDescent="0.2">
      <c r="A42" s="31">
        <v>41</v>
      </c>
      <c r="B42" s="31">
        <v>4</v>
      </c>
      <c r="C42" s="31">
        <v>6</v>
      </c>
      <c r="D42" s="31" t="s">
        <v>284</v>
      </c>
      <c r="E42" s="31" t="str">
        <f t="shared" si="0"/>
        <v>1206WB03PT</v>
      </c>
      <c r="F42" s="31">
        <f>VLOOKUP(B42,[1]Course!$A$2:$R$329,2,FALSE)</f>
        <v>0</v>
      </c>
      <c r="G42" s="31">
        <f>VLOOKUP(B42, [1]Course!$A$2:$L$950, 8, FALSE)</f>
        <v>12</v>
      </c>
      <c r="H42" s="31">
        <v>3</v>
      </c>
      <c r="I42" s="31">
        <v>2</v>
      </c>
      <c r="K42" s="31" t="s">
        <v>1548</v>
      </c>
      <c r="L42" s="31" t="str">
        <f>VLOOKUP(B42, [1]Course!$A$1:$O$933, 14, FALSE)</f>
        <v>WB</v>
      </c>
      <c r="M42" s="31">
        <v>1</v>
      </c>
    </row>
    <row r="43" spans="1:13" ht="15.75" hidden="1" customHeight="1" x14ac:dyDescent="0.2">
      <c r="A43" s="31">
        <v>42</v>
      </c>
      <c r="B43" s="31">
        <v>4</v>
      </c>
      <c r="C43" s="31">
        <v>7</v>
      </c>
      <c r="D43" s="31" t="s">
        <v>284</v>
      </c>
      <c r="E43" s="31" t="str">
        <f t="shared" si="0"/>
        <v>1207WB03PT</v>
      </c>
      <c r="F43" s="31">
        <f>VLOOKUP(B43,[1]Course!$A$2:$R$329,2,FALSE)</f>
        <v>0</v>
      </c>
      <c r="G43" s="31">
        <f>VLOOKUP(B43, [1]Course!$A$2:$L$950, 8, FALSE)</f>
        <v>12</v>
      </c>
      <c r="H43" s="31">
        <v>3</v>
      </c>
      <c r="I43" s="31">
        <v>2</v>
      </c>
      <c r="K43" s="31" t="s">
        <v>1548</v>
      </c>
      <c r="L43" s="31" t="str">
        <f>VLOOKUP(B43, [1]Course!$A$1:$O$933, 14, FALSE)</f>
        <v>WB</v>
      </c>
      <c r="M43" s="31">
        <v>1</v>
      </c>
    </row>
    <row r="44" spans="1:13" ht="15.75" hidden="1" customHeight="1" x14ac:dyDescent="0.2">
      <c r="A44" s="31">
        <v>43</v>
      </c>
      <c r="B44" s="31">
        <v>4</v>
      </c>
      <c r="C44" s="31">
        <v>8</v>
      </c>
      <c r="D44" s="31" t="s">
        <v>284</v>
      </c>
      <c r="E44" s="31" t="str">
        <f t="shared" si="0"/>
        <v>1208WB03PT</v>
      </c>
      <c r="F44" s="31">
        <f>VLOOKUP(B44,[1]Course!$A$2:$R$329,2,FALSE)</f>
        <v>0</v>
      </c>
      <c r="G44" s="31">
        <f>VLOOKUP(B44, [1]Course!$A$2:$L$950, 8, FALSE)</f>
        <v>12</v>
      </c>
      <c r="H44" s="31">
        <v>3</v>
      </c>
      <c r="I44" s="31">
        <v>2</v>
      </c>
      <c r="K44" s="31" t="s">
        <v>1548</v>
      </c>
      <c r="L44" s="31" t="str">
        <f>VLOOKUP(B44, [1]Course!$A$1:$O$933, 14, FALSE)</f>
        <v>WB</v>
      </c>
      <c r="M44" s="31">
        <v>1</v>
      </c>
    </row>
    <row r="45" spans="1:13" ht="15.75" hidden="1" customHeight="1" x14ac:dyDescent="0.2">
      <c r="A45" s="31">
        <v>44</v>
      </c>
      <c r="B45" s="31">
        <v>4</v>
      </c>
      <c r="C45" s="31">
        <v>9</v>
      </c>
      <c r="D45" s="31" t="s">
        <v>284</v>
      </c>
      <c r="E45" s="31" t="str">
        <f t="shared" si="0"/>
        <v>1209WB03PT</v>
      </c>
      <c r="F45" s="31">
        <f>VLOOKUP(B45,[1]Course!$A$2:$R$329,2,FALSE)</f>
        <v>0</v>
      </c>
      <c r="G45" s="31">
        <f>VLOOKUP(B45, [1]Course!$A$2:$L$950, 8, FALSE)</f>
        <v>12</v>
      </c>
      <c r="H45" s="31">
        <v>3</v>
      </c>
      <c r="I45" s="31">
        <v>2</v>
      </c>
      <c r="K45" s="31" t="s">
        <v>1548</v>
      </c>
      <c r="L45" s="31" t="str">
        <f>VLOOKUP(B45, [1]Course!$A$1:$O$933, 14, FALSE)</f>
        <v>WB</v>
      </c>
      <c r="M45" s="31">
        <v>1</v>
      </c>
    </row>
    <row r="46" spans="1:13" ht="15.75" hidden="1" customHeight="1" x14ac:dyDescent="0.2">
      <c r="A46" s="31">
        <v>45</v>
      </c>
      <c r="B46" s="31">
        <v>4</v>
      </c>
      <c r="C46" s="31">
        <v>10</v>
      </c>
      <c r="D46" s="31" t="s">
        <v>284</v>
      </c>
      <c r="E46" s="31" t="str">
        <f t="shared" si="0"/>
        <v>1210WB03PT</v>
      </c>
      <c r="F46" s="31">
        <f>VLOOKUP(B46,[1]Course!$A$2:$R$329,2,FALSE)</f>
        <v>0</v>
      </c>
      <c r="G46" s="31">
        <f>VLOOKUP(B46, [1]Course!$A$2:$L$950, 8, FALSE)</f>
        <v>12</v>
      </c>
      <c r="H46" s="31">
        <v>3</v>
      </c>
      <c r="I46" s="31">
        <v>2</v>
      </c>
      <c r="K46" s="31" t="s">
        <v>1548</v>
      </c>
      <c r="L46" s="31" t="str">
        <f>VLOOKUP(B46, [1]Course!$A$1:$O$933, 14, FALSE)</f>
        <v>WB</v>
      </c>
      <c r="M46" s="31">
        <v>1</v>
      </c>
    </row>
    <row r="47" spans="1:13" ht="15.75" hidden="1" customHeight="1" x14ac:dyDescent="0.2">
      <c r="A47" s="31">
        <v>46</v>
      </c>
      <c r="B47" s="31">
        <v>4</v>
      </c>
      <c r="C47" s="31">
        <v>11</v>
      </c>
      <c r="D47" s="31" t="s">
        <v>284</v>
      </c>
      <c r="E47" s="31" t="str">
        <f t="shared" si="0"/>
        <v>1211WB03PT</v>
      </c>
      <c r="F47" s="31">
        <f>VLOOKUP(B47,[1]Course!$A$2:$R$329,2,FALSE)</f>
        <v>0</v>
      </c>
      <c r="G47" s="31">
        <f>VLOOKUP(B47, [1]Course!$A$2:$L$950, 8, FALSE)</f>
        <v>12</v>
      </c>
      <c r="H47" s="31">
        <v>3</v>
      </c>
      <c r="I47" s="31">
        <v>2</v>
      </c>
      <c r="K47" s="31" t="s">
        <v>1548</v>
      </c>
      <c r="L47" s="31" t="str">
        <f>VLOOKUP(B47, [1]Course!$A$1:$O$933, 14, FALSE)</f>
        <v>WB</v>
      </c>
      <c r="M47" s="31">
        <v>1</v>
      </c>
    </row>
    <row r="48" spans="1:13" ht="15.75" hidden="1" customHeight="1" x14ac:dyDescent="0.2">
      <c r="A48" s="31">
        <v>47</v>
      </c>
      <c r="B48" s="31">
        <v>4</v>
      </c>
      <c r="C48" s="31">
        <v>12</v>
      </c>
      <c r="D48" s="31" t="s">
        <v>284</v>
      </c>
      <c r="E48" s="31" t="str">
        <f t="shared" si="0"/>
        <v>1212WB03PT</v>
      </c>
      <c r="F48" s="31">
        <f>VLOOKUP(B48,[1]Course!$A$2:$R$329,2,FALSE)</f>
        <v>0</v>
      </c>
      <c r="G48" s="31">
        <f>VLOOKUP(B48, [1]Course!$A$2:$L$950, 8, FALSE)</f>
        <v>12</v>
      </c>
      <c r="H48" s="31">
        <v>3</v>
      </c>
      <c r="I48" s="31">
        <v>2</v>
      </c>
      <c r="K48" s="31" t="s">
        <v>1548</v>
      </c>
      <c r="L48" s="31" t="str">
        <f>VLOOKUP(B48, [1]Course!$A$1:$O$933, 14, FALSE)</f>
        <v>WB</v>
      </c>
      <c r="M48" s="31">
        <v>1</v>
      </c>
    </row>
    <row r="49" spans="1:13" ht="15.75" hidden="1" customHeight="1" x14ac:dyDescent="0.2">
      <c r="A49" s="31">
        <v>48</v>
      </c>
      <c r="B49" s="31">
        <v>5</v>
      </c>
      <c r="C49" s="31">
        <v>1</v>
      </c>
      <c r="D49" s="31" t="s">
        <v>85</v>
      </c>
      <c r="E49" s="31" t="str">
        <f t="shared" si="0"/>
        <v>1201LC03PT</v>
      </c>
      <c r="F49" s="31">
        <f>VLOOKUP(B49,[1]Course!$A$2:$R$329,2,FALSE)</f>
        <v>0</v>
      </c>
      <c r="G49" s="31">
        <f>VLOOKUP(B49, [1]Course!$A$2:$L$950, 8, FALSE)</f>
        <v>12</v>
      </c>
      <c r="H49" s="31">
        <v>3</v>
      </c>
      <c r="I49" s="31">
        <v>2</v>
      </c>
      <c r="K49" s="31" t="s">
        <v>1548</v>
      </c>
      <c r="L49" s="31" t="str">
        <f>VLOOKUP(B49, [1]Course!$A$1:$O$933, 14, FALSE)</f>
        <v>LC</v>
      </c>
      <c r="M49" s="31">
        <v>1</v>
      </c>
    </row>
    <row r="50" spans="1:13" ht="15.75" hidden="1" customHeight="1" x14ac:dyDescent="0.2">
      <c r="A50" s="31">
        <v>49</v>
      </c>
      <c r="B50" s="31">
        <v>5</v>
      </c>
      <c r="C50" s="31">
        <v>2</v>
      </c>
      <c r="D50" s="31" t="s">
        <v>85</v>
      </c>
      <c r="E50" s="31" t="str">
        <f t="shared" si="0"/>
        <v>1202LC03PT</v>
      </c>
      <c r="F50" s="31">
        <f>VLOOKUP(B50,[1]Course!$A$2:$R$329,2,FALSE)</f>
        <v>0</v>
      </c>
      <c r="G50" s="31">
        <f>VLOOKUP(B50, [1]Course!$A$2:$L$950, 8, FALSE)</f>
        <v>12</v>
      </c>
      <c r="H50" s="31">
        <v>3</v>
      </c>
      <c r="I50" s="31">
        <v>2</v>
      </c>
      <c r="K50" s="31" t="s">
        <v>1548</v>
      </c>
      <c r="L50" s="31" t="str">
        <f>VLOOKUP(B50, [1]Course!$A$1:$O$933, 14, FALSE)</f>
        <v>LC</v>
      </c>
      <c r="M50" s="31">
        <v>1</v>
      </c>
    </row>
    <row r="51" spans="1:13" ht="15.75" hidden="1" customHeight="1" x14ac:dyDescent="0.2">
      <c r="A51" s="31">
        <v>50</v>
      </c>
      <c r="B51" s="31">
        <v>5</v>
      </c>
      <c r="C51" s="31">
        <v>3</v>
      </c>
      <c r="D51" s="31" t="s">
        <v>85</v>
      </c>
      <c r="E51" s="31" t="str">
        <f t="shared" si="0"/>
        <v>1203LC03PT</v>
      </c>
      <c r="F51" s="31">
        <f>VLOOKUP(B51,[1]Course!$A$2:$R$329,2,FALSE)</f>
        <v>0</v>
      </c>
      <c r="G51" s="31">
        <f>VLOOKUP(B51, [1]Course!$A$2:$L$950, 8, FALSE)</f>
        <v>12</v>
      </c>
      <c r="H51" s="31">
        <v>3</v>
      </c>
      <c r="I51" s="31">
        <v>2</v>
      </c>
      <c r="K51" s="31" t="s">
        <v>1548</v>
      </c>
      <c r="L51" s="31" t="str">
        <f>VLOOKUP(B51, [1]Course!$A$1:$O$933, 14, FALSE)</f>
        <v>LC</v>
      </c>
      <c r="M51" s="31">
        <v>1</v>
      </c>
    </row>
    <row r="52" spans="1:13" ht="15.75" hidden="1" customHeight="1" x14ac:dyDescent="0.2">
      <c r="A52" s="31">
        <v>51</v>
      </c>
      <c r="B52" s="31">
        <v>5</v>
      </c>
      <c r="C52" s="31">
        <v>4</v>
      </c>
      <c r="D52" s="31" t="s">
        <v>85</v>
      </c>
      <c r="E52" s="31" t="str">
        <f t="shared" si="0"/>
        <v>1204LC03PT</v>
      </c>
      <c r="F52" s="31">
        <f>VLOOKUP(B52,[1]Course!$A$2:$R$329,2,FALSE)</f>
        <v>0</v>
      </c>
      <c r="G52" s="31">
        <f>VLOOKUP(B52, [1]Course!$A$2:$L$950, 8, FALSE)</f>
        <v>12</v>
      </c>
      <c r="H52" s="31">
        <v>3</v>
      </c>
      <c r="I52" s="31">
        <v>2</v>
      </c>
      <c r="K52" s="31" t="s">
        <v>1548</v>
      </c>
      <c r="L52" s="31" t="str">
        <f>VLOOKUP(B52, [1]Course!$A$1:$O$933, 14, FALSE)</f>
        <v>LC</v>
      </c>
      <c r="M52" s="31">
        <v>1</v>
      </c>
    </row>
    <row r="53" spans="1:13" ht="15.75" hidden="1" customHeight="1" x14ac:dyDescent="0.2">
      <c r="A53" s="31">
        <v>52</v>
      </c>
      <c r="B53" s="31">
        <v>5</v>
      </c>
      <c r="C53" s="31">
        <v>5</v>
      </c>
      <c r="D53" s="31" t="s">
        <v>85</v>
      </c>
      <c r="E53" s="31" t="str">
        <f t="shared" si="0"/>
        <v>1205LC03PT</v>
      </c>
      <c r="F53" s="31">
        <f>VLOOKUP(B53,[1]Course!$A$2:$R$329,2,FALSE)</f>
        <v>0</v>
      </c>
      <c r="G53" s="31">
        <f>VLOOKUP(B53, [1]Course!$A$2:$L$950, 8, FALSE)</f>
        <v>12</v>
      </c>
      <c r="H53" s="31">
        <v>3</v>
      </c>
      <c r="I53" s="31">
        <v>2</v>
      </c>
      <c r="K53" s="31" t="s">
        <v>1548</v>
      </c>
      <c r="L53" s="31" t="str">
        <f>VLOOKUP(B53, [1]Course!$A$1:$O$933, 14, FALSE)</f>
        <v>LC</v>
      </c>
      <c r="M53" s="31">
        <v>1</v>
      </c>
    </row>
    <row r="54" spans="1:13" ht="15.75" hidden="1" customHeight="1" x14ac:dyDescent="0.2">
      <c r="A54" s="31">
        <v>53</v>
      </c>
      <c r="B54" s="31">
        <v>5</v>
      </c>
      <c r="C54" s="31">
        <v>6</v>
      </c>
      <c r="D54" s="31" t="s">
        <v>85</v>
      </c>
      <c r="E54" s="31" t="str">
        <f t="shared" si="0"/>
        <v>1206LC03PT</v>
      </c>
      <c r="F54" s="31">
        <f>VLOOKUP(B54,[1]Course!$A$2:$R$329,2,FALSE)</f>
        <v>0</v>
      </c>
      <c r="G54" s="31">
        <f>VLOOKUP(B54, [1]Course!$A$2:$L$950, 8, FALSE)</f>
        <v>12</v>
      </c>
      <c r="H54" s="31">
        <v>3</v>
      </c>
      <c r="I54" s="31">
        <v>2</v>
      </c>
      <c r="K54" s="31" t="s">
        <v>1548</v>
      </c>
      <c r="L54" s="31" t="str">
        <f>VLOOKUP(B54, [1]Course!$A$1:$O$933, 14, FALSE)</f>
        <v>LC</v>
      </c>
      <c r="M54" s="31">
        <v>1</v>
      </c>
    </row>
    <row r="55" spans="1:13" ht="15.75" hidden="1" customHeight="1" x14ac:dyDescent="0.2">
      <c r="A55" s="31">
        <v>54</v>
      </c>
      <c r="B55" s="31">
        <v>5</v>
      </c>
      <c r="C55" s="31">
        <v>7</v>
      </c>
      <c r="D55" s="31" t="s">
        <v>85</v>
      </c>
      <c r="E55" s="31" t="str">
        <f t="shared" si="0"/>
        <v>1207LC03PT</v>
      </c>
      <c r="F55" s="31">
        <f>VLOOKUP(B55,[1]Course!$A$2:$R$329,2,FALSE)</f>
        <v>0</v>
      </c>
      <c r="G55" s="31">
        <f>VLOOKUP(B55, [1]Course!$A$2:$L$950, 8, FALSE)</f>
        <v>12</v>
      </c>
      <c r="H55" s="31">
        <v>3</v>
      </c>
      <c r="I55" s="31">
        <v>2</v>
      </c>
      <c r="K55" s="31" t="s">
        <v>1548</v>
      </c>
      <c r="L55" s="31" t="str">
        <f>VLOOKUP(B55, [1]Course!$A$1:$O$933, 14, FALSE)</f>
        <v>LC</v>
      </c>
      <c r="M55" s="31">
        <v>1</v>
      </c>
    </row>
    <row r="56" spans="1:13" ht="15.75" hidden="1" customHeight="1" x14ac:dyDescent="0.2">
      <c r="A56" s="31">
        <v>55</v>
      </c>
      <c r="B56" s="31">
        <v>5</v>
      </c>
      <c r="C56" s="31">
        <v>8</v>
      </c>
      <c r="D56" s="31" t="s">
        <v>85</v>
      </c>
      <c r="E56" s="31" t="str">
        <f t="shared" si="0"/>
        <v>1208LC03PT</v>
      </c>
      <c r="F56" s="31">
        <f>VLOOKUP(B56,[1]Course!$A$2:$R$329,2,FALSE)</f>
        <v>0</v>
      </c>
      <c r="G56" s="31">
        <f>VLOOKUP(B56, [1]Course!$A$2:$L$950, 8, FALSE)</f>
        <v>12</v>
      </c>
      <c r="H56" s="31">
        <v>3</v>
      </c>
      <c r="I56" s="31">
        <v>2</v>
      </c>
      <c r="K56" s="31" t="s">
        <v>1548</v>
      </c>
      <c r="L56" s="31" t="str">
        <f>VLOOKUP(B56, [1]Course!$A$1:$O$933, 14, FALSE)</f>
        <v>LC</v>
      </c>
      <c r="M56" s="31">
        <v>1</v>
      </c>
    </row>
    <row r="57" spans="1:13" ht="15.75" hidden="1" customHeight="1" x14ac:dyDescent="0.2">
      <c r="A57" s="31">
        <v>56</v>
      </c>
      <c r="B57" s="31">
        <v>5</v>
      </c>
      <c r="C57" s="31">
        <v>9</v>
      </c>
      <c r="D57" s="31" t="s">
        <v>85</v>
      </c>
      <c r="E57" s="31" t="str">
        <f t="shared" si="0"/>
        <v>1209LC03PT</v>
      </c>
      <c r="F57" s="31">
        <f>VLOOKUP(B57,[1]Course!$A$2:$R$329,2,FALSE)</f>
        <v>0</v>
      </c>
      <c r="G57" s="31">
        <f>VLOOKUP(B57, [1]Course!$A$2:$L$950, 8, FALSE)</f>
        <v>12</v>
      </c>
      <c r="H57" s="31">
        <v>3</v>
      </c>
      <c r="I57" s="31">
        <v>2</v>
      </c>
      <c r="K57" s="31" t="s">
        <v>1548</v>
      </c>
      <c r="L57" s="31" t="str">
        <f>VLOOKUP(B57, [1]Course!$A$1:$O$933, 14, FALSE)</f>
        <v>LC</v>
      </c>
      <c r="M57" s="31">
        <v>1</v>
      </c>
    </row>
    <row r="58" spans="1:13" ht="15.75" hidden="1" customHeight="1" x14ac:dyDescent="0.2">
      <c r="A58" s="31">
        <v>57</v>
      </c>
      <c r="B58" s="31">
        <v>5</v>
      </c>
      <c r="C58" s="31">
        <v>10</v>
      </c>
      <c r="D58" s="31" t="s">
        <v>85</v>
      </c>
      <c r="E58" s="31" t="str">
        <f t="shared" si="0"/>
        <v>1210LC03PT</v>
      </c>
      <c r="F58" s="31">
        <f>VLOOKUP(B58,[1]Course!$A$2:$R$329,2,FALSE)</f>
        <v>0</v>
      </c>
      <c r="G58" s="31">
        <f>VLOOKUP(B58, [1]Course!$A$2:$L$950, 8, FALSE)</f>
        <v>12</v>
      </c>
      <c r="H58" s="31">
        <v>3</v>
      </c>
      <c r="I58" s="31">
        <v>2</v>
      </c>
      <c r="K58" s="31" t="s">
        <v>1548</v>
      </c>
      <c r="L58" s="31" t="str">
        <f>VLOOKUP(B58, [1]Course!$A$1:$O$933, 14, FALSE)</f>
        <v>LC</v>
      </c>
      <c r="M58" s="31">
        <v>1</v>
      </c>
    </row>
    <row r="59" spans="1:13" ht="15.75" hidden="1" customHeight="1" x14ac:dyDescent="0.2">
      <c r="A59" s="31">
        <v>58</v>
      </c>
      <c r="B59" s="31">
        <v>5</v>
      </c>
      <c r="C59" s="31">
        <v>11</v>
      </c>
      <c r="D59" s="31" t="s">
        <v>85</v>
      </c>
      <c r="E59" s="31" t="str">
        <f t="shared" si="0"/>
        <v>1211LC03PT</v>
      </c>
      <c r="F59" s="31">
        <f>VLOOKUP(B59,[1]Course!$A$2:$R$329,2,FALSE)</f>
        <v>0</v>
      </c>
      <c r="G59" s="31">
        <f>VLOOKUP(B59, [1]Course!$A$2:$L$950, 8, FALSE)</f>
        <v>12</v>
      </c>
      <c r="H59" s="31">
        <v>3</v>
      </c>
      <c r="I59" s="31">
        <v>2</v>
      </c>
      <c r="K59" s="31" t="s">
        <v>1548</v>
      </c>
      <c r="L59" s="31" t="str">
        <f>VLOOKUP(B59, [1]Course!$A$1:$O$933, 14, FALSE)</f>
        <v>LC</v>
      </c>
      <c r="M59" s="31">
        <v>1</v>
      </c>
    </row>
    <row r="60" spans="1:13" ht="15.75" hidden="1" customHeight="1" x14ac:dyDescent="0.2">
      <c r="A60" s="31">
        <v>59</v>
      </c>
      <c r="B60" s="31">
        <v>5</v>
      </c>
      <c r="C60" s="31">
        <v>12</v>
      </c>
      <c r="D60" s="31" t="s">
        <v>85</v>
      </c>
      <c r="E60" s="31" t="str">
        <f t="shared" si="0"/>
        <v>1212LC03PT</v>
      </c>
      <c r="F60" s="31">
        <f>VLOOKUP(B60,[1]Course!$A$2:$R$329,2,FALSE)</f>
        <v>0</v>
      </c>
      <c r="G60" s="31">
        <f>VLOOKUP(B60, [1]Course!$A$2:$L$950, 8, FALSE)</f>
        <v>12</v>
      </c>
      <c r="H60" s="31">
        <v>3</v>
      </c>
      <c r="I60" s="31">
        <v>2</v>
      </c>
      <c r="K60" s="31" t="s">
        <v>1548</v>
      </c>
      <c r="L60" s="31" t="str">
        <f>VLOOKUP(B60, [1]Course!$A$1:$O$933, 14, FALSE)</f>
        <v>LC</v>
      </c>
      <c r="M60" s="31">
        <v>1</v>
      </c>
    </row>
    <row r="61" spans="1:13" ht="15.75" hidden="1" customHeight="1" x14ac:dyDescent="0.2">
      <c r="A61" s="31">
        <v>60</v>
      </c>
      <c r="B61" s="31">
        <v>6</v>
      </c>
      <c r="C61" s="31">
        <v>1</v>
      </c>
      <c r="D61" s="31" t="s">
        <v>50</v>
      </c>
      <c r="E61" s="31" t="str">
        <f t="shared" si="0"/>
        <v>1201SC03PT</v>
      </c>
      <c r="F61" s="31" t="str">
        <f>VLOOKUP(B61,[1]Course!$A$2:$R$329,2,FALSE)</f>
        <v>Science 1</v>
      </c>
      <c r="G61" s="31">
        <f>VLOOKUP(B61, [1]Course!$A$2:$L$950, 8, FALSE)</f>
        <v>12</v>
      </c>
      <c r="H61" s="31">
        <v>3</v>
      </c>
      <c r="I61" s="31">
        <v>2</v>
      </c>
      <c r="K61" s="31" t="s">
        <v>1548</v>
      </c>
      <c r="L61" s="31" t="str">
        <f>VLOOKUP(B61, [1]Course!$A$1:$O$933, 14, FALSE)</f>
        <v>SC</v>
      </c>
      <c r="M61" s="31">
        <v>1</v>
      </c>
    </row>
    <row r="62" spans="1:13" ht="15.75" hidden="1" customHeight="1" x14ac:dyDescent="0.2">
      <c r="A62" s="31">
        <v>61</v>
      </c>
      <c r="B62" s="31">
        <v>6</v>
      </c>
      <c r="C62" s="31">
        <v>2</v>
      </c>
      <c r="D62" s="31" t="s">
        <v>50</v>
      </c>
      <c r="E62" s="31" t="str">
        <f t="shared" si="0"/>
        <v>1202SC03PT</v>
      </c>
      <c r="F62" s="31" t="str">
        <f>VLOOKUP(B62,[1]Course!$A$2:$R$329,2,FALSE)</f>
        <v>Science 1</v>
      </c>
      <c r="G62" s="31">
        <f>VLOOKUP(B62, [1]Course!$A$2:$L$950, 8, FALSE)</f>
        <v>12</v>
      </c>
      <c r="H62" s="31">
        <v>3</v>
      </c>
      <c r="I62" s="31">
        <v>2</v>
      </c>
      <c r="K62" s="31" t="s">
        <v>1548</v>
      </c>
      <c r="L62" s="31" t="str">
        <f>VLOOKUP(B62, [1]Course!$A$1:$O$933, 14, FALSE)</f>
        <v>SC</v>
      </c>
      <c r="M62" s="31">
        <v>1</v>
      </c>
    </row>
    <row r="63" spans="1:13" ht="15.75" hidden="1" customHeight="1" x14ac:dyDescent="0.2">
      <c r="A63" s="31">
        <v>62</v>
      </c>
      <c r="B63" s="31">
        <v>6</v>
      </c>
      <c r="C63" s="31">
        <v>3</v>
      </c>
      <c r="D63" s="31" t="s">
        <v>50</v>
      </c>
      <c r="E63" s="31" t="str">
        <f t="shared" si="0"/>
        <v>1203SC03PT</v>
      </c>
      <c r="F63" s="31" t="str">
        <f>VLOOKUP(B63,[1]Course!$A$2:$R$329,2,FALSE)</f>
        <v>Science 1</v>
      </c>
      <c r="G63" s="31">
        <f>VLOOKUP(B63, [1]Course!$A$2:$L$950, 8, FALSE)</f>
        <v>12</v>
      </c>
      <c r="H63" s="31">
        <v>3</v>
      </c>
      <c r="I63" s="31">
        <v>2</v>
      </c>
      <c r="K63" s="31" t="s">
        <v>1548</v>
      </c>
      <c r="L63" s="31" t="str">
        <f>VLOOKUP(B63, [1]Course!$A$1:$O$933, 14, FALSE)</f>
        <v>SC</v>
      </c>
      <c r="M63" s="31">
        <v>1</v>
      </c>
    </row>
    <row r="64" spans="1:13" ht="15.75" hidden="1" customHeight="1" x14ac:dyDescent="0.2">
      <c r="A64" s="31">
        <v>63</v>
      </c>
      <c r="B64" s="31">
        <v>6</v>
      </c>
      <c r="C64" s="31">
        <v>4</v>
      </c>
      <c r="D64" s="31" t="s">
        <v>50</v>
      </c>
      <c r="E64" s="31" t="str">
        <f t="shared" si="0"/>
        <v>1204SC03PT</v>
      </c>
      <c r="F64" s="31" t="str">
        <f>VLOOKUP(B64,[1]Course!$A$2:$R$329,2,FALSE)</f>
        <v>Science 1</v>
      </c>
      <c r="G64" s="31">
        <f>VLOOKUP(B64, [1]Course!$A$2:$L$950, 8, FALSE)</f>
        <v>12</v>
      </c>
      <c r="H64" s="31">
        <v>3</v>
      </c>
      <c r="I64" s="31">
        <v>2</v>
      </c>
      <c r="K64" s="31" t="s">
        <v>1548</v>
      </c>
      <c r="L64" s="31" t="str">
        <f>VLOOKUP(B64, [1]Course!$A$1:$O$933, 14, FALSE)</f>
        <v>SC</v>
      </c>
      <c r="M64" s="31">
        <v>1</v>
      </c>
    </row>
    <row r="65" spans="1:13" ht="15.75" hidden="1" customHeight="1" x14ac:dyDescent="0.2">
      <c r="A65" s="31">
        <v>64</v>
      </c>
      <c r="B65" s="31">
        <v>6</v>
      </c>
      <c r="C65" s="31">
        <v>5</v>
      </c>
      <c r="D65" s="31" t="s">
        <v>50</v>
      </c>
      <c r="E65" s="31" t="str">
        <f t="shared" si="0"/>
        <v>1205SC03PT</v>
      </c>
      <c r="F65" s="31" t="str">
        <f>VLOOKUP(B65,[1]Course!$A$2:$R$329,2,FALSE)</f>
        <v>Science 1</v>
      </c>
      <c r="G65" s="31">
        <f>VLOOKUP(B65, [1]Course!$A$2:$L$950, 8, FALSE)</f>
        <v>12</v>
      </c>
      <c r="H65" s="31">
        <v>3</v>
      </c>
      <c r="I65" s="31">
        <v>2</v>
      </c>
      <c r="K65" s="31" t="s">
        <v>1548</v>
      </c>
      <c r="L65" s="31" t="str">
        <f>VLOOKUP(B65, [1]Course!$A$1:$O$933, 14, FALSE)</f>
        <v>SC</v>
      </c>
      <c r="M65" s="31">
        <v>1</v>
      </c>
    </row>
    <row r="66" spans="1:13" ht="15.75" hidden="1" customHeight="1" x14ac:dyDescent="0.2">
      <c r="A66" s="31">
        <v>65</v>
      </c>
      <c r="B66" s="31">
        <v>6</v>
      </c>
      <c r="C66" s="31">
        <v>6</v>
      </c>
      <c r="D66" s="31" t="s">
        <v>50</v>
      </c>
      <c r="E66" s="31" t="str">
        <f t="shared" si="0"/>
        <v>1206SC03PT</v>
      </c>
      <c r="F66" s="31" t="str">
        <f>VLOOKUP(B66,[1]Course!$A$2:$R$329,2,FALSE)</f>
        <v>Science 1</v>
      </c>
      <c r="G66" s="31">
        <f>VLOOKUP(B66, [1]Course!$A$2:$L$950, 8, FALSE)</f>
        <v>12</v>
      </c>
      <c r="H66" s="31">
        <v>3</v>
      </c>
      <c r="I66" s="31">
        <v>2</v>
      </c>
      <c r="K66" s="31" t="s">
        <v>1548</v>
      </c>
      <c r="L66" s="31" t="str">
        <f>VLOOKUP(B66, [1]Course!$A$1:$O$933, 14, FALSE)</f>
        <v>SC</v>
      </c>
      <c r="M66" s="31">
        <v>1</v>
      </c>
    </row>
    <row r="67" spans="1:13" ht="15.75" hidden="1" customHeight="1" x14ac:dyDescent="0.2">
      <c r="A67" s="31">
        <v>66</v>
      </c>
      <c r="B67" s="31">
        <v>6</v>
      </c>
      <c r="C67" s="31">
        <v>7</v>
      </c>
      <c r="D67" s="31" t="s">
        <v>50</v>
      </c>
      <c r="E67" s="31" t="str">
        <f t="shared" ref="E67:E130" si="1">UPPER(LEFT(G67,2)) &amp; RIGHT("0" &amp; C67, 2) &amp; D67 &amp; RIGHT("0" &amp; H67, 2) &amp; K67</f>
        <v>1207SC03PT</v>
      </c>
      <c r="F67" s="31" t="str">
        <f>VLOOKUP(B67,[1]Course!$A$2:$R$329,2,FALSE)</f>
        <v>Science 1</v>
      </c>
      <c r="G67" s="31">
        <f>VLOOKUP(B67, [1]Course!$A$2:$L$950, 8, FALSE)</f>
        <v>12</v>
      </c>
      <c r="H67" s="31">
        <v>3</v>
      </c>
      <c r="I67" s="31">
        <v>2</v>
      </c>
      <c r="K67" s="31" t="s">
        <v>1548</v>
      </c>
      <c r="L67" s="31" t="str">
        <f>VLOOKUP(B67, [1]Course!$A$1:$O$933, 14, FALSE)</f>
        <v>SC</v>
      </c>
      <c r="M67" s="31">
        <v>1</v>
      </c>
    </row>
    <row r="68" spans="1:13" ht="15.75" hidden="1" customHeight="1" x14ac:dyDescent="0.2">
      <c r="A68" s="31">
        <v>67</v>
      </c>
      <c r="B68" s="31">
        <v>6</v>
      </c>
      <c r="C68" s="31">
        <v>8</v>
      </c>
      <c r="D68" s="31" t="s">
        <v>50</v>
      </c>
      <c r="E68" s="31" t="str">
        <f t="shared" si="1"/>
        <v>1208SC03PT</v>
      </c>
      <c r="F68" s="31" t="str">
        <f>VLOOKUP(B68,[1]Course!$A$2:$R$329,2,FALSE)</f>
        <v>Science 1</v>
      </c>
      <c r="G68" s="31">
        <f>VLOOKUP(B68, [1]Course!$A$2:$L$950, 8, FALSE)</f>
        <v>12</v>
      </c>
      <c r="H68" s="31">
        <v>3</v>
      </c>
      <c r="I68" s="31">
        <v>2</v>
      </c>
      <c r="K68" s="31" t="s">
        <v>1548</v>
      </c>
      <c r="L68" s="31" t="str">
        <f>VLOOKUP(B68, [1]Course!$A$1:$O$933, 14, FALSE)</f>
        <v>SC</v>
      </c>
      <c r="M68" s="31">
        <v>1</v>
      </c>
    </row>
    <row r="69" spans="1:13" ht="15.75" hidden="1" customHeight="1" x14ac:dyDescent="0.2">
      <c r="A69" s="31">
        <v>68</v>
      </c>
      <c r="B69" s="31">
        <v>6</v>
      </c>
      <c r="C69" s="31">
        <v>9</v>
      </c>
      <c r="D69" s="31" t="s">
        <v>50</v>
      </c>
      <c r="E69" s="31" t="str">
        <f t="shared" si="1"/>
        <v>1209SC03PT</v>
      </c>
      <c r="F69" s="31" t="str">
        <f>VLOOKUP(B69,[1]Course!$A$2:$R$329,2,FALSE)</f>
        <v>Science 1</v>
      </c>
      <c r="G69" s="31">
        <f>VLOOKUP(B69, [1]Course!$A$2:$L$950, 8, FALSE)</f>
        <v>12</v>
      </c>
      <c r="H69" s="31">
        <v>3</v>
      </c>
      <c r="I69" s="31">
        <v>2</v>
      </c>
      <c r="K69" s="31" t="s">
        <v>1548</v>
      </c>
      <c r="L69" s="31" t="str">
        <f>VLOOKUP(B69, [1]Course!$A$1:$O$933, 14, FALSE)</f>
        <v>SC</v>
      </c>
      <c r="M69" s="31">
        <v>1</v>
      </c>
    </row>
    <row r="70" spans="1:13" ht="15.75" hidden="1" customHeight="1" x14ac:dyDescent="0.2">
      <c r="A70" s="31">
        <v>69</v>
      </c>
      <c r="B70" s="31">
        <v>6</v>
      </c>
      <c r="C70" s="31">
        <v>10</v>
      </c>
      <c r="D70" s="31" t="s">
        <v>50</v>
      </c>
      <c r="E70" s="31" t="str">
        <f t="shared" si="1"/>
        <v>1210SC03PT</v>
      </c>
      <c r="F70" s="31" t="str">
        <f>VLOOKUP(B70,[1]Course!$A$2:$R$329,2,FALSE)</f>
        <v>Science 1</v>
      </c>
      <c r="G70" s="31">
        <f>VLOOKUP(B70, [1]Course!$A$2:$L$950, 8, FALSE)</f>
        <v>12</v>
      </c>
      <c r="H70" s="31">
        <v>3</v>
      </c>
      <c r="I70" s="31">
        <v>2</v>
      </c>
      <c r="K70" s="31" t="s">
        <v>1548</v>
      </c>
      <c r="L70" s="31" t="str">
        <f>VLOOKUP(B70, [1]Course!$A$1:$O$933, 14, FALSE)</f>
        <v>SC</v>
      </c>
      <c r="M70" s="31">
        <v>1</v>
      </c>
    </row>
    <row r="71" spans="1:13" ht="15.75" hidden="1" customHeight="1" x14ac:dyDescent="0.2">
      <c r="A71" s="31">
        <v>70</v>
      </c>
      <c r="B71" s="31">
        <v>6</v>
      </c>
      <c r="C71" s="31">
        <v>11</v>
      </c>
      <c r="D71" s="31" t="s">
        <v>50</v>
      </c>
      <c r="E71" s="31" t="str">
        <f t="shared" si="1"/>
        <v>1211SC03PT</v>
      </c>
      <c r="F71" s="31" t="str">
        <f>VLOOKUP(B71,[1]Course!$A$2:$R$329,2,FALSE)</f>
        <v>Science 1</v>
      </c>
      <c r="G71" s="31">
        <f>VLOOKUP(B71, [1]Course!$A$2:$L$950, 8, FALSE)</f>
        <v>12</v>
      </c>
      <c r="H71" s="31">
        <v>3</v>
      </c>
      <c r="I71" s="31">
        <v>2</v>
      </c>
      <c r="K71" s="31" t="s">
        <v>1548</v>
      </c>
      <c r="L71" s="31" t="str">
        <f>VLOOKUP(B71, [1]Course!$A$1:$O$933, 14, FALSE)</f>
        <v>SC</v>
      </c>
      <c r="M71" s="31">
        <v>1</v>
      </c>
    </row>
    <row r="72" spans="1:13" ht="15.75" hidden="1" customHeight="1" x14ac:dyDescent="0.2">
      <c r="A72" s="31">
        <v>71</v>
      </c>
      <c r="B72" s="31">
        <v>6</v>
      </c>
      <c r="C72" s="31">
        <v>12</v>
      </c>
      <c r="D72" s="31" t="s">
        <v>50</v>
      </c>
      <c r="E72" s="31" t="str">
        <f t="shared" si="1"/>
        <v>1212SC03PT</v>
      </c>
      <c r="F72" s="31" t="str">
        <f>VLOOKUP(B72,[1]Course!$A$2:$R$329,2,FALSE)</f>
        <v>Science 1</v>
      </c>
      <c r="G72" s="31">
        <f>VLOOKUP(B72, [1]Course!$A$2:$L$950, 8, FALSE)</f>
        <v>12</v>
      </c>
      <c r="H72" s="31">
        <v>3</v>
      </c>
      <c r="I72" s="31">
        <v>2</v>
      </c>
      <c r="K72" s="31" t="s">
        <v>1548</v>
      </c>
      <c r="L72" s="31" t="str">
        <f>VLOOKUP(B72, [1]Course!$A$1:$O$933, 14, FALSE)</f>
        <v>SC</v>
      </c>
      <c r="M72" s="31">
        <v>1</v>
      </c>
    </row>
    <row r="73" spans="1:13" ht="15.75" hidden="1" customHeight="1" x14ac:dyDescent="0.2">
      <c r="A73" s="31">
        <v>72</v>
      </c>
      <c r="B73" s="31">
        <v>7</v>
      </c>
      <c r="C73" s="31">
        <v>1</v>
      </c>
      <c r="D73" s="31" t="s">
        <v>295</v>
      </c>
      <c r="E73" s="31" t="str">
        <f t="shared" si="1"/>
        <v>1201SS03PT</v>
      </c>
      <c r="F73" s="31">
        <f>VLOOKUP(B73,[1]Course!$A$2:$R$329,2,FALSE)</f>
        <v>0</v>
      </c>
      <c r="G73" s="31">
        <f>VLOOKUP(B73, [1]Course!$A$2:$L$950, 8, FALSE)</f>
        <v>12</v>
      </c>
      <c r="H73" s="31">
        <v>3</v>
      </c>
      <c r="I73" s="31">
        <v>2</v>
      </c>
      <c r="K73" s="31" t="s">
        <v>1548</v>
      </c>
      <c r="L73" s="31" t="str">
        <f>VLOOKUP(B73, [1]Course!$A$1:$O$933, 14, FALSE)</f>
        <v>SS</v>
      </c>
      <c r="M73" s="31">
        <v>1</v>
      </c>
    </row>
    <row r="74" spans="1:13" ht="15.75" hidden="1" customHeight="1" x14ac:dyDescent="0.2">
      <c r="A74" s="31">
        <v>73</v>
      </c>
      <c r="B74" s="31">
        <v>7</v>
      </c>
      <c r="C74" s="31">
        <v>2</v>
      </c>
      <c r="D74" s="31" t="s">
        <v>295</v>
      </c>
      <c r="E74" s="31" t="str">
        <f t="shared" si="1"/>
        <v>1202SS03PT</v>
      </c>
      <c r="F74" s="31">
        <f>VLOOKUP(B74,[1]Course!$A$2:$R$329,2,FALSE)</f>
        <v>0</v>
      </c>
      <c r="G74" s="31">
        <f>VLOOKUP(B74, [1]Course!$A$2:$L$950, 8, FALSE)</f>
        <v>12</v>
      </c>
      <c r="H74" s="31">
        <v>3</v>
      </c>
      <c r="I74" s="31">
        <v>2</v>
      </c>
      <c r="K74" s="31" t="s">
        <v>1548</v>
      </c>
      <c r="L74" s="31" t="str">
        <f>VLOOKUP(B74, [1]Course!$A$1:$O$933, 14, FALSE)</f>
        <v>SS</v>
      </c>
      <c r="M74" s="31">
        <v>1</v>
      </c>
    </row>
    <row r="75" spans="1:13" ht="15.75" hidden="1" customHeight="1" x14ac:dyDescent="0.2">
      <c r="A75" s="31">
        <v>74</v>
      </c>
      <c r="B75" s="31">
        <v>7</v>
      </c>
      <c r="C75" s="31">
        <v>3</v>
      </c>
      <c r="D75" s="31" t="s">
        <v>295</v>
      </c>
      <c r="E75" s="31" t="str">
        <f t="shared" si="1"/>
        <v>1203SS03PT</v>
      </c>
      <c r="F75" s="31">
        <f>VLOOKUP(B75,[1]Course!$A$2:$R$329,2,FALSE)</f>
        <v>0</v>
      </c>
      <c r="G75" s="31">
        <f>VLOOKUP(B75, [1]Course!$A$2:$L$950, 8, FALSE)</f>
        <v>12</v>
      </c>
      <c r="H75" s="31">
        <v>3</v>
      </c>
      <c r="I75" s="31">
        <v>2</v>
      </c>
      <c r="K75" s="31" t="s">
        <v>1548</v>
      </c>
      <c r="L75" s="31" t="str">
        <f>VLOOKUP(B75, [1]Course!$A$1:$O$933, 14, FALSE)</f>
        <v>SS</v>
      </c>
      <c r="M75" s="31">
        <v>1</v>
      </c>
    </row>
    <row r="76" spans="1:13" ht="15.75" hidden="1" customHeight="1" x14ac:dyDescent="0.2">
      <c r="A76" s="31">
        <v>75</v>
      </c>
      <c r="B76" s="31">
        <v>7</v>
      </c>
      <c r="C76" s="31">
        <v>4</v>
      </c>
      <c r="D76" s="31" t="s">
        <v>295</v>
      </c>
      <c r="E76" s="31" t="str">
        <f t="shared" si="1"/>
        <v>1204SS03PT</v>
      </c>
      <c r="F76" s="31">
        <f>VLOOKUP(B76,[1]Course!$A$2:$R$329,2,FALSE)</f>
        <v>0</v>
      </c>
      <c r="G76" s="31">
        <f>VLOOKUP(B76, [1]Course!$A$2:$L$950, 8, FALSE)</f>
        <v>12</v>
      </c>
      <c r="H76" s="31">
        <v>3</v>
      </c>
      <c r="I76" s="31">
        <v>2</v>
      </c>
      <c r="K76" s="31" t="s">
        <v>1548</v>
      </c>
      <c r="L76" s="31" t="str">
        <f>VLOOKUP(B76, [1]Course!$A$1:$O$933, 14, FALSE)</f>
        <v>SS</v>
      </c>
      <c r="M76" s="31">
        <v>1</v>
      </c>
    </row>
    <row r="77" spans="1:13" ht="15.75" hidden="1" customHeight="1" x14ac:dyDescent="0.2">
      <c r="A77" s="31">
        <v>76</v>
      </c>
      <c r="B77" s="31">
        <v>7</v>
      </c>
      <c r="C77" s="31">
        <v>5</v>
      </c>
      <c r="D77" s="31" t="s">
        <v>295</v>
      </c>
      <c r="E77" s="31" t="str">
        <f t="shared" si="1"/>
        <v>1205SS03PT</v>
      </c>
      <c r="F77" s="31">
        <f>VLOOKUP(B77,[1]Course!$A$2:$R$329,2,FALSE)</f>
        <v>0</v>
      </c>
      <c r="G77" s="31">
        <f>VLOOKUP(B77, [1]Course!$A$2:$L$950, 8, FALSE)</f>
        <v>12</v>
      </c>
      <c r="H77" s="31">
        <v>3</v>
      </c>
      <c r="I77" s="31">
        <v>2</v>
      </c>
      <c r="K77" s="31" t="s">
        <v>1548</v>
      </c>
      <c r="L77" s="31" t="str">
        <f>VLOOKUP(B77, [1]Course!$A$1:$O$933, 14, FALSE)</f>
        <v>SS</v>
      </c>
      <c r="M77" s="31">
        <v>1</v>
      </c>
    </row>
    <row r="78" spans="1:13" ht="15.75" hidden="1" customHeight="1" x14ac:dyDescent="0.2">
      <c r="A78" s="31">
        <v>77</v>
      </c>
      <c r="B78" s="31">
        <v>7</v>
      </c>
      <c r="C78" s="31">
        <v>6</v>
      </c>
      <c r="D78" s="31" t="s">
        <v>295</v>
      </c>
      <c r="E78" s="31" t="str">
        <f t="shared" si="1"/>
        <v>1206SS03PT</v>
      </c>
      <c r="F78" s="31">
        <f>VLOOKUP(B78,[1]Course!$A$2:$R$329,2,FALSE)</f>
        <v>0</v>
      </c>
      <c r="G78" s="31">
        <f>VLOOKUP(B78, [1]Course!$A$2:$L$950, 8, FALSE)</f>
        <v>12</v>
      </c>
      <c r="H78" s="31">
        <v>3</v>
      </c>
      <c r="I78" s="31">
        <v>2</v>
      </c>
      <c r="K78" s="31" t="s">
        <v>1548</v>
      </c>
      <c r="L78" s="31" t="str">
        <f>VLOOKUP(B78, [1]Course!$A$1:$O$933, 14, FALSE)</f>
        <v>SS</v>
      </c>
      <c r="M78" s="31">
        <v>1</v>
      </c>
    </row>
    <row r="79" spans="1:13" ht="15.75" hidden="1" customHeight="1" x14ac:dyDescent="0.2">
      <c r="A79" s="31">
        <v>78</v>
      </c>
      <c r="B79" s="31">
        <v>7</v>
      </c>
      <c r="C79" s="31">
        <v>7</v>
      </c>
      <c r="D79" s="31" t="s">
        <v>295</v>
      </c>
      <c r="E79" s="31" t="str">
        <f t="shared" si="1"/>
        <v>1207SS03PT</v>
      </c>
      <c r="F79" s="31">
        <f>VLOOKUP(B79,[1]Course!$A$2:$R$329,2,FALSE)</f>
        <v>0</v>
      </c>
      <c r="G79" s="31">
        <f>VLOOKUP(B79, [1]Course!$A$2:$L$950, 8, FALSE)</f>
        <v>12</v>
      </c>
      <c r="H79" s="31">
        <v>3</v>
      </c>
      <c r="I79" s="31">
        <v>2</v>
      </c>
      <c r="K79" s="31" t="s">
        <v>1548</v>
      </c>
      <c r="L79" s="31" t="str">
        <f>VLOOKUP(B79, [1]Course!$A$1:$O$933, 14, FALSE)</f>
        <v>SS</v>
      </c>
      <c r="M79" s="31">
        <v>1</v>
      </c>
    </row>
    <row r="80" spans="1:13" ht="15.75" hidden="1" customHeight="1" x14ac:dyDescent="0.2">
      <c r="A80" s="31">
        <v>79</v>
      </c>
      <c r="B80" s="31">
        <v>7</v>
      </c>
      <c r="C80" s="31">
        <v>8</v>
      </c>
      <c r="D80" s="31" t="s">
        <v>295</v>
      </c>
      <c r="E80" s="31" t="str">
        <f t="shared" si="1"/>
        <v>1208SS03PT</v>
      </c>
      <c r="F80" s="31">
        <f>VLOOKUP(B80,[1]Course!$A$2:$R$329,2,FALSE)</f>
        <v>0</v>
      </c>
      <c r="G80" s="31">
        <f>VLOOKUP(B80, [1]Course!$A$2:$L$950, 8, FALSE)</f>
        <v>12</v>
      </c>
      <c r="H80" s="31">
        <v>3</v>
      </c>
      <c r="I80" s="31">
        <v>2</v>
      </c>
      <c r="K80" s="31" t="s">
        <v>1548</v>
      </c>
      <c r="L80" s="31" t="str">
        <f>VLOOKUP(B80, [1]Course!$A$1:$O$933, 14, FALSE)</f>
        <v>SS</v>
      </c>
      <c r="M80" s="31">
        <v>1</v>
      </c>
    </row>
    <row r="81" spans="1:13" ht="15.75" hidden="1" customHeight="1" x14ac:dyDescent="0.2">
      <c r="A81" s="31">
        <v>80</v>
      </c>
      <c r="B81" s="31">
        <v>7</v>
      </c>
      <c r="C81" s="31">
        <v>9</v>
      </c>
      <c r="D81" s="31" t="s">
        <v>295</v>
      </c>
      <c r="E81" s="31" t="str">
        <f t="shared" si="1"/>
        <v>1209SS03PT</v>
      </c>
      <c r="F81" s="31">
        <f>VLOOKUP(B81,[1]Course!$A$2:$R$329,2,FALSE)</f>
        <v>0</v>
      </c>
      <c r="G81" s="31">
        <f>VLOOKUP(B81, [1]Course!$A$2:$L$950, 8, FALSE)</f>
        <v>12</v>
      </c>
      <c r="H81" s="31">
        <v>3</v>
      </c>
      <c r="I81" s="31">
        <v>2</v>
      </c>
      <c r="K81" s="31" t="s">
        <v>1548</v>
      </c>
      <c r="L81" s="31" t="str">
        <f>VLOOKUP(B81, [1]Course!$A$1:$O$933, 14, FALSE)</f>
        <v>SS</v>
      </c>
      <c r="M81" s="31">
        <v>1</v>
      </c>
    </row>
    <row r="82" spans="1:13" ht="15.75" hidden="1" customHeight="1" x14ac:dyDescent="0.2">
      <c r="A82" s="31">
        <v>81</v>
      </c>
      <c r="B82" s="31">
        <v>7</v>
      </c>
      <c r="C82" s="31">
        <v>10</v>
      </c>
      <c r="D82" s="31" t="s">
        <v>295</v>
      </c>
      <c r="E82" s="31" t="str">
        <f t="shared" si="1"/>
        <v>1210SS03PT</v>
      </c>
      <c r="F82" s="31">
        <f>VLOOKUP(B82,[1]Course!$A$2:$R$329,2,FALSE)</f>
        <v>0</v>
      </c>
      <c r="G82" s="31">
        <f>VLOOKUP(B82, [1]Course!$A$2:$L$950, 8, FALSE)</f>
        <v>12</v>
      </c>
      <c r="H82" s="31">
        <v>3</v>
      </c>
      <c r="I82" s="31">
        <v>2</v>
      </c>
      <c r="K82" s="31" t="s">
        <v>1548</v>
      </c>
      <c r="L82" s="31" t="str">
        <f>VLOOKUP(B82, [1]Course!$A$1:$O$933, 14, FALSE)</f>
        <v>SS</v>
      </c>
      <c r="M82" s="31">
        <v>1</v>
      </c>
    </row>
    <row r="83" spans="1:13" ht="15.75" hidden="1" customHeight="1" x14ac:dyDescent="0.2">
      <c r="A83" s="31">
        <v>82</v>
      </c>
      <c r="B83" s="31">
        <v>7</v>
      </c>
      <c r="C83" s="31">
        <v>11</v>
      </c>
      <c r="D83" s="31" t="s">
        <v>295</v>
      </c>
      <c r="E83" s="31" t="str">
        <f t="shared" si="1"/>
        <v>1211SS03PT</v>
      </c>
      <c r="F83" s="31">
        <f>VLOOKUP(B83,[1]Course!$A$2:$R$329,2,FALSE)</f>
        <v>0</v>
      </c>
      <c r="G83" s="31">
        <f>VLOOKUP(B83, [1]Course!$A$2:$L$950, 8, FALSE)</f>
        <v>12</v>
      </c>
      <c r="H83" s="31">
        <v>3</v>
      </c>
      <c r="I83" s="31">
        <v>2</v>
      </c>
      <c r="K83" s="31" t="s">
        <v>1548</v>
      </c>
      <c r="L83" s="31" t="str">
        <f>VLOOKUP(B83, [1]Course!$A$1:$O$933, 14, FALSE)</f>
        <v>SS</v>
      </c>
      <c r="M83" s="31">
        <v>1</v>
      </c>
    </row>
    <row r="84" spans="1:13" ht="15.75" hidden="1" customHeight="1" x14ac:dyDescent="0.2">
      <c r="A84" s="31">
        <v>83</v>
      </c>
      <c r="B84" s="31">
        <v>7</v>
      </c>
      <c r="C84" s="31">
        <v>12</v>
      </c>
      <c r="D84" s="31" t="s">
        <v>295</v>
      </c>
      <c r="E84" s="31" t="str">
        <f t="shared" si="1"/>
        <v>1212SS03PT</v>
      </c>
      <c r="F84" s="31">
        <f>VLOOKUP(B84,[1]Course!$A$2:$R$329,2,FALSE)</f>
        <v>0</v>
      </c>
      <c r="G84" s="31">
        <f>VLOOKUP(B84, [1]Course!$A$2:$L$950, 8, FALSE)</f>
        <v>12</v>
      </c>
      <c r="H84" s="31">
        <v>3</v>
      </c>
      <c r="I84" s="31">
        <v>2</v>
      </c>
      <c r="K84" s="31" t="s">
        <v>1548</v>
      </c>
      <c r="L84" s="31" t="str">
        <f>VLOOKUP(B84, [1]Course!$A$1:$O$933, 14, FALSE)</f>
        <v>SS</v>
      </c>
      <c r="M84" s="31">
        <v>1</v>
      </c>
    </row>
    <row r="85" spans="1:13" ht="15.75" hidden="1" customHeight="1" x14ac:dyDescent="0.2">
      <c r="A85" s="31">
        <v>84</v>
      </c>
      <c r="B85" s="31">
        <v>8</v>
      </c>
      <c r="C85" s="31">
        <v>1</v>
      </c>
      <c r="D85" s="31" t="s">
        <v>289</v>
      </c>
      <c r="E85" s="31" t="str">
        <f t="shared" si="1"/>
        <v>1201BR03PT</v>
      </c>
      <c r="F85" s="31">
        <f>VLOOKUP(B85,[1]Course!$A$2:$R$329,2,FALSE)</f>
        <v>0</v>
      </c>
      <c r="G85" s="31">
        <f>VLOOKUP(B85, [1]Course!$A$2:$L$950, 8, FALSE)</f>
        <v>12</v>
      </c>
      <c r="H85" s="31">
        <v>3</v>
      </c>
      <c r="I85" s="31">
        <v>2</v>
      </c>
      <c r="K85" s="31" t="s">
        <v>1548</v>
      </c>
      <c r="L85" s="31" t="str">
        <f>VLOOKUP(B85, [1]Course!$A$1:$O$933, 14, FALSE)</f>
        <v>BR</v>
      </c>
      <c r="M85" s="31">
        <v>1</v>
      </c>
    </row>
    <row r="86" spans="1:13" ht="15.75" hidden="1" customHeight="1" x14ac:dyDescent="0.2">
      <c r="A86" s="31">
        <v>85</v>
      </c>
      <c r="B86" s="31">
        <v>8</v>
      </c>
      <c r="C86" s="31">
        <v>2</v>
      </c>
      <c r="D86" s="31" t="s">
        <v>289</v>
      </c>
      <c r="E86" s="31" t="str">
        <f t="shared" si="1"/>
        <v>1202BR03PT</v>
      </c>
      <c r="F86" s="31">
        <f>VLOOKUP(B86,[1]Course!$A$2:$R$329,2,FALSE)</f>
        <v>0</v>
      </c>
      <c r="G86" s="31">
        <f>VLOOKUP(B86, [1]Course!$A$2:$L$950, 8, FALSE)</f>
        <v>12</v>
      </c>
      <c r="H86" s="31">
        <v>3</v>
      </c>
      <c r="I86" s="31">
        <v>2</v>
      </c>
      <c r="K86" s="31" t="s">
        <v>1548</v>
      </c>
      <c r="L86" s="31" t="str">
        <f>VLOOKUP(B86, [1]Course!$A$1:$O$933, 14, FALSE)</f>
        <v>BR</v>
      </c>
      <c r="M86" s="31">
        <v>1</v>
      </c>
    </row>
    <row r="87" spans="1:13" ht="15.75" hidden="1" customHeight="1" x14ac:dyDescent="0.2">
      <c r="A87" s="31">
        <v>86</v>
      </c>
      <c r="B87" s="31">
        <v>8</v>
      </c>
      <c r="C87" s="31">
        <v>3</v>
      </c>
      <c r="D87" s="31" t="s">
        <v>289</v>
      </c>
      <c r="E87" s="31" t="str">
        <f t="shared" si="1"/>
        <v>1203BR03PT</v>
      </c>
      <c r="F87" s="31">
        <f>VLOOKUP(B87,[1]Course!$A$2:$R$329,2,FALSE)</f>
        <v>0</v>
      </c>
      <c r="G87" s="31">
        <f>VLOOKUP(B87, [1]Course!$A$2:$L$950, 8, FALSE)</f>
        <v>12</v>
      </c>
      <c r="H87" s="31">
        <v>3</v>
      </c>
      <c r="I87" s="31">
        <v>2</v>
      </c>
      <c r="K87" s="31" t="s">
        <v>1548</v>
      </c>
      <c r="L87" s="31" t="str">
        <f>VLOOKUP(B87, [1]Course!$A$1:$O$933, 14, FALSE)</f>
        <v>BR</v>
      </c>
      <c r="M87" s="31">
        <v>1</v>
      </c>
    </row>
    <row r="88" spans="1:13" ht="15.75" hidden="1" customHeight="1" x14ac:dyDescent="0.2">
      <c r="A88" s="31">
        <v>87</v>
      </c>
      <c r="B88" s="31">
        <v>8</v>
      </c>
      <c r="C88" s="31">
        <v>4</v>
      </c>
      <c r="D88" s="31" t="s">
        <v>289</v>
      </c>
      <c r="E88" s="31" t="str">
        <f t="shared" si="1"/>
        <v>1204BR03PT</v>
      </c>
      <c r="F88" s="31">
        <f>VLOOKUP(B88,[1]Course!$A$2:$R$329,2,FALSE)</f>
        <v>0</v>
      </c>
      <c r="G88" s="31">
        <f>VLOOKUP(B88, [1]Course!$A$2:$L$950, 8, FALSE)</f>
        <v>12</v>
      </c>
      <c r="H88" s="31">
        <v>3</v>
      </c>
      <c r="I88" s="31">
        <v>2</v>
      </c>
      <c r="K88" s="31" t="s">
        <v>1548</v>
      </c>
      <c r="L88" s="31" t="str">
        <f>VLOOKUP(B88, [1]Course!$A$1:$O$933, 14, FALSE)</f>
        <v>BR</v>
      </c>
      <c r="M88" s="31">
        <v>1</v>
      </c>
    </row>
    <row r="89" spans="1:13" ht="15.75" hidden="1" customHeight="1" x14ac:dyDescent="0.2">
      <c r="A89" s="31">
        <v>88</v>
      </c>
      <c r="B89" s="31">
        <v>8</v>
      </c>
      <c r="C89" s="31">
        <v>5</v>
      </c>
      <c r="D89" s="31" t="s">
        <v>289</v>
      </c>
      <c r="E89" s="31" t="str">
        <f t="shared" si="1"/>
        <v>1205BR03PT</v>
      </c>
      <c r="F89" s="31">
        <f>VLOOKUP(B89,[1]Course!$A$2:$R$329,2,FALSE)</f>
        <v>0</v>
      </c>
      <c r="G89" s="31">
        <f>VLOOKUP(B89, [1]Course!$A$2:$L$950, 8, FALSE)</f>
        <v>12</v>
      </c>
      <c r="H89" s="31">
        <v>3</v>
      </c>
      <c r="I89" s="31">
        <v>2</v>
      </c>
      <c r="K89" s="31" t="s">
        <v>1548</v>
      </c>
      <c r="L89" s="31" t="str">
        <f>VLOOKUP(B89, [1]Course!$A$1:$O$933, 14, FALSE)</f>
        <v>BR</v>
      </c>
      <c r="M89" s="31">
        <v>1</v>
      </c>
    </row>
    <row r="90" spans="1:13" ht="15.75" hidden="1" customHeight="1" x14ac:dyDescent="0.2">
      <c r="A90" s="31">
        <v>89</v>
      </c>
      <c r="B90" s="31">
        <v>8</v>
      </c>
      <c r="C90" s="31">
        <v>6</v>
      </c>
      <c r="D90" s="31" t="s">
        <v>289</v>
      </c>
      <c r="E90" s="31" t="str">
        <f t="shared" si="1"/>
        <v>1206BR03PT</v>
      </c>
      <c r="F90" s="31">
        <f>VLOOKUP(B90,[1]Course!$A$2:$R$329,2,FALSE)</f>
        <v>0</v>
      </c>
      <c r="G90" s="31">
        <f>VLOOKUP(B90, [1]Course!$A$2:$L$950, 8, FALSE)</f>
        <v>12</v>
      </c>
      <c r="H90" s="31">
        <v>3</v>
      </c>
      <c r="I90" s="31">
        <v>2</v>
      </c>
      <c r="K90" s="31" t="s">
        <v>1548</v>
      </c>
      <c r="L90" s="31" t="str">
        <f>VLOOKUP(B90, [1]Course!$A$1:$O$933, 14, FALSE)</f>
        <v>BR</v>
      </c>
      <c r="M90" s="31">
        <v>1</v>
      </c>
    </row>
    <row r="91" spans="1:13" ht="15.75" hidden="1" customHeight="1" x14ac:dyDescent="0.2">
      <c r="A91" s="31">
        <v>90</v>
      </c>
      <c r="B91" s="31">
        <v>8</v>
      </c>
      <c r="C91" s="31">
        <v>7</v>
      </c>
      <c r="D91" s="31" t="s">
        <v>289</v>
      </c>
      <c r="E91" s="31" t="str">
        <f t="shared" si="1"/>
        <v>1207BR03PT</v>
      </c>
      <c r="F91" s="31">
        <f>VLOOKUP(B91,[1]Course!$A$2:$R$329,2,FALSE)</f>
        <v>0</v>
      </c>
      <c r="G91" s="31">
        <f>VLOOKUP(B91, [1]Course!$A$2:$L$950, 8, FALSE)</f>
        <v>12</v>
      </c>
      <c r="H91" s="31">
        <v>3</v>
      </c>
      <c r="I91" s="31">
        <v>2</v>
      </c>
      <c r="K91" s="31" t="s">
        <v>1548</v>
      </c>
      <c r="L91" s="31" t="str">
        <f>VLOOKUP(B91, [1]Course!$A$1:$O$933, 14, FALSE)</f>
        <v>BR</v>
      </c>
      <c r="M91" s="31">
        <v>1</v>
      </c>
    </row>
    <row r="92" spans="1:13" ht="15.75" hidden="1" customHeight="1" x14ac:dyDescent="0.2">
      <c r="A92" s="31">
        <v>91</v>
      </c>
      <c r="B92" s="31">
        <v>8</v>
      </c>
      <c r="C92" s="31">
        <v>8</v>
      </c>
      <c r="D92" s="31" t="s">
        <v>289</v>
      </c>
      <c r="E92" s="31" t="str">
        <f t="shared" si="1"/>
        <v>1208BR03PT</v>
      </c>
      <c r="F92" s="31">
        <f>VLOOKUP(B92,[1]Course!$A$2:$R$329,2,FALSE)</f>
        <v>0</v>
      </c>
      <c r="G92" s="31">
        <f>VLOOKUP(B92, [1]Course!$A$2:$L$950, 8, FALSE)</f>
        <v>12</v>
      </c>
      <c r="H92" s="31">
        <v>3</v>
      </c>
      <c r="I92" s="31">
        <v>2</v>
      </c>
      <c r="K92" s="31" t="s">
        <v>1548</v>
      </c>
      <c r="L92" s="31" t="str">
        <f>VLOOKUP(B92, [1]Course!$A$1:$O$933, 14, FALSE)</f>
        <v>BR</v>
      </c>
      <c r="M92" s="31">
        <v>1</v>
      </c>
    </row>
    <row r="93" spans="1:13" ht="15.75" hidden="1" customHeight="1" x14ac:dyDescent="0.2">
      <c r="A93" s="31">
        <v>92</v>
      </c>
      <c r="B93" s="31">
        <v>8</v>
      </c>
      <c r="C93" s="31">
        <v>9</v>
      </c>
      <c r="D93" s="31" t="s">
        <v>289</v>
      </c>
      <c r="E93" s="31" t="str">
        <f t="shared" si="1"/>
        <v>1209BR03PT</v>
      </c>
      <c r="F93" s="31">
        <f>VLOOKUP(B93,[1]Course!$A$2:$R$329,2,FALSE)</f>
        <v>0</v>
      </c>
      <c r="G93" s="31">
        <f>VLOOKUP(B93, [1]Course!$A$2:$L$950, 8, FALSE)</f>
        <v>12</v>
      </c>
      <c r="H93" s="31">
        <v>3</v>
      </c>
      <c r="I93" s="31">
        <v>2</v>
      </c>
      <c r="K93" s="31" t="s">
        <v>1548</v>
      </c>
      <c r="L93" s="31" t="str">
        <f>VLOOKUP(B93, [1]Course!$A$1:$O$933, 14, FALSE)</f>
        <v>BR</v>
      </c>
      <c r="M93" s="31">
        <v>1</v>
      </c>
    </row>
    <row r="94" spans="1:13" ht="15.75" hidden="1" customHeight="1" x14ac:dyDescent="0.2">
      <c r="A94" s="31">
        <v>93</v>
      </c>
      <c r="B94" s="31">
        <v>8</v>
      </c>
      <c r="C94" s="31">
        <v>10</v>
      </c>
      <c r="D94" s="31" t="s">
        <v>289</v>
      </c>
      <c r="E94" s="31" t="str">
        <f t="shared" si="1"/>
        <v>1210BR03PT</v>
      </c>
      <c r="F94" s="31">
        <f>VLOOKUP(B94,[1]Course!$A$2:$R$329,2,FALSE)</f>
        <v>0</v>
      </c>
      <c r="G94" s="31">
        <f>VLOOKUP(B94, [1]Course!$A$2:$L$950, 8, FALSE)</f>
        <v>12</v>
      </c>
      <c r="H94" s="31">
        <v>3</v>
      </c>
      <c r="I94" s="31">
        <v>2</v>
      </c>
      <c r="K94" s="31" t="s">
        <v>1548</v>
      </c>
      <c r="L94" s="31" t="str">
        <f>VLOOKUP(B94, [1]Course!$A$1:$O$933, 14, FALSE)</f>
        <v>BR</v>
      </c>
      <c r="M94" s="31">
        <v>1</v>
      </c>
    </row>
    <row r="95" spans="1:13" ht="15.75" hidden="1" customHeight="1" x14ac:dyDescent="0.2">
      <c r="A95" s="31">
        <v>94</v>
      </c>
      <c r="B95" s="31">
        <v>8</v>
      </c>
      <c r="C95" s="31">
        <v>11</v>
      </c>
      <c r="D95" s="31" t="s">
        <v>289</v>
      </c>
      <c r="E95" s="31" t="str">
        <f t="shared" si="1"/>
        <v>1211BR03PT</v>
      </c>
      <c r="F95" s="31">
        <f>VLOOKUP(B95,[1]Course!$A$2:$R$329,2,FALSE)</f>
        <v>0</v>
      </c>
      <c r="G95" s="31">
        <f>VLOOKUP(B95, [1]Course!$A$2:$L$950, 8, FALSE)</f>
        <v>12</v>
      </c>
      <c r="H95" s="31">
        <v>3</v>
      </c>
      <c r="I95" s="31">
        <v>2</v>
      </c>
      <c r="K95" s="31" t="s">
        <v>1548</v>
      </c>
      <c r="L95" s="31" t="str">
        <f>VLOOKUP(B95, [1]Course!$A$1:$O$933, 14, FALSE)</f>
        <v>BR</v>
      </c>
      <c r="M95" s="31">
        <v>1</v>
      </c>
    </row>
    <row r="96" spans="1:13" ht="15.75" hidden="1" customHeight="1" x14ac:dyDescent="0.2">
      <c r="A96" s="31">
        <v>95</v>
      </c>
      <c r="B96" s="31">
        <v>8</v>
      </c>
      <c r="C96" s="31">
        <v>12</v>
      </c>
      <c r="D96" s="31" t="s">
        <v>289</v>
      </c>
      <c r="E96" s="31" t="str">
        <f t="shared" si="1"/>
        <v>1212BR03PT</v>
      </c>
      <c r="F96" s="31">
        <f>VLOOKUP(B96,[1]Course!$A$2:$R$329,2,FALSE)</f>
        <v>0</v>
      </c>
      <c r="G96" s="31">
        <f>VLOOKUP(B96, [1]Course!$A$2:$L$950, 8, FALSE)</f>
        <v>12</v>
      </c>
      <c r="H96" s="31">
        <v>3</v>
      </c>
      <c r="I96" s="31">
        <v>2</v>
      </c>
      <c r="K96" s="31" t="s">
        <v>1548</v>
      </c>
      <c r="L96" s="31" t="str">
        <f>VLOOKUP(B96, [1]Course!$A$1:$O$933, 14, FALSE)</f>
        <v>BR</v>
      </c>
      <c r="M96" s="31">
        <v>1</v>
      </c>
    </row>
    <row r="97" spans="1:13" ht="15.75" hidden="1" customHeight="1" x14ac:dyDescent="0.2">
      <c r="A97" s="31">
        <v>96</v>
      </c>
      <c r="B97" s="31">
        <v>9</v>
      </c>
      <c r="C97" s="31">
        <v>13</v>
      </c>
      <c r="D97" s="31" t="s">
        <v>52</v>
      </c>
      <c r="E97" s="31" t="str">
        <f t="shared" si="1"/>
        <v>1213MA03PT</v>
      </c>
      <c r="F97" s="31">
        <f>VLOOKUP(B97,[1]Course!$A$2:$R$329,2,FALSE)</f>
        <v>0</v>
      </c>
      <c r="G97" s="31">
        <f>VLOOKUP(B97, [1]Course!$A$2:$L$950, 8, FALSE)</f>
        <v>12</v>
      </c>
      <c r="H97" s="31">
        <v>3</v>
      </c>
      <c r="I97" s="31">
        <v>2</v>
      </c>
      <c r="K97" s="31" t="s">
        <v>1548</v>
      </c>
      <c r="L97" s="31" t="str">
        <f>VLOOKUP(B97, [1]Course!$A$1:$O$933, 14, FALSE)</f>
        <v>MA</v>
      </c>
      <c r="M97" s="31">
        <v>1</v>
      </c>
    </row>
    <row r="98" spans="1:13" ht="15.75" hidden="1" customHeight="1" x14ac:dyDescent="0.2">
      <c r="A98" s="31">
        <v>97</v>
      </c>
      <c r="B98" s="31">
        <v>9</v>
      </c>
      <c r="C98" s="31">
        <v>14</v>
      </c>
      <c r="D98" s="31" t="s">
        <v>52</v>
      </c>
      <c r="E98" s="31" t="str">
        <f t="shared" si="1"/>
        <v>1214MA03PT</v>
      </c>
      <c r="F98" s="31">
        <f>VLOOKUP(B98,[1]Course!$A$2:$R$329,2,FALSE)</f>
        <v>0</v>
      </c>
      <c r="G98" s="31">
        <f>VLOOKUP(B98, [1]Course!$A$2:$L$950, 8, FALSE)</f>
        <v>12</v>
      </c>
      <c r="H98" s="31">
        <v>3</v>
      </c>
      <c r="I98" s="31">
        <v>1</v>
      </c>
      <c r="K98" s="31" t="s">
        <v>1548</v>
      </c>
      <c r="L98" s="31" t="str">
        <f>VLOOKUP(B98, [1]Course!$A$1:$O$933, 14, FALSE)</f>
        <v>MA</v>
      </c>
      <c r="M98" s="31">
        <v>1</v>
      </c>
    </row>
    <row r="99" spans="1:13" ht="15.75" hidden="1" customHeight="1" x14ac:dyDescent="0.2">
      <c r="A99" s="31">
        <v>98</v>
      </c>
      <c r="B99" s="31">
        <v>9</v>
      </c>
      <c r="C99" s="31">
        <v>15</v>
      </c>
      <c r="D99" s="31" t="s">
        <v>52</v>
      </c>
      <c r="E99" s="31" t="str">
        <f t="shared" si="1"/>
        <v>1215MA03PT</v>
      </c>
      <c r="F99" s="31">
        <f>VLOOKUP(B99,[1]Course!$A$2:$R$329,2,FALSE)</f>
        <v>0</v>
      </c>
      <c r="G99" s="31">
        <f>VLOOKUP(B99, [1]Course!$A$2:$L$950, 8, FALSE)</f>
        <v>12</v>
      </c>
      <c r="H99" s="31">
        <v>3</v>
      </c>
      <c r="I99" s="31">
        <v>1</v>
      </c>
      <c r="K99" s="31" t="s">
        <v>1548</v>
      </c>
      <c r="L99" s="31" t="str">
        <f>VLOOKUP(B99, [1]Course!$A$1:$O$933, 14, FALSE)</f>
        <v>MA</v>
      </c>
      <c r="M99" s="31">
        <v>1</v>
      </c>
    </row>
    <row r="100" spans="1:13" ht="15.75" hidden="1" customHeight="1" x14ac:dyDescent="0.2">
      <c r="A100" s="31">
        <v>99</v>
      </c>
      <c r="B100" s="31">
        <v>9</v>
      </c>
      <c r="C100" s="31">
        <v>16</v>
      </c>
      <c r="D100" s="31" t="s">
        <v>52</v>
      </c>
      <c r="E100" s="31" t="str">
        <f t="shared" si="1"/>
        <v>1216MA03PT</v>
      </c>
      <c r="F100" s="31">
        <f>VLOOKUP(B100,[1]Course!$A$2:$R$329,2,FALSE)</f>
        <v>0</v>
      </c>
      <c r="G100" s="31">
        <f>VLOOKUP(B100, [1]Course!$A$2:$L$950, 8, FALSE)</f>
        <v>12</v>
      </c>
      <c r="H100" s="31">
        <v>3</v>
      </c>
      <c r="I100" s="31">
        <v>1</v>
      </c>
      <c r="K100" s="31" t="s">
        <v>1548</v>
      </c>
      <c r="L100" s="31" t="str">
        <f>VLOOKUP(B100, [1]Course!$A$1:$O$933, 14, FALSE)</f>
        <v>MA</v>
      </c>
      <c r="M100" s="31">
        <v>1</v>
      </c>
    </row>
    <row r="101" spans="1:13" ht="15.75" hidden="1" customHeight="1" x14ac:dyDescent="0.2">
      <c r="A101" s="31">
        <v>100</v>
      </c>
      <c r="B101" s="31">
        <v>9</v>
      </c>
      <c r="C101" s="31">
        <v>17</v>
      </c>
      <c r="D101" s="31" t="s">
        <v>52</v>
      </c>
      <c r="E101" s="31" t="str">
        <f t="shared" si="1"/>
        <v>1217MA03PT</v>
      </c>
      <c r="F101" s="31">
        <f>VLOOKUP(B101,[1]Course!$A$2:$R$329,2,FALSE)</f>
        <v>0</v>
      </c>
      <c r="G101" s="31">
        <f>VLOOKUP(B101, [1]Course!$A$2:$L$950, 8, FALSE)</f>
        <v>12</v>
      </c>
      <c r="H101" s="31">
        <v>3</v>
      </c>
      <c r="I101" s="31">
        <v>1</v>
      </c>
      <c r="K101" s="31" t="s">
        <v>1548</v>
      </c>
      <c r="L101" s="31" t="str">
        <f>VLOOKUP(B101, [1]Course!$A$1:$O$933, 14, FALSE)</f>
        <v>MA</v>
      </c>
      <c r="M101" s="31">
        <v>1</v>
      </c>
    </row>
    <row r="102" spans="1:13" ht="15.75" hidden="1" customHeight="1" x14ac:dyDescent="0.2">
      <c r="A102" s="31">
        <v>101</v>
      </c>
      <c r="B102" s="31">
        <v>9</v>
      </c>
      <c r="C102" s="31">
        <v>18</v>
      </c>
      <c r="D102" s="31" t="s">
        <v>52</v>
      </c>
      <c r="E102" s="31" t="str">
        <f t="shared" si="1"/>
        <v>1218MA03PT</v>
      </c>
      <c r="F102" s="31">
        <f>VLOOKUP(B102,[1]Course!$A$2:$R$329,2,FALSE)</f>
        <v>0</v>
      </c>
      <c r="G102" s="31">
        <f>VLOOKUP(B102, [1]Course!$A$2:$L$950, 8, FALSE)</f>
        <v>12</v>
      </c>
      <c r="H102" s="31">
        <v>3</v>
      </c>
      <c r="I102" s="31">
        <v>1</v>
      </c>
      <c r="K102" s="31" t="s">
        <v>1548</v>
      </c>
      <c r="L102" s="31" t="str">
        <f>VLOOKUP(B102, [1]Course!$A$1:$O$933, 14, FALSE)</f>
        <v>MA</v>
      </c>
      <c r="M102" s="31">
        <v>1</v>
      </c>
    </row>
    <row r="103" spans="1:13" ht="15.75" hidden="1" customHeight="1" x14ac:dyDescent="0.2">
      <c r="A103" s="31">
        <v>102</v>
      </c>
      <c r="B103" s="31">
        <v>9</v>
      </c>
      <c r="C103" s="31">
        <v>19</v>
      </c>
      <c r="D103" s="31" t="s">
        <v>52</v>
      </c>
      <c r="E103" s="31" t="str">
        <f t="shared" si="1"/>
        <v>1219MA03PT</v>
      </c>
      <c r="F103" s="31">
        <f>VLOOKUP(B103,[1]Course!$A$2:$R$329,2,FALSE)</f>
        <v>0</v>
      </c>
      <c r="G103" s="31">
        <f>VLOOKUP(B103, [1]Course!$A$2:$L$950, 8, FALSE)</f>
        <v>12</v>
      </c>
      <c r="H103" s="31">
        <v>3</v>
      </c>
      <c r="I103" s="31">
        <v>1</v>
      </c>
      <c r="K103" s="31" t="s">
        <v>1548</v>
      </c>
      <c r="L103" s="31" t="str">
        <f>VLOOKUP(B103, [1]Course!$A$1:$O$933, 14, FALSE)</f>
        <v>MA</v>
      </c>
      <c r="M103" s="31">
        <v>1</v>
      </c>
    </row>
    <row r="104" spans="1:13" ht="15.75" hidden="1" customHeight="1" x14ac:dyDescent="0.2">
      <c r="A104" s="31">
        <v>103</v>
      </c>
      <c r="B104" s="31">
        <v>9</v>
      </c>
      <c r="C104" s="31">
        <v>20</v>
      </c>
      <c r="D104" s="31" t="s">
        <v>52</v>
      </c>
      <c r="E104" s="31" t="str">
        <f t="shared" si="1"/>
        <v>1220MA03PT</v>
      </c>
      <c r="F104" s="31">
        <f>VLOOKUP(B104,[1]Course!$A$2:$R$329,2,FALSE)</f>
        <v>0</v>
      </c>
      <c r="G104" s="31">
        <f>VLOOKUP(B104, [1]Course!$A$2:$L$950, 8, FALSE)</f>
        <v>12</v>
      </c>
      <c r="H104" s="31">
        <v>3</v>
      </c>
      <c r="I104" s="31">
        <v>1</v>
      </c>
      <c r="K104" s="31" t="s">
        <v>1548</v>
      </c>
      <c r="L104" s="31" t="str">
        <f>VLOOKUP(B104, [1]Course!$A$1:$O$933, 14, FALSE)</f>
        <v>MA</v>
      </c>
      <c r="M104" s="31">
        <v>1</v>
      </c>
    </row>
    <row r="105" spans="1:13" ht="15.75" hidden="1" customHeight="1" x14ac:dyDescent="0.2">
      <c r="A105" s="31">
        <v>104</v>
      </c>
      <c r="B105" s="31">
        <v>9</v>
      </c>
      <c r="C105" s="31">
        <v>21</v>
      </c>
      <c r="D105" s="31" t="s">
        <v>52</v>
      </c>
      <c r="E105" s="31" t="str">
        <f t="shared" si="1"/>
        <v>1221MA03PT</v>
      </c>
      <c r="F105" s="31">
        <f>VLOOKUP(B105,[1]Course!$A$2:$R$329,2,FALSE)</f>
        <v>0</v>
      </c>
      <c r="G105" s="31">
        <f>VLOOKUP(B105, [1]Course!$A$2:$L$950, 8, FALSE)</f>
        <v>12</v>
      </c>
      <c r="H105" s="31">
        <v>3</v>
      </c>
      <c r="I105" s="31">
        <v>1</v>
      </c>
      <c r="K105" s="31" t="s">
        <v>1548</v>
      </c>
      <c r="L105" s="31" t="str">
        <f>VLOOKUP(B105, [1]Course!$A$1:$O$933, 14, FALSE)</f>
        <v>MA</v>
      </c>
      <c r="M105" s="31">
        <v>1</v>
      </c>
    </row>
    <row r="106" spans="1:13" ht="15.75" hidden="1" customHeight="1" x14ac:dyDescent="0.2">
      <c r="A106" s="31">
        <v>105</v>
      </c>
      <c r="B106" s="31">
        <v>9</v>
      </c>
      <c r="C106" s="31">
        <v>22</v>
      </c>
      <c r="D106" s="31" t="s">
        <v>52</v>
      </c>
      <c r="E106" s="31" t="str">
        <f t="shared" si="1"/>
        <v>1222MA03PT</v>
      </c>
      <c r="F106" s="31">
        <f>VLOOKUP(B106,[1]Course!$A$2:$R$329,2,FALSE)</f>
        <v>0</v>
      </c>
      <c r="G106" s="31">
        <f>VLOOKUP(B106, [1]Course!$A$2:$L$950, 8, FALSE)</f>
        <v>12</v>
      </c>
      <c r="H106" s="31">
        <v>3</v>
      </c>
      <c r="I106" s="31">
        <v>1</v>
      </c>
      <c r="K106" s="31" t="s">
        <v>1548</v>
      </c>
      <c r="L106" s="31" t="str">
        <f>VLOOKUP(B106, [1]Course!$A$1:$O$933, 14, FALSE)</f>
        <v>MA</v>
      </c>
      <c r="M106" s="31">
        <v>1</v>
      </c>
    </row>
    <row r="107" spans="1:13" ht="15.75" hidden="1" customHeight="1" x14ac:dyDescent="0.2">
      <c r="A107" s="31">
        <v>106</v>
      </c>
      <c r="B107" s="31">
        <v>9</v>
      </c>
      <c r="C107" s="31">
        <v>23</v>
      </c>
      <c r="D107" s="31" t="s">
        <v>52</v>
      </c>
      <c r="E107" s="31" t="str">
        <f t="shared" si="1"/>
        <v>1223MA03PT</v>
      </c>
      <c r="F107" s="31">
        <f>VLOOKUP(B107,[1]Course!$A$2:$R$329,2,FALSE)</f>
        <v>0</v>
      </c>
      <c r="G107" s="31">
        <f>VLOOKUP(B107, [1]Course!$A$2:$L$950, 8, FALSE)</f>
        <v>12</v>
      </c>
      <c r="H107" s="31">
        <v>3</v>
      </c>
      <c r="I107" s="31">
        <v>1</v>
      </c>
      <c r="K107" s="31" t="s">
        <v>1548</v>
      </c>
      <c r="L107" s="31" t="str">
        <f>VLOOKUP(B107, [1]Course!$A$1:$O$933, 14, FALSE)</f>
        <v>MA</v>
      </c>
      <c r="M107" s="31">
        <v>1</v>
      </c>
    </row>
    <row r="108" spans="1:13" ht="15.75" hidden="1" customHeight="1" x14ac:dyDescent="0.2">
      <c r="A108" s="31">
        <v>107</v>
      </c>
      <c r="B108" s="31">
        <v>9</v>
      </c>
      <c r="C108" s="31">
        <v>24</v>
      </c>
      <c r="D108" s="31" t="s">
        <v>52</v>
      </c>
      <c r="E108" s="31" t="str">
        <f t="shared" si="1"/>
        <v>1224MA03PT</v>
      </c>
      <c r="F108" s="31">
        <f>VLOOKUP(B108,[1]Course!$A$2:$R$329,2,FALSE)</f>
        <v>0</v>
      </c>
      <c r="G108" s="31">
        <f>VLOOKUP(B108, [1]Course!$A$2:$L$950, 8, FALSE)</f>
        <v>12</v>
      </c>
      <c r="H108" s="31">
        <v>3</v>
      </c>
      <c r="I108" s="31">
        <v>1</v>
      </c>
      <c r="K108" s="31" t="s">
        <v>1548</v>
      </c>
      <c r="L108" s="31" t="str">
        <f>VLOOKUP(B108, [1]Course!$A$1:$O$933, 14, FALSE)</f>
        <v>MA</v>
      </c>
      <c r="M108" s="31">
        <v>1</v>
      </c>
    </row>
    <row r="109" spans="1:13" ht="15.75" hidden="1" customHeight="1" x14ac:dyDescent="0.2">
      <c r="A109" s="31">
        <v>108</v>
      </c>
      <c r="B109" s="31">
        <v>10</v>
      </c>
      <c r="C109" s="31">
        <v>13</v>
      </c>
      <c r="D109" s="31" t="s">
        <v>155</v>
      </c>
      <c r="E109" s="31" t="str">
        <f t="shared" si="1"/>
        <v>1213EN03PT</v>
      </c>
      <c r="F109" s="31">
        <f>VLOOKUP(B109,[1]Course!$A$2:$R$329,2,FALSE)</f>
        <v>0</v>
      </c>
      <c r="G109" s="31">
        <f>VLOOKUP(B109, [1]Course!$A$2:$L$950, 8, FALSE)</f>
        <v>12</v>
      </c>
      <c r="H109" s="31">
        <v>3</v>
      </c>
      <c r="I109" s="31">
        <v>1</v>
      </c>
      <c r="K109" s="31" t="s">
        <v>1548</v>
      </c>
      <c r="L109" s="31" t="str">
        <f>VLOOKUP(B109, [1]Course!$A$1:$O$933, 14, FALSE)</f>
        <v>EN</v>
      </c>
      <c r="M109" s="31">
        <v>1</v>
      </c>
    </row>
    <row r="110" spans="1:13" ht="15.75" hidden="1" customHeight="1" x14ac:dyDescent="0.2">
      <c r="A110" s="31">
        <v>109</v>
      </c>
      <c r="B110" s="31">
        <v>10</v>
      </c>
      <c r="C110" s="31">
        <v>14</v>
      </c>
      <c r="D110" s="31" t="s">
        <v>155</v>
      </c>
      <c r="E110" s="31" t="str">
        <f t="shared" si="1"/>
        <v>1214EN03PT</v>
      </c>
      <c r="F110" s="31">
        <f>VLOOKUP(B110,[1]Course!$A$2:$R$329,2,FALSE)</f>
        <v>0</v>
      </c>
      <c r="G110" s="31">
        <f>VLOOKUP(B110, [1]Course!$A$2:$L$950, 8, FALSE)</f>
        <v>12</v>
      </c>
      <c r="H110" s="31">
        <v>3</v>
      </c>
      <c r="I110" s="31">
        <v>1</v>
      </c>
      <c r="K110" s="31" t="s">
        <v>1548</v>
      </c>
      <c r="L110" s="31" t="str">
        <f>VLOOKUP(B110, [1]Course!$A$1:$O$933, 14, FALSE)</f>
        <v>EN</v>
      </c>
      <c r="M110" s="31">
        <v>1</v>
      </c>
    </row>
    <row r="111" spans="1:13" ht="15.75" hidden="1" customHeight="1" x14ac:dyDescent="0.2">
      <c r="A111" s="31">
        <v>110</v>
      </c>
      <c r="B111" s="31">
        <v>10</v>
      </c>
      <c r="C111" s="31">
        <v>15</v>
      </c>
      <c r="D111" s="31" t="s">
        <v>155</v>
      </c>
      <c r="E111" s="31" t="str">
        <f t="shared" si="1"/>
        <v>1215EN03PT</v>
      </c>
      <c r="F111" s="31">
        <f>VLOOKUP(B111,[1]Course!$A$2:$R$329,2,FALSE)</f>
        <v>0</v>
      </c>
      <c r="G111" s="31">
        <f>VLOOKUP(B111, [1]Course!$A$2:$L$950, 8, FALSE)</f>
        <v>12</v>
      </c>
      <c r="H111" s="31">
        <v>3</v>
      </c>
      <c r="I111" s="31">
        <v>1</v>
      </c>
      <c r="K111" s="31" t="s">
        <v>1548</v>
      </c>
      <c r="L111" s="31" t="str">
        <f>VLOOKUP(B111, [1]Course!$A$1:$O$933, 14, FALSE)</f>
        <v>EN</v>
      </c>
      <c r="M111" s="31">
        <v>1</v>
      </c>
    </row>
    <row r="112" spans="1:13" ht="15.75" hidden="1" customHeight="1" x14ac:dyDescent="0.2">
      <c r="A112" s="31">
        <v>111</v>
      </c>
      <c r="B112" s="31">
        <v>10</v>
      </c>
      <c r="C112" s="31">
        <v>16</v>
      </c>
      <c r="D112" s="31" t="s">
        <v>155</v>
      </c>
      <c r="E112" s="31" t="str">
        <f t="shared" si="1"/>
        <v>1216EN03PT</v>
      </c>
      <c r="F112" s="31">
        <f>VLOOKUP(B112,[1]Course!$A$2:$R$329,2,FALSE)</f>
        <v>0</v>
      </c>
      <c r="G112" s="31">
        <f>VLOOKUP(B112, [1]Course!$A$2:$L$950, 8, FALSE)</f>
        <v>12</v>
      </c>
      <c r="H112" s="31">
        <v>3</v>
      </c>
      <c r="I112" s="31">
        <v>1</v>
      </c>
      <c r="K112" s="31" t="s">
        <v>1548</v>
      </c>
      <c r="L112" s="31" t="str">
        <f>VLOOKUP(B112, [1]Course!$A$1:$O$933, 14, FALSE)</f>
        <v>EN</v>
      </c>
      <c r="M112" s="31">
        <v>1</v>
      </c>
    </row>
    <row r="113" spans="1:13" ht="15.75" hidden="1" customHeight="1" x14ac:dyDescent="0.2">
      <c r="A113" s="31">
        <v>112</v>
      </c>
      <c r="B113" s="31">
        <v>10</v>
      </c>
      <c r="C113" s="31">
        <v>17</v>
      </c>
      <c r="D113" s="31" t="s">
        <v>155</v>
      </c>
      <c r="E113" s="31" t="str">
        <f t="shared" si="1"/>
        <v>1217EN03PT</v>
      </c>
      <c r="F113" s="31">
        <f>VLOOKUP(B113,[1]Course!$A$2:$R$329,2,FALSE)</f>
        <v>0</v>
      </c>
      <c r="G113" s="31">
        <f>VLOOKUP(B113, [1]Course!$A$2:$L$950, 8, FALSE)</f>
        <v>12</v>
      </c>
      <c r="H113" s="31">
        <v>3</v>
      </c>
      <c r="I113" s="31">
        <v>1</v>
      </c>
      <c r="K113" s="31" t="s">
        <v>1548</v>
      </c>
      <c r="L113" s="31" t="str">
        <f>VLOOKUP(B113, [1]Course!$A$1:$O$933, 14, FALSE)</f>
        <v>EN</v>
      </c>
      <c r="M113" s="31">
        <v>1</v>
      </c>
    </row>
    <row r="114" spans="1:13" ht="15.75" hidden="1" customHeight="1" x14ac:dyDescent="0.2">
      <c r="A114" s="31">
        <v>113</v>
      </c>
      <c r="B114" s="31">
        <v>10</v>
      </c>
      <c r="C114" s="31">
        <v>18</v>
      </c>
      <c r="D114" s="31" t="s">
        <v>155</v>
      </c>
      <c r="E114" s="31" t="str">
        <f t="shared" si="1"/>
        <v>1218EN03PT</v>
      </c>
      <c r="F114" s="31">
        <f>VLOOKUP(B114,[1]Course!$A$2:$R$329,2,FALSE)</f>
        <v>0</v>
      </c>
      <c r="G114" s="31">
        <f>VLOOKUP(B114, [1]Course!$A$2:$L$950, 8, FALSE)</f>
        <v>12</v>
      </c>
      <c r="H114" s="31">
        <v>3</v>
      </c>
      <c r="I114" s="31">
        <v>1</v>
      </c>
      <c r="K114" s="31" t="s">
        <v>1548</v>
      </c>
      <c r="L114" s="31" t="str">
        <f>VLOOKUP(B114, [1]Course!$A$1:$O$933, 14, FALSE)</f>
        <v>EN</v>
      </c>
      <c r="M114" s="31">
        <v>1</v>
      </c>
    </row>
    <row r="115" spans="1:13" ht="15.75" hidden="1" customHeight="1" x14ac:dyDescent="0.2">
      <c r="A115" s="31">
        <v>114</v>
      </c>
      <c r="B115" s="31">
        <v>10</v>
      </c>
      <c r="C115" s="31">
        <v>19</v>
      </c>
      <c r="D115" s="31" t="s">
        <v>155</v>
      </c>
      <c r="E115" s="31" t="str">
        <f t="shared" si="1"/>
        <v>1219EN03PT</v>
      </c>
      <c r="F115" s="31">
        <f>VLOOKUP(B115,[1]Course!$A$2:$R$329,2,FALSE)</f>
        <v>0</v>
      </c>
      <c r="G115" s="31">
        <f>VLOOKUP(B115, [1]Course!$A$2:$L$950, 8, FALSE)</f>
        <v>12</v>
      </c>
      <c r="H115" s="31">
        <v>3</v>
      </c>
      <c r="I115" s="31">
        <v>1</v>
      </c>
      <c r="K115" s="31" t="s">
        <v>1548</v>
      </c>
      <c r="L115" s="31" t="str">
        <f>VLOOKUP(B115, [1]Course!$A$1:$O$933, 14, FALSE)</f>
        <v>EN</v>
      </c>
      <c r="M115" s="31">
        <v>1</v>
      </c>
    </row>
    <row r="116" spans="1:13" ht="15.75" hidden="1" customHeight="1" x14ac:dyDescent="0.2">
      <c r="A116" s="31">
        <v>115</v>
      </c>
      <c r="B116" s="31">
        <v>10</v>
      </c>
      <c r="C116" s="31">
        <v>20</v>
      </c>
      <c r="D116" s="31" t="s">
        <v>155</v>
      </c>
      <c r="E116" s="31" t="str">
        <f t="shared" si="1"/>
        <v>1220EN03PT</v>
      </c>
      <c r="F116" s="31">
        <f>VLOOKUP(B116,[1]Course!$A$2:$R$329,2,FALSE)</f>
        <v>0</v>
      </c>
      <c r="G116" s="31">
        <f>VLOOKUP(B116, [1]Course!$A$2:$L$950, 8, FALSE)</f>
        <v>12</v>
      </c>
      <c r="H116" s="31">
        <v>3</v>
      </c>
      <c r="I116" s="31">
        <v>1</v>
      </c>
      <c r="K116" s="31" t="s">
        <v>1548</v>
      </c>
      <c r="L116" s="31" t="str">
        <f>VLOOKUP(B116, [1]Course!$A$1:$O$933, 14, FALSE)</f>
        <v>EN</v>
      </c>
      <c r="M116" s="31">
        <v>1</v>
      </c>
    </row>
    <row r="117" spans="1:13" ht="15.75" hidden="1" customHeight="1" x14ac:dyDescent="0.2">
      <c r="A117" s="31">
        <v>116</v>
      </c>
      <c r="B117" s="31">
        <v>10</v>
      </c>
      <c r="C117" s="31">
        <v>21</v>
      </c>
      <c r="D117" s="31" t="s">
        <v>155</v>
      </c>
      <c r="E117" s="31" t="str">
        <f t="shared" si="1"/>
        <v>1221EN03PT</v>
      </c>
      <c r="F117" s="31">
        <f>VLOOKUP(B117,[1]Course!$A$2:$R$329,2,FALSE)</f>
        <v>0</v>
      </c>
      <c r="G117" s="31">
        <f>VLOOKUP(B117, [1]Course!$A$2:$L$950, 8, FALSE)</f>
        <v>12</v>
      </c>
      <c r="H117" s="31">
        <v>3</v>
      </c>
      <c r="I117" s="31">
        <v>1</v>
      </c>
      <c r="K117" s="31" t="s">
        <v>1548</v>
      </c>
      <c r="L117" s="31" t="str">
        <f>VLOOKUP(B117, [1]Course!$A$1:$O$933, 14, FALSE)</f>
        <v>EN</v>
      </c>
      <c r="M117" s="31">
        <v>1</v>
      </c>
    </row>
    <row r="118" spans="1:13" ht="15.75" hidden="1" customHeight="1" x14ac:dyDescent="0.2">
      <c r="A118" s="31">
        <v>117</v>
      </c>
      <c r="B118" s="31">
        <v>10</v>
      </c>
      <c r="C118" s="31">
        <v>22</v>
      </c>
      <c r="D118" s="31" t="s">
        <v>155</v>
      </c>
      <c r="E118" s="31" t="str">
        <f t="shared" si="1"/>
        <v>1222EN03PT</v>
      </c>
      <c r="F118" s="31">
        <f>VLOOKUP(B118,[1]Course!$A$2:$R$329,2,FALSE)</f>
        <v>0</v>
      </c>
      <c r="G118" s="31">
        <f>VLOOKUP(B118, [1]Course!$A$2:$L$950, 8, FALSE)</f>
        <v>12</v>
      </c>
      <c r="H118" s="31">
        <v>3</v>
      </c>
      <c r="I118" s="31">
        <v>1</v>
      </c>
      <c r="K118" s="31" t="s">
        <v>1548</v>
      </c>
      <c r="L118" s="31" t="str">
        <f>VLOOKUP(B118, [1]Course!$A$1:$O$933, 14, FALSE)</f>
        <v>EN</v>
      </c>
      <c r="M118" s="31">
        <v>1</v>
      </c>
    </row>
    <row r="119" spans="1:13" ht="15.75" hidden="1" customHeight="1" x14ac:dyDescent="0.2">
      <c r="A119" s="31">
        <v>118</v>
      </c>
      <c r="B119" s="31">
        <v>10</v>
      </c>
      <c r="C119" s="31">
        <v>23</v>
      </c>
      <c r="D119" s="31" t="s">
        <v>155</v>
      </c>
      <c r="E119" s="31" t="str">
        <f t="shared" si="1"/>
        <v>1223EN03PT</v>
      </c>
      <c r="F119" s="31">
        <f>VLOOKUP(B119,[1]Course!$A$2:$R$329,2,FALSE)</f>
        <v>0</v>
      </c>
      <c r="G119" s="31">
        <f>VLOOKUP(B119, [1]Course!$A$2:$L$950, 8, FALSE)</f>
        <v>12</v>
      </c>
      <c r="H119" s="31">
        <v>3</v>
      </c>
      <c r="I119" s="31">
        <v>1</v>
      </c>
      <c r="K119" s="31" t="s">
        <v>1548</v>
      </c>
      <c r="L119" s="31" t="str">
        <f>VLOOKUP(B119, [1]Course!$A$1:$O$933, 14, FALSE)</f>
        <v>EN</v>
      </c>
      <c r="M119" s="31">
        <v>1</v>
      </c>
    </row>
    <row r="120" spans="1:13" ht="15.75" hidden="1" customHeight="1" x14ac:dyDescent="0.2">
      <c r="A120" s="31">
        <v>119</v>
      </c>
      <c r="B120" s="31">
        <v>10</v>
      </c>
      <c r="C120" s="31">
        <v>24</v>
      </c>
      <c r="D120" s="31" t="s">
        <v>155</v>
      </c>
      <c r="E120" s="31" t="str">
        <f t="shared" si="1"/>
        <v>1224EN03PT</v>
      </c>
      <c r="F120" s="31">
        <f>VLOOKUP(B120,[1]Course!$A$2:$R$329,2,FALSE)</f>
        <v>0</v>
      </c>
      <c r="G120" s="31">
        <f>VLOOKUP(B120, [1]Course!$A$2:$L$950, 8, FALSE)</f>
        <v>12</v>
      </c>
      <c r="H120" s="31">
        <v>3</v>
      </c>
      <c r="I120" s="31">
        <v>1</v>
      </c>
      <c r="K120" s="31" t="s">
        <v>1548</v>
      </c>
      <c r="L120" s="31" t="str">
        <f>VLOOKUP(B120, [1]Course!$A$1:$O$933, 14, FALSE)</f>
        <v>EN</v>
      </c>
      <c r="M120" s="31">
        <v>1</v>
      </c>
    </row>
    <row r="121" spans="1:13" ht="15.75" hidden="1" customHeight="1" x14ac:dyDescent="0.2">
      <c r="A121" s="31">
        <v>120</v>
      </c>
      <c r="B121" s="31">
        <v>11</v>
      </c>
      <c r="C121" s="31">
        <v>13</v>
      </c>
      <c r="D121" s="31" t="s">
        <v>284</v>
      </c>
      <c r="E121" s="31" t="str">
        <f t="shared" si="1"/>
        <v>1213WB03PT</v>
      </c>
      <c r="F121" s="31">
        <f>VLOOKUP(B121,[1]Course!$A$2:$R$329,2,FALSE)</f>
        <v>0</v>
      </c>
      <c r="G121" s="31">
        <f>VLOOKUP(B121, [1]Course!$A$2:$L$950, 8, FALSE)</f>
        <v>12</v>
      </c>
      <c r="H121" s="31">
        <v>3</v>
      </c>
      <c r="I121" s="31">
        <v>1</v>
      </c>
      <c r="K121" s="31" t="s">
        <v>1548</v>
      </c>
      <c r="L121" s="31" t="str">
        <f>VLOOKUP(B121, [1]Course!$A$1:$O$933, 14, FALSE)</f>
        <v>WB</v>
      </c>
      <c r="M121" s="31">
        <v>1</v>
      </c>
    </row>
    <row r="122" spans="1:13" ht="15.75" hidden="1" customHeight="1" x14ac:dyDescent="0.2">
      <c r="A122" s="31">
        <v>121</v>
      </c>
      <c r="B122" s="31">
        <v>11</v>
      </c>
      <c r="C122" s="31">
        <v>14</v>
      </c>
      <c r="D122" s="31" t="s">
        <v>284</v>
      </c>
      <c r="E122" s="31" t="str">
        <f t="shared" si="1"/>
        <v>1214WB03PT</v>
      </c>
      <c r="F122" s="31">
        <f>VLOOKUP(B122,[1]Course!$A$2:$R$329,2,FALSE)</f>
        <v>0</v>
      </c>
      <c r="G122" s="31">
        <f>VLOOKUP(B122, [1]Course!$A$2:$L$950, 8, FALSE)</f>
        <v>12</v>
      </c>
      <c r="H122" s="31">
        <v>3</v>
      </c>
      <c r="I122" s="31">
        <v>1</v>
      </c>
      <c r="K122" s="31" t="s">
        <v>1548</v>
      </c>
      <c r="L122" s="31" t="str">
        <f>VLOOKUP(B122, [1]Course!$A$1:$O$933, 14, FALSE)</f>
        <v>WB</v>
      </c>
      <c r="M122" s="31">
        <v>1</v>
      </c>
    </row>
    <row r="123" spans="1:13" ht="15.75" hidden="1" customHeight="1" x14ac:dyDescent="0.2">
      <c r="A123" s="31">
        <v>122</v>
      </c>
      <c r="B123" s="31">
        <v>11</v>
      </c>
      <c r="C123" s="31">
        <v>15</v>
      </c>
      <c r="D123" s="31" t="s">
        <v>284</v>
      </c>
      <c r="E123" s="31" t="str">
        <f t="shared" si="1"/>
        <v>1215WB03PT</v>
      </c>
      <c r="F123" s="31">
        <f>VLOOKUP(B123,[1]Course!$A$2:$R$329,2,FALSE)</f>
        <v>0</v>
      </c>
      <c r="G123" s="31">
        <f>VLOOKUP(B123, [1]Course!$A$2:$L$950, 8, FALSE)</f>
        <v>12</v>
      </c>
      <c r="H123" s="31">
        <v>3</v>
      </c>
      <c r="I123" s="31">
        <v>1</v>
      </c>
      <c r="K123" s="31" t="s">
        <v>1548</v>
      </c>
      <c r="L123" s="31" t="str">
        <f>VLOOKUP(B123, [1]Course!$A$1:$O$933, 14, FALSE)</f>
        <v>WB</v>
      </c>
      <c r="M123" s="31">
        <v>1</v>
      </c>
    </row>
    <row r="124" spans="1:13" ht="15.75" hidden="1" customHeight="1" x14ac:dyDescent="0.2">
      <c r="A124" s="31">
        <v>123</v>
      </c>
      <c r="B124" s="31">
        <v>11</v>
      </c>
      <c r="C124" s="31">
        <v>16</v>
      </c>
      <c r="D124" s="31" t="s">
        <v>284</v>
      </c>
      <c r="E124" s="31" t="str">
        <f t="shared" si="1"/>
        <v>1216WB03PT</v>
      </c>
      <c r="F124" s="31">
        <f>VLOOKUP(B124,[1]Course!$A$2:$R$329,2,FALSE)</f>
        <v>0</v>
      </c>
      <c r="G124" s="31">
        <f>VLOOKUP(B124, [1]Course!$A$2:$L$950, 8, FALSE)</f>
        <v>12</v>
      </c>
      <c r="H124" s="31">
        <v>3</v>
      </c>
      <c r="I124" s="31">
        <v>1</v>
      </c>
      <c r="K124" s="31" t="s">
        <v>1548</v>
      </c>
      <c r="L124" s="31" t="str">
        <f>VLOOKUP(B124, [1]Course!$A$1:$O$933, 14, FALSE)</f>
        <v>WB</v>
      </c>
      <c r="M124" s="31">
        <v>1</v>
      </c>
    </row>
    <row r="125" spans="1:13" ht="15.75" hidden="1" customHeight="1" x14ac:dyDescent="0.2">
      <c r="A125" s="31">
        <v>124</v>
      </c>
      <c r="B125" s="31">
        <v>11</v>
      </c>
      <c r="C125" s="31">
        <v>17</v>
      </c>
      <c r="D125" s="31" t="s">
        <v>284</v>
      </c>
      <c r="E125" s="31" t="str">
        <f t="shared" si="1"/>
        <v>1217WB03PT</v>
      </c>
      <c r="F125" s="31">
        <f>VLOOKUP(B125,[1]Course!$A$2:$R$329,2,FALSE)</f>
        <v>0</v>
      </c>
      <c r="G125" s="31">
        <f>VLOOKUP(B125, [1]Course!$A$2:$L$950, 8, FALSE)</f>
        <v>12</v>
      </c>
      <c r="H125" s="31">
        <v>3</v>
      </c>
      <c r="I125" s="31">
        <v>1</v>
      </c>
      <c r="K125" s="31" t="s">
        <v>1548</v>
      </c>
      <c r="L125" s="31" t="str">
        <f>VLOOKUP(B125, [1]Course!$A$1:$O$933, 14, FALSE)</f>
        <v>WB</v>
      </c>
      <c r="M125" s="31">
        <v>1</v>
      </c>
    </row>
    <row r="126" spans="1:13" ht="15.75" hidden="1" customHeight="1" x14ac:dyDescent="0.2">
      <c r="A126" s="31">
        <v>125</v>
      </c>
      <c r="B126" s="31">
        <v>11</v>
      </c>
      <c r="C126" s="31">
        <v>18</v>
      </c>
      <c r="D126" s="31" t="s">
        <v>284</v>
      </c>
      <c r="E126" s="31" t="str">
        <f t="shared" si="1"/>
        <v>1218WB03PT</v>
      </c>
      <c r="F126" s="31">
        <f>VLOOKUP(B126,[1]Course!$A$2:$R$329,2,FALSE)</f>
        <v>0</v>
      </c>
      <c r="G126" s="31">
        <f>VLOOKUP(B126, [1]Course!$A$2:$L$950, 8, FALSE)</f>
        <v>12</v>
      </c>
      <c r="H126" s="31">
        <v>3</v>
      </c>
      <c r="I126" s="31">
        <v>1</v>
      </c>
      <c r="K126" s="31" t="s">
        <v>1548</v>
      </c>
      <c r="L126" s="31" t="str">
        <f>VLOOKUP(B126, [1]Course!$A$1:$O$933, 14, FALSE)</f>
        <v>WB</v>
      </c>
      <c r="M126" s="31">
        <v>1</v>
      </c>
    </row>
    <row r="127" spans="1:13" ht="15.75" hidden="1" customHeight="1" x14ac:dyDescent="0.2">
      <c r="A127" s="31">
        <v>126</v>
      </c>
      <c r="B127" s="31">
        <v>11</v>
      </c>
      <c r="C127" s="31">
        <v>19</v>
      </c>
      <c r="D127" s="31" t="s">
        <v>284</v>
      </c>
      <c r="E127" s="31" t="str">
        <f t="shared" si="1"/>
        <v>1219WB03PT</v>
      </c>
      <c r="F127" s="31">
        <f>VLOOKUP(B127,[1]Course!$A$2:$R$329,2,FALSE)</f>
        <v>0</v>
      </c>
      <c r="G127" s="31">
        <f>VLOOKUP(B127, [1]Course!$A$2:$L$950, 8, FALSE)</f>
        <v>12</v>
      </c>
      <c r="H127" s="31">
        <v>3</v>
      </c>
      <c r="I127" s="31">
        <v>1</v>
      </c>
      <c r="K127" s="31" t="s">
        <v>1548</v>
      </c>
      <c r="L127" s="31" t="str">
        <f>VLOOKUP(B127, [1]Course!$A$1:$O$933, 14, FALSE)</f>
        <v>WB</v>
      </c>
      <c r="M127" s="31">
        <v>1</v>
      </c>
    </row>
    <row r="128" spans="1:13" ht="15.75" hidden="1" customHeight="1" x14ac:dyDescent="0.2">
      <c r="A128" s="31">
        <v>127</v>
      </c>
      <c r="B128" s="31">
        <v>11</v>
      </c>
      <c r="C128" s="31">
        <v>20</v>
      </c>
      <c r="D128" s="31" t="s">
        <v>284</v>
      </c>
      <c r="E128" s="31" t="str">
        <f t="shared" si="1"/>
        <v>1220WB03PT</v>
      </c>
      <c r="F128" s="31">
        <f>VLOOKUP(B128,[1]Course!$A$2:$R$329,2,FALSE)</f>
        <v>0</v>
      </c>
      <c r="G128" s="31">
        <f>VLOOKUP(B128, [1]Course!$A$2:$L$950, 8, FALSE)</f>
        <v>12</v>
      </c>
      <c r="H128" s="31">
        <v>3</v>
      </c>
      <c r="I128" s="31">
        <v>1</v>
      </c>
      <c r="K128" s="31" t="s">
        <v>1548</v>
      </c>
      <c r="L128" s="31" t="str">
        <f>VLOOKUP(B128, [1]Course!$A$1:$O$933, 14, FALSE)</f>
        <v>WB</v>
      </c>
      <c r="M128" s="31">
        <v>1</v>
      </c>
    </row>
    <row r="129" spans="1:13" ht="15.75" hidden="1" customHeight="1" x14ac:dyDescent="0.2">
      <c r="A129" s="31">
        <v>128</v>
      </c>
      <c r="B129" s="31">
        <v>11</v>
      </c>
      <c r="C129" s="31">
        <v>21</v>
      </c>
      <c r="D129" s="31" t="s">
        <v>284</v>
      </c>
      <c r="E129" s="31" t="str">
        <f t="shared" si="1"/>
        <v>1221WB03PT</v>
      </c>
      <c r="F129" s="31">
        <f>VLOOKUP(B129,[1]Course!$A$2:$R$329,2,FALSE)</f>
        <v>0</v>
      </c>
      <c r="G129" s="31">
        <f>VLOOKUP(B129, [1]Course!$A$2:$L$950, 8, FALSE)</f>
        <v>12</v>
      </c>
      <c r="H129" s="31">
        <v>3</v>
      </c>
      <c r="I129" s="31">
        <v>1</v>
      </c>
      <c r="K129" s="31" t="s">
        <v>1548</v>
      </c>
      <c r="L129" s="31" t="str">
        <f>VLOOKUP(B129, [1]Course!$A$1:$O$933, 14, FALSE)</f>
        <v>WB</v>
      </c>
      <c r="M129" s="31">
        <v>1</v>
      </c>
    </row>
    <row r="130" spans="1:13" ht="15.75" hidden="1" customHeight="1" x14ac:dyDescent="0.2">
      <c r="A130" s="31">
        <v>129</v>
      </c>
      <c r="B130" s="31">
        <v>11</v>
      </c>
      <c r="C130" s="31">
        <v>22</v>
      </c>
      <c r="D130" s="31" t="s">
        <v>284</v>
      </c>
      <c r="E130" s="31" t="str">
        <f t="shared" si="1"/>
        <v>1222WB03PT</v>
      </c>
      <c r="F130" s="31">
        <f>VLOOKUP(B130,[1]Course!$A$2:$R$329,2,FALSE)</f>
        <v>0</v>
      </c>
      <c r="G130" s="31">
        <f>VLOOKUP(B130, [1]Course!$A$2:$L$950, 8, FALSE)</f>
        <v>12</v>
      </c>
      <c r="H130" s="31">
        <v>3</v>
      </c>
      <c r="I130" s="31">
        <v>1</v>
      </c>
      <c r="K130" s="31" t="s">
        <v>1548</v>
      </c>
      <c r="L130" s="31" t="str">
        <f>VLOOKUP(B130, [1]Course!$A$1:$O$933, 14, FALSE)</f>
        <v>WB</v>
      </c>
      <c r="M130" s="31">
        <v>1</v>
      </c>
    </row>
    <row r="131" spans="1:13" ht="15.75" hidden="1" customHeight="1" x14ac:dyDescent="0.2">
      <c r="A131" s="31">
        <v>130</v>
      </c>
      <c r="B131" s="31">
        <v>11</v>
      </c>
      <c r="C131" s="31">
        <v>23</v>
      </c>
      <c r="D131" s="31" t="s">
        <v>284</v>
      </c>
      <c r="E131" s="31" t="str">
        <f t="shared" ref="E131:E194" si="2">UPPER(LEFT(G131,2)) &amp; RIGHT("0" &amp; C131, 2) &amp; D131 &amp; RIGHT("0" &amp; H131, 2) &amp; K131</f>
        <v>1223WB03PT</v>
      </c>
      <c r="F131" s="31">
        <f>VLOOKUP(B131,[1]Course!$A$2:$R$329,2,FALSE)</f>
        <v>0</v>
      </c>
      <c r="G131" s="31">
        <f>VLOOKUP(B131, [1]Course!$A$2:$L$950, 8, FALSE)</f>
        <v>12</v>
      </c>
      <c r="H131" s="31">
        <v>3</v>
      </c>
      <c r="I131" s="31">
        <v>1</v>
      </c>
      <c r="K131" s="31" t="s">
        <v>1548</v>
      </c>
      <c r="L131" s="31" t="str">
        <f>VLOOKUP(B131, [1]Course!$A$1:$O$933, 14, FALSE)</f>
        <v>WB</v>
      </c>
      <c r="M131" s="31">
        <v>1</v>
      </c>
    </row>
    <row r="132" spans="1:13" ht="15.75" hidden="1" customHeight="1" x14ac:dyDescent="0.2">
      <c r="A132" s="31">
        <v>131</v>
      </c>
      <c r="B132" s="31">
        <v>11</v>
      </c>
      <c r="C132" s="31">
        <v>24</v>
      </c>
      <c r="D132" s="31" t="s">
        <v>284</v>
      </c>
      <c r="E132" s="31" t="str">
        <f t="shared" si="2"/>
        <v>1224WB03PT</v>
      </c>
      <c r="F132" s="31">
        <f>VLOOKUP(B132,[1]Course!$A$2:$R$329,2,FALSE)</f>
        <v>0</v>
      </c>
      <c r="G132" s="31">
        <f>VLOOKUP(B132, [1]Course!$A$2:$L$950, 8, FALSE)</f>
        <v>12</v>
      </c>
      <c r="H132" s="31">
        <v>3</v>
      </c>
      <c r="I132" s="31">
        <v>1</v>
      </c>
      <c r="K132" s="31" t="s">
        <v>1548</v>
      </c>
      <c r="L132" s="31" t="str">
        <f>VLOOKUP(B132, [1]Course!$A$1:$O$933, 14, FALSE)</f>
        <v>WB</v>
      </c>
      <c r="M132" s="31">
        <v>1</v>
      </c>
    </row>
    <row r="133" spans="1:13" ht="15.75" hidden="1" customHeight="1" x14ac:dyDescent="0.2">
      <c r="A133" s="31">
        <v>132</v>
      </c>
      <c r="B133" s="31">
        <v>12</v>
      </c>
      <c r="C133" s="31">
        <v>13</v>
      </c>
      <c r="D133" s="31" t="s">
        <v>85</v>
      </c>
      <c r="E133" s="31" t="str">
        <f t="shared" si="2"/>
        <v>1213LC03PT</v>
      </c>
      <c r="F133" s="31">
        <f>VLOOKUP(B133,[1]Course!$A$2:$R$329,2,FALSE)</f>
        <v>0</v>
      </c>
      <c r="G133" s="31">
        <f>VLOOKUP(B133, [1]Course!$A$2:$L$950, 8, FALSE)</f>
        <v>12</v>
      </c>
      <c r="H133" s="31">
        <v>3</v>
      </c>
      <c r="I133" s="31">
        <v>1</v>
      </c>
      <c r="K133" s="31" t="s">
        <v>1548</v>
      </c>
      <c r="L133" s="31" t="str">
        <f>VLOOKUP(B133, [1]Course!$A$1:$O$933, 14, FALSE)</f>
        <v>LC</v>
      </c>
      <c r="M133" s="31">
        <v>1</v>
      </c>
    </row>
    <row r="134" spans="1:13" ht="15.75" hidden="1" customHeight="1" x14ac:dyDescent="0.2">
      <c r="A134" s="31">
        <v>133</v>
      </c>
      <c r="B134" s="31">
        <v>12</v>
      </c>
      <c r="C134" s="31">
        <v>14</v>
      </c>
      <c r="D134" s="31" t="s">
        <v>85</v>
      </c>
      <c r="E134" s="31" t="str">
        <f t="shared" si="2"/>
        <v>1214LC03PT</v>
      </c>
      <c r="F134" s="31">
        <f>VLOOKUP(B134,[1]Course!$A$2:$R$329,2,FALSE)</f>
        <v>0</v>
      </c>
      <c r="G134" s="31">
        <f>VLOOKUP(B134, [1]Course!$A$2:$L$950, 8, FALSE)</f>
        <v>12</v>
      </c>
      <c r="H134" s="31">
        <v>3</v>
      </c>
      <c r="I134" s="31">
        <v>1</v>
      </c>
      <c r="K134" s="31" t="s">
        <v>1548</v>
      </c>
      <c r="L134" s="31" t="str">
        <f>VLOOKUP(B134, [1]Course!$A$1:$O$933, 14, FALSE)</f>
        <v>LC</v>
      </c>
      <c r="M134" s="31">
        <v>1</v>
      </c>
    </row>
    <row r="135" spans="1:13" ht="15.75" hidden="1" customHeight="1" x14ac:dyDescent="0.2">
      <c r="A135" s="31">
        <v>134</v>
      </c>
      <c r="B135" s="31">
        <v>12</v>
      </c>
      <c r="C135" s="31">
        <v>15</v>
      </c>
      <c r="D135" s="31" t="s">
        <v>85</v>
      </c>
      <c r="E135" s="31" t="str">
        <f t="shared" si="2"/>
        <v>1215LC03PT</v>
      </c>
      <c r="F135" s="31">
        <f>VLOOKUP(B135,[1]Course!$A$2:$R$329,2,FALSE)</f>
        <v>0</v>
      </c>
      <c r="G135" s="31">
        <f>VLOOKUP(B135, [1]Course!$A$2:$L$950, 8, FALSE)</f>
        <v>12</v>
      </c>
      <c r="H135" s="31">
        <v>3</v>
      </c>
      <c r="I135" s="31">
        <v>1</v>
      </c>
      <c r="K135" s="31" t="s">
        <v>1548</v>
      </c>
      <c r="L135" s="31" t="str">
        <f>VLOOKUP(B135, [1]Course!$A$1:$O$933, 14, FALSE)</f>
        <v>LC</v>
      </c>
      <c r="M135" s="31">
        <v>1</v>
      </c>
    </row>
    <row r="136" spans="1:13" ht="15.75" hidden="1" customHeight="1" x14ac:dyDescent="0.2">
      <c r="A136" s="31">
        <v>135</v>
      </c>
      <c r="B136" s="31">
        <v>12</v>
      </c>
      <c r="C136" s="31">
        <v>16</v>
      </c>
      <c r="D136" s="31" t="s">
        <v>85</v>
      </c>
      <c r="E136" s="31" t="str">
        <f t="shared" si="2"/>
        <v>1216LC03PT</v>
      </c>
      <c r="F136" s="31">
        <f>VLOOKUP(B136,[1]Course!$A$2:$R$329,2,FALSE)</f>
        <v>0</v>
      </c>
      <c r="G136" s="31">
        <f>VLOOKUP(B136, [1]Course!$A$2:$L$950, 8, FALSE)</f>
        <v>12</v>
      </c>
      <c r="H136" s="31">
        <v>3</v>
      </c>
      <c r="I136" s="31">
        <v>1</v>
      </c>
      <c r="K136" s="31" t="s">
        <v>1548</v>
      </c>
      <c r="L136" s="31" t="str">
        <f>VLOOKUP(B136, [1]Course!$A$1:$O$933, 14, FALSE)</f>
        <v>LC</v>
      </c>
      <c r="M136" s="31">
        <v>1</v>
      </c>
    </row>
    <row r="137" spans="1:13" ht="15.75" hidden="1" customHeight="1" x14ac:dyDescent="0.2">
      <c r="A137" s="31">
        <v>136</v>
      </c>
      <c r="B137" s="31">
        <v>12</v>
      </c>
      <c r="C137" s="31">
        <v>17</v>
      </c>
      <c r="D137" s="31" t="s">
        <v>85</v>
      </c>
      <c r="E137" s="31" t="str">
        <f t="shared" si="2"/>
        <v>1217LC03PT</v>
      </c>
      <c r="F137" s="31">
        <f>VLOOKUP(B137,[1]Course!$A$2:$R$329,2,FALSE)</f>
        <v>0</v>
      </c>
      <c r="G137" s="31">
        <f>VLOOKUP(B137, [1]Course!$A$2:$L$950, 8, FALSE)</f>
        <v>12</v>
      </c>
      <c r="H137" s="31">
        <v>3</v>
      </c>
      <c r="I137" s="31">
        <v>1</v>
      </c>
      <c r="K137" s="31" t="s">
        <v>1548</v>
      </c>
      <c r="L137" s="31" t="str">
        <f>VLOOKUP(B137, [1]Course!$A$1:$O$933, 14, FALSE)</f>
        <v>LC</v>
      </c>
      <c r="M137" s="31">
        <v>1</v>
      </c>
    </row>
    <row r="138" spans="1:13" ht="15.75" hidden="1" customHeight="1" x14ac:dyDescent="0.2">
      <c r="A138" s="31">
        <v>137</v>
      </c>
      <c r="B138" s="31">
        <v>12</v>
      </c>
      <c r="C138" s="31">
        <v>18</v>
      </c>
      <c r="D138" s="31" t="s">
        <v>85</v>
      </c>
      <c r="E138" s="31" t="str">
        <f t="shared" si="2"/>
        <v>1218LC03PT</v>
      </c>
      <c r="F138" s="31">
        <f>VLOOKUP(B138,[1]Course!$A$2:$R$329,2,FALSE)</f>
        <v>0</v>
      </c>
      <c r="G138" s="31">
        <f>VLOOKUP(B138, [1]Course!$A$2:$L$950, 8, FALSE)</f>
        <v>12</v>
      </c>
      <c r="H138" s="31">
        <v>3</v>
      </c>
      <c r="I138" s="31">
        <v>1</v>
      </c>
      <c r="K138" s="31" t="s">
        <v>1548</v>
      </c>
      <c r="L138" s="31" t="str">
        <f>VLOOKUP(B138, [1]Course!$A$1:$O$933, 14, FALSE)</f>
        <v>LC</v>
      </c>
      <c r="M138" s="31">
        <v>1</v>
      </c>
    </row>
    <row r="139" spans="1:13" ht="15.75" hidden="1" customHeight="1" x14ac:dyDescent="0.2">
      <c r="A139" s="31">
        <v>138</v>
      </c>
      <c r="B139" s="31">
        <v>12</v>
      </c>
      <c r="C139" s="31">
        <v>19</v>
      </c>
      <c r="D139" s="31" t="s">
        <v>85</v>
      </c>
      <c r="E139" s="31" t="str">
        <f t="shared" si="2"/>
        <v>1219LC03PT</v>
      </c>
      <c r="F139" s="31">
        <f>VLOOKUP(B139,[1]Course!$A$2:$R$329,2,FALSE)</f>
        <v>0</v>
      </c>
      <c r="G139" s="31">
        <f>VLOOKUP(B139, [1]Course!$A$2:$L$950, 8, FALSE)</f>
        <v>12</v>
      </c>
      <c r="H139" s="31">
        <v>3</v>
      </c>
      <c r="I139" s="31">
        <v>1</v>
      </c>
      <c r="K139" s="31" t="s">
        <v>1548</v>
      </c>
      <c r="L139" s="31" t="str">
        <f>VLOOKUP(B139, [1]Course!$A$1:$O$933, 14, FALSE)</f>
        <v>LC</v>
      </c>
      <c r="M139" s="31">
        <v>1</v>
      </c>
    </row>
    <row r="140" spans="1:13" ht="15.75" hidden="1" customHeight="1" x14ac:dyDescent="0.2">
      <c r="A140" s="31">
        <v>139</v>
      </c>
      <c r="B140" s="31">
        <v>12</v>
      </c>
      <c r="C140" s="31">
        <v>20</v>
      </c>
      <c r="D140" s="31" t="s">
        <v>85</v>
      </c>
      <c r="E140" s="31" t="str">
        <f t="shared" si="2"/>
        <v>1220LC03PT</v>
      </c>
      <c r="F140" s="31">
        <f>VLOOKUP(B140,[1]Course!$A$2:$R$329,2,FALSE)</f>
        <v>0</v>
      </c>
      <c r="G140" s="31">
        <f>VLOOKUP(B140, [1]Course!$A$2:$L$950, 8, FALSE)</f>
        <v>12</v>
      </c>
      <c r="H140" s="31">
        <v>3</v>
      </c>
      <c r="I140" s="31">
        <v>1</v>
      </c>
      <c r="K140" s="31" t="s">
        <v>1548</v>
      </c>
      <c r="L140" s="31" t="str">
        <f>VLOOKUP(B140, [1]Course!$A$1:$O$933, 14, FALSE)</f>
        <v>LC</v>
      </c>
      <c r="M140" s="31">
        <v>1</v>
      </c>
    </row>
    <row r="141" spans="1:13" ht="15.75" hidden="1" customHeight="1" x14ac:dyDescent="0.2">
      <c r="A141" s="31">
        <v>140</v>
      </c>
      <c r="B141" s="31">
        <v>12</v>
      </c>
      <c r="C141" s="31">
        <v>21</v>
      </c>
      <c r="D141" s="31" t="s">
        <v>85</v>
      </c>
      <c r="E141" s="31" t="str">
        <f t="shared" si="2"/>
        <v>1221LC03PT</v>
      </c>
      <c r="F141" s="31">
        <f>VLOOKUP(B141,[1]Course!$A$2:$R$329,2,FALSE)</f>
        <v>0</v>
      </c>
      <c r="G141" s="31">
        <f>VLOOKUP(B141, [1]Course!$A$2:$L$950, 8, FALSE)</f>
        <v>12</v>
      </c>
      <c r="H141" s="31">
        <v>3</v>
      </c>
      <c r="I141" s="31">
        <v>1</v>
      </c>
      <c r="K141" s="31" t="s">
        <v>1548</v>
      </c>
      <c r="L141" s="31" t="str">
        <f>VLOOKUP(B141, [1]Course!$A$1:$O$933, 14, FALSE)</f>
        <v>LC</v>
      </c>
      <c r="M141" s="31">
        <v>1</v>
      </c>
    </row>
    <row r="142" spans="1:13" ht="15.75" hidden="1" customHeight="1" x14ac:dyDescent="0.2">
      <c r="A142" s="31">
        <v>141</v>
      </c>
      <c r="B142" s="31">
        <v>12</v>
      </c>
      <c r="C142" s="31">
        <v>22</v>
      </c>
      <c r="D142" s="31" t="s">
        <v>85</v>
      </c>
      <c r="E142" s="31" t="str">
        <f t="shared" si="2"/>
        <v>1222LC03PT</v>
      </c>
      <c r="F142" s="31">
        <f>VLOOKUP(B142,[1]Course!$A$2:$R$329,2,FALSE)</f>
        <v>0</v>
      </c>
      <c r="G142" s="31">
        <f>VLOOKUP(B142, [1]Course!$A$2:$L$950, 8, FALSE)</f>
        <v>12</v>
      </c>
      <c r="H142" s="31">
        <v>3</v>
      </c>
      <c r="I142" s="31">
        <v>1</v>
      </c>
      <c r="K142" s="31" t="s">
        <v>1548</v>
      </c>
      <c r="L142" s="31" t="str">
        <f>VLOOKUP(B142, [1]Course!$A$1:$O$933, 14, FALSE)</f>
        <v>LC</v>
      </c>
      <c r="M142" s="31">
        <v>1</v>
      </c>
    </row>
    <row r="143" spans="1:13" ht="15.75" hidden="1" customHeight="1" x14ac:dyDescent="0.2">
      <c r="A143" s="31">
        <v>142</v>
      </c>
      <c r="B143" s="31">
        <v>12</v>
      </c>
      <c r="C143" s="31">
        <v>23</v>
      </c>
      <c r="D143" s="31" t="s">
        <v>85</v>
      </c>
      <c r="E143" s="31" t="str">
        <f t="shared" si="2"/>
        <v>1223LC03PT</v>
      </c>
      <c r="F143" s="31">
        <f>VLOOKUP(B143,[1]Course!$A$2:$R$329,2,FALSE)</f>
        <v>0</v>
      </c>
      <c r="G143" s="31">
        <f>VLOOKUP(B143, [1]Course!$A$2:$L$950, 8, FALSE)</f>
        <v>12</v>
      </c>
      <c r="H143" s="31">
        <v>3</v>
      </c>
      <c r="I143" s="31">
        <v>1</v>
      </c>
      <c r="K143" s="31" t="s">
        <v>1548</v>
      </c>
      <c r="L143" s="31" t="str">
        <f>VLOOKUP(B143, [1]Course!$A$1:$O$933, 14, FALSE)</f>
        <v>LC</v>
      </c>
      <c r="M143" s="31">
        <v>1</v>
      </c>
    </row>
    <row r="144" spans="1:13" ht="15.75" hidden="1" customHeight="1" x14ac:dyDescent="0.2">
      <c r="A144" s="31">
        <v>143</v>
      </c>
      <c r="B144" s="31">
        <v>12</v>
      </c>
      <c r="C144" s="31">
        <v>24</v>
      </c>
      <c r="D144" s="31" t="s">
        <v>85</v>
      </c>
      <c r="E144" s="31" t="str">
        <f t="shared" si="2"/>
        <v>1224LC03PT</v>
      </c>
      <c r="F144" s="31">
        <f>VLOOKUP(B144,[1]Course!$A$2:$R$329,2,FALSE)</f>
        <v>0</v>
      </c>
      <c r="G144" s="31">
        <f>VLOOKUP(B144, [1]Course!$A$2:$L$950, 8, FALSE)</f>
        <v>12</v>
      </c>
      <c r="H144" s="31">
        <v>3</v>
      </c>
      <c r="I144" s="31">
        <v>1</v>
      </c>
      <c r="K144" s="31" t="s">
        <v>1548</v>
      </c>
      <c r="L144" s="31" t="str">
        <f>VLOOKUP(B144, [1]Course!$A$1:$O$933, 14, FALSE)</f>
        <v>LC</v>
      </c>
      <c r="M144" s="31">
        <v>1</v>
      </c>
    </row>
    <row r="145" spans="1:13" ht="15.75" hidden="1" customHeight="1" x14ac:dyDescent="0.2">
      <c r="A145" s="31">
        <v>144</v>
      </c>
      <c r="B145" s="31">
        <v>13</v>
      </c>
      <c r="C145" s="31">
        <v>13</v>
      </c>
      <c r="D145" s="31" t="s">
        <v>50</v>
      </c>
      <c r="E145" s="31" t="str">
        <f t="shared" si="2"/>
        <v>1213SC03PT</v>
      </c>
      <c r="F145" s="31" t="str">
        <f>VLOOKUP(B145,[1]Course!$A$2:$R$329,2,FALSE)</f>
        <v>Science 2</v>
      </c>
      <c r="G145" s="31">
        <f>VLOOKUP(B145, [1]Course!$A$2:$L$950, 8, FALSE)</f>
        <v>12</v>
      </c>
      <c r="H145" s="31">
        <v>3</v>
      </c>
      <c r="I145" s="31">
        <v>1</v>
      </c>
      <c r="K145" s="31" t="s">
        <v>1548</v>
      </c>
      <c r="L145" s="31" t="str">
        <f>VLOOKUP(B145, [1]Course!$A$1:$O$933, 14, FALSE)</f>
        <v>SC</v>
      </c>
      <c r="M145" s="31">
        <v>1</v>
      </c>
    </row>
    <row r="146" spans="1:13" ht="15.75" hidden="1" customHeight="1" x14ac:dyDescent="0.2">
      <c r="A146" s="31">
        <v>145</v>
      </c>
      <c r="B146" s="31">
        <v>13</v>
      </c>
      <c r="C146" s="31">
        <v>14</v>
      </c>
      <c r="D146" s="31" t="s">
        <v>50</v>
      </c>
      <c r="E146" s="31" t="str">
        <f t="shared" si="2"/>
        <v>1214SC03PT</v>
      </c>
      <c r="F146" s="31" t="str">
        <f>VLOOKUP(B146,[1]Course!$A$2:$R$329,2,FALSE)</f>
        <v>Science 2</v>
      </c>
      <c r="G146" s="31">
        <f>VLOOKUP(B146, [1]Course!$A$2:$L$950, 8, FALSE)</f>
        <v>12</v>
      </c>
      <c r="H146" s="31">
        <v>3</v>
      </c>
      <c r="I146" s="31">
        <v>1</v>
      </c>
      <c r="K146" s="31" t="s">
        <v>1548</v>
      </c>
      <c r="L146" s="31" t="str">
        <f>VLOOKUP(B146, [1]Course!$A$1:$O$933, 14, FALSE)</f>
        <v>SC</v>
      </c>
      <c r="M146" s="31">
        <v>1</v>
      </c>
    </row>
    <row r="147" spans="1:13" ht="15.75" hidden="1" customHeight="1" x14ac:dyDescent="0.2">
      <c r="A147" s="31">
        <v>146</v>
      </c>
      <c r="B147" s="31">
        <v>13</v>
      </c>
      <c r="C147" s="31">
        <v>15</v>
      </c>
      <c r="D147" s="31" t="s">
        <v>50</v>
      </c>
      <c r="E147" s="31" t="str">
        <f t="shared" si="2"/>
        <v>1215SC03PT</v>
      </c>
      <c r="F147" s="31" t="str">
        <f>VLOOKUP(B147,[1]Course!$A$2:$R$329,2,FALSE)</f>
        <v>Science 2</v>
      </c>
      <c r="G147" s="31">
        <f>VLOOKUP(B147, [1]Course!$A$2:$L$950, 8, FALSE)</f>
        <v>12</v>
      </c>
      <c r="H147" s="31">
        <v>3</v>
      </c>
      <c r="I147" s="31">
        <v>1</v>
      </c>
      <c r="K147" s="31" t="s">
        <v>1548</v>
      </c>
      <c r="L147" s="31" t="str">
        <f>VLOOKUP(B147, [1]Course!$A$1:$O$933, 14, FALSE)</f>
        <v>SC</v>
      </c>
      <c r="M147" s="31">
        <v>1</v>
      </c>
    </row>
    <row r="148" spans="1:13" ht="15.75" hidden="1" customHeight="1" x14ac:dyDescent="0.2">
      <c r="A148" s="31">
        <v>147</v>
      </c>
      <c r="B148" s="31">
        <v>13</v>
      </c>
      <c r="C148" s="31">
        <v>16</v>
      </c>
      <c r="D148" s="31" t="s">
        <v>50</v>
      </c>
      <c r="E148" s="31" t="str">
        <f t="shared" si="2"/>
        <v>1216SC03PT</v>
      </c>
      <c r="F148" s="31" t="str">
        <f>VLOOKUP(B148,[1]Course!$A$2:$R$329,2,FALSE)</f>
        <v>Science 2</v>
      </c>
      <c r="G148" s="31">
        <f>VLOOKUP(B148, [1]Course!$A$2:$L$950, 8, FALSE)</f>
        <v>12</v>
      </c>
      <c r="H148" s="31">
        <v>3</v>
      </c>
      <c r="I148" s="31">
        <v>1</v>
      </c>
      <c r="K148" s="31" t="s">
        <v>1548</v>
      </c>
      <c r="L148" s="31" t="str">
        <f>VLOOKUP(B148, [1]Course!$A$1:$O$933, 14, FALSE)</f>
        <v>SC</v>
      </c>
      <c r="M148" s="31">
        <v>1</v>
      </c>
    </row>
    <row r="149" spans="1:13" ht="15.75" hidden="1" customHeight="1" x14ac:dyDescent="0.2">
      <c r="A149" s="31">
        <v>148</v>
      </c>
      <c r="B149" s="31">
        <v>13</v>
      </c>
      <c r="C149" s="31">
        <v>17</v>
      </c>
      <c r="D149" s="31" t="s">
        <v>50</v>
      </c>
      <c r="E149" s="31" t="str">
        <f t="shared" si="2"/>
        <v>1217SC03PT</v>
      </c>
      <c r="F149" s="31" t="str">
        <f>VLOOKUP(B149,[1]Course!$A$2:$R$329,2,FALSE)</f>
        <v>Science 2</v>
      </c>
      <c r="G149" s="31">
        <f>VLOOKUP(B149, [1]Course!$A$2:$L$950, 8, FALSE)</f>
        <v>12</v>
      </c>
      <c r="H149" s="31">
        <v>3</v>
      </c>
      <c r="I149" s="31">
        <v>1</v>
      </c>
      <c r="K149" s="31" t="s">
        <v>1548</v>
      </c>
      <c r="L149" s="31" t="str">
        <f>VLOOKUP(B149, [1]Course!$A$1:$O$933, 14, FALSE)</f>
        <v>SC</v>
      </c>
      <c r="M149" s="31">
        <v>1</v>
      </c>
    </row>
    <row r="150" spans="1:13" ht="15.75" hidden="1" customHeight="1" x14ac:dyDescent="0.2">
      <c r="A150" s="31">
        <v>149</v>
      </c>
      <c r="B150" s="31">
        <v>13</v>
      </c>
      <c r="C150" s="31">
        <v>18</v>
      </c>
      <c r="D150" s="31" t="s">
        <v>50</v>
      </c>
      <c r="E150" s="31" t="str">
        <f t="shared" si="2"/>
        <v>1218SC03PT</v>
      </c>
      <c r="F150" s="31" t="str">
        <f>VLOOKUP(B150,[1]Course!$A$2:$R$329,2,FALSE)</f>
        <v>Science 2</v>
      </c>
      <c r="G150" s="31">
        <f>VLOOKUP(B150, [1]Course!$A$2:$L$950, 8, FALSE)</f>
        <v>12</v>
      </c>
      <c r="H150" s="31">
        <v>3</v>
      </c>
      <c r="I150" s="31">
        <v>1</v>
      </c>
      <c r="K150" s="31" t="s">
        <v>1548</v>
      </c>
      <c r="L150" s="31" t="str">
        <f>VLOOKUP(B150, [1]Course!$A$1:$O$933, 14, FALSE)</f>
        <v>SC</v>
      </c>
      <c r="M150" s="31">
        <v>1</v>
      </c>
    </row>
    <row r="151" spans="1:13" ht="15.75" hidden="1" customHeight="1" x14ac:dyDescent="0.2">
      <c r="A151" s="31">
        <v>150</v>
      </c>
      <c r="B151" s="31">
        <v>13</v>
      </c>
      <c r="C151" s="31">
        <v>19</v>
      </c>
      <c r="D151" s="31" t="s">
        <v>50</v>
      </c>
      <c r="E151" s="31" t="str">
        <f t="shared" si="2"/>
        <v>1219SC03PT</v>
      </c>
      <c r="F151" s="31" t="str">
        <f>VLOOKUP(B151,[1]Course!$A$2:$R$329,2,FALSE)</f>
        <v>Science 2</v>
      </c>
      <c r="G151" s="31">
        <f>VLOOKUP(B151, [1]Course!$A$2:$L$950, 8, FALSE)</f>
        <v>12</v>
      </c>
      <c r="H151" s="31">
        <v>3</v>
      </c>
      <c r="I151" s="31">
        <v>2</v>
      </c>
      <c r="K151" s="31" t="s">
        <v>1548</v>
      </c>
      <c r="L151" s="31" t="str">
        <f>VLOOKUP(B151, [1]Course!$A$1:$O$933, 14, FALSE)</f>
        <v>SC</v>
      </c>
      <c r="M151" s="31">
        <v>1</v>
      </c>
    </row>
    <row r="152" spans="1:13" ht="15.75" hidden="1" customHeight="1" x14ac:dyDescent="0.2">
      <c r="A152" s="31">
        <v>151</v>
      </c>
      <c r="B152" s="31">
        <v>13</v>
      </c>
      <c r="C152" s="31">
        <v>20</v>
      </c>
      <c r="D152" s="31" t="s">
        <v>50</v>
      </c>
      <c r="E152" s="31" t="str">
        <f t="shared" si="2"/>
        <v>1220SC03PT</v>
      </c>
      <c r="F152" s="31" t="str">
        <f>VLOOKUP(B152,[1]Course!$A$2:$R$329,2,FALSE)</f>
        <v>Science 2</v>
      </c>
      <c r="G152" s="31">
        <f>VLOOKUP(B152, [1]Course!$A$2:$L$950, 8, FALSE)</f>
        <v>12</v>
      </c>
      <c r="H152" s="31">
        <v>3</v>
      </c>
      <c r="I152" s="31">
        <v>1</v>
      </c>
      <c r="K152" s="31" t="s">
        <v>1548</v>
      </c>
      <c r="L152" s="31" t="str">
        <f>VLOOKUP(B152, [1]Course!$A$1:$O$933, 14, FALSE)</f>
        <v>SC</v>
      </c>
      <c r="M152" s="31">
        <v>1</v>
      </c>
    </row>
    <row r="153" spans="1:13" ht="15.75" hidden="1" customHeight="1" x14ac:dyDescent="0.2">
      <c r="A153" s="31">
        <v>152</v>
      </c>
      <c r="B153" s="31">
        <v>13</v>
      </c>
      <c r="C153" s="31">
        <v>21</v>
      </c>
      <c r="D153" s="31" t="s">
        <v>50</v>
      </c>
      <c r="E153" s="31" t="str">
        <f t="shared" si="2"/>
        <v>1221SC03PT</v>
      </c>
      <c r="F153" s="31" t="str">
        <f>VLOOKUP(B153,[1]Course!$A$2:$R$329,2,FALSE)</f>
        <v>Science 2</v>
      </c>
      <c r="G153" s="31">
        <f>VLOOKUP(B153, [1]Course!$A$2:$L$950, 8, FALSE)</f>
        <v>12</v>
      </c>
      <c r="H153" s="31">
        <v>3</v>
      </c>
      <c r="I153" s="31">
        <v>1</v>
      </c>
      <c r="K153" s="31" t="s">
        <v>1548</v>
      </c>
      <c r="L153" s="31" t="str">
        <f>VLOOKUP(B153, [1]Course!$A$1:$O$933, 14, FALSE)</f>
        <v>SC</v>
      </c>
      <c r="M153" s="31">
        <v>1</v>
      </c>
    </row>
    <row r="154" spans="1:13" ht="15.75" hidden="1" customHeight="1" x14ac:dyDescent="0.2">
      <c r="A154" s="31">
        <v>153</v>
      </c>
      <c r="B154" s="31">
        <v>13</v>
      </c>
      <c r="C154" s="31">
        <v>22</v>
      </c>
      <c r="D154" s="31" t="s">
        <v>50</v>
      </c>
      <c r="E154" s="31" t="str">
        <f t="shared" si="2"/>
        <v>1222SC03PT</v>
      </c>
      <c r="F154" s="31" t="str">
        <f>VLOOKUP(B154,[1]Course!$A$2:$R$329,2,FALSE)</f>
        <v>Science 2</v>
      </c>
      <c r="G154" s="31">
        <f>VLOOKUP(B154, [1]Course!$A$2:$L$950, 8, FALSE)</f>
        <v>12</v>
      </c>
      <c r="H154" s="31">
        <v>3</v>
      </c>
      <c r="I154" s="31">
        <v>1</v>
      </c>
      <c r="K154" s="31" t="s">
        <v>1548</v>
      </c>
      <c r="L154" s="31" t="str">
        <f>VLOOKUP(B154, [1]Course!$A$1:$O$933, 14, FALSE)</f>
        <v>SC</v>
      </c>
      <c r="M154" s="31">
        <v>1</v>
      </c>
    </row>
    <row r="155" spans="1:13" ht="15.75" hidden="1" customHeight="1" x14ac:dyDescent="0.2">
      <c r="A155" s="31">
        <v>154</v>
      </c>
      <c r="B155" s="31">
        <v>13</v>
      </c>
      <c r="C155" s="31">
        <v>23</v>
      </c>
      <c r="D155" s="31" t="s">
        <v>50</v>
      </c>
      <c r="E155" s="31" t="str">
        <f t="shared" si="2"/>
        <v>1223SC03PT</v>
      </c>
      <c r="F155" s="31" t="str">
        <f>VLOOKUP(B155,[1]Course!$A$2:$R$329,2,FALSE)</f>
        <v>Science 2</v>
      </c>
      <c r="G155" s="31">
        <f>VLOOKUP(B155, [1]Course!$A$2:$L$950, 8, FALSE)</f>
        <v>12</v>
      </c>
      <c r="H155" s="31">
        <v>3</v>
      </c>
      <c r="I155" s="31">
        <v>1</v>
      </c>
      <c r="K155" s="31" t="s">
        <v>1548</v>
      </c>
      <c r="L155" s="31" t="str">
        <f>VLOOKUP(B155, [1]Course!$A$1:$O$933, 14, FALSE)</f>
        <v>SC</v>
      </c>
      <c r="M155" s="31">
        <v>1</v>
      </c>
    </row>
    <row r="156" spans="1:13" ht="15.75" hidden="1" customHeight="1" x14ac:dyDescent="0.2">
      <c r="A156" s="31">
        <v>155</v>
      </c>
      <c r="B156" s="31">
        <v>13</v>
      </c>
      <c r="C156" s="31">
        <v>24</v>
      </c>
      <c r="D156" s="31" t="s">
        <v>50</v>
      </c>
      <c r="E156" s="31" t="str">
        <f t="shared" si="2"/>
        <v>1224SC03PT</v>
      </c>
      <c r="F156" s="31" t="str">
        <f>VLOOKUP(B156,[1]Course!$A$2:$R$329,2,FALSE)</f>
        <v>Science 2</v>
      </c>
      <c r="G156" s="31">
        <f>VLOOKUP(B156, [1]Course!$A$2:$L$950, 8, FALSE)</f>
        <v>12</v>
      </c>
      <c r="H156" s="31">
        <v>3</v>
      </c>
      <c r="I156" s="31">
        <v>1</v>
      </c>
      <c r="K156" s="31" t="s">
        <v>1548</v>
      </c>
      <c r="L156" s="31" t="str">
        <f>VLOOKUP(B156, [1]Course!$A$1:$O$933, 14, FALSE)</f>
        <v>SC</v>
      </c>
      <c r="M156" s="31">
        <v>1</v>
      </c>
    </row>
    <row r="157" spans="1:13" ht="15.75" hidden="1" customHeight="1" x14ac:dyDescent="0.2">
      <c r="A157" s="31">
        <v>156</v>
      </c>
      <c r="B157" s="31">
        <v>14</v>
      </c>
      <c r="C157" s="31">
        <v>13</v>
      </c>
      <c r="D157" s="31" t="s">
        <v>295</v>
      </c>
      <c r="E157" s="31" t="str">
        <f t="shared" si="2"/>
        <v>1213SS03PT</v>
      </c>
      <c r="F157" s="31">
        <f>VLOOKUP(B157,[1]Course!$A$2:$R$329,2,FALSE)</f>
        <v>0</v>
      </c>
      <c r="G157" s="31">
        <f>VLOOKUP(B157, [1]Course!$A$2:$L$950, 8, FALSE)</f>
        <v>12</v>
      </c>
      <c r="H157" s="31">
        <v>3</v>
      </c>
      <c r="I157" s="31">
        <v>1</v>
      </c>
      <c r="K157" s="31" t="s">
        <v>1548</v>
      </c>
      <c r="L157" s="31" t="str">
        <f>VLOOKUP(B157, [1]Course!$A$1:$O$933, 14, FALSE)</f>
        <v>SS</v>
      </c>
      <c r="M157" s="31">
        <v>1</v>
      </c>
    </row>
    <row r="158" spans="1:13" ht="15.75" hidden="1" customHeight="1" x14ac:dyDescent="0.2">
      <c r="A158" s="31">
        <v>157</v>
      </c>
      <c r="B158" s="31">
        <v>14</v>
      </c>
      <c r="C158" s="31">
        <v>14</v>
      </c>
      <c r="D158" s="31" t="s">
        <v>295</v>
      </c>
      <c r="E158" s="31" t="str">
        <f t="shared" si="2"/>
        <v>1214SS03PT</v>
      </c>
      <c r="F158" s="31">
        <f>VLOOKUP(B158,[1]Course!$A$2:$R$329,2,FALSE)</f>
        <v>0</v>
      </c>
      <c r="G158" s="31">
        <f>VLOOKUP(B158, [1]Course!$A$2:$L$950, 8, FALSE)</f>
        <v>12</v>
      </c>
      <c r="H158" s="31">
        <v>3</v>
      </c>
      <c r="I158" s="31">
        <v>1</v>
      </c>
      <c r="K158" s="31" t="s">
        <v>1548</v>
      </c>
      <c r="L158" s="31" t="str">
        <f>VLOOKUP(B158, [1]Course!$A$1:$O$933, 14, FALSE)</f>
        <v>SS</v>
      </c>
      <c r="M158" s="31">
        <v>1</v>
      </c>
    </row>
    <row r="159" spans="1:13" ht="15.75" hidden="1" customHeight="1" x14ac:dyDescent="0.2">
      <c r="A159" s="31">
        <v>158</v>
      </c>
      <c r="B159" s="31">
        <v>14</v>
      </c>
      <c r="C159" s="31">
        <v>15</v>
      </c>
      <c r="D159" s="31" t="s">
        <v>295</v>
      </c>
      <c r="E159" s="31" t="str">
        <f t="shared" si="2"/>
        <v>1215SS03PT</v>
      </c>
      <c r="F159" s="31">
        <f>VLOOKUP(B159,[1]Course!$A$2:$R$329,2,FALSE)</f>
        <v>0</v>
      </c>
      <c r="G159" s="31">
        <f>VLOOKUP(B159, [1]Course!$A$2:$L$950, 8, FALSE)</f>
        <v>12</v>
      </c>
      <c r="H159" s="31">
        <v>3</v>
      </c>
      <c r="I159" s="31">
        <v>1</v>
      </c>
      <c r="K159" s="31" t="s">
        <v>1548</v>
      </c>
      <c r="L159" s="31" t="str">
        <f>VLOOKUP(B159, [1]Course!$A$1:$O$933, 14, FALSE)</f>
        <v>SS</v>
      </c>
      <c r="M159" s="31">
        <v>1</v>
      </c>
    </row>
    <row r="160" spans="1:13" ht="15.75" hidden="1" customHeight="1" x14ac:dyDescent="0.2">
      <c r="A160" s="31">
        <v>159</v>
      </c>
      <c r="B160" s="31">
        <v>14</v>
      </c>
      <c r="C160" s="31">
        <v>16</v>
      </c>
      <c r="D160" s="31" t="s">
        <v>295</v>
      </c>
      <c r="E160" s="31" t="str">
        <f t="shared" si="2"/>
        <v>1216SS03PT</v>
      </c>
      <c r="F160" s="31">
        <f>VLOOKUP(B160,[1]Course!$A$2:$R$329,2,FALSE)</f>
        <v>0</v>
      </c>
      <c r="G160" s="31">
        <f>VLOOKUP(B160, [1]Course!$A$2:$L$950, 8, FALSE)</f>
        <v>12</v>
      </c>
      <c r="H160" s="31">
        <v>3</v>
      </c>
      <c r="I160" s="31">
        <v>1</v>
      </c>
      <c r="K160" s="31" t="s">
        <v>1548</v>
      </c>
      <c r="L160" s="31" t="str">
        <f>VLOOKUP(B160, [1]Course!$A$1:$O$933, 14, FALSE)</f>
        <v>SS</v>
      </c>
      <c r="M160" s="31">
        <v>1</v>
      </c>
    </row>
    <row r="161" spans="1:13" ht="15.75" hidden="1" customHeight="1" x14ac:dyDescent="0.2">
      <c r="A161" s="31">
        <v>160</v>
      </c>
      <c r="B161" s="31">
        <v>14</v>
      </c>
      <c r="C161" s="31">
        <v>17</v>
      </c>
      <c r="D161" s="31" t="s">
        <v>295</v>
      </c>
      <c r="E161" s="31" t="str">
        <f t="shared" si="2"/>
        <v>1217SS03PT</v>
      </c>
      <c r="F161" s="31">
        <f>VLOOKUP(B161,[1]Course!$A$2:$R$329,2,FALSE)</f>
        <v>0</v>
      </c>
      <c r="G161" s="31">
        <f>VLOOKUP(B161, [1]Course!$A$2:$L$950, 8, FALSE)</f>
        <v>12</v>
      </c>
      <c r="H161" s="31">
        <v>3</v>
      </c>
      <c r="I161" s="31">
        <v>1</v>
      </c>
      <c r="K161" s="31" t="s">
        <v>1548</v>
      </c>
      <c r="L161" s="31" t="str">
        <f>VLOOKUP(B161, [1]Course!$A$1:$O$933, 14, FALSE)</f>
        <v>SS</v>
      </c>
      <c r="M161" s="31">
        <v>1</v>
      </c>
    </row>
    <row r="162" spans="1:13" ht="15.75" hidden="1" customHeight="1" x14ac:dyDescent="0.2">
      <c r="A162" s="31">
        <v>161</v>
      </c>
      <c r="B162" s="31">
        <v>14</v>
      </c>
      <c r="C162" s="31">
        <v>18</v>
      </c>
      <c r="D162" s="31" t="s">
        <v>295</v>
      </c>
      <c r="E162" s="31" t="str">
        <f t="shared" si="2"/>
        <v>1218SS03PT</v>
      </c>
      <c r="F162" s="31">
        <f>VLOOKUP(B162,[1]Course!$A$2:$R$329,2,FALSE)</f>
        <v>0</v>
      </c>
      <c r="G162" s="31">
        <f>VLOOKUP(B162, [1]Course!$A$2:$L$950, 8, FALSE)</f>
        <v>12</v>
      </c>
      <c r="H162" s="31">
        <v>3</v>
      </c>
      <c r="I162" s="31">
        <v>1</v>
      </c>
      <c r="K162" s="31" t="s">
        <v>1548</v>
      </c>
      <c r="L162" s="31" t="str">
        <f>VLOOKUP(B162, [1]Course!$A$1:$O$933, 14, FALSE)</f>
        <v>SS</v>
      </c>
      <c r="M162" s="31">
        <v>1</v>
      </c>
    </row>
    <row r="163" spans="1:13" ht="15.75" hidden="1" customHeight="1" x14ac:dyDescent="0.2">
      <c r="A163" s="31">
        <v>162</v>
      </c>
      <c r="B163" s="31">
        <v>14</v>
      </c>
      <c r="C163" s="31">
        <v>19</v>
      </c>
      <c r="D163" s="31" t="s">
        <v>295</v>
      </c>
      <c r="E163" s="31" t="str">
        <f t="shared" si="2"/>
        <v>1219SS03PT</v>
      </c>
      <c r="F163" s="31">
        <f>VLOOKUP(B163,[1]Course!$A$2:$R$329,2,FALSE)</f>
        <v>0</v>
      </c>
      <c r="G163" s="31">
        <f>VLOOKUP(B163, [1]Course!$A$2:$L$950, 8, FALSE)</f>
        <v>12</v>
      </c>
      <c r="H163" s="31">
        <v>3</v>
      </c>
      <c r="I163" s="31">
        <v>2</v>
      </c>
      <c r="K163" s="31" t="s">
        <v>1548</v>
      </c>
      <c r="L163" s="31" t="str">
        <f>VLOOKUP(B163, [1]Course!$A$1:$O$933, 14, FALSE)</f>
        <v>SS</v>
      </c>
      <c r="M163" s="31">
        <v>1</v>
      </c>
    </row>
    <row r="164" spans="1:13" ht="15.75" hidden="1" customHeight="1" x14ac:dyDescent="0.2">
      <c r="A164" s="31">
        <v>163</v>
      </c>
      <c r="B164" s="31">
        <v>14</v>
      </c>
      <c r="C164" s="31">
        <v>20</v>
      </c>
      <c r="D164" s="31" t="s">
        <v>295</v>
      </c>
      <c r="E164" s="31" t="str">
        <f t="shared" si="2"/>
        <v>1220SS03PT</v>
      </c>
      <c r="F164" s="31">
        <f>VLOOKUP(B164,[1]Course!$A$2:$R$329,2,FALSE)</f>
        <v>0</v>
      </c>
      <c r="G164" s="31">
        <f>VLOOKUP(B164, [1]Course!$A$2:$L$950, 8, FALSE)</f>
        <v>12</v>
      </c>
      <c r="H164" s="31">
        <v>3</v>
      </c>
      <c r="I164" s="31">
        <v>1</v>
      </c>
      <c r="K164" s="31" t="s">
        <v>1548</v>
      </c>
      <c r="L164" s="31" t="str">
        <f>VLOOKUP(B164, [1]Course!$A$1:$O$933, 14, FALSE)</f>
        <v>SS</v>
      </c>
      <c r="M164" s="31">
        <v>1</v>
      </c>
    </row>
    <row r="165" spans="1:13" ht="15.75" hidden="1" customHeight="1" x14ac:dyDescent="0.2">
      <c r="A165" s="31">
        <v>164</v>
      </c>
      <c r="B165" s="31">
        <v>14</v>
      </c>
      <c r="C165" s="31">
        <v>21</v>
      </c>
      <c r="D165" s="31" t="s">
        <v>295</v>
      </c>
      <c r="E165" s="31" t="str">
        <f t="shared" si="2"/>
        <v>1221SS03PT</v>
      </c>
      <c r="F165" s="31">
        <f>VLOOKUP(B165,[1]Course!$A$2:$R$329,2,FALSE)</f>
        <v>0</v>
      </c>
      <c r="G165" s="31">
        <f>VLOOKUP(B165, [1]Course!$A$2:$L$950, 8, FALSE)</f>
        <v>12</v>
      </c>
      <c r="H165" s="31">
        <v>3</v>
      </c>
      <c r="I165" s="31">
        <v>1</v>
      </c>
      <c r="K165" s="31" t="s">
        <v>1548</v>
      </c>
      <c r="L165" s="31" t="str">
        <f>VLOOKUP(B165, [1]Course!$A$1:$O$933, 14, FALSE)</f>
        <v>SS</v>
      </c>
      <c r="M165" s="31">
        <v>1</v>
      </c>
    </row>
    <row r="166" spans="1:13" ht="15.75" hidden="1" customHeight="1" x14ac:dyDescent="0.2">
      <c r="A166" s="31">
        <v>165</v>
      </c>
      <c r="B166" s="31">
        <v>14</v>
      </c>
      <c r="C166" s="31">
        <v>22</v>
      </c>
      <c r="D166" s="31" t="s">
        <v>295</v>
      </c>
      <c r="E166" s="31" t="str">
        <f t="shared" si="2"/>
        <v>1222SS03PT</v>
      </c>
      <c r="F166" s="31">
        <f>VLOOKUP(B166,[1]Course!$A$2:$R$329,2,FALSE)</f>
        <v>0</v>
      </c>
      <c r="G166" s="31">
        <f>VLOOKUP(B166, [1]Course!$A$2:$L$950, 8, FALSE)</f>
        <v>12</v>
      </c>
      <c r="H166" s="31">
        <v>3</v>
      </c>
      <c r="I166" s="31">
        <v>1</v>
      </c>
      <c r="K166" s="31" t="s">
        <v>1548</v>
      </c>
      <c r="L166" s="31" t="str">
        <f>VLOOKUP(B166, [1]Course!$A$1:$O$933, 14, FALSE)</f>
        <v>SS</v>
      </c>
      <c r="M166" s="31">
        <v>1</v>
      </c>
    </row>
    <row r="167" spans="1:13" ht="15.75" hidden="1" customHeight="1" x14ac:dyDescent="0.2">
      <c r="A167" s="31">
        <v>166</v>
      </c>
      <c r="B167" s="31">
        <v>14</v>
      </c>
      <c r="C167" s="31">
        <v>23</v>
      </c>
      <c r="D167" s="31" t="s">
        <v>295</v>
      </c>
      <c r="E167" s="31" t="str">
        <f t="shared" si="2"/>
        <v>1223SS03PT</v>
      </c>
      <c r="F167" s="31">
        <f>VLOOKUP(B167,[1]Course!$A$2:$R$329,2,FALSE)</f>
        <v>0</v>
      </c>
      <c r="G167" s="31">
        <f>VLOOKUP(B167, [1]Course!$A$2:$L$950, 8, FALSE)</f>
        <v>12</v>
      </c>
      <c r="H167" s="31">
        <v>3</v>
      </c>
      <c r="I167" s="31">
        <v>1</v>
      </c>
      <c r="K167" s="31" t="s">
        <v>1548</v>
      </c>
      <c r="L167" s="31" t="str">
        <f>VLOOKUP(B167, [1]Course!$A$1:$O$933, 14, FALSE)</f>
        <v>SS</v>
      </c>
      <c r="M167" s="31">
        <v>1</v>
      </c>
    </row>
    <row r="168" spans="1:13" ht="15.75" hidden="1" customHeight="1" x14ac:dyDescent="0.2">
      <c r="A168" s="31">
        <v>167</v>
      </c>
      <c r="B168" s="31">
        <v>14</v>
      </c>
      <c r="C168" s="31">
        <v>24</v>
      </c>
      <c r="D168" s="31" t="s">
        <v>295</v>
      </c>
      <c r="E168" s="31" t="str">
        <f t="shared" si="2"/>
        <v>1224SS03PT</v>
      </c>
      <c r="F168" s="31">
        <f>VLOOKUP(B168,[1]Course!$A$2:$R$329,2,FALSE)</f>
        <v>0</v>
      </c>
      <c r="G168" s="31">
        <f>VLOOKUP(B168, [1]Course!$A$2:$L$950, 8, FALSE)</f>
        <v>12</v>
      </c>
      <c r="H168" s="31">
        <v>3</v>
      </c>
      <c r="I168" s="31">
        <v>1</v>
      </c>
      <c r="K168" s="31" t="s">
        <v>1548</v>
      </c>
      <c r="L168" s="31" t="str">
        <f>VLOOKUP(B168, [1]Course!$A$1:$O$933, 14, FALSE)</f>
        <v>SS</v>
      </c>
      <c r="M168" s="31">
        <v>1</v>
      </c>
    </row>
    <row r="169" spans="1:13" ht="15.75" hidden="1" customHeight="1" x14ac:dyDescent="0.2">
      <c r="A169" s="31">
        <v>168</v>
      </c>
      <c r="B169" s="31">
        <v>15</v>
      </c>
      <c r="C169" s="31">
        <v>13</v>
      </c>
      <c r="D169" s="31" t="s">
        <v>289</v>
      </c>
      <c r="E169" s="31" t="str">
        <f t="shared" si="2"/>
        <v>1213BR03PT</v>
      </c>
      <c r="F169" s="31">
        <f>VLOOKUP(B169,[1]Course!$A$2:$R$329,2,FALSE)</f>
        <v>0</v>
      </c>
      <c r="G169" s="31">
        <f>VLOOKUP(B169, [1]Course!$A$2:$L$950, 8, FALSE)</f>
        <v>12</v>
      </c>
      <c r="H169" s="31">
        <v>3</v>
      </c>
      <c r="I169" s="31">
        <v>1</v>
      </c>
      <c r="K169" s="31" t="s">
        <v>1548</v>
      </c>
      <c r="L169" s="31" t="str">
        <f>VLOOKUP(B169, [1]Course!$A$1:$O$933, 14, FALSE)</f>
        <v>BR</v>
      </c>
      <c r="M169" s="31">
        <v>1</v>
      </c>
    </row>
    <row r="170" spans="1:13" ht="15.75" hidden="1" customHeight="1" x14ac:dyDescent="0.2">
      <c r="A170" s="31">
        <v>169</v>
      </c>
      <c r="B170" s="31">
        <v>15</v>
      </c>
      <c r="C170" s="31">
        <v>14</v>
      </c>
      <c r="D170" s="31" t="s">
        <v>289</v>
      </c>
      <c r="E170" s="31" t="str">
        <f t="shared" si="2"/>
        <v>1214BR03PT</v>
      </c>
      <c r="F170" s="31">
        <f>VLOOKUP(B170,[1]Course!$A$2:$R$329,2,FALSE)</f>
        <v>0</v>
      </c>
      <c r="G170" s="31">
        <f>VLOOKUP(B170, [1]Course!$A$2:$L$950, 8, FALSE)</f>
        <v>12</v>
      </c>
      <c r="H170" s="31">
        <v>3</v>
      </c>
      <c r="I170" s="31">
        <v>1</v>
      </c>
      <c r="K170" s="31" t="s">
        <v>1548</v>
      </c>
      <c r="L170" s="31" t="str">
        <f>VLOOKUP(B170, [1]Course!$A$1:$O$933, 14, FALSE)</f>
        <v>BR</v>
      </c>
      <c r="M170" s="31">
        <v>1</v>
      </c>
    </row>
    <row r="171" spans="1:13" ht="15.75" hidden="1" customHeight="1" x14ac:dyDescent="0.2">
      <c r="A171" s="31">
        <v>170</v>
      </c>
      <c r="B171" s="31">
        <v>15</v>
      </c>
      <c r="C171" s="31">
        <v>15</v>
      </c>
      <c r="D171" s="31" t="s">
        <v>289</v>
      </c>
      <c r="E171" s="31" t="str">
        <f t="shared" si="2"/>
        <v>1215BR03PT</v>
      </c>
      <c r="F171" s="31">
        <f>VLOOKUP(B171,[1]Course!$A$2:$R$329,2,FALSE)</f>
        <v>0</v>
      </c>
      <c r="G171" s="31">
        <f>VLOOKUP(B171, [1]Course!$A$2:$L$950, 8, FALSE)</f>
        <v>12</v>
      </c>
      <c r="H171" s="31">
        <v>3</v>
      </c>
      <c r="I171" s="31">
        <v>1</v>
      </c>
      <c r="K171" s="31" t="s">
        <v>1548</v>
      </c>
      <c r="L171" s="31" t="str">
        <f>VLOOKUP(B171, [1]Course!$A$1:$O$933, 14, FALSE)</f>
        <v>BR</v>
      </c>
      <c r="M171" s="31">
        <v>1</v>
      </c>
    </row>
    <row r="172" spans="1:13" ht="15.75" hidden="1" customHeight="1" x14ac:dyDescent="0.2">
      <c r="A172" s="31">
        <v>171</v>
      </c>
      <c r="B172" s="31">
        <v>15</v>
      </c>
      <c r="C172" s="31">
        <v>16</v>
      </c>
      <c r="D172" s="31" t="s">
        <v>289</v>
      </c>
      <c r="E172" s="31" t="str">
        <f t="shared" si="2"/>
        <v>1216BR03PT</v>
      </c>
      <c r="F172" s="31">
        <f>VLOOKUP(B172,[1]Course!$A$2:$R$329,2,FALSE)</f>
        <v>0</v>
      </c>
      <c r="G172" s="31">
        <f>VLOOKUP(B172, [1]Course!$A$2:$L$950, 8, FALSE)</f>
        <v>12</v>
      </c>
      <c r="H172" s="31">
        <v>3</v>
      </c>
      <c r="I172" s="31">
        <v>1</v>
      </c>
      <c r="K172" s="31" t="s">
        <v>1548</v>
      </c>
      <c r="L172" s="31" t="str">
        <f>VLOOKUP(B172, [1]Course!$A$1:$O$933, 14, FALSE)</f>
        <v>BR</v>
      </c>
      <c r="M172" s="31">
        <v>1</v>
      </c>
    </row>
    <row r="173" spans="1:13" ht="15.75" hidden="1" customHeight="1" x14ac:dyDescent="0.2">
      <c r="A173" s="31">
        <v>172</v>
      </c>
      <c r="B173" s="31">
        <v>15</v>
      </c>
      <c r="C173" s="31">
        <v>17</v>
      </c>
      <c r="D173" s="31" t="s">
        <v>289</v>
      </c>
      <c r="E173" s="31" t="str">
        <f t="shared" si="2"/>
        <v>1217BR03PT</v>
      </c>
      <c r="F173" s="31">
        <f>VLOOKUP(B173,[1]Course!$A$2:$R$329,2,FALSE)</f>
        <v>0</v>
      </c>
      <c r="G173" s="31">
        <f>VLOOKUP(B173, [1]Course!$A$2:$L$950, 8, FALSE)</f>
        <v>12</v>
      </c>
      <c r="H173" s="31">
        <v>3</v>
      </c>
      <c r="I173" s="31">
        <v>1</v>
      </c>
      <c r="K173" s="31" t="s">
        <v>1548</v>
      </c>
      <c r="L173" s="31" t="str">
        <f>VLOOKUP(B173, [1]Course!$A$1:$O$933, 14, FALSE)</f>
        <v>BR</v>
      </c>
      <c r="M173" s="31">
        <v>1</v>
      </c>
    </row>
    <row r="174" spans="1:13" ht="15.75" hidden="1" customHeight="1" x14ac:dyDescent="0.2">
      <c r="A174" s="31">
        <v>173</v>
      </c>
      <c r="B174" s="31">
        <v>15</v>
      </c>
      <c r="C174" s="31">
        <v>18</v>
      </c>
      <c r="D174" s="31" t="s">
        <v>289</v>
      </c>
      <c r="E174" s="31" t="str">
        <f t="shared" si="2"/>
        <v>1218BR03PT</v>
      </c>
      <c r="F174" s="31">
        <f>VLOOKUP(B174,[1]Course!$A$2:$R$329,2,FALSE)</f>
        <v>0</v>
      </c>
      <c r="G174" s="31">
        <f>VLOOKUP(B174, [1]Course!$A$2:$L$950, 8, FALSE)</f>
        <v>12</v>
      </c>
      <c r="H174" s="31">
        <v>3</v>
      </c>
      <c r="I174" s="31">
        <v>1</v>
      </c>
      <c r="K174" s="31" t="s">
        <v>1548</v>
      </c>
      <c r="L174" s="31" t="str">
        <f>VLOOKUP(B174, [1]Course!$A$1:$O$933, 14, FALSE)</f>
        <v>BR</v>
      </c>
      <c r="M174" s="31">
        <v>1</v>
      </c>
    </row>
    <row r="175" spans="1:13" ht="15.75" hidden="1" customHeight="1" x14ac:dyDescent="0.2">
      <c r="A175" s="31">
        <v>174</v>
      </c>
      <c r="B175" s="31">
        <v>15</v>
      </c>
      <c r="C175" s="31">
        <v>19</v>
      </c>
      <c r="D175" s="31" t="s">
        <v>289</v>
      </c>
      <c r="E175" s="31" t="str">
        <f t="shared" si="2"/>
        <v>1219BR03PT</v>
      </c>
      <c r="F175" s="31">
        <f>VLOOKUP(B175,[1]Course!$A$2:$R$329,2,FALSE)</f>
        <v>0</v>
      </c>
      <c r="G175" s="31">
        <f>VLOOKUP(B175, [1]Course!$A$2:$L$950, 8, FALSE)</f>
        <v>12</v>
      </c>
      <c r="H175" s="31">
        <v>3</v>
      </c>
      <c r="I175" s="31">
        <v>1</v>
      </c>
      <c r="K175" s="31" t="s">
        <v>1548</v>
      </c>
      <c r="L175" s="31" t="str">
        <f>VLOOKUP(B175, [1]Course!$A$1:$O$933, 14, FALSE)</f>
        <v>BR</v>
      </c>
      <c r="M175" s="31">
        <v>1</v>
      </c>
    </row>
    <row r="176" spans="1:13" ht="15.75" hidden="1" customHeight="1" x14ac:dyDescent="0.2">
      <c r="A176" s="31">
        <v>175</v>
      </c>
      <c r="B176" s="31">
        <v>15</v>
      </c>
      <c r="C176" s="31">
        <v>20</v>
      </c>
      <c r="D176" s="31" t="s">
        <v>289</v>
      </c>
      <c r="E176" s="31" t="str">
        <f t="shared" si="2"/>
        <v>1220BR03PT</v>
      </c>
      <c r="F176" s="31">
        <f>VLOOKUP(B176,[1]Course!$A$2:$R$329,2,FALSE)</f>
        <v>0</v>
      </c>
      <c r="G176" s="31">
        <f>VLOOKUP(B176, [1]Course!$A$2:$L$950, 8, FALSE)</f>
        <v>12</v>
      </c>
      <c r="H176" s="31">
        <v>3</v>
      </c>
      <c r="I176" s="31">
        <v>1</v>
      </c>
      <c r="K176" s="31" t="s">
        <v>1548</v>
      </c>
      <c r="L176" s="31" t="str">
        <f>VLOOKUP(B176, [1]Course!$A$1:$O$933, 14, FALSE)</f>
        <v>BR</v>
      </c>
      <c r="M176" s="31">
        <v>1</v>
      </c>
    </row>
    <row r="177" spans="1:13" ht="15.75" hidden="1" customHeight="1" x14ac:dyDescent="0.2">
      <c r="A177" s="31">
        <v>176</v>
      </c>
      <c r="B177" s="31">
        <v>15</v>
      </c>
      <c r="C177" s="31">
        <v>21</v>
      </c>
      <c r="D177" s="31" t="s">
        <v>289</v>
      </c>
      <c r="E177" s="31" t="str">
        <f t="shared" si="2"/>
        <v>1221BR03PT</v>
      </c>
      <c r="F177" s="31">
        <f>VLOOKUP(B177,[1]Course!$A$2:$R$329,2,FALSE)</f>
        <v>0</v>
      </c>
      <c r="G177" s="31">
        <f>VLOOKUP(B177, [1]Course!$A$2:$L$950, 8, FALSE)</f>
        <v>12</v>
      </c>
      <c r="H177" s="31">
        <v>3</v>
      </c>
      <c r="I177" s="31">
        <v>1</v>
      </c>
      <c r="K177" s="31" t="s">
        <v>1548</v>
      </c>
      <c r="L177" s="31" t="str">
        <f>VLOOKUP(B177, [1]Course!$A$1:$O$933, 14, FALSE)</f>
        <v>BR</v>
      </c>
      <c r="M177" s="31">
        <v>1</v>
      </c>
    </row>
    <row r="178" spans="1:13" ht="15.75" hidden="1" customHeight="1" x14ac:dyDescent="0.2">
      <c r="A178" s="31">
        <v>177</v>
      </c>
      <c r="B178" s="31">
        <v>15</v>
      </c>
      <c r="C178" s="31">
        <v>22</v>
      </c>
      <c r="D178" s="31" t="s">
        <v>289</v>
      </c>
      <c r="E178" s="31" t="str">
        <f t="shared" si="2"/>
        <v>1222BR03PT</v>
      </c>
      <c r="F178" s="31">
        <f>VLOOKUP(B178,[1]Course!$A$2:$R$329,2,FALSE)</f>
        <v>0</v>
      </c>
      <c r="G178" s="31">
        <f>VLOOKUP(B178, [1]Course!$A$2:$L$950, 8, FALSE)</f>
        <v>12</v>
      </c>
      <c r="H178" s="31">
        <v>3</v>
      </c>
      <c r="I178" s="31">
        <v>1</v>
      </c>
      <c r="K178" s="31" t="s">
        <v>1548</v>
      </c>
      <c r="L178" s="31" t="str">
        <f>VLOOKUP(B178, [1]Course!$A$1:$O$933, 14, FALSE)</f>
        <v>BR</v>
      </c>
      <c r="M178" s="31">
        <v>1</v>
      </c>
    </row>
    <row r="179" spans="1:13" ht="15.75" hidden="1" customHeight="1" x14ac:dyDescent="0.2">
      <c r="A179" s="31">
        <v>178</v>
      </c>
      <c r="B179" s="31">
        <v>15</v>
      </c>
      <c r="C179" s="31">
        <v>23</v>
      </c>
      <c r="D179" s="31" t="s">
        <v>289</v>
      </c>
      <c r="E179" s="31" t="str">
        <f t="shared" si="2"/>
        <v>1223BR03PT</v>
      </c>
      <c r="F179" s="31">
        <f>VLOOKUP(B179,[1]Course!$A$2:$R$329,2,FALSE)</f>
        <v>0</v>
      </c>
      <c r="G179" s="31">
        <f>VLOOKUP(B179, [1]Course!$A$2:$L$950, 8, FALSE)</f>
        <v>12</v>
      </c>
      <c r="H179" s="31">
        <v>3</v>
      </c>
      <c r="I179" s="31">
        <v>1</v>
      </c>
      <c r="K179" s="31" t="s">
        <v>1548</v>
      </c>
      <c r="L179" s="31" t="str">
        <f>VLOOKUP(B179, [1]Course!$A$1:$O$933, 14, FALSE)</f>
        <v>BR</v>
      </c>
      <c r="M179" s="31">
        <v>1</v>
      </c>
    </row>
    <row r="180" spans="1:13" ht="15.75" hidden="1" customHeight="1" x14ac:dyDescent="0.2">
      <c r="A180" s="31">
        <v>179</v>
      </c>
      <c r="B180" s="31">
        <v>15</v>
      </c>
      <c r="C180" s="31">
        <v>24</v>
      </c>
      <c r="D180" s="31" t="s">
        <v>289</v>
      </c>
      <c r="E180" s="31" t="str">
        <f t="shared" si="2"/>
        <v>1224BR03PT</v>
      </c>
      <c r="F180" s="31">
        <f>VLOOKUP(B180,[1]Course!$A$2:$R$329,2,FALSE)</f>
        <v>0</v>
      </c>
      <c r="G180" s="31">
        <f>VLOOKUP(B180, [1]Course!$A$2:$L$950, 8, FALSE)</f>
        <v>12</v>
      </c>
      <c r="H180" s="31">
        <v>3</v>
      </c>
      <c r="I180" s="31">
        <v>1</v>
      </c>
      <c r="K180" s="31" t="s">
        <v>1548</v>
      </c>
      <c r="L180" s="31" t="str">
        <f>VLOOKUP(B180, [1]Course!$A$1:$O$933, 14, FALSE)</f>
        <v>BR</v>
      </c>
      <c r="M180" s="31">
        <v>1</v>
      </c>
    </row>
    <row r="181" spans="1:13" ht="15.75" hidden="1" customHeight="1" x14ac:dyDescent="0.2">
      <c r="A181" s="31">
        <v>180</v>
      </c>
      <c r="B181" s="31">
        <v>16</v>
      </c>
      <c r="C181" s="31">
        <v>25</v>
      </c>
      <c r="D181" s="31" t="s">
        <v>52</v>
      </c>
      <c r="E181" s="31" t="str">
        <f t="shared" si="2"/>
        <v>1225MA03PT</v>
      </c>
      <c r="F181" s="31">
        <f>VLOOKUP(B181,[1]Course!$A$2:$R$329,2,FALSE)</f>
        <v>0</v>
      </c>
      <c r="G181" s="31">
        <f>VLOOKUP(B181, [1]Course!$A$2:$L$950, 8, FALSE)</f>
        <v>12</v>
      </c>
      <c r="H181" s="31">
        <v>3</v>
      </c>
      <c r="I181" s="31">
        <v>1</v>
      </c>
      <c r="K181" s="31" t="s">
        <v>1548</v>
      </c>
      <c r="L181" s="31" t="str">
        <f>VLOOKUP(B181, [1]Course!$A$1:$O$933, 14, FALSE)</f>
        <v>MA</v>
      </c>
      <c r="M181" s="31">
        <v>1</v>
      </c>
    </row>
    <row r="182" spans="1:13" ht="15.75" hidden="1" customHeight="1" x14ac:dyDescent="0.2">
      <c r="A182" s="31">
        <v>181</v>
      </c>
      <c r="B182" s="31">
        <v>16</v>
      </c>
      <c r="C182" s="31">
        <v>26</v>
      </c>
      <c r="D182" s="31" t="s">
        <v>52</v>
      </c>
      <c r="E182" s="31" t="str">
        <f t="shared" si="2"/>
        <v>1226MA03PT</v>
      </c>
      <c r="F182" s="31">
        <f>VLOOKUP(B182,[1]Course!$A$2:$R$329,2,FALSE)</f>
        <v>0</v>
      </c>
      <c r="G182" s="31">
        <f>VLOOKUP(B182, [1]Course!$A$2:$L$950, 8, FALSE)</f>
        <v>12</v>
      </c>
      <c r="H182" s="31">
        <v>3</v>
      </c>
      <c r="I182" s="31">
        <v>1</v>
      </c>
      <c r="K182" s="31" t="s">
        <v>1548</v>
      </c>
      <c r="L182" s="31" t="str">
        <f>VLOOKUP(B182, [1]Course!$A$1:$O$933, 14, FALSE)</f>
        <v>MA</v>
      </c>
      <c r="M182" s="31">
        <v>1</v>
      </c>
    </row>
    <row r="183" spans="1:13" ht="15.75" hidden="1" customHeight="1" x14ac:dyDescent="0.2">
      <c r="A183" s="31">
        <v>182</v>
      </c>
      <c r="B183" s="31">
        <v>16</v>
      </c>
      <c r="C183" s="31">
        <v>27</v>
      </c>
      <c r="D183" s="31" t="s">
        <v>52</v>
      </c>
      <c r="E183" s="31" t="str">
        <f t="shared" si="2"/>
        <v>1227MA03PT</v>
      </c>
      <c r="F183" s="31">
        <f>VLOOKUP(B183,[1]Course!$A$2:$R$329,2,FALSE)</f>
        <v>0</v>
      </c>
      <c r="G183" s="31">
        <f>VLOOKUP(B183, [1]Course!$A$2:$L$950, 8, FALSE)</f>
        <v>12</v>
      </c>
      <c r="H183" s="31">
        <v>3</v>
      </c>
      <c r="I183" s="31">
        <v>1</v>
      </c>
      <c r="K183" s="31" t="s">
        <v>1548</v>
      </c>
      <c r="L183" s="31" t="str">
        <f>VLOOKUP(B183, [1]Course!$A$1:$O$933, 14, FALSE)</f>
        <v>MA</v>
      </c>
      <c r="M183" s="31">
        <v>1</v>
      </c>
    </row>
    <row r="184" spans="1:13" ht="15.75" hidden="1" customHeight="1" x14ac:dyDescent="0.2">
      <c r="A184" s="31">
        <v>183</v>
      </c>
      <c r="B184" s="31">
        <v>16</v>
      </c>
      <c r="C184" s="31">
        <v>28</v>
      </c>
      <c r="D184" s="31" t="s">
        <v>52</v>
      </c>
      <c r="E184" s="31" t="str">
        <f t="shared" si="2"/>
        <v>1228MA03PT</v>
      </c>
      <c r="F184" s="31">
        <f>VLOOKUP(B184,[1]Course!$A$2:$R$329,2,FALSE)</f>
        <v>0</v>
      </c>
      <c r="G184" s="31">
        <f>VLOOKUP(B184, [1]Course!$A$2:$L$950, 8, FALSE)</f>
        <v>12</v>
      </c>
      <c r="H184" s="31">
        <v>3</v>
      </c>
      <c r="I184" s="31">
        <v>1</v>
      </c>
      <c r="K184" s="31" t="s">
        <v>1548</v>
      </c>
      <c r="L184" s="31" t="str">
        <f>VLOOKUP(B184, [1]Course!$A$1:$O$933, 14, FALSE)</f>
        <v>MA</v>
      </c>
      <c r="M184" s="31">
        <v>1</v>
      </c>
    </row>
    <row r="185" spans="1:13" ht="15.75" hidden="1" customHeight="1" x14ac:dyDescent="0.2">
      <c r="A185" s="31">
        <v>184</v>
      </c>
      <c r="B185" s="31">
        <v>16</v>
      </c>
      <c r="C185" s="31">
        <v>29</v>
      </c>
      <c r="D185" s="31" t="s">
        <v>52</v>
      </c>
      <c r="E185" s="31" t="str">
        <f t="shared" si="2"/>
        <v>1229MA03PT</v>
      </c>
      <c r="F185" s="31">
        <f>VLOOKUP(B185,[1]Course!$A$2:$R$329,2,FALSE)</f>
        <v>0</v>
      </c>
      <c r="G185" s="31">
        <f>VLOOKUP(B185, [1]Course!$A$2:$L$950, 8, FALSE)</f>
        <v>12</v>
      </c>
      <c r="H185" s="31">
        <v>3</v>
      </c>
      <c r="I185" s="31">
        <v>1</v>
      </c>
      <c r="K185" s="31" t="s">
        <v>1548</v>
      </c>
      <c r="L185" s="31" t="str">
        <f>VLOOKUP(B185, [1]Course!$A$1:$O$933, 14, FALSE)</f>
        <v>MA</v>
      </c>
      <c r="M185" s="31">
        <v>1</v>
      </c>
    </row>
    <row r="186" spans="1:13" ht="15.75" hidden="1" customHeight="1" x14ac:dyDescent="0.2">
      <c r="A186" s="31">
        <v>185</v>
      </c>
      <c r="B186" s="31">
        <v>16</v>
      </c>
      <c r="C186" s="31">
        <v>30</v>
      </c>
      <c r="D186" s="31" t="s">
        <v>52</v>
      </c>
      <c r="E186" s="31" t="str">
        <f t="shared" si="2"/>
        <v>1230MA03PT</v>
      </c>
      <c r="F186" s="31">
        <f>VLOOKUP(B186,[1]Course!$A$2:$R$329,2,FALSE)</f>
        <v>0</v>
      </c>
      <c r="G186" s="31">
        <f>VLOOKUP(B186, [1]Course!$A$2:$L$950, 8, FALSE)</f>
        <v>12</v>
      </c>
      <c r="H186" s="31">
        <v>3</v>
      </c>
      <c r="I186" s="31">
        <v>1</v>
      </c>
      <c r="K186" s="31" t="s">
        <v>1548</v>
      </c>
      <c r="L186" s="31" t="str">
        <f>VLOOKUP(B186, [1]Course!$A$1:$O$933, 14, FALSE)</f>
        <v>MA</v>
      </c>
      <c r="M186" s="31">
        <v>1</v>
      </c>
    </row>
    <row r="187" spans="1:13" ht="15.75" hidden="1" customHeight="1" x14ac:dyDescent="0.2">
      <c r="A187" s="31">
        <v>186</v>
      </c>
      <c r="B187" s="31">
        <v>16</v>
      </c>
      <c r="C187" s="31">
        <v>31</v>
      </c>
      <c r="D187" s="31" t="s">
        <v>52</v>
      </c>
      <c r="E187" s="31" t="str">
        <f t="shared" si="2"/>
        <v>1231MA03PT</v>
      </c>
      <c r="F187" s="31">
        <f>VLOOKUP(B187,[1]Course!$A$2:$R$329,2,FALSE)</f>
        <v>0</v>
      </c>
      <c r="G187" s="31">
        <f>VLOOKUP(B187, [1]Course!$A$2:$L$950, 8, FALSE)</f>
        <v>12</v>
      </c>
      <c r="H187" s="31">
        <v>3</v>
      </c>
      <c r="I187" s="31">
        <v>1</v>
      </c>
      <c r="K187" s="31" t="s">
        <v>1548</v>
      </c>
      <c r="L187" s="31" t="str">
        <f>VLOOKUP(B187, [1]Course!$A$1:$O$933, 14, FALSE)</f>
        <v>MA</v>
      </c>
      <c r="M187" s="31">
        <v>1</v>
      </c>
    </row>
    <row r="188" spans="1:13" ht="15.75" hidden="1" customHeight="1" x14ac:dyDescent="0.2">
      <c r="A188" s="31">
        <v>187</v>
      </c>
      <c r="B188" s="31">
        <v>16</v>
      </c>
      <c r="C188" s="31">
        <v>32</v>
      </c>
      <c r="D188" s="31" t="s">
        <v>52</v>
      </c>
      <c r="E188" s="31" t="str">
        <f t="shared" si="2"/>
        <v>1232MA03PT</v>
      </c>
      <c r="F188" s="31">
        <f>VLOOKUP(B188,[1]Course!$A$2:$R$329,2,FALSE)</f>
        <v>0</v>
      </c>
      <c r="G188" s="31">
        <f>VLOOKUP(B188, [1]Course!$A$2:$L$950, 8, FALSE)</f>
        <v>12</v>
      </c>
      <c r="H188" s="31">
        <v>3</v>
      </c>
      <c r="I188" s="31">
        <v>1</v>
      </c>
      <c r="K188" s="31" t="s">
        <v>1548</v>
      </c>
      <c r="L188" s="31" t="str">
        <f>VLOOKUP(B188, [1]Course!$A$1:$O$933, 14, FALSE)</f>
        <v>MA</v>
      </c>
      <c r="M188" s="31">
        <v>1</v>
      </c>
    </row>
    <row r="189" spans="1:13" ht="15.75" hidden="1" customHeight="1" x14ac:dyDescent="0.2">
      <c r="A189" s="31">
        <v>188</v>
      </c>
      <c r="B189" s="31">
        <v>16</v>
      </c>
      <c r="C189" s="31">
        <v>33</v>
      </c>
      <c r="D189" s="31" t="s">
        <v>52</v>
      </c>
      <c r="E189" s="31" t="str">
        <f t="shared" si="2"/>
        <v>1233MA03PT</v>
      </c>
      <c r="F189" s="31">
        <f>VLOOKUP(B189,[1]Course!$A$2:$R$329,2,FALSE)</f>
        <v>0</v>
      </c>
      <c r="G189" s="31">
        <f>VLOOKUP(B189, [1]Course!$A$2:$L$950, 8, FALSE)</f>
        <v>12</v>
      </c>
      <c r="H189" s="31">
        <v>3</v>
      </c>
      <c r="I189" s="31">
        <v>1</v>
      </c>
      <c r="K189" s="31" t="s">
        <v>1548</v>
      </c>
      <c r="L189" s="31" t="str">
        <f>VLOOKUP(B189, [1]Course!$A$1:$O$933, 14, FALSE)</f>
        <v>MA</v>
      </c>
      <c r="M189" s="31">
        <v>1</v>
      </c>
    </row>
    <row r="190" spans="1:13" ht="15.75" hidden="1" customHeight="1" x14ac:dyDescent="0.2">
      <c r="A190" s="31">
        <v>189</v>
      </c>
      <c r="B190" s="31">
        <v>16</v>
      </c>
      <c r="C190" s="31">
        <v>34</v>
      </c>
      <c r="D190" s="31" t="s">
        <v>52</v>
      </c>
      <c r="E190" s="31" t="str">
        <f t="shared" si="2"/>
        <v>1234MA03PT</v>
      </c>
      <c r="F190" s="31">
        <f>VLOOKUP(B190,[1]Course!$A$2:$R$329,2,FALSE)</f>
        <v>0</v>
      </c>
      <c r="G190" s="31">
        <f>VLOOKUP(B190, [1]Course!$A$2:$L$950, 8, FALSE)</f>
        <v>12</v>
      </c>
      <c r="H190" s="31">
        <v>3</v>
      </c>
      <c r="I190" s="31">
        <v>1</v>
      </c>
      <c r="K190" s="31" t="s">
        <v>1548</v>
      </c>
      <c r="L190" s="31" t="str">
        <f>VLOOKUP(B190, [1]Course!$A$1:$O$933, 14, FALSE)</f>
        <v>MA</v>
      </c>
      <c r="M190" s="31">
        <v>1</v>
      </c>
    </row>
    <row r="191" spans="1:13" ht="15.75" hidden="1" customHeight="1" x14ac:dyDescent="0.2">
      <c r="A191" s="31">
        <v>190</v>
      </c>
      <c r="B191" s="31">
        <v>16</v>
      </c>
      <c r="C191" s="31">
        <v>35</v>
      </c>
      <c r="D191" s="31" t="s">
        <v>52</v>
      </c>
      <c r="E191" s="31" t="str">
        <f t="shared" si="2"/>
        <v>1235MA03PT</v>
      </c>
      <c r="F191" s="31">
        <f>VLOOKUP(B191,[1]Course!$A$2:$R$329,2,FALSE)</f>
        <v>0</v>
      </c>
      <c r="G191" s="31">
        <f>VLOOKUP(B191, [1]Course!$A$2:$L$950, 8, FALSE)</f>
        <v>12</v>
      </c>
      <c r="H191" s="31">
        <v>3</v>
      </c>
      <c r="I191" s="31">
        <v>1</v>
      </c>
      <c r="K191" s="31" t="s">
        <v>1548</v>
      </c>
      <c r="L191" s="31" t="str">
        <f>VLOOKUP(B191, [1]Course!$A$1:$O$933, 14, FALSE)</f>
        <v>MA</v>
      </c>
      <c r="M191" s="31">
        <v>1</v>
      </c>
    </row>
    <row r="192" spans="1:13" ht="15.75" hidden="1" customHeight="1" x14ac:dyDescent="0.2">
      <c r="A192" s="31">
        <v>191</v>
      </c>
      <c r="B192" s="31">
        <v>16</v>
      </c>
      <c r="C192" s="31">
        <v>36</v>
      </c>
      <c r="D192" s="31" t="s">
        <v>52</v>
      </c>
      <c r="E192" s="31" t="str">
        <f t="shared" si="2"/>
        <v>1236MA03PT</v>
      </c>
      <c r="F192" s="31">
        <f>VLOOKUP(B192,[1]Course!$A$2:$R$329,2,FALSE)</f>
        <v>0</v>
      </c>
      <c r="G192" s="31">
        <f>VLOOKUP(B192, [1]Course!$A$2:$L$950, 8, FALSE)</f>
        <v>12</v>
      </c>
      <c r="H192" s="31">
        <v>3</v>
      </c>
      <c r="I192" s="31">
        <v>1</v>
      </c>
      <c r="K192" s="31" t="s">
        <v>1548</v>
      </c>
      <c r="L192" s="31" t="str">
        <f>VLOOKUP(B192, [1]Course!$A$1:$O$933, 14, FALSE)</f>
        <v>MA</v>
      </c>
      <c r="M192" s="31">
        <v>1</v>
      </c>
    </row>
    <row r="193" spans="1:13" ht="15.75" hidden="1" customHeight="1" x14ac:dyDescent="0.2">
      <c r="A193" s="31">
        <v>192</v>
      </c>
      <c r="B193" s="31">
        <v>17</v>
      </c>
      <c r="C193" s="31">
        <v>25</v>
      </c>
      <c r="D193" s="31" t="s">
        <v>155</v>
      </c>
      <c r="E193" s="31" t="str">
        <f t="shared" si="2"/>
        <v>1225EN03PT</v>
      </c>
      <c r="F193" s="31">
        <f>VLOOKUP(B193,[1]Course!$A$2:$R$329,2,FALSE)</f>
        <v>0</v>
      </c>
      <c r="G193" s="31">
        <f>VLOOKUP(B193, [1]Course!$A$2:$L$950, 8, FALSE)</f>
        <v>12</v>
      </c>
      <c r="H193" s="31">
        <v>3</v>
      </c>
      <c r="I193" s="31">
        <v>1</v>
      </c>
      <c r="K193" s="31" t="s">
        <v>1548</v>
      </c>
      <c r="L193" s="31" t="str">
        <f>VLOOKUP(B193, [1]Course!$A$1:$O$933, 14, FALSE)</f>
        <v>EN</v>
      </c>
      <c r="M193" s="31">
        <v>1</v>
      </c>
    </row>
    <row r="194" spans="1:13" ht="15.75" hidden="1" customHeight="1" x14ac:dyDescent="0.2">
      <c r="A194" s="31">
        <v>193</v>
      </c>
      <c r="B194" s="31">
        <v>17</v>
      </c>
      <c r="C194" s="31">
        <v>26</v>
      </c>
      <c r="D194" s="31" t="s">
        <v>155</v>
      </c>
      <c r="E194" s="31" t="str">
        <f t="shared" si="2"/>
        <v>1226EN03PT</v>
      </c>
      <c r="F194" s="31">
        <f>VLOOKUP(B194,[1]Course!$A$2:$R$329,2,FALSE)</f>
        <v>0</v>
      </c>
      <c r="G194" s="31">
        <f>VLOOKUP(B194, [1]Course!$A$2:$L$950, 8, FALSE)</f>
        <v>12</v>
      </c>
      <c r="H194" s="31">
        <v>3</v>
      </c>
      <c r="I194" s="31">
        <v>1</v>
      </c>
      <c r="K194" s="31" t="s">
        <v>1548</v>
      </c>
      <c r="L194" s="31" t="str">
        <f>VLOOKUP(B194, [1]Course!$A$1:$O$933, 14, FALSE)</f>
        <v>EN</v>
      </c>
      <c r="M194" s="31">
        <v>1</v>
      </c>
    </row>
    <row r="195" spans="1:13" ht="15.75" hidden="1" customHeight="1" x14ac:dyDescent="0.2">
      <c r="A195" s="31">
        <v>194</v>
      </c>
      <c r="B195" s="31">
        <v>17</v>
      </c>
      <c r="C195" s="31">
        <v>27</v>
      </c>
      <c r="D195" s="31" t="s">
        <v>155</v>
      </c>
      <c r="E195" s="31" t="str">
        <f t="shared" ref="E195:E258" si="3">UPPER(LEFT(G195,2)) &amp; RIGHT("0" &amp; C195, 2) &amp; D195 &amp; RIGHT("0" &amp; H195, 2) &amp; K195</f>
        <v>1227EN03PT</v>
      </c>
      <c r="F195" s="31">
        <f>VLOOKUP(B195,[1]Course!$A$2:$R$329,2,FALSE)</f>
        <v>0</v>
      </c>
      <c r="G195" s="31">
        <f>VLOOKUP(B195, [1]Course!$A$2:$L$950, 8, FALSE)</f>
        <v>12</v>
      </c>
      <c r="H195" s="31">
        <v>3</v>
      </c>
      <c r="I195" s="31">
        <v>1</v>
      </c>
      <c r="K195" s="31" t="s">
        <v>1548</v>
      </c>
      <c r="L195" s="31" t="str">
        <f>VLOOKUP(B195, [1]Course!$A$1:$O$933, 14, FALSE)</f>
        <v>EN</v>
      </c>
      <c r="M195" s="31">
        <v>1</v>
      </c>
    </row>
    <row r="196" spans="1:13" ht="15.75" hidden="1" customHeight="1" x14ac:dyDescent="0.2">
      <c r="A196" s="31">
        <v>195</v>
      </c>
      <c r="B196" s="31">
        <v>17</v>
      </c>
      <c r="C196" s="31">
        <v>28</v>
      </c>
      <c r="D196" s="31" t="s">
        <v>155</v>
      </c>
      <c r="E196" s="31" t="str">
        <f t="shared" si="3"/>
        <v>1228EN03PT</v>
      </c>
      <c r="F196" s="31">
        <f>VLOOKUP(B196,[1]Course!$A$2:$R$329,2,FALSE)</f>
        <v>0</v>
      </c>
      <c r="G196" s="31">
        <f>VLOOKUP(B196, [1]Course!$A$2:$L$950, 8, FALSE)</f>
        <v>12</v>
      </c>
      <c r="H196" s="31">
        <v>3</v>
      </c>
      <c r="I196" s="31">
        <v>1</v>
      </c>
      <c r="K196" s="31" t="s">
        <v>1548</v>
      </c>
      <c r="L196" s="31" t="str">
        <f>VLOOKUP(B196, [1]Course!$A$1:$O$933, 14, FALSE)</f>
        <v>EN</v>
      </c>
      <c r="M196" s="31">
        <v>1</v>
      </c>
    </row>
    <row r="197" spans="1:13" ht="15.75" hidden="1" customHeight="1" x14ac:dyDescent="0.2">
      <c r="A197" s="31">
        <v>196</v>
      </c>
      <c r="B197" s="31">
        <v>17</v>
      </c>
      <c r="C197" s="31">
        <v>29</v>
      </c>
      <c r="D197" s="31" t="s">
        <v>155</v>
      </c>
      <c r="E197" s="31" t="str">
        <f t="shared" si="3"/>
        <v>1229EN03PT</v>
      </c>
      <c r="F197" s="31">
        <f>VLOOKUP(B197,[1]Course!$A$2:$R$329,2,FALSE)</f>
        <v>0</v>
      </c>
      <c r="G197" s="31">
        <f>VLOOKUP(B197, [1]Course!$A$2:$L$950, 8, FALSE)</f>
        <v>12</v>
      </c>
      <c r="H197" s="31">
        <v>3</v>
      </c>
      <c r="I197" s="31">
        <v>1</v>
      </c>
      <c r="K197" s="31" t="s">
        <v>1548</v>
      </c>
      <c r="L197" s="31" t="str">
        <f>VLOOKUP(B197, [1]Course!$A$1:$O$933, 14, FALSE)</f>
        <v>EN</v>
      </c>
      <c r="M197" s="31">
        <v>1</v>
      </c>
    </row>
    <row r="198" spans="1:13" ht="15.75" hidden="1" customHeight="1" x14ac:dyDescent="0.2">
      <c r="A198" s="31">
        <v>197</v>
      </c>
      <c r="B198" s="31">
        <v>17</v>
      </c>
      <c r="C198" s="31">
        <v>30</v>
      </c>
      <c r="D198" s="31" t="s">
        <v>155</v>
      </c>
      <c r="E198" s="31" t="str">
        <f t="shared" si="3"/>
        <v>1230EN03PT</v>
      </c>
      <c r="F198" s="31">
        <f>VLOOKUP(B198,[1]Course!$A$2:$R$329,2,FALSE)</f>
        <v>0</v>
      </c>
      <c r="G198" s="31">
        <f>VLOOKUP(B198, [1]Course!$A$2:$L$950, 8, FALSE)</f>
        <v>12</v>
      </c>
      <c r="H198" s="31">
        <v>3</v>
      </c>
      <c r="I198" s="31">
        <v>1</v>
      </c>
      <c r="K198" s="31" t="s">
        <v>1548</v>
      </c>
      <c r="L198" s="31" t="str">
        <f>VLOOKUP(B198, [1]Course!$A$1:$O$933, 14, FALSE)</f>
        <v>EN</v>
      </c>
      <c r="M198" s="31">
        <v>1</v>
      </c>
    </row>
    <row r="199" spans="1:13" ht="15.75" hidden="1" customHeight="1" x14ac:dyDescent="0.2">
      <c r="A199" s="31">
        <v>198</v>
      </c>
      <c r="B199" s="31">
        <v>17</v>
      </c>
      <c r="C199" s="31">
        <v>31</v>
      </c>
      <c r="D199" s="31" t="s">
        <v>155</v>
      </c>
      <c r="E199" s="31" t="str">
        <f t="shared" si="3"/>
        <v>1231EN03PT</v>
      </c>
      <c r="F199" s="31">
        <f>VLOOKUP(B199,[1]Course!$A$2:$R$329,2,FALSE)</f>
        <v>0</v>
      </c>
      <c r="G199" s="31">
        <f>VLOOKUP(B199, [1]Course!$A$2:$L$950, 8, FALSE)</f>
        <v>12</v>
      </c>
      <c r="H199" s="31">
        <v>3</v>
      </c>
      <c r="I199" s="31">
        <v>1</v>
      </c>
      <c r="K199" s="31" t="s">
        <v>1548</v>
      </c>
      <c r="L199" s="31" t="str">
        <f>VLOOKUP(B199, [1]Course!$A$1:$O$933, 14, FALSE)</f>
        <v>EN</v>
      </c>
      <c r="M199" s="31">
        <v>1</v>
      </c>
    </row>
    <row r="200" spans="1:13" ht="15.75" hidden="1" customHeight="1" x14ac:dyDescent="0.2">
      <c r="A200" s="31">
        <v>199</v>
      </c>
      <c r="B200" s="31">
        <v>17</v>
      </c>
      <c r="C200" s="31">
        <v>32</v>
      </c>
      <c r="D200" s="31" t="s">
        <v>155</v>
      </c>
      <c r="E200" s="31" t="str">
        <f t="shared" si="3"/>
        <v>1232EN03PT</v>
      </c>
      <c r="F200" s="31">
        <f>VLOOKUP(B200,[1]Course!$A$2:$R$329,2,FALSE)</f>
        <v>0</v>
      </c>
      <c r="G200" s="31">
        <f>VLOOKUP(B200, [1]Course!$A$2:$L$950, 8, FALSE)</f>
        <v>12</v>
      </c>
      <c r="H200" s="31">
        <v>3</v>
      </c>
      <c r="I200" s="31">
        <v>1</v>
      </c>
      <c r="K200" s="31" t="s">
        <v>1548</v>
      </c>
      <c r="L200" s="31" t="str">
        <f>VLOOKUP(B200, [1]Course!$A$1:$O$933, 14, FALSE)</f>
        <v>EN</v>
      </c>
      <c r="M200" s="31">
        <v>1</v>
      </c>
    </row>
    <row r="201" spans="1:13" ht="15.75" hidden="1" customHeight="1" x14ac:dyDescent="0.2">
      <c r="A201" s="31">
        <v>200</v>
      </c>
      <c r="B201" s="31">
        <v>17</v>
      </c>
      <c r="C201" s="31">
        <v>33</v>
      </c>
      <c r="D201" s="31" t="s">
        <v>155</v>
      </c>
      <c r="E201" s="31" t="str">
        <f t="shared" si="3"/>
        <v>1233EN03PT</v>
      </c>
      <c r="F201" s="31">
        <f>VLOOKUP(B201,[1]Course!$A$2:$R$329,2,FALSE)</f>
        <v>0</v>
      </c>
      <c r="G201" s="31">
        <f>VLOOKUP(B201, [1]Course!$A$2:$L$950, 8, FALSE)</f>
        <v>12</v>
      </c>
      <c r="H201" s="31">
        <v>3</v>
      </c>
      <c r="I201" s="31">
        <v>1</v>
      </c>
      <c r="K201" s="31" t="s">
        <v>1548</v>
      </c>
      <c r="L201" s="31" t="str">
        <f>VLOOKUP(B201, [1]Course!$A$1:$O$933, 14, FALSE)</f>
        <v>EN</v>
      </c>
      <c r="M201" s="31">
        <v>1</v>
      </c>
    </row>
    <row r="202" spans="1:13" ht="15.75" hidden="1" customHeight="1" x14ac:dyDescent="0.2">
      <c r="A202" s="31">
        <v>201</v>
      </c>
      <c r="B202" s="31">
        <v>17</v>
      </c>
      <c r="C202" s="31">
        <v>34</v>
      </c>
      <c r="D202" s="31" t="s">
        <v>155</v>
      </c>
      <c r="E202" s="31" t="str">
        <f t="shared" si="3"/>
        <v>1234EN03PT</v>
      </c>
      <c r="F202" s="31">
        <f>VLOOKUP(B202,[1]Course!$A$2:$R$329,2,FALSE)</f>
        <v>0</v>
      </c>
      <c r="G202" s="31">
        <f>VLOOKUP(B202, [1]Course!$A$2:$L$950, 8, FALSE)</f>
        <v>12</v>
      </c>
      <c r="H202" s="31">
        <v>3</v>
      </c>
      <c r="I202" s="31">
        <v>1</v>
      </c>
      <c r="K202" s="31" t="s">
        <v>1548</v>
      </c>
      <c r="L202" s="31" t="str">
        <f>VLOOKUP(B202, [1]Course!$A$1:$O$933, 14, FALSE)</f>
        <v>EN</v>
      </c>
      <c r="M202" s="31">
        <v>1</v>
      </c>
    </row>
    <row r="203" spans="1:13" ht="15.75" hidden="1" customHeight="1" x14ac:dyDescent="0.2">
      <c r="A203" s="31">
        <v>202</v>
      </c>
      <c r="B203" s="31">
        <v>17</v>
      </c>
      <c r="C203" s="31">
        <v>35</v>
      </c>
      <c r="D203" s="31" t="s">
        <v>155</v>
      </c>
      <c r="E203" s="31" t="str">
        <f t="shared" si="3"/>
        <v>1235EN03PT</v>
      </c>
      <c r="F203" s="31">
        <f>VLOOKUP(B203,[1]Course!$A$2:$R$329,2,FALSE)</f>
        <v>0</v>
      </c>
      <c r="G203" s="31">
        <f>VLOOKUP(B203, [1]Course!$A$2:$L$950, 8, FALSE)</f>
        <v>12</v>
      </c>
      <c r="H203" s="31">
        <v>3</v>
      </c>
      <c r="I203" s="31">
        <v>1</v>
      </c>
      <c r="K203" s="31" t="s">
        <v>1548</v>
      </c>
      <c r="L203" s="31" t="str">
        <f>VLOOKUP(B203, [1]Course!$A$1:$O$933, 14, FALSE)</f>
        <v>EN</v>
      </c>
      <c r="M203" s="31">
        <v>1</v>
      </c>
    </row>
    <row r="204" spans="1:13" ht="15.75" hidden="1" customHeight="1" x14ac:dyDescent="0.2">
      <c r="A204" s="31">
        <v>203</v>
      </c>
      <c r="B204" s="31">
        <v>17</v>
      </c>
      <c r="C204" s="31">
        <v>36</v>
      </c>
      <c r="D204" s="31" t="s">
        <v>155</v>
      </c>
      <c r="E204" s="31" t="str">
        <f t="shared" si="3"/>
        <v>1236EN03PT</v>
      </c>
      <c r="F204" s="31">
        <f>VLOOKUP(B204,[1]Course!$A$2:$R$329,2,FALSE)</f>
        <v>0</v>
      </c>
      <c r="G204" s="31">
        <f>VLOOKUP(B204, [1]Course!$A$2:$L$950, 8, FALSE)</f>
        <v>12</v>
      </c>
      <c r="H204" s="31">
        <v>3</v>
      </c>
      <c r="I204" s="31">
        <v>1</v>
      </c>
      <c r="K204" s="31" t="s">
        <v>1548</v>
      </c>
      <c r="L204" s="31" t="str">
        <f>VLOOKUP(B204, [1]Course!$A$1:$O$933, 14, FALSE)</f>
        <v>EN</v>
      </c>
      <c r="M204" s="31">
        <v>1</v>
      </c>
    </row>
    <row r="205" spans="1:13" ht="15.75" hidden="1" customHeight="1" x14ac:dyDescent="0.2">
      <c r="A205" s="31">
        <v>204</v>
      </c>
      <c r="B205" s="31">
        <v>18</v>
      </c>
      <c r="C205" s="31">
        <v>25</v>
      </c>
      <c r="D205" s="31" t="s">
        <v>284</v>
      </c>
      <c r="E205" s="31" t="str">
        <f t="shared" si="3"/>
        <v>1225WB03PT</v>
      </c>
      <c r="F205" s="31">
        <f>VLOOKUP(B205,[1]Course!$A$2:$R$329,2,FALSE)</f>
        <v>0</v>
      </c>
      <c r="G205" s="31">
        <f>VLOOKUP(B205, [1]Course!$A$2:$L$950, 8, FALSE)</f>
        <v>12</v>
      </c>
      <c r="H205" s="31">
        <v>3</v>
      </c>
      <c r="I205" s="31">
        <v>1</v>
      </c>
      <c r="K205" s="31" t="s">
        <v>1548</v>
      </c>
      <c r="L205" s="31" t="str">
        <f>VLOOKUP(B205, [1]Course!$A$1:$O$933, 14, FALSE)</f>
        <v>WB</v>
      </c>
      <c r="M205" s="31">
        <v>1</v>
      </c>
    </row>
    <row r="206" spans="1:13" ht="15.75" hidden="1" customHeight="1" x14ac:dyDescent="0.2">
      <c r="A206" s="31">
        <v>205</v>
      </c>
      <c r="B206" s="31">
        <v>18</v>
      </c>
      <c r="C206" s="31">
        <v>26</v>
      </c>
      <c r="D206" s="31" t="s">
        <v>284</v>
      </c>
      <c r="E206" s="31" t="str">
        <f t="shared" si="3"/>
        <v>1226WB03PT</v>
      </c>
      <c r="F206" s="31">
        <f>VLOOKUP(B206,[1]Course!$A$2:$R$329,2,FALSE)</f>
        <v>0</v>
      </c>
      <c r="G206" s="31">
        <f>VLOOKUP(B206, [1]Course!$A$2:$L$950, 8, FALSE)</f>
        <v>12</v>
      </c>
      <c r="H206" s="31">
        <v>3</v>
      </c>
      <c r="I206" s="31">
        <v>1</v>
      </c>
      <c r="K206" s="31" t="s">
        <v>1548</v>
      </c>
      <c r="L206" s="31" t="str">
        <f>VLOOKUP(B206, [1]Course!$A$1:$O$933, 14, FALSE)</f>
        <v>WB</v>
      </c>
      <c r="M206" s="31">
        <v>1</v>
      </c>
    </row>
    <row r="207" spans="1:13" ht="15.75" hidden="1" customHeight="1" x14ac:dyDescent="0.2">
      <c r="A207" s="31">
        <v>206</v>
      </c>
      <c r="B207" s="31">
        <v>18</v>
      </c>
      <c r="C207" s="31">
        <v>27</v>
      </c>
      <c r="D207" s="31" t="s">
        <v>284</v>
      </c>
      <c r="E207" s="31" t="str">
        <f t="shared" si="3"/>
        <v>1227WB03PT</v>
      </c>
      <c r="F207" s="31">
        <f>VLOOKUP(B207,[1]Course!$A$2:$R$329,2,FALSE)</f>
        <v>0</v>
      </c>
      <c r="G207" s="31">
        <f>VLOOKUP(B207, [1]Course!$A$2:$L$950, 8, FALSE)</f>
        <v>12</v>
      </c>
      <c r="H207" s="31">
        <v>3</v>
      </c>
      <c r="I207" s="31">
        <v>1</v>
      </c>
      <c r="K207" s="31" t="s">
        <v>1548</v>
      </c>
      <c r="L207" s="31" t="str">
        <f>VLOOKUP(B207, [1]Course!$A$1:$O$933, 14, FALSE)</f>
        <v>WB</v>
      </c>
      <c r="M207" s="31">
        <v>1</v>
      </c>
    </row>
    <row r="208" spans="1:13" ht="15.75" hidden="1" customHeight="1" x14ac:dyDescent="0.2">
      <c r="A208" s="31">
        <v>207</v>
      </c>
      <c r="B208" s="31">
        <v>18</v>
      </c>
      <c r="C208" s="31">
        <v>28</v>
      </c>
      <c r="D208" s="31" t="s">
        <v>284</v>
      </c>
      <c r="E208" s="31" t="str">
        <f t="shared" si="3"/>
        <v>1228WB03PT</v>
      </c>
      <c r="F208" s="31">
        <f>VLOOKUP(B208,[1]Course!$A$2:$R$329,2,FALSE)</f>
        <v>0</v>
      </c>
      <c r="G208" s="31">
        <f>VLOOKUP(B208, [1]Course!$A$2:$L$950, 8, FALSE)</f>
        <v>12</v>
      </c>
      <c r="H208" s="31">
        <v>3</v>
      </c>
      <c r="I208" s="31">
        <v>1</v>
      </c>
      <c r="K208" s="31" t="s">
        <v>1548</v>
      </c>
      <c r="L208" s="31" t="str">
        <f>VLOOKUP(B208, [1]Course!$A$1:$O$933, 14, FALSE)</f>
        <v>WB</v>
      </c>
      <c r="M208" s="31">
        <v>1</v>
      </c>
    </row>
    <row r="209" spans="1:13" ht="15.75" hidden="1" customHeight="1" x14ac:dyDescent="0.2">
      <c r="A209" s="31">
        <v>208</v>
      </c>
      <c r="B209" s="31">
        <v>18</v>
      </c>
      <c r="C209" s="31">
        <v>29</v>
      </c>
      <c r="D209" s="31" t="s">
        <v>284</v>
      </c>
      <c r="E209" s="31" t="str">
        <f t="shared" si="3"/>
        <v>1229WB03PT</v>
      </c>
      <c r="F209" s="31">
        <f>VLOOKUP(B209,[1]Course!$A$2:$R$329,2,FALSE)</f>
        <v>0</v>
      </c>
      <c r="G209" s="31">
        <f>VLOOKUP(B209, [1]Course!$A$2:$L$950, 8, FALSE)</f>
        <v>12</v>
      </c>
      <c r="H209" s="31">
        <v>3</v>
      </c>
      <c r="I209" s="31">
        <v>1</v>
      </c>
      <c r="K209" s="31" t="s">
        <v>1548</v>
      </c>
      <c r="L209" s="31" t="str">
        <f>VLOOKUP(B209, [1]Course!$A$1:$O$933, 14, FALSE)</f>
        <v>WB</v>
      </c>
      <c r="M209" s="31">
        <v>1</v>
      </c>
    </row>
    <row r="210" spans="1:13" ht="15.75" hidden="1" customHeight="1" x14ac:dyDescent="0.2">
      <c r="A210" s="31">
        <v>209</v>
      </c>
      <c r="B210" s="31">
        <v>18</v>
      </c>
      <c r="C210" s="31">
        <v>30</v>
      </c>
      <c r="D210" s="31" t="s">
        <v>284</v>
      </c>
      <c r="E210" s="31" t="str">
        <f t="shared" si="3"/>
        <v>1230WB03PT</v>
      </c>
      <c r="F210" s="31">
        <f>VLOOKUP(B210,[1]Course!$A$2:$R$329,2,FALSE)</f>
        <v>0</v>
      </c>
      <c r="G210" s="31">
        <f>VLOOKUP(B210, [1]Course!$A$2:$L$950, 8, FALSE)</f>
        <v>12</v>
      </c>
      <c r="H210" s="31">
        <v>3</v>
      </c>
      <c r="I210" s="31">
        <v>1</v>
      </c>
      <c r="K210" s="31" t="s">
        <v>1548</v>
      </c>
      <c r="L210" s="31" t="str">
        <f>VLOOKUP(B210, [1]Course!$A$1:$O$933, 14, FALSE)</f>
        <v>WB</v>
      </c>
      <c r="M210" s="31">
        <v>1</v>
      </c>
    </row>
    <row r="211" spans="1:13" ht="15.75" hidden="1" customHeight="1" x14ac:dyDescent="0.2">
      <c r="A211" s="31">
        <v>210</v>
      </c>
      <c r="B211" s="31">
        <v>18</v>
      </c>
      <c r="C211" s="31">
        <v>31</v>
      </c>
      <c r="D211" s="31" t="s">
        <v>284</v>
      </c>
      <c r="E211" s="31" t="str">
        <f t="shared" si="3"/>
        <v>1231WB03PT</v>
      </c>
      <c r="F211" s="31">
        <f>VLOOKUP(B211,[1]Course!$A$2:$R$329,2,FALSE)</f>
        <v>0</v>
      </c>
      <c r="G211" s="31">
        <f>VLOOKUP(B211, [1]Course!$A$2:$L$950, 8, FALSE)</f>
        <v>12</v>
      </c>
      <c r="H211" s="31">
        <v>3</v>
      </c>
      <c r="I211" s="31">
        <v>1</v>
      </c>
      <c r="K211" s="31" t="s">
        <v>1548</v>
      </c>
      <c r="L211" s="31" t="str">
        <f>VLOOKUP(B211, [1]Course!$A$1:$O$933, 14, FALSE)</f>
        <v>WB</v>
      </c>
      <c r="M211" s="31">
        <v>1</v>
      </c>
    </row>
    <row r="212" spans="1:13" ht="15.75" hidden="1" customHeight="1" x14ac:dyDescent="0.2">
      <c r="A212" s="31">
        <v>211</v>
      </c>
      <c r="B212" s="31">
        <v>18</v>
      </c>
      <c r="C212" s="31">
        <v>32</v>
      </c>
      <c r="D212" s="31" t="s">
        <v>284</v>
      </c>
      <c r="E212" s="31" t="str">
        <f t="shared" si="3"/>
        <v>1232WB03PT</v>
      </c>
      <c r="F212" s="31">
        <f>VLOOKUP(B212,[1]Course!$A$2:$R$329,2,FALSE)</f>
        <v>0</v>
      </c>
      <c r="G212" s="31">
        <f>VLOOKUP(B212, [1]Course!$A$2:$L$950, 8, FALSE)</f>
        <v>12</v>
      </c>
      <c r="H212" s="31">
        <v>3</v>
      </c>
      <c r="I212" s="31">
        <v>1</v>
      </c>
      <c r="K212" s="31" t="s">
        <v>1548</v>
      </c>
      <c r="L212" s="31" t="str">
        <f>VLOOKUP(B212, [1]Course!$A$1:$O$933, 14, FALSE)</f>
        <v>WB</v>
      </c>
      <c r="M212" s="31">
        <v>1</v>
      </c>
    </row>
    <row r="213" spans="1:13" ht="15.75" hidden="1" customHeight="1" x14ac:dyDescent="0.2">
      <c r="A213" s="31">
        <v>212</v>
      </c>
      <c r="B213" s="31">
        <v>18</v>
      </c>
      <c r="C213" s="31">
        <v>33</v>
      </c>
      <c r="D213" s="31" t="s">
        <v>284</v>
      </c>
      <c r="E213" s="31" t="str">
        <f t="shared" si="3"/>
        <v>1233WB03PT</v>
      </c>
      <c r="F213" s="31">
        <f>VLOOKUP(B213,[1]Course!$A$2:$R$329,2,FALSE)</f>
        <v>0</v>
      </c>
      <c r="G213" s="31">
        <f>VLOOKUP(B213, [1]Course!$A$2:$L$950, 8, FALSE)</f>
        <v>12</v>
      </c>
      <c r="H213" s="31">
        <v>3</v>
      </c>
      <c r="I213" s="31">
        <v>1</v>
      </c>
      <c r="K213" s="31" t="s">
        <v>1548</v>
      </c>
      <c r="L213" s="31" t="str">
        <f>VLOOKUP(B213, [1]Course!$A$1:$O$933, 14, FALSE)</f>
        <v>WB</v>
      </c>
      <c r="M213" s="31">
        <v>1</v>
      </c>
    </row>
    <row r="214" spans="1:13" ht="15.75" hidden="1" customHeight="1" x14ac:dyDescent="0.2">
      <c r="A214" s="31">
        <v>213</v>
      </c>
      <c r="B214" s="31">
        <v>18</v>
      </c>
      <c r="C214" s="31">
        <v>34</v>
      </c>
      <c r="D214" s="31" t="s">
        <v>284</v>
      </c>
      <c r="E214" s="31" t="str">
        <f t="shared" si="3"/>
        <v>1234WB03PT</v>
      </c>
      <c r="F214" s="31">
        <f>VLOOKUP(B214,[1]Course!$A$2:$R$329,2,FALSE)</f>
        <v>0</v>
      </c>
      <c r="G214" s="31">
        <f>VLOOKUP(B214, [1]Course!$A$2:$L$950, 8, FALSE)</f>
        <v>12</v>
      </c>
      <c r="H214" s="31">
        <v>3</v>
      </c>
      <c r="I214" s="31">
        <v>1</v>
      </c>
      <c r="K214" s="31" t="s">
        <v>1548</v>
      </c>
      <c r="L214" s="31" t="str">
        <f>VLOOKUP(B214, [1]Course!$A$1:$O$933, 14, FALSE)</f>
        <v>WB</v>
      </c>
      <c r="M214" s="31">
        <v>1</v>
      </c>
    </row>
    <row r="215" spans="1:13" ht="15.75" hidden="1" customHeight="1" x14ac:dyDescent="0.2">
      <c r="A215" s="31">
        <v>214</v>
      </c>
      <c r="B215" s="31">
        <v>18</v>
      </c>
      <c r="C215" s="31">
        <v>35</v>
      </c>
      <c r="D215" s="31" t="s">
        <v>284</v>
      </c>
      <c r="E215" s="31" t="str">
        <f t="shared" si="3"/>
        <v>1235WB03PT</v>
      </c>
      <c r="F215" s="31">
        <f>VLOOKUP(B215,[1]Course!$A$2:$R$329,2,FALSE)</f>
        <v>0</v>
      </c>
      <c r="G215" s="31">
        <f>VLOOKUP(B215, [1]Course!$A$2:$L$950, 8, FALSE)</f>
        <v>12</v>
      </c>
      <c r="H215" s="31">
        <v>3</v>
      </c>
      <c r="I215" s="31">
        <v>1</v>
      </c>
      <c r="K215" s="31" t="s">
        <v>1548</v>
      </c>
      <c r="L215" s="31" t="str">
        <f>VLOOKUP(B215, [1]Course!$A$1:$O$933, 14, FALSE)</f>
        <v>WB</v>
      </c>
      <c r="M215" s="31">
        <v>1</v>
      </c>
    </row>
    <row r="216" spans="1:13" ht="15.75" hidden="1" customHeight="1" x14ac:dyDescent="0.2">
      <c r="A216" s="31">
        <v>215</v>
      </c>
      <c r="B216" s="31">
        <v>18</v>
      </c>
      <c r="C216" s="31">
        <v>36</v>
      </c>
      <c r="D216" s="31" t="s">
        <v>284</v>
      </c>
      <c r="E216" s="31" t="str">
        <f t="shared" si="3"/>
        <v>1236WB03PT</v>
      </c>
      <c r="F216" s="31">
        <f>VLOOKUP(B216,[1]Course!$A$2:$R$329,2,FALSE)</f>
        <v>0</v>
      </c>
      <c r="G216" s="31">
        <f>VLOOKUP(B216, [1]Course!$A$2:$L$950, 8, FALSE)</f>
        <v>12</v>
      </c>
      <c r="H216" s="31">
        <v>3</v>
      </c>
      <c r="I216" s="31">
        <v>1</v>
      </c>
      <c r="K216" s="31" t="s">
        <v>1548</v>
      </c>
      <c r="L216" s="31" t="str">
        <f>VLOOKUP(B216, [1]Course!$A$1:$O$933, 14, FALSE)</f>
        <v>WB</v>
      </c>
      <c r="M216" s="31">
        <v>1</v>
      </c>
    </row>
    <row r="217" spans="1:13" ht="15.75" hidden="1" customHeight="1" x14ac:dyDescent="0.2">
      <c r="A217" s="31">
        <v>216</v>
      </c>
      <c r="B217" s="31">
        <v>19</v>
      </c>
      <c r="C217" s="31">
        <v>25</v>
      </c>
      <c r="D217" s="31" t="s">
        <v>85</v>
      </c>
      <c r="E217" s="31" t="str">
        <f t="shared" si="3"/>
        <v>1225LC03PT</v>
      </c>
      <c r="F217" s="31">
        <f>VLOOKUP(B217,[1]Course!$A$2:$R$329,2,FALSE)</f>
        <v>0</v>
      </c>
      <c r="G217" s="31">
        <f>VLOOKUP(B217, [1]Course!$A$2:$L$950, 8, FALSE)</f>
        <v>12</v>
      </c>
      <c r="H217" s="31">
        <v>3</v>
      </c>
      <c r="I217" s="31">
        <v>1</v>
      </c>
      <c r="K217" s="31" t="s">
        <v>1548</v>
      </c>
      <c r="L217" s="31" t="str">
        <f>VLOOKUP(B217, [1]Course!$A$1:$O$933, 14, FALSE)</f>
        <v>LC</v>
      </c>
      <c r="M217" s="31">
        <v>1</v>
      </c>
    </row>
    <row r="218" spans="1:13" ht="15.75" hidden="1" customHeight="1" x14ac:dyDescent="0.2">
      <c r="A218" s="31">
        <v>217</v>
      </c>
      <c r="B218" s="31">
        <v>19</v>
      </c>
      <c r="C218" s="31">
        <v>26</v>
      </c>
      <c r="D218" s="31" t="s">
        <v>85</v>
      </c>
      <c r="E218" s="31" t="str">
        <f t="shared" si="3"/>
        <v>1226LC03PT</v>
      </c>
      <c r="F218" s="31">
        <f>VLOOKUP(B218,[1]Course!$A$2:$R$329,2,FALSE)</f>
        <v>0</v>
      </c>
      <c r="G218" s="31">
        <f>VLOOKUP(B218, [1]Course!$A$2:$L$950, 8, FALSE)</f>
        <v>12</v>
      </c>
      <c r="H218" s="31">
        <v>3</v>
      </c>
      <c r="I218" s="31">
        <v>1</v>
      </c>
      <c r="K218" s="31" t="s">
        <v>1548</v>
      </c>
      <c r="L218" s="31" t="str">
        <f>VLOOKUP(B218, [1]Course!$A$1:$O$933, 14, FALSE)</f>
        <v>LC</v>
      </c>
      <c r="M218" s="31">
        <v>1</v>
      </c>
    </row>
    <row r="219" spans="1:13" ht="15.75" hidden="1" customHeight="1" x14ac:dyDescent="0.2">
      <c r="A219" s="31">
        <v>218</v>
      </c>
      <c r="B219" s="31">
        <v>19</v>
      </c>
      <c r="C219" s="31">
        <v>27</v>
      </c>
      <c r="D219" s="31" t="s">
        <v>85</v>
      </c>
      <c r="E219" s="31" t="str">
        <f t="shared" si="3"/>
        <v>1227LC03PT</v>
      </c>
      <c r="F219" s="31">
        <f>VLOOKUP(B219,[1]Course!$A$2:$R$329,2,FALSE)</f>
        <v>0</v>
      </c>
      <c r="G219" s="31">
        <f>VLOOKUP(B219, [1]Course!$A$2:$L$950, 8, FALSE)</f>
        <v>12</v>
      </c>
      <c r="H219" s="31">
        <v>3</v>
      </c>
      <c r="I219" s="31">
        <v>1</v>
      </c>
      <c r="K219" s="31" t="s">
        <v>1548</v>
      </c>
      <c r="L219" s="31" t="str">
        <f>VLOOKUP(B219, [1]Course!$A$1:$O$933, 14, FALSE)</f>
        <v>LC</v>
      </c>
      <c r="M219" s="31">
        <v>1</v>
      </c>
    </row>
    <row r="220" spans="1:13" ht="15.75" hidden="1" customHeight="1" x14ac:dyDescent="0.2">
      <c r="A220" s="31">
        <v>219</v>
      </c>
      <c r="B220" s="31">
        <v>19</v>
      </c>
      <c r="C220" s="31">
        <v>28</v>
      </c>
      <c r="D220" s="31" t="s">
        <v>85</v>
      </c>
      <c r="E220" s="31" t="str">
        <f t="shared" si="3"/>
        <v>1228LC03PT</v>
      </c>
      <c r="F220" s="31">
        <f>VLOOKUP(B220,[1]Course!$A$2:$R$329,2,FALSE)</f>
        <v>0</v>
      </c>
      <c r="G220" s="31">
        <f>VLOOKUP(B220, [1]Course!$A$2:$L$950, 8, FALSE)</f>
        <v>12</v>
      </c>
      <c r="H220" s="31">
        <v>3</v>
      </c>
      <c r="I220" s="31">
        <v>1</v>
      </c>
      <c r="K220" s="31" t="s">
        <v>1548</v>
      </c>
      <c r="L220" s="31" t="str">
        <f>VLOOKUP(B220, [1]Course!$A$1:$O$933, 14, FALSE)</f>
        <v>LC</v>
      </c>
      <c r="M220" s="31">
        <v>1</v>
      </c>
    </row>
    <row r="221" spans="1:13" ht="15.75" hidden="1" customHeight="1" x14ac:dyDescent="0.2">
      <c r="A221" s="31">
        <v>220</v>
      </c>
      <c r="B221" s="31">
        <v>19</v>
      </c>
      <c r="C221" s="31">
        <v>29</v>
      </c>
      <c r="D221" s="31" t="s">
        <v>85</v>
      </c>
      <c r="E221" s="31" t="str">
        <f t="shared" si="3"/>
        <v>1229LC03PT</v>
      </c>
      <c r="F221" s="31">
        <f>VLOOKUP(B221,[1]Course!$A$2:$R$329,2,FALSE)</f>
        <v>0</v>
      </c>
      <c r="G221" s="31">
        <f>VLOOKUP(B221, [1]Course!$A$2:$L$950, 8, FALSE)</f>
        <v>12</v>
      </c>
      <c r="H221" s="31">
        <v>3</v>
      </c>
      <c r="I221" s="31">
        <v>1</v>
      </c>
      <c r="K221" s="31" t="s">
        <v>1548</v>
      </c>
      <c r="L221" s="31" t="str">
        <f>VLOOKUP(B221, [1]Course!$A$1:$O$933, 14, FALSE)</f>
        <v>LC</v>
      </c>
      <c r="M221" s="31">
        <v>1</v>
      </c>
    </row>
    <row r="222" spans="1:13" ht="15.75" hidden="1" customHeight="1" x14ac:dyDescent="0.2">
      <c r="A222" s="31">
        <v>221</v>
      </c>
      <c r="B222" s="31">
        <v>19</v>
      </c>
      <c r="C222" s="31">
        <v>30</v>
      </c>
      <c r="D222" s="31" t="s">
        <v>85</v>
      </c>
      <c r="E222" s="31" t="str">
        <f t="shared" si="3"/>
        <v>1230LC03PT</v>
      </c>
      <c r="F222" s="31">
        <f>VLOOKUP(B222,[1]Course!$A$2:$R$329,2,FALSE)</f>
        <v>0</v>
      </c>
      <c r="G222" s="31">
        <f>VLOOKUP(B222, [1]Course!$A$2:$L$950, 8, FALSE)</f>
        <v>12</v>
      </c>
      <c r="H222" s="31">
        <v>3</v>
      </c>
      <c r="I222" s="31">
        <v>1</v>
      </c>
      <c r="K222" s="31" t="s">
        <v>1548</v>
      </c>
      <c r="L222" s="31" t="str">
        <f>VLOOKUP(B222, [1]Course!$A$1:$O$933, 14, FALSE)</f>
        <v>LC</v>
      </c>
      <c r="M222" s="31">
        <v>1</v>
      </c>
    </row>
    <row r="223" spans="1:13" ht="15.75" hidden="1" customHeight="1" x14ac:dyDescent="0.2">
      <c r="A223" s="31">
        <v>222</v>
      </c>
      <c r="B223" s="31">
        <v>19</v>
      </c>
      <c r="C223" s="31">
        <v>31</v>
      </c>
      <c r="D223" s="31" t="s">
        <v>85</v>
      </c>
      <c r="E223" s="31" t="str">
        <f t="shared" si="3"/>
        <v>1231LC03PT</v>
      </c>
      <c r="F223" s="31">
        <f>VLOOKUP(B223,[1]Course!$A$2:$R$329,2,FALSE)</f>
        <v>0</v>
      </c>
      <c r="G223" s="31">
        <f>VLOOKUP(B223, [1]Course!$A$2:$L$950, 8, FALSE)</f>
        <v>12</v>
      </c>
      <c r="H223" s="31">
        <v>3</v>
      </c>
      <c r="I223" s="31">
        <v>1</v>
      </c>
      <c r="K223" s="31" t="s">
        <v>1548</v>
      </c>
      <c r="L223" s="31" t="str">
        <f>VLOOKUP(B223, [1]Course!$A$1:$O$933, 14, FALSE)</f>
        <v>LC</v>
      </c>
      <c r="M223" s="31">
        <v>1</v>
      </c>
    </row>
    <row r="224" spans="1:13" ht="15.75" hidden="1" customHeight="1" x14ac:dyDescent="0.2">
      <c r="A224" s="31">
        <v>223</v>
      </c>
      <c r="B224" s="31">
        <v>19</v>
      </c>
      <c r="C224" s="31">
        <v>32</v>
      </c>
      <c r="D224" s="31" t="s">
        <v>85</v>
      </c>
      <c r="E224" s="31" t="str">
        <f t="shared" si="3"/>
        <v>1232LC03PT</v>
      </c>
      <c r="F224" s="31">
        <f>VLOOKUP(B224,[1]Course!$A$2:$R$329,2,FALSE)</f>
        <v>0</v>
      </c>
      <c r="G224" s="31">
        <f>VLOOKUP(B224, [1]Course!$A$2:$L$950, 8, FALSE)</f>
        <v>12</v>
      </c>
      <c r="H224" s="31">
        <v>3</v>
      </c>
      <c r="I224" s="31">
        <v>2</v>
      </c>
      <c r="K224" s="31" t="s">
        <v>1548</v>
      </c>
      <c r="L224" s="31" t="str">
        <f>VLOOKUP(B224, [1]Course!$A$1:$O$933, 14, FALSE)</f>
        <v>LC</v>
      </c>
      <c r="M224" s="31">
        <v>1</v>
      </c>
    </row>
    <row r="225" spans="1:13" ht="15.75" hidden="1" customHeight="1" x14ac:dyDescent="0.2">
      <c r="A225" s="31">
        <v>224</v>
      </c>
      <c r="B225" s="31">
        <v>19</v>
      </c>
      <c r="C225" s="31">
        <v>33</v>
      </c>
      <c r="D225" s="31" t="s">
        <v>85</v>
      </c>
      <c r="E225" s="31" t="str">
        <f t="shared" si="3"/>
        <v>1233LC03PT</v>
      </c>
      <c r="F225" s="31">
        <f>VLOOKUP(B225,[1]Course!$A$2:$R$329,2,FALSE)</f>
        <v>0</v>
      </c>
      <c r="G225" s="31">
        <f>VLOOKUP(B225, [1]Course!$A$2:$L$950, 8, FALSE)</f>
        <v>12</v>
      </c>
      <c r="H225" s="31">
        <v>3</v>
      </c>
      <c r="I225" s="31">
        <v>1</v>
      </c>
      <c r="K225" s="31" t="s">
        <v>1548</v>
      </c>
      <c r="L225" s="31" t="str">
        <f>VLOOKUP(B225, [1]Course!$A$1:$O$933, 14, FALSE)</f>
        <v>LC</v>
      </c>
      <c r="M225" s="31">
        <v>1</v>
      </c>
    </row>
    <row r="226" spans="1:13" ht="15.75" hidden="1" customHeight="1" x14ac:dyDescent="0.2">
      <c r="A226" s="31">
        <v>225</v>
      </c>
      <c r="B226" s="31">
        <v>19</v>
      </c>
      <c r="C226" s="31">
        <v>34</v>
      </c>
      <c r="D226" s="31" t="s">
        <v>85</v>
      </c>
      <c r="E226" s="31" t="str">
        <f t="shared" si="3"/>
        <v>1234LC03PT</v>
      </c>
      <c r="F226" s="31">
        <f>VLOOKUP(B226,[1]Course!$A$2:$R$329,2,FALSE)</f>
        <v>0</v>
      </c>
      <c r="G226" s="31">
        <f>VLOOKUP(B226, [1]Course!$A$2:$L$950, 8, FALSE)</f>
        <v>12</v>
      </c>
      <c r="H226" s="31">
        <v>3</v>
      </c>
      <c r="I226" s="31">
        <v>1</v>
      </c>
      <c r="K226" s="31" t="s">
        <v>1548</v>
      </c>
      <c r="L226" s="31" t="str">
        <f>VLOOKUP(B226, [1]Course!$A$1:$O$933, 14, FALSE)</f>
        <v>LC</v>
      </c>
      <c r="M226" s="31">
        <v>1</v>
      </c>
    </row>
    <row r="227" spans="1:13" ht="15.75" hidden="1" customHeight="1" x14ac:dyDescent="0.2">
      <c r="A227" s="31">
        <v>226</v>
      </c>
      <c r="B227" s="31">
        <v>19</v>
      </c>
      <c r="C227" s="31">
        <v>35</v>
      </c>
      <c r="D227" s="31" t="s">
        <v>85</v>
      </c>
      <c r="E227" s="31" t="str">
        <f t="shared" si="3"/>
        <v>1235LC03PT</v>
      </c>
      <c r="F227" s="31">
        <f>VLOOKUP(B227,[1]Course!$A$2:$R$329,2,FALSE)</f>
        <v>0</v>
      </c>
      <c r="G227" s="31">
        <f>VLOOKUP(B227, [1]Course!$A$2:$L$950, 8, FALSE)</f>
        <v>12</v>
      </c>
      <c r="H227" s="31">
        <v>3</v>
      </c>
      <c r="I227" s="31">
        <v>1</v>
      </c>
      <c r="K227" s="31" t="s">
        <v>1548</v>
      </c>
      <c r="L227" s="31" t="str">
        <f>VLOOKUP(B227, [1]Course!$A$1:$O$933, 14, FALSE)</f>
        <v>LC</v>
      </c>
      <c r="M227" s="31">
        <v>1</v>
      </c>
    </row>
    <row r="228" spans="1:13" ht="15.75" hidden="1" customHeight="1" x14ac:dyDescent="0.2">
      <c r="A228" s="31">
        <v>227</v>
      </c>
      <c r="B228" s="31">
        <v>19</v>
      </c>
      <c r="C228" s="31">
        <v>36</v>
      </c>
      <c r="D228" s="31" t="s">
        <v>85</v>
      </c>
      <c r="E228" s="31" t="str">
        <f t="shared" si="3"/>
        <v>1236LC03PT</v>
      </c>
      <c r="F228" s="31">
        <f>VLOOKUP(B228,[1]Course!$A$2:$R$329,2,FALSE)</f>
        <v>0</v>
      </c>
      <c r="G228" s="31">
        <f>VLOOKUP(B228, [1]Course!$A$2:$L$950, 8, FALSE)</f>
        <v>12</v>
      </c>
      <c r="H228" s="31">
        <v>3</v>
      </c>
      <c r="I228" s="31">
        <v>1</v>
      </c>
      <c r="K228" s="31" t="s">
        <v>1548</v>
      </c>
      <c r="L228" s="31" t="str">
        <f>VLOOKUP(B228, [1]Course!$A$1:$O$933, 14, FALSE)</f>
        <v>LC</v>
      </c>
      <c r="M228" s="31">
        <v>1</v>
      </c>
    </row>
    <row r="229" spans="1:13" ht="15.75" hidden="1" customHeight="1" x14ac:dyDescent="0.2">
      <c r="A229" s="31">
        <v>228</v>
      </c>
      <c r="B229" s="31">
        <v>20</v>
      </c>
      <c r="C229" s="31">
        <v>25</v>
      </c>
      <c r="D229" s="31" t="s">
        <v>50</v>
      </c>
      <c r="E229" s="31" t="str">
        <f t="shared" si="3"/>
        <v>1225SC03PT</v>
      </c>
      <c r="F229" s="31" t="str">
        <f>VLOOKUP(B229,[1]Course!$A$2:$R$329,2,FALSE)</f>
        <v>Science 3</v>
      </c>
      <c r="G229" s="31">
        <f>VLOOKUP(B229, [1]Course!$A$2:$L$950, 8, FALSE)</f>
        <v>12</v>
      </c>
      <c r="H229" s="31">
        <v>3</v>
      </c>
      <c r="I229" s="31">
        <v>1</v>
      </c>
      <c r="K229" s="31" t="s">
        <v>1548</v>
      </c>
      <c r="L229" s="31" t="str">
        <f>VLOOKUP(B229, [1]Course!$A$1:$O$933, 14, FALSE)</f>
        <v>SC</v>
      </c>
      <c r="M229" s="31">
        <v>1</v>
      </c>
    </row>
    <row r="230" spans="1:13" ht="15.75" hidden="1" customHeight="1" x14ac:dyDescent="0.2">
      <c r="A230" s="31">
        <v>229</v>
      </c>
      <c r="B230" s="31">
        <v>20</v>
      </c>
      <c r="C230" s="31">
        <v>26</v>
      </c>
      <c r="D230" s="31" t="s">
        <v>50</v>
      </c>
      <c r="E230" s="31" t="str">
        <f t="shared" si="3"/>
        <v>1226SC03PT</v>
      </c>
      <c r="F230" s="31" t="str">
        <f>VLOOKUP(B230,[1]Course!$A$2:$R$329,2,FALSE)</f>
        <v>Science 3</v>
      </c>
      <c r="G230" s="31">
        <f>VLOOKUP(B230, [1]Course!$A$2:$L$950, 8, FALSE)</f>
        <v>12</v>
      </c>
      <c r="H230" s="31">
        <v>3</v>
      </c>
      <c r="I230" s="31">
        <v>1</v>
      </c>
      <c r="K230" s="31" t="s">
        <v>1548</v>
      </c>
      <c r="L230" s="31" t="str">
        <f>VLOOKUP(B230, [1]Course!$A$1:$O$933, 14, FALSE)</f>
        <v>SC</v>
      </c>
      <c r="M230" s="31">
        <v>1</v>
      </c>
    </row>
    <row r="231" spans="1:13" ht="15.75" hidden="1" customHeight="1" x14ac:dyDescent="0.2">
      <c r="A231" s="31">
        <v>230</v>
      </c>
      <c r="B231" s="31">
        <v>20</v>
      </c>
      <c r="C231" s="31">
        <v>27</v>
      </c>
      <c r="D231" s="31" t="s">
        <v>50</v>
      </c>
      <c r="E231" s="31" t="str">
        <f t="shared" si="3"/>
        <v>1227SC03PT</v>
      </c>
      <c r="F231" s="31" t="str">
        <f>VLOOKUP(B231,[1]Course!$A$2:$R$329,2,FALSE)</f>
        <v>Science 3</v>
      </c>
      <c r="G231" s="31">
        <f>VLOOKUP(B231, [1]Course!$A$2:$L$950, 8, FALSE)</f>
        <v>12</v>
      </c>
      <c r="H231" s="31">
        <v>3</v>
      </c>
      <c r="I231" s="31">
        <v>1</v>
      </c>
      <c r="K231" s="31" t="s">
        <v>1548</v>
      </c>
      <c r="L231" s="31" t="str">
        <f>VLOOKUP(B231, [1]Course!$A$1:$O$933, 14, FALSE)</f>
        <v>SC</v>
      </c>
      <c r="M231" s="31">
        <v>1</v>
      </c>
    </row>
    <row r="232" spans="1:13" ht="15.75" hidden="1" customHeight="1" x14ac:dyDescent="0.2">
      <c r="A232" s="31">
        <v>231</v>
      </c>
      <c r="B232" s="31">
        <v>20</v>
      </c>
      <c r="C232" s="31">
        <v>28</v>
      </c>
      <c r="D232" s="31" t="s">
        <v>50</v>
      </c>
      <c r="E232" s="31" t="str">
        <f t="shared" si="3"/>
        <v>1228SC03PT</v>
      </c>
      <c r="F232" s="31" t="str">
        <f>VLOOKUP(B232,[1]Course!$A$2:$R$329,2,FALSE)</f>
        <v>Science 3</v>
      </c>
      <c r="G232" s="31">
        <f>VLOOKUP(B232, [1]Course!$A$2:$L$950, 8, FALSE)</f>
        <v>12</v>
      </c>
      <c r="H232" s="31">
        <v>3</v>
      </c>
      <c r="I232" s="31">
        <v>1</v>
      </c>
      <c r="K232" s="31" t="s">
        <v>1548</v>
      </c>
      <c r="L232" s="31" t="str">
        <f>VLOOKUP(B232, [1]Course!$A$1:$O$933, 14, FALSE)</f>
        <v>SC</v>
      </c>
      <c r="M232" s="31">
        <v>1</v>
      </c>
    </row>
    <row r="233" spans="1:13" ht="15.75" hidden="1" customHeight="1" x14ac:dyDescent="0.2">
      <c r="A233" s="31">
        <v>232</v>
      </c>
      <c r="B233" s="31">
        <v>20</v>
      </c>
      <c r="C233" s="31">
        <v>29</v>
      </c>
      <c r="D233" s="31" t="s">
        <v>50</v>
      </c>
      <c r="E233" s="31" t="str">
        <f t="shared" si="3"/>
        <v>1229SC03PT</v>
      </c>
      <c r="F233" s="31" t="str">
        <f>VLOOKUP(B233,[1]Course!$A$2:$R$329,2,FALSE)</f>
        <v>Science 3</v>
      </c>
      <c r="G233" s="31">
        <f>VLOOKUP(B233, [1]Course!$A$2:$L$950, 8, FALSE)</f>
        <v>12</v>
      </c>
      <c r="H233" s="31">
        <v>3</v>
      </c>
      <c r="I233" s="31">
        <v>1</v>
      </c>
      <c r="K233" s="31" t="s">
        <v>1548</v>
      </c>
      <c r="L233" s="31" t="str">
        <f>VLOOKUP(B233, [1]Course!$A$1:$O$933, 14, FALSE)</f>
        <v>SC</v>
      </c>
      <c r="M233" s="31">
        <v>1</v>
      </c>
    </row>
    <row r="234" spans="1:13" ht="15.75" hidden="1" customHeight="1" x14ac:dyDescent="0.2">
      <c r="A234" s="31">
        <v>233</v>
      </c>
      <c r="B234" s="31">
        <v>20</v>
      </c>
      <c r="C234" s="31">
        <v>30</v>
      </c>
      <c r="D234" s="31" t="s">
        <v>50</v>
      </c>
      <c r="E234" s="31" t="str">
        <f t="shared" si="3"/>
        <v>1230SC03PT</v>
      </c>
      <c r="F234" s="31" t="str">
        <f>VLOOKUP(B234,[1]Course!$A$2:$R$329,2,FALSE)</f>
        <v>Science 3</v>
      </c>
      <c r="G234" s="31">
        <f>VLOOKUP(B234, [1]Course!$A$2:$L$950, 8, FALSE)</f>
        <v>12</v>
      </c>
      <c r="H234" s="31">
        <v>3</v>
      </c>
      <c r="I234" s="31">
        <v>1</v>
      </c>
      <c r="K234" s="31" t="s">
        <v>1548</v>
      </c>
      <c r="L234" s="31" t="str">
        <f>VLOOKUP(B234, [1]Course!$A$1:$O$933, 14, FALSE)</f>
        <v>SC</v>
      </c>
      <c r="M234" s="31">
        <v>1</v>
      </c>
    </row>
    <row r="235" spans="1:13" ht="15.75" hidden="1" customHeight="1" x14ac:dyDescent="0.2">
      <c r="A235" s="31">
        <v>234</v>
      </c>
      <c r="B235" s="31">
        <v>20</v>
      </c>
      <c r="C235" s="31">
        <v>31</v>
      </c>
      <c r="D235" s="31" t="s">
        <v>50</v>
      </c>
      <c r="E235" s="31" t="str">
        <f t="shared" si="3"/>
        <v>1231SC03PT</v>
      </c>
      <c r="F235" s="31" t="str">
        <f>VLOOKUP(B235,[1]Course!$A$2:$R$329,2,FALSE)</f>
        <v>Science 3</v>
      </c>
      <c r="G235" s="31">
        <f>VLOOKUP(B235, [1]Course!$A$2:$L$950, 8, FALSE)</f>
        <v>12</v>
      </c>
      <c r="H235" s="31">
        <v>3</v>
      </c>
      <c r="I235" s="31">
        <v>1</v>
      </c>
      <c r="K235" s="31" t="s">
        <v>1548</v>
      </c>
      <c r="L235" s="31" t="str">
        <f>VLOOKUP(B235, [1]Course!$A$1:$O$933, 14, FALSE)</f>
        <v>SC</v>
      </c>
      <c r="M235" s="31">
        <v>1</v>
      </c>
    </row>
    <row r="236" spans="1:13" ht="15.75" hidden="1" customHeight="1" x14ac:dyDescent="0.2">
      <c r="A236" s="31">
        <v>235</v>
      </c>
      <c r="B236" s="31">
        <v>20</v>
      </c>
      <c r="C236" s="31">
        <v>32</v>
      </c>
      <c r="D236" s="31" t="s">
        <v>50</v>
      </c>
      <c r="E236" s="31" t="str">
        <f t="shared" si="3"/>
        <v>1232SC03PT</v>
      </c>
      <c r="F236" s="31" t="str">
        <f>VLOOKUP(B236,[1]Course!$A$2:$R$329,2,FALSE)</f>
        <v>Science 3</v>
      </c>
      <c r="G236" s="31">
        <f>VLOOKUP(B236, [1]Course!$A$2:$L$950, 8, FALSE)</f>
        <v>12</v>
      </c>
      <c r="H236" s="31">
        <v>3</v>
      </c>
      <c r="I236" s="31">
        <v>1</v>
      </c>
      <c r="K236" s="31" t="s">
        <v>1548</v>
      </c>
      <c r="L236" s="31" t="str">
        <f>VLOOKUP(B236, [1]Course!$A$1:$O$933, 14, FALSE)</f>
        <v>SC</v>
      </c>
      <c r="M236" s="31">
        <v>1</v>
      </c>
    </row>
    <row r="237" spans="1:13" ht="15.75" hidden="1" customHeight="1" x14ac:dyDescent="0.2">
      <c r="A237" s="31">
        <v>236</v>
      </c>
      <c r="B237" s="31">
        <v>20</v>
      </c>
      <c r="C237" s="31">
        <v>33</v>
      </c>
      <c r="D237" s="31" t="s">
        <v>50</v>
      </c>
      <c r="E237" s="31" t="str">
        <f t="shared" si="3"/>
        <v>1233SC03PT</v>
      </c>
      <c r="F237" s="31" t="str">
        <f>VLOOKUP(B237,[1]Course!$A$2:$R$329,2,FALSE)</f>
        <v>Science 3</v>
      </c>
      <c r="G237" s="31">
        <f>VLOOKUP(B237, [1]Course!$A$2:$L$950, 8, FALSE)</f>
        <v>12</v>
      </c>
      <c r="H237" s="31">
        <v>3</v>
      </c>
      <c r="I237" s="31">
        <v>1</v>
      </c>
      <c r="K237" s="31" t="s">
        <v>1548</v>
      </c>
      <c r="L237" s="31" t="str">
        <f>VLOOKUP(B237, [1]Course!$A$1:$O$933, 14, FALSE)</f>
        <v>SC</v>
      </c>
      <c r="M237" s="31">
        <v>1</v>
      </c>
    </row>
    <row r="238" spans="1:13" ht="15.75" hidden="1" customHeight="1" x14ac:dyDescent="0.2">
      <c r="A238" s="31">
        <v>237</v>
      </c>
      <c r="B238" s="31">
        <v>20</v>
      </c>
      <c r="C238" s="31">
        <v>34</v>
      </c>
      <c r="D238" s="31" t="s">
        <v>50</v>
      </c>
      <c r="E238" s="31" t="str">
        <f t="shared" si="3"/>
        <v>1234SC03PT</v>
      </c>
      <c r="F238" s="31" t="str">
        <f>VLOOKUP(B238,[1]Course!$A$2:$R$329,2,FALSE)</f>
        <v>Science 3</v>
      </c>
      <c r="G238" s="31">
        <f>VLOOKUP(B238, [1]Course!$A$2:$L$950, 8, FALSE)</f>
        <v>12</v>
      </c>
      <c r="H238" s="31">
        <v>3</v>
      </c>
      <c r="I238" s="31">
        <v>1</v>
      </c>
      <c r="K238" s="31" t="s">
        <v>1548</v>
      </c>
      <c r="L238" s="31" t="str">
        <f>VLOOKUP(B238, [1]Course!$A$1:$O$933, 14, FALSE)</f>
        <v>SC</v>
      </c>
      <c r="M238" s="31">
        <v>1</v>
      </c>
    </row>
    <row r="239" spans="1:13" ht="15.75" hidden="1" customHeight="1" x14ac:dyDescent="0.2">
      <c r="A239" s="31">
        <v>238</v>
      </c>
      <c r="B239" s="31">
        <v>20</v>
      </c>
      <c r="C239" s="31">
        <v>35</v>
      </c>
      <c r="D239" s="31" t="s">
        <v>50</v>
      </c>
      <c r="E239" s="31" t="str">
        <f t="shared" si="3"/>
        <v>1235SC03PT</v>
      </c>
      <c r="F239" s="31" t="str">
        <f>VLOOKUP(B239,[1]Course!$A$2:$R$329,2,FALSE)</f>
        <v>Science 3</v>
      </c>
      <c r="G239" s="31">
        <f>VLOOKUP(B239, [1]Course!$A$2:$L$950, 8, FALSE)</f>
        <v>12</v>
      </c>
      <c r="H239" s="31">
        <v>3</v>
      </c>
      <c r="I239" s="31">
        <v>1</v>
      </c>
      <c r="K239" s="31" t="s">
        <v>1548</v>
      </c>
      <c r="L239" s="31" t="str">
        <f>VLOOKUP(B239, [1]Course!$A$1:$O$933, 14, FALSE)</f>
        <v>SC</v>
      </c>
      <c r="M239" s="31">
        <v>1</v>
      </c>
    </row>
    <row r="240" spans="1:13" ht="15.75" hidden="1" customHeight="1" x14ac:dyDescent="0.2">
      <c r="A240" s="31">
        <v>239</v>
      </c>
      <c r="B240" s="31">
        <v>20</v>
      </c>
      <c r="C240" s="31">
        <v>36</v>
      </c>
      <c r="D240" s="31" t="s">
        <v>50</v>
      </c>
      <c r="E240" s="31" t="str">
        <f t="shared" si="3"/>
        <v>1236SC03PT</v>
      </c>
      <c r="F240" s="31" t="str">
        <f>VLOOKUP(B240,[1]Course!$A$2:$R$329,2,FALSE)</f>
        <v>Science 3</v>
      </c>
      <c r="G240" s="31">
        <f>VLOOKUP(B240, [1]Course!$A$2:$L$950, 8, FALSE)</f>
        <v>12</v>
      </c>
      <c r="H240" s="31">
        <v>3</v>
      </c>
      <c r="I240" s="31">
        <v>1</v>
      </c>
      <c r="K240" s="31" t="s">
        <v>1548</v>
      </c>
      <c r="L240" s="31" t="str">
        <f>VLOOKUP(B240, [1]Course!$A$1:$O$933, 14, FALSE)</f>
        <v>SC</v>
      </c>
      <c r="M240" s="31">
        <v>1</v>
      </c>
    </row>
    <row r="241" spans="1:13" ht="15.75" hidden="1" customHeight="1" x14ac:dyDescent="0.2">
      <c r="A241" s="31">
        <v>240</v>
      </c>
      <c r="B241" s="31">
        <v>21</v>
      </c>
      <c r="C241" s="31">
        <v>25</v>
      </c>
      <c r="D241" s="31" t="s">
        <v>295</v>
      </c>
      <c r="E241" s="31" t="str">
        <f t="shared" si="3"/>
        <v>1225SS03PT</v>
      </c>
      <c r="F241" s="31">
        <f>VLOOKUP(B241,[1]Course!$A$2:$R$329,2,FALSE)</f>
        <v>0</v>
      </c>
      <c r="G241" s="31">
        <f>VLOOKUP(B241, [1]Course!$A$2:$L$950, 8, FALSE)</f>
        <v>12</v>
      </c>
      <c r="H241" s="31">
        <v>3</v>
      </c>
      <c r="I241" s="31">
        <v>1</v>
      </c>
      <c r="K241" s="31" t="s">
        <v>1548</v>
      </c>
      <c r="L241" s="31" t="str">
        <f>VLOOKUP(B241, [1]Course!$A$1:$O$933, 14, FALSE)</f>
        <v>SS</v>
      </c>
      <c r="M241" s="31">
        <v>1</v>
      </c>
    </row>
    <row r="242" spans="1:13" ht="15.75" hidden="1" customHeight="1" x14ac:dyDescent="0.2">
      <c r="A242" s="31">
        <v>241</v>
      </c>
      <c r="B242" s="31">
        <v>21</v>
      </c>
      <c r="C242" s="31">
        <v>26</v>
      </c>
      <c r="D242" s="31" t="s">
        <v>295</v>
      </c>
      <c r="E242" s="31" t="str">
        <f t="shared" si="3"/>
        <v>1226SS03PT</v>
      </c>
      <c r="F242" s="31">
        <f>VLOOKUP(B242,[1]Course!$A$2:$R$329,2,FALSE)</f>
        <v>0</v>
      </c>
      <c r="G242" s="31">
        <f>VLOOKUP(B242, [1]Course!$A$2:$L$950, 8, FALSE)</f>
        <v>12</v>
      </c>
      <c r="H242" s="31">
        <v>3</v>
      </c>
      <c r="I242" s="31">
        <v>1</v>
      </c>
      <c r="K242" s="31" t="s">
        <v>1548</v>
      </c>
      <c r="L242" s="31" t="str">
        <f>VLOOKUP(B242, [1]Course!$A$1:$O$933, 14, FALSE)</f>
        <v>SS</v>
      </c>
      <c r="M242" s="31">
        <v>1</v>
      </c>
    </row>
    <row r="243" spans="1:13" ht="15.75" hidden="1" customHeight="1" x14ac:dyDescent="0.2">
      <c r="A243" s="31">
        <v>242</v>
      </c>
      <c r="B243" s="31">
        <v>21</v>
      </c>
      <c r="C243" s="31">
        <v>27</v>
      </c>
      <c r="D243" s="31" t="s">
        <v>295</v>
      </c>
      <c r="E243" s="31" t="str">
        <f t="shared" si="3"/>
        <v>1227SS03PT</v>
      </c>
      <c r="F243" s="31">
        <f>VLOOKUP(B243,[1]Course!$A$2:$R$329,2,FALSE)</f>
        <v>0</v>
      </c>
      <c r="G243" s="31">
        <f>VLOOKUP(B243, [1]Course!$A$2:$L$950, 8, FALSE)</f>
        <v>12</v>
      </c>
      <c r="H243" s="31">
        <v>3</v>
      </c>
      <c r="I243" s="31">
        <v>1</v>
      </c>
      <c r="K243" s="31" t="s">
        <v>1548</v>
      </c>
      <c r="L243" s="31" t="str">
        <f>VLOOKUP(B243, [1]Course!$A$1:$O$933, 14, FALSE)</f>
        <v>SS</v>
      </c>
      <c r="M243" s="31">
        <v>1</v>
      </c>
    </row>
    <row r="244" spans="1:13" ht="15.75" hidden="1" customHeight="1" x14ac:dyDescent="0.2">
      <c r="A244" s="31">
        <v>243</v>
      </c>
      <c r="B244" s="31">
        <v>21</v>
      </c>
      <c r="C244" s="31">
        <v>28</v>
      </c>
      <c r="D244" s="31" t="s">
        <v>295</v>
      </c>
      <c r="E244" s="31" t="str">
        <f t="shared" si="3"/>
        <v>1228SS03PT</v>
      </c>
      <c r="F244" s="31">
        <f>VLOOKUP(B244,[1]Course!$A$2:$R$329,2,FALSE)</f>
        <v>0</v>
      </c>
      <c r="G244" s="31">
        <f>VLOOKUP(B244, [1]Course!$A$2:$L$950, 8, FALSE)</f>
        <v>12</v>
      </c>
      <c r="H244" s="31">
        <v>3</v>
      </c>
      <c r="I244" s="31">
        <v>1</v>
      </c>
      <c r="K244" s="31" t="s">
        <v>1548</v>
      </c>
      <c r="L244" s="31" t="str">
        <f>VLOOKUP(B244, [1]Course!$A$1:$O$933, 14, FALSE)</f>
        <v>SS</v>
      </c>
      <c r="M244" s="31">
        <v>1</v>
      </c>
    </row>
    <row r="245" spans="1:13" ht="15.75" hidden="1" customHeight="1" x14ac:dyDescent="0.2">
      <c r="A245" s="31">
        <v>244</v>
      </c>
      <c r="B245" s="31">
        <v>21</v>
      </c>
      <c r="C245" s="31">
        <v>29</v>
      </c>
      <c r="D245" s="31" t="s">
        <v>295</v>
      </c>
      <c r="E245" s="31" t="str">
        <f t="shared" si="3"/>
        <v>1229SS03PT</v>
      </c>
      <c r="F245" s="31">
        <f>VLOOKUP(B245,[1]Course!$A$2:$R$329,2,FALSE)</f>
        <v>0</v>
      </c>
      <c r="G245" s="31">
        <f>VLOOKUP(B245, [1]Course!$A$2:$L$950, 8, FALSE)</f>
        <v>12</v>
      </c>
      <c r="H245" s="31">
        <v>3</v>
      </c>
      <c r="I245" s="31">
        <v>1</v>
      </c>
      <c r="K245" s="31" t="s">
        <v>1548</v>
      </c>
      <c r="L245" s="31" t="str">
        <f>VLOOKUP(B245, [1]Course!$A$1:$O$933, 14, FALSE)</f>
        <v>SS</v>
      </c>
      <c r="M245" s="31">
        <v>1</v>
      </c>
    </row>
    <row r="246" spans="1:13" ht="15.75" hidden="1" customHeight="1" x14ac:dyDescent="0.2">
      <c r="A246" s="31">
        <v>245</v>
      </c>
      <c r="B246" s="31">
        <v>21</v>
      </c>
      <c r="C246" s="31">
        <v>30</v>
      </c>
      <c r="D246" s="31" t="s">
        <v>295</v>
      </c>
      <c r="E246" s="31" t="str">
        <f t="shared" si="3"/>
        <v>1230SS03PT</v>
      </c>
      <c r="F246" s="31">
        <f>VLOOKUP(B246,[1]Course!$A$2:$R$329,2,FALSE)</f>
        <v>0</v>
      </c>
      <c r="G246" s="31">
        <f>VLOOKUP(B246, [1]Course!$A$2:$L$950, 8, FALSE)</f>
        <v>12</v>
      </c>
      <c r="H246" s="31">
        <v>3</v>
      </c>
      <c r="I246" s="31">
        <v>1</v>
      </c>
      <c r="K246" s="31" t="s">
        <v>1548</v>
      </c>
      <c r="L246" s="31" t="str">
        <f>VLOOKUP(B246, [1]Course!$A$1:$O$933, 14, FALSE)</f>
        <v>SS</v>
      </c>
      <c r="M246" s="31">
        <v>1</v>
      </c>
    </row>
    <row r="247" spans="1:13" ht="15.75" hidden="1" customHeight="1" x14ac:dyDescent="0.2">
      <c r="A247" s="31">
        <v>246</v>
      </c>
      <c r="B247" s="31">
        <v>21</v>
      </c>
      <c r="C247" s="31">
        <v>31</v>
      </c>
      <c r="D247" s="31" t="s">
        <v>295</v>
      </c>
      <c r="E247" s="31" t="str">
        <f t="shared" si="3"/>
        <v>1231SS03PT</v>
      </c>
      <c r="F247" s="31">
        <f>VLOOKUP(B247,[1]Course!$A$2:$R$329,2,FALSE)</f>
        <v>0</v>
      </c>
      <c r="G247" s="31">
        <f>VLOOKUP(B247, [1]Course!$A$2:$L$950, 8, FALSE)</f>
        <v>12</v>
      </c>
      <c r="H247" s="31">
        <v>3</v>
      </c>
      <c r="I247" s="31">
        <v>1</v>
      </c>
      <c r="K247" s="31" t="s">
        <v>1548</v>
      </c>
      <c r="L247" s="31" t="str">
        <f>VLOOKUP(B247, [1]Course!$A$1:$O$933, 14, FALSE)</f>
        <v>SS</v>
      </c>
      <c r="M247" s="31">
        <v>1</v>
      </c>
    </row>
    <row r="248" spans="1:13" ht="15.75" hidden="1" customHeight="1" x14ac:dyDescent="0.2">
      <c r="A248" s="31">
        <v>247</v>
      </c>
      <c r="B248" s="31">
        <v>21</v>
      </c>
      <c r="C248" s="31">
        <v>32</v>
      </c>
      <c r="D248" s="31" t="s">
        <v>295</v>
      </c>
      <c r="E248" s="31" t="str">
        <f t="shared" si="3"/>
        <v>1232SS03PT</v>
      </c>
      <c r="F248" s="31">
        <f>VLOOKUP(B248,[1]Course!$A$2:$R$329,2,FALSE)</f>
        <v>0</v>
      </c>
      <c r="G248" s="31">
        <f>VLOOKUP(B248, [1]Course!$A$2:$L$950, 8, FALSE)</f>
        <v>12</v>
      </c>
      <c r="H248" s="31">
        <v>3</v>
      </c>
      <c r="I248" s="31">
        <v>1</v>
      </c>
      <c r="K248" s="31" t="s">
        <v>1548</v>
      </c>
      <c r="L248" s="31" t="str">
        <f>VLOOKUP(B248, [1]Course!$A$1:$O$933, 14, FALSE)</f>
        <v>SS</v>
      </c>
      <c r="M248" s="31">
        <v>1</v>
      </c>
    </row>
    <row r="249" spans="1:13" ht="15.75" hidden="1" customHeight="1" x14ac:dyDescent="0.2">
      <c r="A249" s="31">
        <v>248</v>
      </c>
      <c r="B249" s="31">
        <v>21</v>
      </c>
      <c r="C249" s="31">
        <v>33</v>
      </c>
      <c r="D249" s="31" t="s">
        <v>295</v>
      </c>
      <c r="E249" s="31" t="str">
        <f t="shared" si="3"/>
        <v>1233SS03PT</v>
      </c>
      <c r="F249" s="31">
        <f>VLOOKUP(B249,[1]Course!$A$2:$R$329,2,FALSE)</f>
        <v>0</v>
      </c>
      <c r="G249" s="31">
        <f>VLOOKUP(B249, [1]Course!$A$2:$L$950, 8, FALSE)</f>
        <v>12</v>
      </c>
      <c r="H249" s="31">
        <v>3</v>
      </c>
      <c r="I249" s="31">
        <v>1</v>
      </c>
      <c r="K249" s="31" t="s">
        <v>1548</v>
      </c>
      <c r="L249" s="31" t="str">
        <f>VLOOKUP(B249, [1]Course!$A$1:$O$933, 14, FALSE)</f>
        <v>SS</v>
      </c>
      <c r="M249" s="31">
        <v>1</v>
      </c>
    </row>
    <row r="250" spans="1:13" ht="15.75" hidden="1" customHeight="1" x14ac:dyDescent="0.2">
      <c r="A250" s="31">
        <v>249</v>
      </c>
      <c r="B250" s="31">
        <v>21</v>
      </c>
      <c r="C250" s="31">
        <v>34</v>
      </c>
      <c r="D250" s="31" t="s">
        <v>295</v>
      </c>
      <c r="E250" s="31" t="str">
        <f t="shared" si="3"/>
        <v>1234SS03PT</v>
      </c>
      <c r="F250" s="31">
        <f>VLOOKUP(B250,[1]Course!$A$2:$R$329,2,FALSE)</f>
        <v>0</v>
      </c>
      <c r="G250" s="31">
        <f>VLOOKUP(B250, [1]Course!$A$2:$L$950, 8, FALSE)</f>
        <v>12</v>
      </c>
      <c r="H250" s="31">
        <v>3</v>
      </c>
      <c r="I250" s="31">
        <v>1</v>
      </c>
      <c r="K250" s="31" t="s">
        <v>1548</v>
      </c>
      <c r="L250" s="31" t="str">
        <f>VLOOKUP(B250, [1]Course!$A$1:$O$933, 14, FALSE)</f>
        <v>SS</v>
      </c>
      <c r="M250" s="31">
        <v>1</v>
      </c>
    </row>
    <row r="251" spans="1:13" ht="15.75" hidden="1" customHeight="1" x14ac:dyDescent="0.2">
      <c r="A251" s="31">
        <v>250</v>
      </c>
      <c r="B251" s="31">
        <v>21</v>
      </c>
      <c r="C251" s="31">
        <v>35</v>
      </c>
      <c r="D251" s="31" t="s">
        <v>295</v>
      </c>
      <c r="E251" s="31" t="str">
        <f t="shared" si="3"/>
        <v>1235SS03PT</v>
      </c>
      <c r="F251" s="31">
        <f>VLOOKUP(B251,[1]Course!$A$2:$R$329,2,FALSE)</f>
        <v>0</v>
      </c>
      <c r="G251" s="31">
        <f>VLOOKUP(B251, [1]Course!$A$2:$L$950, 8, FALSE)</f>
        <v>12</v>
      </c>
      <c r="H251" s="31">
        <v>3</v>
      </c>
      <c r="I251" s="31">
        <v>1</v>
      </c>
      <c r="K251" s="31" t="s">
        <v>1548</v>
      </c>
      <c r="L251" s="31" t="str">
        <f>VLOOKUP(B251, [1]Course!$A$1:$O$933, 14, FALSE)</f>
        <v>SS</v>
      </c>
      <c r="M251" s="31">
        <v>1</v>
      </c>
    </row>
    <row r="252" spans="1:13" ht="15.75" hidden="1" customHeight="1" x14ac:dyDescent="0.2">
      <c r="A252" s="31">
        <v>251</v>
      </c>
      <c r="B252" s="31">
        <v>21</v>
      </c>
      <c r="C252" s="31">
        <v>36</v>
      </c>
      <c r="D252" s="31" t="s">
        <v>295</v>
      </c>
      <c r="E252" s="31" t="str">
        <f t="shared" si="3"/>
        <v>1236SS03PT</v>
      </c>
      <c r="F252" s="31">
        <f>VLOOKUP(B252,[1]Course!$A$2:$R$329,2,FALSE)</f>
        <v>0</v>
      </c>
      <c r="G252" s="31">
        <f>VLOOKUP(B252, [1]Course!$A$2:$L$950, 8, FALSE)</f>
        <v>12</v>
      </c>
      <c r="H252" s="31">
        <v>3</v>
      </c>
      <c r="I252" s="31">
        <v>1</v>
      </c>
      <c r="K252" s="31" t="s">
        <v>1548</v>
      </c>
      <c r="L252" s="31" t="str">
        <f>VLOOKUP(B252, [1]Course!$A$1:$O$933, 14, FALSE)</f>
        <v>SS</v>
      </c>
      <c r="M252" s="31">
        <v>1</v>
      </c>
    </row>
    <row r="253" spans="1:13" ht="15.75" hidden="1" customHeight="1" x14ac:dyDescent="0.2">
      <c r="A253" s="31">
        <v>252</v>
      </c>
      <c r="B253" s="31">
        <v>22</v>
      </c>
      <c r="C253" s="31">
        <v>25</v>
      </c>
      <c r="D253" s="31" t="s">
        <v>289</v>
      </c>
      <c r="E253" s="31" t="str">
        <f t="shared" si="3"/>
        <v>1225BR03PT</v>
      </c>
      <c r="F253" s="31">
        <f>VLOOKUP(B253,[1]Course!$A$2:$R$329,2,FALSE)</f>
        <v>0</v>
      </c>
      <c r="G253" s="31">
        <f>VLOOKUP(B253, [1]Course!$A$2:$L$950, 8, FALSE)</f>
        <v>12</v>
      </c>
      <c r="H253" s="31">
        <v>3</v>
      </c>
      <c r="I253" s="31">
        <v>1</v>
      </c>
      <c r="K253" s="31" t="s">
        <v>1548</v>
      </c>
      <c r="L253" s="31" t="str">
        <f>VLOOKUP(B253, [1]Course!$A$1:$O$933, 14, FALSE)</f>
        <v>BR</v>
      </c>
      <c r="M253" s="31">
        <v>1</v>
      </c>
    </row>
    <row r="254" spans="1:13" ht="15.75" hidden="1" customHeight="1" x14ac:dyDescent="0.2">
      <c r="A254" s="31">
        <v>253</v>
      </c>
      <c r="B254" s="31">
        <v>22</v>
      </c>
      <c r="C254" s="31">
        <v>26</v>
      </c>
      <c r="D254" s="31" t="s">
        <v>289</v>
      </c>
      <c r="E254" s="31" t="str">
        <f t="shared" si="3"/>
        <v>1226BR03PT</v>
      </c>
      <c r="F254" s="31">
        <f>VLOOKUP(B254,[1]Course!$A$2:$R$329,2,FALSE)</f>
        <v>0</v>
      </c>
      <c r="G254" s="31">
        <f>VLOOKUP(B254, [1]Course!$A$2:$L$950, 8, FALSE)</f>
        <v>12</v>
      </c>
      <c r="H254" s="31">
        <v>3</v>
      </c>
      <c r="I254" s="31">
        <v>1</v>
      </c>
      <c r="K254" s="31" t="s">
        <v>1548</v>
      </c>
      <c r="L254" s="31" t="str">
        <f>VLOOKUP(B254, [1]Course!$A$1:$O$933, 14, FALSE)</f>
        <v>BR</v>
      </c>
      <c r="M254" s="31">
        <v>1</v>
      </c>
    </row>
    <row r="255" spans="1:13" ht="15.75" hidden="1" customHeight="1" x14ac:dyDescent="0.2">
      <c r="A255" s="31">
        <v>254</v>
      </c>
      <c r="B255" s="31">
        <v>22</v>
      </c>
      <c r="C255" s="31">
        <v>27</v>
      </c>
      <c r="D255" s="31" t="s">
        <v>289</v>
      </c>
      <c r="E255" s="31" t="str">
        <f t="shared" si="3"/>
        <v>1227BR03PT</v>
      </c>
      <c r="F255" s="31">
        <f>VLOOKUP(B255,[1]Course!$A$2:$R$329,2,FALSE)</f>
        <v>0</v>
      </c>
      <c r="G255" s="31">
        <f>VLOOKUP(B255, [1]Course!$A$2:$L$950, 8, FALSE)</f>
        <v>12</v>
      </c>
      <c r="H255" s="31">
        <v>3</v>
      </c>
      <c r="I255" s="31">
        <v>1</v>
      </c>
      <c r="K255" s="31" t="s">
        <v>1548</v>
      </c>
      <c r="L255" s="31" t="str">
        <f>VLOOKUP(B255, [1]Course!$A$1:$O$933, 14, FALSE)</f>
        <v>BR</v>
      </c>
      <c r="M255" s="31">
        <v>1</v>
      </c>
    </row>
    <row r="256" spans="1:13" ht="15.75" hidden="1" customHeight="1" x14ac:dyDescent="0.2">
      <c r="A256" s="31">
        <v>255</v>
      </c>
      <c r="B256" s="31">
        <v>22</v>
      </c>
      <c r="C256" s="31">
        <v>28</v>
      </c>
      <c r="D256" s="31" t="s">
        <v>289</v>
      </c>
      <c r="E256" s="31" t="str">
        <f t="shared" si="3"/>
        <v>1228BR03PT</v>
      </c>
      <c r="F256" s="31">
        <f>VLOOKUP(B256,[1]Course!$A$2:$R$329,2,FALSE)</f>
        <v>0</v>
      </c>
      <c r="G256" s="31">
        <f>VLOOKUP(B256, [1]Course!$A$2:$L$950, 8, FALSE)</f>
        <v>12</v>
      </c>
      <c r="H256" s="31">
        <v>3</v>
      </c>
      <c r="I256" s="31">
        <v>1</v>
      </c>
      <c r="K256" s="31" t="s">
        <v>1548</v>
      </c>
      <c r="L256" s="31" t="str">
        <f>VLOOKUP(B256, [1]Course!$A$1:$O$933, 14, FALSE)</f>
        <v>BR</v>
      </c>
      <c r="M256" s="31">
        <v>1</v>
      </c>
    </row>
    <row r="257" spans="1:13" ht="15.75" hidden="1" customHeight="1" x14ac:dyDescent="0.2">
      <c r="A257" s="31">
        <v>256</v>
      </c>
      <c r="B257" s="31">
        <v>22</v>
      </c>
      <c r="C257" s="31">
        <v>29</v>
      </c>
      <c r="D257" s="31" t="s">
        <v>289</v>
      </c>
      <c r="E257" s="31" t="str">
        <f t="shared" si="3"/>
        <v>1229BR03PT</v>
      </c>
      <c r="F257" s="31">
        <f>VLOOKUP(B257,[1]Course!$A$2:$R$329,2,FALSE)</f>
        <v>0</v>
      </c>
      <c r="G257" s="31">
        <f>VLOOKUP(B257, [1]Course!$A$2:$L$950, 8, FALSE)</f>
        <v>12</v>
      </c>
      <c r="H257" s="31">
        <v>3</v>
      </c>
      <c r="I257" s="31">
        <v>1</v>
      </c>
      <c r="K257" s="31" t="s">
        <v>1548</v>
      </c>
      <c r="L257" s="31" t="str">
        <f>VLOOKUP(B257, [1]Course!$A$1:$O$933, 14, FALSE)</f>
        <v>BR</v>
      </c>
      <c r="M257" s="31">
        <v>1</v>
      </c>
    </row>
    <row r="258" spans="1:13" ht="15.75" hidden="1" customHeight="1" x14ac:dyDescent="0.2">
      <c r="A258" s="31">
        <v>257</v>
      </c>
      <c r="B258" s="31">
        <v>22</v>
      </c>
      <c r="C258" s="31">
        <v>30</v>
      </c>
      <c r="D258" s="31" t="s">
        <v>289</v>
      </c>
      <c r="E258" s="31" t="str">
        <f t="shared" si="3"/>
        <v>1230BR03PT</v>
      </c>
      <c r="F258" s="31">
        <f>VLOOKUP(B258,[1]Course!$A$2:$R$329,2,FALSE)</f>
        <v>0</v>
      </c>
      <c r="G258" s="31">
        <f>VLOOKUP(B258, [1]Course!$A$2:$L$950, 8, FALSE)</f>
        <v>12</v>
      </c>
      <c r="H258" s="31">
        <v>3</v>
      </c>
      <c r="I258" s="31">
        <v>1</v>
      </c>
      <c r="K258" s="31" t="s">
        <v>1548</v>
      </c>
      <c r="L258" s="31" t="str">
        <f>VLOOKUP(B258, [1]Course!$A$1:$O$933, 14, FALSE)</f>
        <v>BR</v>
      </c>
      <c r="M258" s="31">
        <v>1</v>
      </c>
    </row>
    <row r="259" spans="1:13" ht="15.75" hidden="1" customHeight="1" x14ac:dyDescent="0.2">
      <c r="A259" s="31">
        <v>258</v>
      </c>
      <c r="B259" s="31">
        <v>22</v>
      </c>
      <c r="C259" s="31">
        <v>31</v>
      </c>
      <c r="D259" s="31" t="s">
        <v>289</v>
      </c>
      <c r="E259" s="31" t="str">
        <f t="shared" ref="E259:E322" si="4">UPPER(LEFT(G259,2)) &amp; RIGHT("0" &amp; C259, 2) &amp; D259 &amp; RIGHT("0" &amp; H259, 2) &amp; K259</f>
        <v>1231BR03PT</v>
      </c>
      <c r="F259" s="31">
        <f>VLOOKUP(B259,[1]Course!$A$2:$R$329,2,FALSE)</f>
        <v>0</v>
      </c>
      <c r="G259" s="31">
        <f>VLOOKUP(B259, [1]Course!$A$2:$L$950, 8, FALSE)</f>
        <v>12</v>
      </c>
      <c r="H259" s="31">
        <v>3</v>
      </c>
      <c r="I259" s="31">
        <v>1</v>
      </c>
      <c r="K259" s="31" t="s">
        <v>1548</v>
      </c>
      <c r="L259" s="31" t="str">
        <f>VLOOKUP(B259, [1]Course!$A$1:$O$933, 14, FALSE)</f>
        <v>BR</v>
      </c>
      <c r="M259" s="31">
        <v>1</v>
      </c>
    </row>
    <row r="260" spans="1:13" ht="15.75" hidden="1" customHeight="1" x14ac:dyDescent="0.2">
      <c r="A260" s="31">
        <v>259</v>
      </c>
      <c r="B260" s="31">
        <v>22</v>
      </c>
      <c r="C260" s="31">
        <v>32</v>
      </c>
      <c r="D260" s="31" t="s">
        <v>289</v>
      </c>
      <c r="E260" s="31" t="str">
        <f t="shared" si="4"/>
        <v>1232BR03PT</v>
      </c>
      <c r="F260" s="31">
        <f>VLOOKUP(B260,[1]Course!$A$2:$R$329,2,FALSE)</f>
        <v>0</v>
      </c>
      <c r="G260" s="31">
        <f>VLOOKUP(B260, [1]Course!$A$2:$L$950, 8, FALSE)</f>
        <v>12</v>
      </c>
      <c r="H260" s="31">
        <v>3</v>
      </c>
      <c r="I260" s="31">
        <v>1</v>
      </c>
      <c r="K260" s="31" t="s">
        <v>1548</v>
      </c>
      <c r="L260" s="31" t="str">
        <f>VLOOKUP(B260, [1]Course!$A$1:$O$933, 14, FALSE)</f>
        <v>BR</v>
      </c>
      <c r="M260" s="31">
        <v>1</v>
      </c>
    </row>
    <row r="261" spans="1:13" ht="15.75" hidden="1" customHeight="1" x14ac:dyDescent="0.2">
      <c r="A261" s="31">
        <v>260</v>
      </c>
      <c r="B261" s="31">
        <v>22</v>
      </c>
      <c r="C261" s="31">
        <v>33</v>
      </c>
      <c r="D261" s="31" t="s">
        <v>289</v>
      </c>
      <c r="E261" s="31" t="str">
        <f t="shared" si="4"/>
        <v>1233BR03PT</v>
      </c>
      <c r="F261" s="31">
        <f>VLOOKUP(B261,[1]Course!$A$2:$R$329,2,FALSE)</f>
        <v>0</v>
      </c>
      <c r="G261" s="31">
        <f>VLOOKUP(B261, [1]Course!$A$2:$L$950, 8, FALSE)</f>
        <v>12</v>
      </c>
      <c r="H261" s="31">
        <v>3</v>
      </c>
      <c r="I261" s="31">
        <v>1</v>
      </c>
      <c r="K261" s="31" t="s">
        <v>1548</v>
      </c>
      <c r="L261" s="31" t="str">
        <f>VLOOKUP(B261, [1]Course!$A$1:$O$933, 14, FALSE)</f>
        <v>BR</v>
      </c>
      <c r="M261" s="31">
        <v>1</v>
      </c>
    </row>
    <row r="262" spans="1:13" ht="15.75" hidden="1" customHeight="1" x14ac:dyDescent="0.2">
      <c r="A262" s="31">
        <v>261</v>
      </c>
      <c r="B262" s="31">
        <v>22</v>
      </c>
      <c r="C262" s="31">
        <v>34</v>
      </c>
      <c r="D262" s="31" t="s">
        <v>289</v>
      </c>
      <c r="E262" s="31" t="str">
        <f t="shared" si="4"/>
        <v>1234BR03PT</v>
      </c>
      <c r="F262" s="31">
        <f>VLOOKUP(B262,[1]Course!$A$2:$R$329,2,FALSE)</f>
        <v>0</v>
      </c>
      <c r="G262" s="31">
        <f>VLOOKUP(B262, [1]Course!$A$2:$L$950, 8, FALSE)</f>
        <v>12</v>
      </c>
      <c r="H262" s="31">
        <v>3</v>
      </c>
      <c r="I262" s="31">
        <v>1</v>
      </c>
      <c r="K262" s="31" t="s">
        <v>1548</v>
      </c>
      <c r="L262" s="31" t="str">
        <f>VLOOKUP(B262, [1]Course!$A$1:$O$933, 14, FALSE)</f>
        <v>BR</v>
      </c>
      <c r="M262" s="31">
        <v>1</v>
      </c>
    </row>
    <row r="263" spans="1:13" ht="15.75" hidden="1" customHeight="1" x14ac:dyDescent="0.2">
      <c r="A263" s="31">
        <v>262</v>
      </c>
      <c r="B263" s="31">
        <v>22</v>
      </c>
      <c r="C263" s="31">
        <v>35</v>
      </c>
      <c r="D263" s="31" t="s">
        <v>289</v>
      </c>
      <c r="E263" s="31" t="str">
        <f t="shared" si="4"/>
        <v>1235BR03PT</v>
      </c>
      <c r="F263" s="31">
        <f>VLOOKUP(B263,[1]Course!$A$2:$R$329,2,FALSE)</f>
        <v>0</v>
      </c>
      <c r="G263" s="31">
        <f>VLOOKUP(B263, [1]Course!$A$2:$L$950, 8, FALSE)</f>
        <v>12</v>
      </c>
      <c r="H263" s="31">
        <v>3</v>
      </c>
      <c r="I263" s="31">
        <v>1</v>
      </c>
      <c r="K263" s="31" t="s">
        <v>1548</v>
      </c>
      <c r="L263" s="31" t="str">
        <f>VLOOKUP(B263, [1]Course!$A$1:$O$933, 14, FALSE)</f>
        <v>BR</v>
      </c>
      <c r="M263" s="31">
        <v>1</v>
      </c>
    </row>
    <row r="264" spans="1:13" ht="15.75" hidden="1" customHeight="1" x14ac:dyDescent="0.2">
      <c r="A264" s="31">
        <v>263</v>
      </c>
      <c r="B264" s="31">
        <v>22</v>
      </c>
      <c r="C264" s="31">
        <v>36</v>
      </c>
      <c r="D264" s="31" t="s">
        <v>289</v>
      </c>
      <c r="E264" s="31" t="str">
        <f t="shared" si="4"/>
        <v>1236BR03PT</v>
      </c>
      <c r="F264" s="31">
        <f>VLOOKUP(B264,[1]Course!$A$2:$R$329,2,FALSE)</f>
        <v>0</v>
      </c>
      <c r="G264" s="31">
        <f>VLOOKUP(B264, [1]Course!$A$2:$L$950, 8, FALSE)</f>
        <v>12</v>
      </c>
      <c r="H264" s="31">
        <v>3</v>
      </c>
      <c r="I264" s="31">
        <v>1</v>
      </c>
      <c r="K264" s="31" t="s">
        <v>1548</v>
      </c>
      <c r="L264" s="31" t="str">
        <f>VLOOKUP(B264, [1]Course!$A$1:$O$933, 14, FALSE)</f>
        <v>BR</v>
      </c>
      <c r="M264" s="31">
        <v>1</v>
      </c>
    </row>
    <row r="265" spans="1:13" ht="15.75" hidden="1" customHeight="1" x14ac:dyDescent="0.2">
      <c r="A265" s="31">
        <v>264</v>
      </c>
      <c r="B265" s="31">
        <v>23</v>
      </c>
      <c r="C265" s="31">
        <v>37</v>
      </c>
      <c r="D265" s="31" t="s">
        <v>52</v>
      </c>
      <c r="E265" s="31" t="str">
        <f t="shared" si="4"/>
        <v>1237MA03PT</v>
      </c>
      <c r="F265" s="31">
        <f>VLOOKUP(B265,[1]Course!$A$2:$R$329,2,FALSE)</f>
        <v>0</v>
      </c>
      <c r="G265" s="31">
        <f>VLOOKUP(B265, [1]Course!$A$2:$L$950, 8, FALSE)</f>
        <v>12</v>
      </c>
      <c r="H265" s="31">
        <v>3</v>
      </c>
      <c r="I265" s="31">
        <v>1</v>
      </c>
      <c r="K265" s="31" t="s">
        <v>1548</v>
      </c>
      <c r="L265" s="31" t="str">
        <f>VLOOKUP(B265, [1]Course!$A$1:$O$933, 14, FALSE)</f>
        <v>MA</v>
      </c>
      <c r="M265" s="31">
        <v>1</v>
      </c>
    </row>
    <row r="266" spans="1:13" ht="15.75" hidden="1" customHeight="1" x14ac:dyDescent="0.2">
      <c r="A266" s="31">
        <v>265</v>
      </c>
      <c r="B266" s="31">
        <v>23</v>
      </c>
      <c r="C266" s="31">
        <v>38</v>
      </c>
      <c r="D266" s="31" t="s">
        <v>52</v>
      </c>
      <c r="E266" s="31" t="str">
        <f t="shared" si="4"/>
        <v>1238MA03PT</v>
      </c>
      <c r="F266" s="31">
        <f>VLOOKUP(B266,[1]Course!$A$2:$R$329,2,FALSE)</f>
        <v>0</v>
      </c>
      <c r="G266" s="31">
        <f>VLOOKUP(B266, [1]Course!$A$2:$L$950, 8, FALSE)</f>
        <v>12</v>
      </c>
      <c r="H266" s="31">
        <v>3</v>
      </c>
      <c r="I266" s="31">
        <v>1</v>
      </c>
      <c r="K266" s="31" t="s">
        <v>1548</v>
      </c>
      <c r="L266" s="31" t="str">
        <f>VLOOKUP(B266, [1]Course!$A$1:$O$933, 14, FALSE)</f>
        <v>MA</v>
      </c>
      <c r="M266" s="31">
        <v>1</v>
      </c>
    </row>
    <row r="267" spans="1:13" ht="15.75" hidden="1" customHeight="1" x14ac:dyDescent="0.2">
      <c r="A267" s="31">
        <v>266</v>
      </c>
      <c r="B267" s="31">
        <v>23</v>
      </c>
      <c r="C267" s="31">
        <v>39</v>
      </c>
      <c r="D267" s="31" t="s">
        <v>52</v>
      </c>
      <c r="E267" s="31" t="str">
        <f t="shared" si="4"/>
        <v>1239MA03PT</v>
      </c>
      <c r="F267" s="31">
        <f>VLOOKUP(B267,[1]Course!$A$2:$R$329,2,FALSE)</f>
        <v>0</v>
      </c>
      <c r="G267" s="31">
        <f>VLOOKUP(B267, [1]Course!$A$2:$L$950, 8, FALSE)</f>
        <v>12</v>
      </c>
      <c r="H267" s="31">
        <v>3</v>
      </c>
      <c r="I267" s="31">
        <v>1</v>
      </c>
      <c r="K267" s="31" t="s">
        <v>1548</v>
      </c>
      <c r="L267" s="31" t="str">
        <f>VLOOKUP(B267, [1]Course!$A$1:$O$933, 14, FALSE)</f>
        <v>MA</v>
      </c>
      <c r="M267" s="31">
        <v>1</v>
      </c>
    </row>
    <row r="268" spans="1:13" ht="15.75" hidden="1" customHeight="1" x14ac:dyDescent="0.2">
      <c r="A268" s="31">
        <v>267</v>
      </c>
      <c r="B268" s="31">
        <v>23</v>
      </c>
      <c r="C268" s="31">
        <v>40</v>
      </c>
      <c r="D268" s="31" t="s">
        <v>52</v>
      </c>
      <c r="E268" s="31" t="str">
        <f t="shared" si="4"/>
        <v>1240MA03PT</v>
      </c>
      <c r="F268" s="31">
        <f>VLOOKUP(B268,[1]Course!$A$2:$R$329,2,FALSE)</f>
        <v>0</v>
      </c>
      <c r="G268" s="31">
        <f>VLOOKUP(B268, [1]Course!$A$2:$L$950, 8, FALSE)</f>
        <v>12</v>
      </c>
      <c r="H268" s="31">
        <v>3</v>
      </c>
      <c r="I268" s="31">
        <v>1</v>
      </c>
      <c r="K268" s="31" t="s">
        <v>1548</v>
      </c>
      <c r="L268" s="31" t="str">
        <f>VLOOKUP(B268, [1]Course!$A$1:$O$933, 14, FALSE)</f>
        <v>MA</v>
      </c>
      <c r="M268" s="31">
        <v>1</v>
      </c>
    </row>
    <row r="269" spans="1:13" ht="15.75" hidden="1" customHeight="1" x14ac:dyDescent="0.2">
      <c r="A269" s="31">
        <v>268</v>
      </c>
      <c r="B269" s="31">
        <v>23</v>
      </c>
      <c r="C269" s="31">
        <v>41</v>
      </c>
      <c r="D269" s="31" t="s">
        <v>52</v>
      </c>
      <c r="E269" s="31" t="str">
        <f t="shared" si="4"/>
        <v>1241MA03PT</v>
      </c>
      <c r="F269" s="31">
        <f>VLOOKUP(B269,[1]Course!$A$2:$R$329,2,FALSE)</f>
        <v>0</v>
      </c>
      <c r="G269" s="31">
        <f>VLOOKUP(B269, [1]Course!$A$2:$L$950, 8, FALSE)</f>
        <v>12</v>
      </c>
      <c r="H269" s="31">
        <v>3</v>
      </c>
      <c r="I269" s="31">
        <v>1</v>
      </c>
      <c r="K269" s="31" t="s">
        <v>1548</v>
      </c>
      <c r="L269" s="31" t="str">
        <f>VLOOKUP(B269, [1]Course!$A$1:$O$933, 14, FALSE)</f>
        <v>MA</v>
      </c>
      <c r="M269" s="31">
        <v>1</v>
      </c>
    </row>
    <row r="270" spans="1:13" ht="15.75" hidden="1" customHeight="1" x14ac:dyDescent="0.2">
      <c r="A270" s="31">
        <v>269</v>
      </c>
      <c r="B270" s="31">
        <v>23</v>
      </c>
      <c r="C270" s="31">
        <v>42</v>
      </c>
      <c r="D270" s="31" t="s">
        <v>52</v>
      </c>
      <c r="E270" s="31" t="str">
        <f t="shared" si="4"/>
        <v>1242MA03PT</v>
      </c>
      <c r="F270" s="31">
        <f>VLOOKUP(B270,[1]Course!$A$2:$R$329,2,FALSE)</f>
        <v>0</v>
      </c>
      <c r="G270" s="31">
        <f>VLOOKUP(B270, [1]Course!$A$2:$L$950, 8, FALSE)</f>
        <v>12</v>
      </c>
      <c r="H270" s="31">
        <v>3</v>
      </c>
      <c r="I270" s="31">
        <v>1</v>
      </c>
      <c r="K270" s="31" t="s">
        <v>1548</v>
      </c>
      <c r="L270" s="31" t="str">
        <f>VLOOKUP(B270, [1]Course!$A$1:$O$933, 14, FALSE)</f>
        <v>MA</v>
      </c>
      <c r="M270" s="31">
        <v>1</v>
      </c>
    </row>
    <row r="271" spans="1:13" ht="15.75" hidden="1" customHeight="1" x14ac:dyDescent="0.2">
      <c r="A271" s="31">
        <v>270</v>
      </c>
      <c r="B271" s="31">
        <v>23</v>
      </c>
      <c r="C271" s="31">
        <v>43</v>
      </c>
      <c r="D271" s="31" t="s">
        <v>52</v>
      </c>
      <c r="E271" s="31" t="str">
        <f t="shared" si="4"/>
        <v>1243MA03PT</v>
      </c>
      <c r="F271" s="31">
        <f>VLOOKUP(B271,[1]Course!$A$2:$R$329,2,FALSE)</f>
        <v>0</v>
      </c>
      <c r="G271" s="31">
        <f>VLOOKUP(B271, [1]Course!$A$2:$L$950, 8, FALSE)</f>
        <v>12</v>
      </c>
      <c r="H271" s="31">
        <v>3</v>
      </c>
      <c r="I271" s="31">
        <v>1</v>
      </c>
      <c r="K271" s="31" t="s">
        <v>1548</v>
      </c>
      <c r="L271" s="31" t="str">
        <f>VLOOKUP(B271, [1]Course!$A$1:$O$933, 14, FALSE)</f>
        <v>MA</v>
      </c>
      <c r="M271" s="31">
        <v>1</v>
      </c>
    </row>
    <row r="272" spans="1:13" ht="15.75" hidden="1" customHeight="1" x14ac:dyDescent="0.2">
      <c r="A272" s="31">
        <v>271</v>
      </c>
      <c r="B272" s="31">
        <v>23</v>
      </c>
      <c r="C272" s="31">
        <v>44</v>
      </c>
      <c r="D272" s="31" t="s">
        <v>52</v>
      </c>
      <c r="E272" s="31" t="str">
        <f t="shared" si="4"/>
        <v>1244MA03PT</v>
      </c>
      <c r="F272" s="31">
        <f>VLOOKUP(B272,[1]Course!$A$2:$R$329,2,FALSE)</f>
        <v>0</v>
      </c>
      <c r="G272" s="31">
        <f>VLOOKUP(B272, [1]Course!$A$2:$L$950, 8, FALSE)</f>
        <v>12</v>
      </c>
      <c r="H272" s="31">
        <v>3</v>
      </c>
      <c r="I272" s="31">
        <v>1</v>
      </c>
      <c r="K272" s="31" t="s">
        <v>1548</v>
      </c>
      <c r="L272" s="31" t="str">
        <f>VLOOKUP(B272, [1]Course!$A$1:$O$933, 14, FALSE)</f>
        <v>MA</v>
      </c>
      <c r="M272" s="31">
        <v>1</v>
      </c>
    </row>
    <row r="273" spans="1:13" ht="15.75" hidden="1" customHeight="1" x14ac:dyDescent="0.2">
      <c r="A273" s="31">
        <v>272</v>
      </c>
      <c r="B273" s="31">
        <v>23</v>
      </c>
      <c r="C273" s="31">
        <v>45</v>
      </c>
      <c r="D273" s="31" t="s">
        <v>52</v>
      </c>
      <c r="E273" s="31" t="str">
        <f t="shared" si="4"/>
        <v>1245MA03PT</v>
      </c>
      <c r="F273" s="31">
        <f>VLOOKUP(B273,[1]Course!$A$2:$R$329,2,FALSE)</f>
        <v>0</v>
      </c>
      <c r="G273" s="31">
        <f>VLOOKUP(B273, [1]Course!$A$2:$L$950, 8, FALSE)</f>
        <v>12</v>
      </c>
      <c r="H273" s="31">
        <v>3</v>
      </c>
      <c r="I273" s="31">
        <v>1</v>
      </c>
      <c r="K273" s="31" t="s">
        <v>1548</v>
      </c>
      <c r="L273" s="31" t="str">
        <f>VLOOKUP(B273, [1]Course!$A$1:$O$933, 14, FALSE)</f>
        <v>MA</v>
      </c>
      <c r="M273" s="31">
        <v>1</v>
      </c>
    </row>
    <row r="274" spans="1:13" ht="15.75" hidden="1" customHeight="1" x14ac:dyDescent="0.2">
      <c r="A274" s="31">
        <v>273</v>
      </c>
      <c r="B274" s="31">
        <v>23</v>
      </c>
      <c r="C274" s="31">
        <v>46</v>
      </c>
      <c r="D274" s="31" t="s">
        <v>52</v>
      </c>
      <c r="E274" s="31" t="str">
        <f t="shared" si="4"/>
        <v>1246MA03PT</v>
      </c>
      <c r="F274" s="31">
        <f>VLOOKUP(B274,[1]Course!$A$2:$R$329,2,FALSE)</f>
        <v>0</v>
      </c>
      <c r="G274" s="31">
        <f>VLOOKUP(B274, [1]Course!$A$2:$L$950, 8, FALSE)</f>
        <v>12</v>
      </c>
      <c r="H274" s="31">
        <v>3</v>
      </c>
      <c r="I274" s="31">
        <v>1</v>
      </c>
      <c r="K274" s="31" t="s">
        <v>1548</v>
      </c>
      <c r="L274" s="31" t="str">
        <f>VLOOKUP(B274, [1]Course!$A$1:$O$933, 14, FALSE)</f>
        <v>MA</v>
      </c>
      <c r="M274" s="31">
        <v>1</v>
      </c>
    </row>
    <row r="275" spans="1:13" ht="15.75" hidden="1" customHeight="1" x14ac:dyDescent="0.2">
      <c r="A275" s="31">
        <v>274</v>
      </c>
      <c r="B275" s="31">
        <v>23</v>
      </c>
      <c r="C275" s="31">
        <v>47</v>
      </c>
      <c r="D275" s="31" t="s">
        <v>52</v>
      </c>
      <c r="E275" s="31" t="str">
        <f t="shared" si="4"/>
        <v>1247MA03PT</v>
      </c>
      <c r="F275" s="31">
        <f>VLOOKUP(B275,[1]Course!$A$2:$R$329,2,FALSE)</f>
        <v>0</v>
      </c>
      <c r="G275" s="31">
        <f>VLOOKUP(B275, [1]Course!$A$2:$L$950, 8, FALSE)</f>
        <v>12</v>
      </c>
      <c r="H275" s="31">
        <v>3</v>
      </c>
      <c r="I275" s="31">
        <v>1</v>
      </c>
      <c r="K275" s="31" t="s">
        <v>1548</v>
      </c>
      <c r="L275" s="31" t="str">
        <f>VLOOKUP(B275, [1]Course!$A$1:$O$933, 14, FALSE)</f>
        <v>MA</v>
      </c>
      <c r="M275" s="31">
        <v>1</v>
      </c>
    </row>
    <row r="276" spans="1:13" ht="15.75" hidden="1" customHeight="1" x14ac:dyDescent="0.2">
      <c r="A276" s="31">
        <v>275</v>
      </c>
      <c r="B276" s="31">
        <v>23</v>
      </c>
      <c r="C276" s="31">
        <v>48</v>
      </c>
      <c r="D276" s="31" t="s">
        <v>52</v>
      </c>
      <c r="E276" s="31" t="str">
        <f t="shared" si="4"/>
        <v>1248MA03PT</v>
      </c>
      <c r="F276" s="31">
        <f>VLOOKUP(B276,[1]Course!$A$2:$R$329,2,FALSE)</f>
        <v>0</v>
      </c>
      <c r="G276" s="31">
        <f>VLOOKUP(B276, [1]Course!$A$2:$L$950, 8, FALSE)</f>
        <v>12</v>
      </c>
      <c r="H276" s="31">
        <v>3</v>
      </c>
      <c r="I276" s="31">
        <v>1</v>
      </c>
      <c r="K276" s="31" t="s">
        <v>1548</v>
      </c>
      <c r="L276" s="31" t="str">
        <f>VLOOKUP(B276, [1]Course!$A$1:$O$933, 14, FALSE)</f>
        <v>MA</v>
      </c>
      <c r="M276" s="31">
        <v>1</v>
      </c>
    </row>
    <row r="277" spans="1:13" ht="15.75" hidden="1" customHeight="1" x14ac:dyDescent="0.2">
      <c r="A277" s="31">
        <v>276</v>
      </c>
      <c r="B277" s="31">
        <v>24</v>
      </c>
      <c r="C277" s="31">
        <v>37</v>
      </c>
      <c r="D277" s="31" t="s">
        <v>155</v>
      </c>
      <c r="E277" s="31" t="str">
        <f t="shared" si="4"/>
        <v>1237EN03PT</v>
      </c>
      <c r="F277" s="31">
        <f>VLOOKUP(B277,[1]Course!$A$2:$R$329,2,FALSE)</f>
        <v>0</v>
      </c>
      <c r="G277" s="31">
        <f>VLOOKUP(B277, [1]Course!$A$2:$L$950, 8, FALSE)</f>
        <v>12</v>
      </c>
      <c r="H277" s="31">
        <v>3</v>
      </c>
      <c r="I277" s="31">
        <v>1</v>
      </c>
      <c r="K277" s="31" t="s">
        <v>1548</v>
      </c>
      <c r="L277" s="31" t="str">
        <f>VLOOKUP(B277, [1]Course!$A$1:$O$933, 14, FALSE)</f>
        <v>EN</v>
      </c>
      <c r="M277" s="31">
        <v>1</v>
      </c>
    </row>
    <row r="278" spans="1:13" ht="15.75" hidden="1" customHeight="1" x14ac:dyDescent="0.2">
      <c r="A278" s="31">
        <v>277</v>
      </c>
      <c r="B278" s="31">
        <v>24</v>
      </c>
      <c r="C278" s="31">
        <v>38</v>
      </c>
      <c r="D278" s="31" t="s">
        <v>155</v>
      </c>
      <c r="E278" s="31" t="str">
        <f t="shared" si="4"/>
        <v>1238EN03PT</v>
      </c>
      <c r="F278" s="31">
        <f>VLOOKUP(B278,[1]Course!$A$2:$R$329,2,FALSE)</f>
        <v>0</v>
      </c>
      <c r="G278" s="31">
        <f>VLOOKUP(B278, [1]Course!$A$2:$L$950, 8, FALSE)</f>
        <v>12</v>
      </c>
      <c r="H278" s="31">
        <v>3</v>
      </c>
      <c r="I278" s="31">
        <v>1</v>
      </c>
      <c r="K278" s="31" t="s">
        <v>1548</v>
      </c>
      <c r="L278" s="31" t="str">
        <f>VLOOKUP(B278, [1]Course!$A$1:$O$933, 14, FALSE)</f>
        <v>EN</v>
      </c>
      <c r="M278" s="31">
        <v>1</v>
      </c>
    </row>
    <row r="279" spans="1:13" ht="15.75" hidden="1" customHeight="1" x14ac:dyDescent="0.2">
      <c r="A279" s="31">
        <v>278</v>
      </c>
      <c r="B279" s="31">
        <v>24</v>
      </c>
      <c r="C279" s="31">
        <v>39</v>
      </c>
      <c r="D279" s="31" t="s">
        <v>155</v>
      </c>
      <c r="E279" s="31" t="str">
        <f t="shared" si="4"/>
        <v>1239EN03PT</v>
      </c>
      <c r="F279" s="31">
        <f>VLOOKUP(B279,[1]Course!$A$2:$R$329,2,FALSE)</f>
        <v>0</v>
      </c>
      <c r="G279" s="31">
        <f>VLOOKUP(B279, [1]Course!$A$2:$L$950, 8, FALSE)</f>
        <v>12</v>
      </c>
      <c r="H279" s="31">
        <v>3</v>
      </c>
      <c r="I279" s="31">
        <v>1</v>
      </c>
      <c r="K279" s="31" t="s">
        <v>1548</v>
      </c>
      <c r="L279" s="31" t="str">
        <f>VLOOKUP(B279, [1]Course!$A$1:$O$933, 14, FALSE)</f>
        <v>EN</v>
      </c>
      <c r="M279" s="31">
        <v>1</v>
      </c>
    </row>
    <row r="280" spans="1:13" ht="15.75" hidden="1" customHeight="1" x14ac:dyDescent="0.2">
      <c r="A280" s="31">
        <v>279</v>
      </c>
      <c r="B280" s="31">
        <v>24</v>
      </c>
      <c r="C280" s="31">
        <v>40</v>
      </c>
      <c r="D280" s="31" t="s">
        <v>155</v>
      </c>
      <c r="E280" s="31" t="str">
        <f t="shared" si="4"/>
        <v>1240EN03PT</v>
      </c>
      <c r="F280" s="31">
        <f>VLOOKUP(B280,[1]Course!$A$2:$R$329,2,FALSE)</f>
        <v>0</v>
      </c>
      <c r="G280" s="31">
        <f>VLOOKUP(B280, [1]Course!$A$2:$L$950, 8, FALSE)</f>
        <v>12</v>
      </c>
      <c r="H280" s="31">
        <v>3</v>
      </c>
      <c r="I280" s="31">
        <v>1</v>
      </c>
      <c r="K280" s="31" t="s">
        <v>1548</v>
      </c>
      <c r="L280" s="31" t="str">
        <f>VLOOKUP(B280, [1]Course!$A$1:$O$933, 14, FALSE)</f>
        <v>EN</v>
      </c>
      <c r="M280" s="31">
        <v>1</v>
      </c>
    </row>
    <row r="281" spans="1:13" ht="15.75" hidden="1" customHeight="1" x14ac:dyDescent="0.2">
      <c r="A281" s="31">
        <v>280</v>
      </c>
      <c r="B281" s="31">
        <v>24</v>
      </c>
      <c r="C281" s="31">
        <v>41</v>
      </c>
      <c r="D281" s="31" t="s">
        <v>155</v>
      </c>
      <c r="E281" s="31" t="str">
        <f t="shared" si="4"/>
        <v>1241EN03PT</v>
      </c>
      <c r="F281" s="31">
        <f>VLOOKUP(B281,[1]Course!$A$2:$R$329,2,FALSE)</f>
        <v>0</v>
      </c>
      <c r="G281" s="31">
        <f>VLOOKUP(B281, [1]Course!$A$2:$L$950, 8, FALSE)</f>
        <v>12</v>
      </c>
      <c r="H281" s="31">
        <v>3</v>
      </c>
      <c r="I281" s="31">
        <v>1</v>
      </c>
      <c r="K281" s="31" t="s">
        <v>1548</v>
      </c>
      <c r="L281" s="31" t="str">
        <f>VLOOKUP(B281, [1]Course!$A$1:$O$933, 14, FALSE)</f>
        <v>EN</v>
      </c>
      <c r="M281" s="31">
        <v>1</v>
      </c>
    </row>
    <row r="282" spans="1:13" ht="15.75" hidden="1" customHeight="1" x14ac:dyDescent="0.2">
      <c r="A282" s="31">
        <v>281</v>
      </c>
      <c r="B282" s="31">
        <v>24</v>
      </c>
      <c r="C282" s="31">
        <v>42</v>
      </c>
      <c r="D282" s="31" t="s">
        <v>155</v>
      </c>
      <c r="E282" s="31" t="str">
        <f t="shared" si="4"/>
        <v>1242EN03PT</v>
      </c>
      <c r="F282" s="31">
        <f>VLOOKUP(B282,[1]Course!$A$2:$R$329,2,FALSE)</f>
        <v>0</v>
      </c>
      <c r="G282" s="31">
        <f>VLOOKUP(B282, [1]Course!$A$2:$L$950, 8, FALSE)</f>
        <v>12</v>
      </c>
      <c r="H282" s="31">
        <v>3</v>
      </c>
      <c r="I282" s="31">
        <v>1</v>
      </c>
      <c r="K282" s="31" t="s">
        <v>1548</v>
      </c>
      <c r="L282" s="31" t="str">
        <f>VLOOKUP(B282, [1]Course!$A$1:$O$933, 14, FALSE)</f>
        <v>EN</v>
      </c>
      <c r="M282" s="31">
        <v>1</v>
      </c>
    </row>
    <row r="283" spans="1:13" ht="15.75" hidden="1" customHeight="1" x14ac:dyDescent="0.2">
      <c r="A283" s="31">
        <v>282</v>
      </c>
      <c r="B283" s="31">
        <v>24</v>
      </c>
      <c r="C283" s="31">
        <v>43</v>
      </c>
      <c r="D283" s="31" t="s">
        <v>155</v>
      </c>
      <c r="E283" s="31" t="str">
        <f t="shared" si="4"/>
        <v>1243EN03PT</v>
      </c>
      <c r="F283" s="31">
        <f>VLOOKUP(B283,[1]Course!$A$2:$R$329,2,FALSE)</f>
        <v>0</v>
      </c>
      <c r="G283" s="31">
        <f>VLOOKUP(B283, [1]Course!$A$2:$L$950, 8, FALSE)</f>
        <v>12</v>
      </c>
      <c r="H283" s="31">
        <v>3</v>
      </c>
      <c r="I283" s="31">
        <v>1</v>
      </c>
      <c r="K283" s="31" t="s">
        <v>1548</v>
      </c>
      <c r="L283" s="31" t="str">
        <f>VLOOKUP(B283, [1]Course!$A$1:$O$933, 14, FALSE)</f>
        <v>EN</v>
      </c>
      <c r="M283" s="31">
        <v>1</v>
      </c>
    </row>
    <row r="284" spans="1:13" ht="15.75" hidden="1" customHeight="1" x14ac:dyDescent="0.2">
      <c r="A284" s="31">
        <v>283</v>
      </c>
      <c r="B284" s="31">
        <v>24</v>
      </c>
      <c r="C284" s="31">
        <v>44</v>
      </c>
      <c r="D284" s="31" t="s">
        <v>155</v>
      </c>
      <c r="E284" s="31" t="str">
        <f t="shared" si="4"/>
        <v>1244EN03PT</v>
      </c>
      <c r="F284" s="31">
        <f>VLOOKUP(B284,[1]Course!$A$2:$R$329,2,FALSE)</f>
        <v>0</v>
      </c>
      <c r="G284" s="31">
        <f>VLOOKUP(B284, [1]Course!$A$2:$L$950, 8, FALSE)</f>
        <v>12</v>
      </c>
      <c r="H284" s="31">
        <v>3</v>
      </c>
      <c r="I284" s="31">
        <v>1</v>
      </c>
      <c r="K284" s="31" t="s">
        <v>1548</v>
      </c>
      <c r="L284" s="31" t="str">
        <f>VLOOKUP(B284, [1]Course!$A$1:$O$933, 14, FALSE)</f>
        <v>EN</v>
      </c>
      <c r="M284" s="31">
        <v>1</v>
      </c>
    </row>
    <row r="285" spans="1:13" ht="15.75" hidden="1" customHeight="1" x14ac:dyDescent="0.2">
      <c r="A285" s="31">
        <v>284</v>
      </c>
      <c r="B285" s="31">
        <v>24</v>
      </c>
      <c r="C285" s="31">
        <v>45</v>
      </c>
      <c r="D285" s="31" t="s">
        <v>155</v>
      </c>
      <c r="E285" s="31" t="str">
        <f t="shared" si="4"/>
        <v>1245EN03PT</v>
      </c>
      <c r="F285" s="31">
        <f>VLOOKUP(B285,[1]Course!$A$2:$R$329,2,FALSE)</f>
        <v>0</v>
      </c>
      <c r="G285" s="31">
        <f>VLOOKUP(B285, [1]Course!$A$2:$L$950, 8, FALSE)</f>
        <v>12</v>
      </c>
      <c r="H285" s="31">
        <v>3</v>
      </c>
      <c r="I285" s="31">
        <v>1</v>
      </c>
      <c r="K285" s="31" t="s">
        <v>1548</v>
      </c>
      <c r="L285" s="31" t="str">
        <f>VLOOKUP(B285, [1]Course!$A$1:$O$933, 14, FALSE)</f>
        <v>EN</v>
      </c>
      <c r="M285" s="31">
        <v>1</v>
      </c>
    </row>
    <row r="286" spans="1:13" ht="15.75" hidden="1" customHeight="1" x14ac:dyDescent="0.2">
      <c r="A286" s="31">
        <v>285</v>
      </c>
      <c r="B286" s="31">
        <v>24</v>
      </c>
      <c r="C286" s="31">
        <v>46</v>
      </c>
      <c r="D286" s="31" t="s">
        <v>155</v>
      </c>
      <c r="E286" s="31" t="str">
        <f t="shared" si="4"/>
        <v>1246EN03PT</v>
      </c>
      <c r="F286" s="31">
        <f>VLOOKUP(B286,[1]Course!$A$2:$R$329,2,FALSE)</f>
        <v>0</v>
      </c>
      <c r="G286" s="31">
        <f>VLOOKUP(B286, [1]Course!$A$2:$L$950, 8, FALSE)</f>
        <v>12</v>
      </c>
      <c r="H286" s="31">
        <v>3</v>
      </c>
      <c r="I286" s="31">
        <v>1</v>
      </c>
      <c r="K286" s="31" t="s">
        <v>1548</v>
      </c>
      <c r="L286" s="31" t="str">
        <f>VLOOKUP(B286, [1]Course!$A$1:$O$933, 14, FALSE)</f>
        <v>EN</v>
      </c>
      <c r="M286" s="31">
        <v>1</v>
      </c>
    </row>
    <row r="287" spans="1:13" ht="15.75" hidden="1" customHeight="1" x14ac:dyDescent="0.2">
      <c r="A287" s="31">
        <v>286</v>
      </c>
      <c r="B287" s="31">
        <v>24</v>
      </c>
      <c r="C287" s="31">
        <v>47</v>
      </c>
      <c r="D287" s="31" t="s">
        <v>155</v>
      </c>
      <c r="E287" s="31" t="str">
        <f t="shared" si="4"/>
        <v>1247EN03PT</v>
      </c>
      <c r="F287" s="31">
        <f>VLOOKUP(B287,[1]Course!$A$2:$R$329,2,FALSE)</f>
        <v>0</v>
      </c>
      <c r="G287" s="31">
        <f>VLOOKUP(B287, [1]Course!$A$2:$L$950, 8, FALSE)</f>
        <v>12</v>
      </c>
      <c r="H287" s="31">
        <v>3</v>
      </c>
      <c r="I287" s="31">
        <v>1</v>
      </c>
      <c r="K287" s="31" t="s">
        <v>1548</v>
      </c>
      <c r="L287" s="31" t="str">
        <f>VLOOKUP(B287, [1]Course!$A$1:$O$933, 14, FALSE)</f>
        <v>EN</v>
      </c>
      <c r="M287" s="31">
        <v>1</v>
      </c>
    </row>
    <row r="288" spans="1:13" ht="15.75" hidden="1" customHeight="1" x14ac:dyDescent="0.2">
      <c r="A288" s="31">
        <v>287</v>
      </c>
      <c r="B288" s="31">
        <v>24</v>
      </c>
      <c r="C288" s="31">
        <v>48</v>
      </c>
      <c r="D288" s="31" t="s">
        <v>155</v>
      </c>
      <c r="E288" s="31" t="str">
        <f t="shared" si="4"/>
        <v>1248EN03PT</v>
      </c>
      <c r="F288" s="31">
        <f>VLOOKUP(B288,[1]Course!$A$2:$R$329,2,FALSE)</f>
        <v>0</v>
      </c>
      <c r="G288" s="31">
        <f>VLOOKUP(B288, [1]Course!$A$2:$L$950, 8, FALSE)</f>
        <v>12</v>
      </c>
      <c r="H288" s="31">
        <v>3</v>
      </c>
      <c r="I288" s="31">
        <v>1</v>
      </c>
      <c r="K288" s="31" t="s">
        <v>1548</v>
      </c>
      <c r="L288" s="31" t="str">
        <f>VLOOKUP(B288, [1]Course!$A$1:$O$933, 14, FALSE)</f>
        <v>EN</v>
      </c>
      <c r="M288" s="31">
        <v>1</v>
      </c>
    </row>
    <row r="289" spans="1:13" ht="15.75" hidden="1" customHeight="1" x14ac:dyDescent="0.2">
      <c r="A289" s="31">
        <v>288</v>
      </c>
      <c r="B289" s="31">
        <v>25</v>
      </c>
      <c r="C289" s="31">
        <v>37</v>
      </c>
      <c r="D289" s="31" t="s">
        <v>284</v>
      </c>
      <c r="E289" s="31" t="str">
        <f t="shared" si="4"/>
        <v>1237WB03PT</v>
      </c>
      <c r="F289" s="31">
        <f>VLOOKUP(B289,[1]Course!$A$2:$R$329,2,FALSE)</f>
        <v>0</v>
      </c>
      <c r="G289" s="31">
        <f>VLOOKUP(B289, [1]Course!$A$2:$L$950, 8, FALSE)</f>
        <v>12</v>
      </c>
      <c r="H289" s="31">
        <v>3</v>
      </c>
      <c r="I289" s="31">
        <v>1</v>
      </c>
      <c r="K289" s="31" t="s">
        <v>1548</v>
      </c>
      <c r="L289" s="31" t="str">
        <f>VLOOKUP(B289, [1]Course!$A$1:$O$933, 14, FALSE)</f>
        <v>WB</v>
      </c>
      <c r="M289" s="31">
        <v>1</v>
      </c>
    </row>
    <row r="290" spans="1:13" ht="15.75" hidden="1" customHeight="1" x14ac:dyDescent="0.2">
      <c r="A290" s="31">
        <v>289</v>
      </c>
      <c r="B290" s="31">
        <v>25</v>
      </c>
      <c r="C290" s="31">
        <v>38</v>
      </c>
      <c r="D290" s="31" t="s">
        <v>284</v>
      </c>
      <c r="E290" s="31" t="str">
        <f t="shared" si="4"/>
        <v>1238WB03PT</v>
      </c>
      <c r="F290" s="31">
        <f>VLOOKUP(B290,[1]Course!$A$2:$R$329,2,FALSE)</f>
        <v>0</v>
      </c>
      <c r="G290" s="31">
        <f>VLOOKUP(B290, [1]Course!$A$2:$L$950, 8, FALSE)</f>
        <v>12</v>
      </c>
      <c r="H290" s="31">
        <v>3</v>
      </c>
      <c r="I290" s="31">
        <v>1</v>
      </c>
      <c r="K290" s="31" t="s">
        <v>1548</v>
      </c>
      <c r="L290" s="31" t="str">
        <f>VLOOKUP(B290, [1]Course!$A$1:$O$933, 14, FALSE)</f>
        <v>WB</v>
      </c>
      <c r="M290" s="31">
        <v>1</v>
      </c>
    </row>
    <row r="291" spans="1:13" ht="15.75" hidden="1" customHeight="1" x14ac:dyDescent="0.2">
      <c r="A291" s="31">
        <v>290</v>
      </c>
      <c r="B291" s="31">
        <v>25</v>
      </c>
      <c r="C291" s="31">
        <v>39</v>
      </c>
      <c r="D291" s="31" t="s">
        <v>284</v>
      </c>
      <c r="E291" s="31" t="str">
        <f t="shared" si="4"/>
        <v>1239WB03PT</v>
      </c>
      <c r="F291" s="31">
        <f>VLOOKUP(B291,[1]Course!$A$2:$R$329,2,FALSE)</f>
        <v>0</v>
      </c>
      <c r="G291" s="31">
        <f>VLOOKUP(B291, [1]Course!$A$2:$L$950, 8, FALSE)</f>
        <v>12</v>
      </c>
      <c r="H291" s="31">
        <v>3</v>
      </c>
      <c r="I291" s="31">
        <v>1</v>
      </c>
      <c r="K291" s="31" t="s">
        <v>1548</v>
      </c>
      <c r="L291" s="31" t="str">
        <f>VLOOKUP(B291, [1]Course!$A$1:$O$933, 14, FALSE)</f>
        <v>WB</v>
      </c>
      <c r="M291" s="31">
        <v>1</v>
      </c>
    </row>
    <row r="292" spans="1:13" ht="15.75" hidden="1" customHeight="1" x14ac:dyDescent="0.2">
      <c r="A292" s="31">
        <v>291</v>
      </c>
      <c r="B292" s="31">
        <v>25</v>
      </c>
      <c r="C292" s="31">
        <v>40</v>
      </c>
      <c r="D292" s="31" t="s">
        <v>284</v>
      </c>
      <c r="E292" s="31" t="str">
        <f t="shared" si="4"/>
        <v>1240WB03PT</v>
      </c>
      <c r="F292" s="31">
        <f>VLOOKUP(B292,[1]Course!$A$2:$R$329,2,FALSE)</f>
        <v>0</v>
      </c>
      <c r="G292" s="31">
        <f>VLOOKUP(B292, [1]Course!$A$2:$L$950, 8, FALSE)</f>
        <v>12</v>
      </c>
      <c r="H292" s="31">
        <v>3</v>
      </c>
      <c r="I292" s="31">
        <v>1</v>
      </c>
      <c r="K292" s="31" t="s">
        <v>1548</v>
      </c>
      <c r="L292" s="31" t="str">
        <f>VLOOKUP(B292, [1]Course!$A$1:$O$933, 14, FALSE)</f>
        <v>WB</v>
      </c>
      <c r="M292" s="31">
        <v>1</v>
      </c>
    </row>
    <row r="293" spans="1:13" ht="15.75" hidden="1" customHeight="1" x14ac:dyDescent="0.2">
      <c r="A293" s="31">
        <v>292</v>
      </c>
      <c r="B293" s="31">
        <v>25</v>
      </c>
      <c r="C293" s="31">
        <v>41</v>
      </c>
      <c r="D293" s="31" t="s">
        <v>284</v>
      </c>
      <c r="E293" s="31" t="str">
        <f t="shared" si="4"/>
        <v>1241WB03PT</v>
      </c>
      <c r="F293" s="31">
        <f>VLOOKUP(B293,[1]Course!$A$2:$R$329,2,FALSE)</f>
        <v>0</v>
      </c>
      <c r="G293" s="31">
        <f>VLOOKUP(B293, [1]Course!$A$2:$L$950, 8, FALSE)</f>
        <v>12</v>
      </c>
      <c r="H293" s="31">
        <v>3</v>
      </c>
      <c r="I293" s="31">
        <v>1</v>
      </c>
      <c r="K293" s="31" t="s">
        <v>1548</v>
      </c>
      <c r="L293" s="31" t="str">
        <f>VLOOKUP(B293, [1]Course!$A$1:$O$933, 14, FALSE)</f>
        <v>WB</v>
      </c>
      <c r="M293" s="31">
        <v>1</v>
      </c>
    </row>
    <row r="294" spans="1:13" ht="15.75" hidden="1" customHeight="1" x14ac:dyDescent="0.2">
      <c r="A294" s="31">
        <v>293</v>
      </c>
      <c r="B294" s="31">
        <v>25</v>
      </c>
      <c r="C294" s="31">
        <v>42</v>
      </c>
      <c r="D294" s="31" t="s">
        <v>284</v>
      </c>
      <c r="E294" s="31" t="str">
        <f t="shared" si="4"/>
        <v>1242WB03PT</v>
      </c>
      <c r="F294" s="31">
        <f>VLOOKUP(B294,[1]Course!$A$2:$R$329,2,FALSE)</f>
        <v>0</v>
      </c>
      <c r="G294" s="31">
        <f>VLOOKUP(B294, [1]Course!$A$2:$L$950, 8, FALSE)</f>
        <v>12</v>
      </c>
      <c r="H294" s="31">
        <v>3</v>
      </c>
      <c r="I294" s="31">
        <v>1</v>
      </c>
      <c r="K294" s="31" t="s">
        <v>1548</v>
      </c>
      <c r="L294" s="31" t="str">
        <f>VLOOKUP(B294, [1]Course!$A$1:$O$933, 14, FALSE)</f>
        <v>WB</v>
      </c>
      <c r="M294" s="31">
        <v>1</v>
      </c>
    </row>
    <row r="295" spans="1:13" ht="15.75" hidden="1" customHeight="1" x14ac:dyDescent="0.2">
      <c r="A295" s="31">
        <v>294</v>
      </c>
      <c r="B295" s="31">
        <v>25</v>
      </c>
      <c r="C295" s="31">
        <v>43</v>
      </c>
      <c r="D295" s="31" t="s">
        <v>284</v>
      </c>
      <c r="E295" s="31" t="str">
        <f t="shared" si="4"/>
        <v>1243WB03PT</v>
      </c>
      <c r="F295" s="31">
        <f>VLOOKUP(B295,[1]Course!$A$2:$R$329,2,FALSE)</f>
        <v>0</v>
      </c>
      <c r="G295" s="31">
        <f>VLOOKUP(B295, [1]Course!$A$2:$L$950, 8, FALSE)</f>
        <v>12</v>
      </c>
      <c r="H295" s="31">
        <v>3</v>
      </c>
      <c r="I295" s="31">
        <v>1</v>
      </c>
      <c r="K295" s="31" t="s">
        <v>1548</v>
      </c>
      <c r="L295" s="31" t="str">
        <f>VLOOKUP(B295, [1]Course!$A$1:$O$933, 14, FALSE)</f>
        <v>WB</v>
      </c>
      <c r="M295" s="31">
        <v>1</v>
      </c>
    </row>
    <row r="296" spans="1:13" ht="15.75" hidden="1" customHeight="1" x14ac:dyDescent="0.2">
      <c r="A296" s="31">
        <v>295</v>
      </c>
      <c r="B296" s="31">
        <v>25</v>
      </c>
      <c r="C296" s="31">
        <v>44</v>
      </c>
      <c r="D296" s="31" t="s">
        <v>284</v>
      </c>
      <c r="E296" s="31" t="str">
        <f t="shared" si="4"/>
        <v>1244WB03PT</v>
      </c>
      <c r="F296" s="31">
        <f>VLOOKUP(B296,[1]Course!$A$2:$R$329,2,FALSE)</f>
        <v>0</v>
      </c>
      <c r="G296" s="31">
        <f>VLOOKUP(B296, [1]Course!$A$2:$L$950, 8, FALSE)</f>
        <v>12</v>
      </c>
      <c r="H296" s="31">
        <v>3</v>
      </c>
      <c r="I296" s="31">
        <v>1</v>
      </c>
      <c r="K296" s="31" t="s">
        <v>1548</v>
      </c>
      <c r="L296" s="31" t="str">
        <f>VLOOKUP(B296, [1]Course!$A$1:$O$933, 14, FALSE)</f>
        <v>WB</v>
      </c>
      <c r="M296" s="31">
        <v>1</v>
      </c>
    </row>
    <row r="297" spans="1:13" ht="15.75" hidden="1" customHeight="1" x14ac:dyDescent="0.2">
      <c r="A297" s="31">
        <v>296</v>
      </c>
      <c r="B297" s="31">
        <v>25</v>
      </c>
      <c r="C297" s="31">
        <v>45</v>
      </c>
      <c r="D297" s="31" t="s">
        <v>284</v>
      </c>
      <c r="E297" s="31" t="str">
        <f t="shared" si="4"/>
        <v>1245WB03PT</v>
      </c>
      <c r="F297" s="31">
        <f>VLOOKUP(B297,[1]Course!$A$2:$R$329,2,FALSE)</f>
        <v>0</v>
      </c>
      <c r="G297" s="31">
        <f>VLOOKUP(B297, [1]Course!$A$2:$L$950, 8, FALSE)</f>
        <v>12</v>
      </c>
      <c r="H297" s="31">
        <v>3</v>
      </c>
      <c r="I297" s="31">
        <v>1</v>
      </c>
      <c r="K297" s="31" t="s">
        <v>1548</v>
      </c>
      <c r="L297" s="31" t="str">
        <f>VLOOKUP(B297, [1]Course!$A$1:$O$933, 14, FALSE)</f>
        <v>WB</v>
      </c>
      <c r="M297" s="31">
        <v>1</v>
      </c>
    </row>
    <row r="298" spans="1:13" ht="15.75" hidden="1" customHeight="1" x14ac:dyDescent="0.2">
      <c r="A298" s="31">
        <v>297</v>
      </c>
      <c r="B298" s="31">
        <v>25</v>
      </c>
      <c r="C298" s="31">
        <v>46</v>
      </c>
      <c r="D298" s="31" t="s">
        <v>284</v>
      </c>
      <c r="E298" s="31" t="str">
        <f t="shared" si="4"/>
        <v>1246WB03PT</v>
      </c>
      <c r="F298" s="31">
        <f>VLOOKUP(B298,[1]Course!$A$2:$R$329,2,FALSE)</f>
        <v>0</v>
      </c>
      <c r="G298" s="31">
        <f>VLOOKUP(B298, [1]Course!$A$2:$L$950, 8, FALSE)</f>
        <v>12</v>
      </c>
      <c r="H298" s="31">
        <v>3</v>
      </c>
      <c r="I298" s="31">
        <v>1</v>
      </c>
      <c r="K298" s="31" t="s">
        <v>1548</v>
      </c>
      <c r="L298" s="31" t="str">
        <f>VLOOKUP(B298, [1]Course!$A$1:$O$933, 14, FALSE)</f>
        <v>WB</v>
      </c>
      <c r="M298" s="31">
        <v>1</v>
      </c>
    </row>
    <row r="299" spans="1:13" ht="15.75" hidden="1" customHeight="1" x14ac:dyDescent="0.2">
      <c r="A299" s="31">
        <v>298</v>
      </c>
      <c r="B299" s="31">
        <v>25</v>
      </c>
      <c r="C299" s="31">
        <v>47</v>
      </c>
      <c r="D299" s="31" t="s">
        <v>284</v>
      </c>
      <c r="E299" s="31" t="str">
        <f t="shared" si="4"/>
        <v>1247WB03PT</v>
      </c>
      <c r="F299" s="31">
        <f>VLOOKUP(B299,[1]Course!$A$2:$R$329,2,FALSE)</f>
        <v>0</v>
      </c>
      <c r="G299" s="31">
        <f>VLOOKUP(B299, [1]Course!$A$2:$L$950, 8, FALSE)</f>
        <v>12</v>
      </c>
      <c r="H299" s="31">
        <v>3</v>
      </c>
      <c r="I299" s="31">
        <v>1</v>
      </c>
      <c r="K299" s="31" t="s">
        <v>1548</v>
      </c>
      <c r="L299" s="31" t="str">
        <f>VLOOKUP(B299, [1]Course!$A$1:$O$933, 14, FALSE)</f>
        <v>WB</v>
      </c>
      <c r="M299" s="31">
        <v>1</v>
      </c>
    </row>
    <row r="300" spans="1:13" ht="15.75" hidden="1" customHeight="1" x14ac:dyDescent="0.2">
      <c r="A300" s="31">
        <v>299</v>
      </c>
      <c r="B300" s="31">
        <v>25</v>
      </c>
      <c r="C300" s="31">
        <v>48</v>
      </c>
      <c r="D300" s="31" t="s">
        <v>284</v>
      </c>
      <c r="E300" s="31" t="str">
        <f t="shared" si="4"/>
        <v>1248WB03PT</v>
      </c>
      <c r="F300" s="31">
        <f>VLOOKUP(B300,[1]Course!$A$2:$R$329,2,FALSE)</f>
        <v>0</v>
      </c>
      <c r="G300" s="31">
        <f>VLOOKUP(B300, [1]Course!$A$2:$L$950, 8, FALSE)</f>
        <v>12</v>
      </c>
      <c r="H300" s="31">
        <v>3</v>
      </c>
      <c r="I300" s="31">
        <v>1</v>
      </c>
      <c r="K300" s="31" t="s">
        <v>1548</v>
      </c>
      <c r="L300" s="31" t="str">
        <f>VLOOKUP(B300, [1]Course!$A$1:$O$933, 14, FALSE)</f>
        <v>WB</v>
      </c>
      <c r="M300" s="31">
        <v>1</v>
      </c>
    </row>
    <row r="301" spans="1:13" ht="15.75" hidden="1" customHeight="1" x14ac:dyDescent="0.2">
      <c r="A301" s="31">
        <v>300</v>
      </c>
      <c r="B301" s="31">
        <v>26</v>
      </c>
      <c r="C301" s="31">
        <v>37</v>
      </c>
      <c r="D301" s="31" t="s">
        <v>85</v>
      </c>
      <c r="E301" s="31" t="str">
        <f t="shared" si="4"/>
        <v>1237LC03PT</v>
      </c>
      <c r="F301" s="31">
        <f>VLOOKUP(B301,[1]Course!$A$2:$R$329,2,FALSE)</f>
        <v>0</v>
      </c>
      <c r="G301" s="31">
        <f>VLOOKUP(B301, [1]Course!$A$2:$L$950, 8, FALSE)</f>
        <v>12</v>
      </c>
      <c r="H301" s="31">
        <v>3</v>
      </c>
      <c r="I301" s="31">
        <v>1</v>
      </c>
      <c r="K301" s="31" t="s">
        <v>1548</v>
      </c>
      <c r="L301" s="31" t="str">
        <f>VLOOKUP(B301, [1]Course!$A$1:$O$933, 14, FALSE)</f>
        <v>LC</v>
      </c>
      <c r="M301" s="31">
        <v>1</v>
      </c>
    </row>
    <row r="302" spans="1:13" ht="15.75" hidden="1" customHeight="1" x14ac:dyDescent="0.2">
      <c r="A302" s="31">
        <v>301</v>
      </c>
      <c r="B302" s="31">
        <v>26</v>
      </c>
      <c r="C302" s="31">
        <v>38</v>
      </c>
      <c r="D302" s="31" t="s">
        <v>85</v>
      </c>
      <c r="E302" s="31" t="str">
        <f t="shared" si="4"/>
        <v>1238LC03PT</v>
      </c>
      <c r="F302" s="31">
        <f>VLOOKUP(B302,[1]Course!$A$2:$R$329,2,FALSE)</f>
        <v>0</v>
      </c>
      <c r="G302" s="31">
        <f>VLOOKUP(B302, [1]Course!$A$2:$L$950, 8, FALSE)</f>
        <v>12</v>
      </c>
      <c r="H302" s="31">
        <v>3</v>
      </c>
      <c r="I302" s="31">
        <v>1</v>
      </c>
      <c r="K302" s="31" t="s">
        <v>1548</v>
      </c>
      <c r="L302" s="31" t="str">
        <f>VLOOKUP(B302, [1]Course!$A$1:$O$933, 14, FALSE)</f>
        <v>LC</v>
      </c>
      <c r="M302" s="31">
        <v>1</v>
      </c>
    </row>
    <row r="303" spans="1:13" ht="15.75" hidden="1" customHeight="1" x14ac:dyDescent="0.2">
      <c r="A303" s="31">
        <v>302</v>
      </c>
      <c r="B303" s="31">
        <v>26</v>
      </c>
      <c r="C303" s="31">
        <v>39</v>
      </c>
      <c r="D303" s="31" t="s">
        <v>85</v>
      </c>
      <c r="E303" s="31" t="str">
        <f t="shared" si="4"/>
        <v>1239LC03PT</v>
      </c>
      <c r="F303" s="31">
        <f>VLOOKUP(B303,[1]Course!$A$2:$R$329,2,FALSE)</f>
        <v>0</v>
      </c>
      <c r="G303" s="31">
        <f>VLOOKUP(B303, [1]Course!$A$2:$L$950, 8, FALSE)</f>
        <v>12</v>
      </c>
      <c r="H303" s="31">
        <v>3</v>
      </c>
      <c r="I303" s="31">
        <v>1</v>
      </c>
      <c r="K303" s="31" t="s">
        <v>1548</v>
      </c>
      <c r="L303" s="31" t="str">
        <f>VLOOKUP(B303, [1]Course!$A$1:$O$933, 14, FALSE)</f>
        <v>LC</v>
      </c>
      <c r="M303" s="31">
        <v>1</v>
      </c>
    </row>
    <row r="304" spans="1:13" ht="15.75" hidden="1" customHeight="1" x14ac:dyDescent="0.2">
      <c r="A304" s="31">
        <v>303</v>
      </c>
      <c r="B304" s="31">
        <v>26</v>
      </c>
      <c r="C304" s="31">
        <v>40</v>
      </c>
      <c r="D304" s="31" t="s">
        <v>85</v>
      </c>
      <c r="E304" s="31" t="str">
        <f t="shared" si="4"/>
        <v>1240LC03PT</v>
      </c>
      <c r="F304" s="31">
        <f>VLOOKUP(B304,[1]Course!$A$2:$R$329,2,FALSE)</f>
        <v>0</v>
      </c>
      <c r="G304" s="31">
        <f>VLOOKUP(B304, [1]Course!$A$2:$L$950, 8, FALSE)</f>
        <v>12</v>
      </c>
      <c r="H304" s="31">
        <v>3</v>
      </c>
      <c r="I304" s="31">
        <v>1</v>
      </c>
      <c r="K304" s="31" t="s">
        <v>1548</v>
      </c>
      <c r="L304" s="31" t="str">
        <f>VLOOKUP(B304, [1]Course!$A$1:$O$933, 14, FALSE)</f>
        <v>LC</v>
      </c>
      <c r="M304" s="31">
        <v>1</v>
      </c>
    </row>
    <row r="305" spans="1:13" ht="15.75" hidden="1" customHeight="1" x14ac:dyDescent="0.2">
      <c r="A305" s="31">
        <v>304</v>
      </c>
      <c r="B305" s="31">
        <v>26</v>
      </c>
      <c r="C305" s="31">
        <v>41</v>
      </c>
      <c r="D305" s="31" t="s">
        <v>85</v>
      </c>
      <c r="E305" s="31" t="str">
        <f t="shared" si="4"/>
        <v>1241LC03PT</v>
      </c>
      <c r="F305" s="31">
        <f>VLOOKUP(B305,[1]Course!$A$2:$R$329,2,FALSE)</f>
        <v>0</v>
      </c>
      <c r="G305" s="31">
        <f>VLOOKUP(B305, [1]Course!$A$2:$L$950, 8, FALSE)</f>
        <v>12</v>
      </c>
      <c r="H305" s="31">
        <v>3</v>
      </c>
      <c r="I305" s="31">
        <v>1</v>
      </c>
      <c r="K305" s="31" t="s">
        <v>1548</v>
      </c>
      <c r="L305" s="31" t="str">
        <f>VLOOKUP(B305, [1]Course!$A$1:$O$933, 14, FALSE)</f>
        <v>LC</v>
      </c>
      <c r="M305" s="31">
        <v>1</v>
      </c>
    </row>
    <row r="306" spans="1:13" ht="15.75" hidden="1" customHeight="1" x14ac:dyDescent="0.2">
      <c r="A306" s="31">
        <v>305</v>
      </c>
      <c r="B306" s="31">
        <v>26</v>
      </c>
      <c r="C306" s="31">
        <v>42</v>
      </c>
      <c r="D306" s="31" t="s">
        <v>85</v>
      </c>
      <c r="E306" s="31" t="str">
        <f t="shared" si="4"/>
        <v>1242LC03PT</v>
      </c>
      <c r="F306" s="31">
        <f>VLOOKUP(B306,[1]Course!$A$2:$R$329,2,FALSE)</f>
        <v>0</v>
      </c>
      <c r="G306" s="31">
        <f>VLOOKUP(B306, [1]Course!$A$2:$L$950, 8, FALSE)</f>
        <v>12</v>
      </c>
      <c r="H306" s="31">
        <v>3</v>
      </c>
      <c r="I306" s="31">
        <v>1</v>
      </c>
      <c r="K306" s="31" t="s">
        <v>1548</v>
      </c>
      <c r="L306" s="31" t="str">
        <f>VLOOKUP(B306, [1]Course!$A$1:$O$933, 14, FALSE)</f>
        <v>LC</v>
      </c>
      <c r="M306" s="31">
        <v>1</v>
      </c>
    </row>
    <row r="307" spans="1:13" ht="15.75" hidden="1" customHeight="1" x14ac:dyDescent="0.2">
      <c r="A307" s="31">
        <v>306</v>
      </c>
      <c r="B307" s="31">
        <v>26</v>
      </c>
      <c r="C307" s="31">
        <v>43</v>
      </c>
      <c r="D307" s="31" t="s">
        <v>85</v>
      </c>
      <c r="E307" s="31" t="str">
        <f t="shared" si="4"/>
        <v>1243LC03PT</v>
      </c>
      <c r="F307" s="31">
        <f>VLOOKUP(B307,[1]Course!$A$2:$R$329,2,FALSE)</f>
        <v>0</v>
      </c>
      <c r="G307" s="31">
        <f>VLOOKUP(B307, [1]Course!$A$2:$L$950, 8, FALSE)</f>
        <v>12</v>
      </c>
      <c r="H307" s="31">
        <v>3</v>
      </c>
      <c r="I307" s="31">
        <v>1</v>
      </c>
      <c r="K307" s="31" t="s">
        <v>1548</v>
      </c>
      <c r="L307" s="31" t="str">
        <f>VLOOKUP(B307, [1]Course!$A$1:$O$933, 14, FALSE)</f>
        <v>LC</v>
      </c>
      <c r="M307" s="31">
        <v>1</v>
      </c>
    </row>
    <row r="308" spans="1:13" ht="15.75" hidden="1" customHeight="1" x14ac:dyDescent="0.2">
      <c r="A308" s="31">
        <v>307</v>
      </c>
      <c r="B308" s="31">
        <v>26</v>
      </c>
      <c r="C308" s="31">
        <v>44</v>
      </c>
      <c r="D308" s="31" t="s">
        <v>85</v>
      </c>
      <c r="E308" s="31" t="str">
        <f t="shared" si="4"/>
        <v>1244LC03PT</v>
      </c>
      <c r="F308" s="31">
        <f>VLOOKUP(B308,[1]Course!$A$2:$R$329,2,FALSE)</f>
        <v>0</v>
      </c>
      <c r="G308" s="31">
        <f>VLOOKUP(B308, [1]Course!$A$2:$L$950, 8, FALSE)</f>
        <v>12</v>
      </c>
      <c r="H308" s="31">
        <v>3</v>
      </c>
      <c r="I308" s="31">
        <v>1</v>
      </c>
      <c r="K308" s="31" t="s">
        <v>1548</v>
      </c>
      <c r="L308" s="31" t="str">
        <f>VLOOKUP(B308, [1]Course!$A$1:$O$933, 14, FALSE)</f>
        <v>LC</v>
      </c>
      <c r="M308" s="31">
        <v>1</v>
      </c>
    </row>
    <row r="309" spans="1:13" ht="15.75" hidden="1" customHeight="1" x14ac:dyDescent="0.2">
      <c r="A309" s="31">
        <v>308</v>
      </c>
      <c r="B309" s="31">
        <v>26</v>
      </c>
      <c r="C309" s="31">
        <v>45</v>
      </c>
      <c r="D309" s="31" t="s">
        <v>85</v>
      </c>
      <c r="E309" s="31" t="str">
        <f t="shared" si="4"/>
        <v>1245LC03PT</v>
      </c>
      <c r="F309" s="31">
        <f>VLOOKUP(B309,[1]Course!$A$2:$R$329,2,FALSE)</f>
        <v>0</v>
      </c>
      <c r="G309" s="31">
        <f>VLOOKUP(B309, [1]Course!$A$2:$L$950, 8, FALSE)</f>
        <v>12</v>
      </c>
      <c r="H309" s="31">
        <v>3</v>
      </c>
      <c r="I309" s="31">
        <v>1</v>
      </c>
      <c r="K309" s="31" t="s">
        <v>1548</v>
      </c>
      <c r="L309" s="31" t="str">
        <f>VLOOKUP(B309, [1]Course!$A$1:$O$933, 14, FALSE)</f>
        <v>LC</v>
      </c>
      <c r="M309" s="31">
        <v>1</v>
      </c>
    </row>
    <row r="310" spans="1:13" ht="15.75" hidden="1" customHeight="1" x14ac:dyDescent="0.2">
      <c r="A310" s="31">
        <v>309</v>
      </c>
      <c r="B310" s="31">
        <v>26</v>
      </c>
      <c r="C310" s="31">
        <v>46</v>
      </c>
      <c r="D310" s="31" t="s">
        <v>85</v>
      </c>
      <c r="E310" s="31" t="str">
        <f t="shared" si="4"/>
        <v>1246LC03PT</v>
      </c>
      <c r="F310" s="31">
        <f>VLOOKUP(B310,[1]Course!$A$2:$R$329,2,FALSE)</f>
        <v>0</v>
      </c>
      <c r="G310" s="31">
        <f>VLOOKUP(B310, [1]Course!$A$2:$L$950, 8, FALSE)</f>
        <v>12</v>
      </c>
      <c r="H310" s="31">
        <v>3</v>
      </c>
      <c r="I310" s="31">
        <v>1</v>
      </c>
      <c r="K310" s="31" t="s">
        <v>1548</v>
      </c>
      <c r="L310" s="31" t="str">
        <f>VLOOKUP(B310, [1]Course!$A$1:$O$933, 14, FALSE)</f>
        <v>LC</v>
      </c>
      <c r="M310" s="31">
        <v>1</v>
      </c>
    </row>
    <row r="311" spans="1:13" ht="15.75" hidden="1" customHeight="1" x14ac:dyDescent="0.2">
      <c r="A311" s="31">
        <v>310</v>
      </c>
      <c r="B311" s="31">
        <v>26</v>
      </c>
      <c r="C311" s="31">
        <v>47</v>
      </c>
      <c r="D311" s="31" t="s">
        <v>85</v>
      </c>
      <c r="E311" s="31" t="str">
        <f t="shared" si="4"/>
        <v>1247LC03PT</v>
      </c>
      <c r="F311" s="31">
        <f>VLOOKUP(B311,[1]Course!$A$2:$R$329,2,FALSE)</f>
        <v>0</v>
      </c>
      <c r="G311" s="31">
        <f>VLOOKUP(B311, [1]Course!$A$2:$L$950, 8, FALSE)</f>
        <v>12</v>
      </c>
      <c r="H311" s="31">
        <v>3</v>
      </c>
      <c r="I311" s="31">
        <v>1</v>
      </c>
      <c r="K311" s="31" t="s">
        <v>1548</v>
      </c>
      <c r="L311" s="31" t="str">
        <f>VLOOKUP(B311, [1]Course!$A$1:$O$933, 14, FALSE)</f>
        <v>LC</v>
      </c>
      <c r="M311" s="31">
        <v>1</v>
      </c>
    </row>
    <row r="312" spans="1:13" ht="15.75" hidden="1" customHeight="1" x14ac:dyDescent="0.2">
      <c r="A312" s="31">
        <v>311</v>
      </c>
      <c r="B312" s="31">
        <v>26</v>
      </c>
      <c r="C312" s="31">
        <v>48</v>
      </c>
      <c r="D312" s="31" t="s">
        <v>85</v>
      </c>
      <c r="E312" s="31" t="str">
        <f t="shared" si="4"/>
        <v>1248LC03PT</v>
      </c>
      <c r="F312" s="31">
        <f>VLOOKUP(B312,[1]Course!$A$2:$R$329,2,FALSE)</f>
        <v>0</v>
      </c>
      <c r="G312" s="31">
        <f>VLOOKUP(B312, [1]Course!$A$2:$L$950, 8, FALSE)</f>
        <v>12</v>
      </c>
      <c r="H312" s="31">
        <v>3</v>
      </c>
      <c r="I312" s="31">
        <v>1</v>
      </c>
      <c r="K312" s="31" t="s">
        <v>1548</v>
      </c>
      <c r="L312" s="31" t="str">
        <f>VLOOKUP(B312, [1]Course!$A$1:$O$933, 14, FALSE)</f>
        <v>LC</v>
      </c>
      <c r="M312" s="31">
        <v>1</v>
      </c>
    </row>
    <row r="313" spans="1:13" ht="15.75" hidden="1" customHeight="1" x14ac:dyDescent="0.2">
      <c r="A313" s="31">
        <v>312</v>
      </c>
      <c r="B313" s="31">
        <v>27</v>
      </c>
      <c r="C313" s="31">
        <v>37</v>
      </c>
      <c r="D313" s="31" t="s">
        <v>50</v>
      </c>
      <c r="E313" s="31" t="str">
        <f t="shared" si="4"/>
        <v>1237SC03PT</v>
      </c>
      <c r="F313" s="31" t="str">
        <f>VLOOKUP(B313,[1]Course!$A$2:$R$329,2,FALSE)</f>
        <v>Science 4</v>
      </c>
      <c r="G313" s="31">
        <f>VLOOKUP(B313, [1]Course!$A$2:$L$950, 8, FALSE)</f>
        <v>12</v>
      </c>
      <c r="H313" s="31">
        <v>3</v>
      </c>
      <c r="I313" s="31">
        <v>1</v>
      </c>
      <c r="K313" s="31" t="s">
        <v>1548</v>
      </c>
      <c r="L313" s="31" t="str">
        <f>VLOOKUP(B313, [1]Course!$A$1:$O$933, 14, FALSE)</f>
        <v>SC</v>
      </c>
      <c r="M313" s="31">
        <v>1</v>
      </c>
    </row>
    <row r="314" spans="1:13" ht="15.75" hidden="1" customHeight="1" x14ac:dyDescent="0.2">
      <c r="A314" s="31">
        <v>313</v>
      </c>
      <c r="B314" s="31">
        <v>27</v>
      </c>
      <c r="C314" s="31">
        <v>38</v>
      </c>
      <c r="D314" s="31" t="s">
        <v>50</v>
      </c>
      <c r="E314" s="31" t="str">
        <f t="shared" si="4"/>
        <v>1238SC03PT</v>
      </c>
      <c r="F314" s="31" t="str">
        <f>VLOOKUP(B314,[1]Course!$A$2:$R$329,2,FALSE)</f>
        <v>Science 4</v>
      </c>
      <c r="G314" s="31">
        <f>VLOOKUP(B314, [1]Course!$A$2:$L$950, 8, FALSE)</f>
        <v>12</v>
      </c>
      <c r="H314" s="31">
        <v>3</v>
      </c>
      <c r="I314" s="31">
        <v>1</v>
      </c>
      <c r="K314" s="31" t="s">
        <v>1548</v>
      </c>
      <c r="L314" s="31" t="str">
        <f>VLOOKUP(B314, [1]Course!$A$1:$O$933, 14, FALSE)</f>
        <v>SC</v>
      </c>
      <c r="M314" s="31">
        <v>1</v>
      </c>
    </row>
    <row r="315" spans="1:13" ht="15.75" hidden="1" customHeight="1" x14ac:dyDescent="0.2">
      <c r="A315" s="31">
        <v>314</v>
      </c>
      <c r="B315" s="31">
        <v>27</v>
      </c>
      <c r="C315" s="31">
        <v>39</v>
      </c>
      <c r="D315" s="31" t="s">
        <v>50</v>
      </c>
      <c r="E315" s="31" t="str">
        <f t="shared" si="4"/>
        <v>1239SC03PT</v>
      </c>
      <c r="F315" s="31" t="str">
        <f>VLOOKUP(B315,[1]Course!$A$2:$R$329,2,FALSE)</f>
        <v>Science 4</v>
      </c>
      <c r="G315" s="31">
        <f>VLOOKUP(B315, [1]Course!$A$2:$L$950, 8, FALSE)</f>
        <v>12</v>
      </c>
      <c r="H315" s="31">
        <v>3</v>
      </c>
      <c r="I315" s="31">
        <v>1</v>
      </c>
      <c r="K315" s="31" t="s">
        <v>1548</v>
      </c>
      <c r="L315" s="31" t="str">
        <f>VLOOKUP(B315, [1]Course!$A$1:$O$933, 14, FALSE)</f>
        <v>SC</v>
      </c>
      <c r="M315" s="31">
        <v>1</v>
      </c>
    </row>
    <row r="316" spans="1:13" ht="15.75" hidden="1" customHeight="1" x14ac:dyDescent="0.2">
      <c r="A316" s="31">
        <v>315</v>
      </c>
      <c r="B316" s="31">
        <v>27</v>
      </c>
      <c r="C316" s="31">
        <v>40</v>
      </c>
      <c r="D316" s="31" t="s">
        <v>50</v>
      </c>
      <c r="E316" s="31" t="str">
        <f t="shared" si="4"/>
        <v>1240SC03PT</v>
      </c>
      <c r="F316" s="31" t="str">
        <f>VLOOKUP(B316,[1]Course!$A$2:$R$329,2,FALSE)</f>
        <v>Science 4</v>
      </c>
      <c r="G316" s="31">
        <f>VLOOKUP(B316, [1]Course!$A$2:$L$950, 8, FALSE)</f>
        <v>12</v>
      </c>
      <c r="H316" s="31">
        <v>3</v>
      </c>
      <c r="I316" s="31">
        <v>1</v>
      </c>
      <c r="K316" s="31" t="s">
        <v>1548</v>
      </c>
      <c r="L316" s="31" t="str">
        <f>VLOOKUP(B316, [1]Course!$A$1:$O$933, 14, FALSE)</f>
        <v>SC</v>
      </c>
      <c r="M316" s="31">
        <v>1</v>
      </c>
    </row>
    <row r="317" spans="1:13" ht="15.75" hidden="1" customHeight="1" x14ac:dyDescent="0.2">
      <c r="A317" s="31">
        <v>316</v>
      </c>
      <c r="B317" s="31">
        <v>27</v>
      </c>
      <c r="C317" s="31">
        <v>41</v>
      </c>
      <c r="D317" s="31" t="s">
        <v>50</v>
      </c>
      <c r="E317" s="31" t="str">
        <f t="shared" si="4"/>
        <v>1241SC03PT</v>
      </c>
      <c r="F317" s="31" t="str">
        <f>VLOOKUP(B317,[1]Course!$A$2:$R$329,2,FALSE)</f>
        <v>Science 4</v>
      </c>
      <c r="G317" s="31">
        <f>VLOOKUP(B317, [1]Course!$A$2:$L$950, 8, FALSE)</f>
        <v>12</v>
      </c>
      <c r="H317" s="31">
        <v>3</v>
      </c>
      <c r="I317" s="31">
        <v>1</v>
      </c>
      <c r="K317" s="31" t="s">
        <v>1548</v>
      </c>
      <c r="L317" s="31" t="str">
        <f>VLOOKUP(B317, [1]Course!$A$1:$O$933, 14, FALSE)</f>
        <v>SC</v>
      </c>
      <c r="M317" s="31">
        <v>1</v>
      </c>
    </row>
    <row r="318" spans="1:13" ht="15.75" hidden="1" customHeight="1" x14ac:dyDescent="0.2">
      <c r="A318" s="31">
        <v>317</v>
      </c>
      <c r="B318" s="31">
        <v>27</v>
      </c>
      <c r="C318" s="31">
        <v>42</v>
      </c>
      <c r="D318" s="31" t="s">
        <v>50</v>
      </c>
      <c r="E318" s="31" t="str">
        <f t="shared" si="4"/>
        <v>1242SC03PT</v>
      </c>
      <c r="F318" s="31" t="str">
        <f>VLOOKUP(B318,[1]Course!$A$2:$R$329,2,FALSE)</f>
        <v>Science 4</v>
      </c>
      <c r="G318" s="31">
        <f>VLOOKUP(B318, [1]Course!$A$2:$L$950, 8, FALSE)</f>
        <v>12</v>
      </c>
      <c r="H318" s="31">
        <v>3</v>
      </c>
      <c r="I318" s="31">
        <v>1</v>
      </c>
      <c r="K318" s="31" t="s">
        <v>1548</v>
      </c>
      <c r="L318" s="31" t="str">
        <f>VLOOKUP(B318, [1]Course!$A$1:$O$933, 14, FALSE)</f>
        <v>SC</v>
      </c>
      <c r="M318" s="31">
        <v>1</v>
      </c>
    </row>
    <row r="319" spans="1:13" ht="15.75" hidden="1" customHeight="1" x14ac:dyDescent="0.2">
      <c r="A319" s="31">
        <v>318</v>
      </c>
      <c r="B319" s="31">
        <v>27</v>
      </c>
      <c r="C319" s="31">
        <v>43</v>
      </c>
      <c r="D319" s="31" t="s">
        <v>50</v>
      </c>
      <c r="E319" s="31" t="str">
        <f t="shared" si="4"/>
        <v>1243SC03PT</v>
      </c>
      <c r="F319" s="31" t="str">
        <f>VLOOKUP(B319,[1]Course!$A$2:$R$329,2,FALSE)</f>
        <v>Science 4</v>
      </c>
      <c r="G319" s="31">
        <f>VLOOKUP(B319, [1]Course!$A$2:$L$950, 8, FALSE)</f>
        <v>12</v>
      </c>
      <c r="H319" s="31">
        <v>3</v>
      </c>
      <c r="I319" s="31">
        <v>1</v>
      </c>
      <c r="K319" s="31" t="s">
        <v>1548</v>
      </c>
      <c r="L319" s="31" t="str">
        <f>VLOOKUP(B319, [1]Course!$A$1:$O$933, 14, FALSE)</f>
        <v>SC</v>
      </c>
      <c r="M319" s="31">
        <v>1</v>
      </c>
    </row>
    <row r="320" spans="1:13" ht="15.75" hidden="1" customHeight="1" x14ac:dyDescent="0.2">
      <c r="A320" s="31">
        <v>319</v>
      </c>
      <c r="B320" s="31">
        <v>27</v>
      </c>
      <c r="C320" s="31">
        <v>44</v>
      </c>
      <c r="D320" s="31" t="s">
        <v>50</v>
      </c>
      <c r="E320" s="31" t="str">
        <f t="shared" si="4"/>
        <v>1244SC03PT</v>
      </c>
      <c r="F320" s="31" t="str">
        <f>VLOOKUP(B320,[1]Course!$A$2:$R$329,2,FALSE)</f>
        <v>Science 4</v>
      </c>
      <c r="G320" s="31">
        <f>VLOOKUP(B320, [1]Course!$A$2:$L$950, 8, FALSE)</f>
        <v>12</v>
      </c>
      <c r="H320" s="31">
        <v>3</v>
      </c>
      <c r="I320" s="31">
        <v>1</v>
      </c>
      <c r="K320" s="31" t="s">
        <v>1548</v>
      </c>
      <c r="L320" s="31" t="str">
        <f>VLOOKUP(B320, [1]Course!$A$1:$O$933, 14, FALSE)</f>
        <v>SC</v>
      </c>
      <c r="M320" s="31">
        <v>1</v>
      </c>
    </row>
    <row r="321" spans="1:13" ht="15.75" hidden="1" customHeight="1" x14ac:dyDescent="0.2">
      <c r="A321" s="31">
        <v>320</v>
      </c>
      <c r="B321" s="31">
        <v>27</v>
      </c>
      <c r="C321" s="31">
        <v>45</v>
      </c>
      <c r="D321" s="31" t="s">
        <v>50</v>
      </c>
      <c r="E321" s="31" t="str">
        <f t="shared" si="4"/>
        <v>1245SC03PT</v>
      </c>
      <c r="F321" s="31" t="str">
        <f>VLOOKUP(B321,[1]Course!$A$2:$R$329,2,FALSE)</f>
        <v>Science 4</v>
      </c>
      <c r="G321" s="31">
        <f>VLOOKUP(B321, [1]Course!$A$2:$L$950, 8, FALSE)</f>
        <v>12</v>
      </c>
      <c r="H321" s="31">
        <v>3</v>
      </c>
      <c r="I321" s="31">
        <v>1</v>
      </c>
      <c r="K321" s="31" t="s">
        <v>1548</v>
      </c>
      <c r="L321" s="31" t="str">
        <f>VLOOKUP(B321, [1]Course!$A$1:$O$933, 14, FALSE)</f>
        <v>SC</v>
      </c>
      <c r="M321" s="31">
        <v>1</v>
      </c>
    </row>
    <row r="322" spans="1:13" ht="15.75" hidden="1" customHeight="1" x14ac:dyDescent="0.2">
      <c r="A322" s="31">
        <v>321</v>
      </c>
      <c r="B322" s="31">
        <v>27</v>
      </c>
      <c r="C322" s="31">
        <v>46</v>
      </c>
      <c r="D322" s="31" t="s">
        <v>50</v>
      </c>
      <c r="E322" s="31" t="str">
        <f t="shared" si="4"/>
        <v>1246SC03PT</v>
      </c>
      <c r="F322" s="31" t="str">
        <f>VLOOKUP(B322,[1]Course!$A$2:$R$329,2,FALSE)</f>
        <v>Science 4</v>
      </c>
      <c r="G322" s="31">
        <f>VLOOKUP(B322, [1]Course!$A$2:$L$950, 8, FALSE)</f>
        <v>12</v>
      </c>
      <c r="H322" s="31">
        <v>3</v>
      </c>
      <c r="I322" s="31">
        <v>1</v>
      </c>
      <c r="K322" s="31" t="s">
        <v>1548</v>
      </c>
      <c r="L322" s="31" t="str">
        <f>VLOOKUP(B322, [1]Course!$A$1:$O$933, 14, FALSE)</f>
        <v>SC</v>
      </c>
      <c r="M322" s="31">
        <v>1</v>
      </c>
    </row>
    <row r="323" spans="1:13" ht="15.75" hidden="1" customHeight="1" x14ac:dyDescent="0.2">
      <c r="A323" s="31">
        <v>322</v>
      </c>
      <c r="B323" s="31">
        <v>27</v>
      </c>
      <c r="C323" s="31">
        <v>47</v>
      </c>
      <c r="D323" s="31" t="s">
        <v>50</v>
      </c>
      <c r="E323" s="31" t="str">
        <f t="shared" ref="E323:E386" si="5">UPPER(LEFT(G323,2)) &amp; RIGHT("0" &amp; C323, 2) &amp; D323 &amp; RIGHT("0" &amp; H323, 2) &amp; K323</f>
        <v>1247SC03PT</v>
      </c>
      <c r="F323" s="31" t="str">
        <f>VLOOKUP(B323,[1]Course!$A$2:$R$329,2,FALSE)</f>
        <v>Science 4</v>
      </c>
      <c r="G323" s="31">
        <f>VLOOKUP(B323, [1]Course!$A$2:$L$950, 8, FALSE)</f>
        <v>12</v>
      </c>
      <c r="H323" s="31">
        <v>3</v>
      </c>
      <c r="I323" s="31">
        <v>1</v>
      </c>
      <c r="K323" s="31" t="s">
        <v>1548</v>
      </c>
      <c r="L323" s="31" t="str">
        <f>VLOOKUP(B323, [1]Course!$A$1:$O$933, 14, FALSE)</f>
        <v>SC</v>
      </c>
      <c r="M323" s="31">
        <v>1</v>
      </c>
    </row>
    <row r="324" spans="1:13" ht="15.75" hidden="1" customHeight="1" x14ac:dyDescent="0.2">
      <c r="A324" s="31">
        <v>323</v>
      </c>
      <c r="B324" s="31">
        <v>27</v>
      </c>
      <c r="C324" s="31">
        <v>48</v>
      </c>
      <c r="D324" s="31" t="s">
        <v>50</v>
      </c>
      <c r="E324" s="31" t="str">
        <f t="shared" si="5"/>
        <v>1248SC03PT</v>
      </c>
      <c r="F324" s="31" t="str">
        <f>VLOOKUP(B324,[1]Course!$A$2:$R$329,2,FALSE)</f>
        <v>Science 4</v>
      </c>
      <c r="G324" s="31">
        <f>VLOOKUP(B324, [1]Course!$A$2:$L$950, 8, FALSE)</f>
        <v>12</v>
      </c>
      <c r="H324" s="31">
        <v>3</v>
      </c>
      <c r="I324" s="31">
        <v>1</v>
      </c>
      <c r="K324" s="31" t="s">
        <v>1548</v>
      </c>
      <c r="L324" s="31" t="str">
        <f>VLOOKUP(B324, [1]Course!$A$1:$O$933, 14, FALSE)</f>
        <v>SC</v>
      </c>
      <c r="M324" s="31">
        <v>1</v>
      </c>
    </row>
    <row r="325" spans="1:13" ht="15.75" hidden="1" customHeight="1" x14ac:dyDescent="0.2">
      <c r="A325" s="31">
        <v>324</v>
      </c>
      <c r="B325" s="31">
        <v>28</v>
      </c>
      <c r="C325" s="31">
        <v>37</v>
      </c>
      <c r="D325" s="31" t="s">
        <v>295</v>
      </c>
      <c r="E325" s="31" t="str">
        <f t="shared" si="5"/>
        <v>1237SS03PT</v>
      </c>
      <c r="F325" s="31">
        <f>VLOOKUP(B325,[1]Course!$A$2:$R$329,2,FALSE)</f>
        <v>0</v>
      </c>
      <c r="G325" s="31">
        <f>VLOOKUP(B325, [1]Course!$A$2:$L$950, 8, FALSE)</f>
        <v>12</v>
      </c>
      <c r="H325" s="31">
        <v>3</v>
      </c>
      <c r="I325" s="31">
        <v>1</v>
      </c>
      <c r="K325" s="31" t="s">
        <v>1548</v>
      </c>
      <c r="L325" s="31" t="str">
        <f>VLOOKUP(B325, [1]Course!$A$1:$O$933, 14, FALSE)</f>
        <v>SS</v>
      </c>
      <c r="M325" s="31">
        <v>1</v>
      </c>
    </row>
    <row r="326" spans="1:13" ht="15.75" hidden="1" customHeight="1" x14ac:dyDescent="0.2">
      <c r="A326" s="31">
        <v>325</v>
      </c>
      <c r="B326" s="31">
        <v>28</v>
      </c>
      <c r="C326" s="31">
        <v>38</v>
      </c>
      <c r="D326" s="31" t="s">
        <v>295</v>
      </c>
      <c r="E326" s="31" t="str">
        <f t="shared" si="5"/>
        <v>1238SS03PT</v>
      </c>
      <c r="F326" s="31">
        <f>VLOOKUP(B326,[1]Course!$A$2:$R$329,2,FALSE)</f>
        <v>0</v>
      </c>
      <c r="G326" s="31">
        <f>VLOOKUP(B326, [1]Course!$A$2:$L$950, 8, FALSE)</f>
        <v>12</v>
      </c>
      <c r="H326" s="31">
        <v>3</v>
      </c>
      <c r="I326" s="31">
        <v>1</v>
      </c>
      <c r="K326" s="31" t="s">
        <v>1548</v>
      </c>
      <c r="L326" s="31" t="str">
        <f>VLOOKUP(B326, [1]Course!$A$1:$O$933, 14, FALSE)</f>
        <v>SS</v>
      </c>
      <c r="M326" s="31">
        <v>1</v>
      </c>
    </row>
    <row r="327" spans="1:13" ht="15.75" hidden="1" customHeight="1" x14ac:dyDescent="0.2">
      <c r="A327" s="31">
        <v>326</v>
      </c>
      <c r="B327" s="31">
        <v>28</v>
      </c>
      <c r="C327" s="31">
        <v>39</v>
      </c>
      <c r="D327" s="31" t="s">
        <v>295</v>
      </c>
      <c r="E327" s="31" t="str">
        <f t="shared" si="5"/>
        <v>1239SS03PT</v>
      </c>
      <c r="F327" s="31">
        <f>VLOOKUP(B327,[1]Course!$A$2:$R$329,2,FALSE)</f>
        <v>0</v>
      </c>
      <c r="G327" s="31">
        <f>VLOOKUP(B327, [1]Course!$A$2:$L$950, 8, FALSE)</f>
        <v>12</v>
      </c>
      <c r="H327" s="31">
        <v>3</v>
      </c>
      <c r="I327" s="31">
        <v>1</v>
      </c>
      <c r="K327" s="31" t="s">
        <v>1548</v>
      </c>
      <c r="L327" s="31" t="str">
        <f>VLOOKUP(B327, [1]Course!$A$1:$O$933, 14, FALSE)</f>
        <v>SS</v>
      </c>
      <c r="M327" s="31">
        <v>1</v>
      </c>
    </row>
    <row r="328" spans="1:13" ht="15.75" hidden="1" customHeight="1" x14ac:dyDescent="0.2">
      <c r="A328" s="31">
        <v>327</v>
      </c>
      <c r="B328" s="31">
        <v>28</v>
      </c>
      <c r="C328" s="31">
        <v>40</v>
      </c>
      <c r="D328" s="31" t="s">
        <v>295</v>
      </c>
      <c r="E328" s="31" t="str">
        <f t="shared" si="5"/>
        <v>1240SS03PT</v>
      </c>
      <c r="F328" s="31">
        <f>VLOOKUP(B328,[1]Course!$A$2:$R$329,2,FALSE)</f>
        <v>0</v>
      </c>
      <c r="G328" s="31">
        <f>VLOOKUP(B328, [1]Course!$A$2:$L$950, 8, FALSE)</f>
        <v>12</v>
      </c>
      <c r="H328" s="31">
        <v>3</v>
      </c>
      <c r="I328" s="31">
        <v>1</v>
      </c>
      <c r="K328" s="31" t="s">
        <v>1548</v>
      </c>
      <c r="L328" s="31" t="str">
        <f>VLOOKUP(B328, [1]Course!$A$1:$O$933, 14, FALSE)</f>
        <v>SS</v>
      </c>
      <c r="M328" s="31">
        <v>1</v>
      </c>
    </row>
    <row r="329" spans="1:13" ht="15.75" hidden="1" customHeight="1" x14ac:dyDescent="0.2">
      <c r="A329" s="31">
        <v>328</v>
      </c>
      <c r="B329" s="31">
        <v>28</v>
      </c>
      <c r="C329" s="31">
        <v>41</v>
      </c>
      <c r="D329" s="31" t="s">
        <v>295</v>
      </c>
      <c r="E329" s="31" t="str">
        <f t="shared" si="5"/>
        <v>1241SS03PT</v>
      </c>
      <c r="F329" s="31">
        <f>VLOOKUP(B329,[1]Course!$A$2:$R$329,2,FALSE)</f>
        <v>0</v>
      </c>
      <c r="G329" s="31">
        <f>VLOOKUP(B329, [1]Course!$A$2:$L$950, 8, FALSE)</f>
        <v>12</v>
      </c>
      <c r="H329" s="31">
        <v>3</v>
      </c>
      <c r="I329" s="31">
        <v>1</v>
      </c>
      <c r="K329" s="31" t="s">
        <v>1548</v>
      </c>
      <c r="L329" s="31" t="str">
        <f>VLOOKUP(B329, [1]Course!$A$1:$O$933, 14, FALSE)</f>
        <v>SS</v>
      </c>
      <c r="M329" s="31">
        <v>1</v>
      </c>
    </row>
    <row r="330" spans="1:13" ht="15.75" hidden="1" customHeight="1" x14ac:dyDescent="0.2">
      <c r="A330" s="31">
        <v>329</v>
      </c>
      <c r="B330" s="31">
        <v>28</v>
      </c>
      <c r="C330" s="31">
        <v>42</v>
      </c>
      <c r="D330" s="31" t="s">
        <v>295</v>
      </c>
      <c r="E330" s="31" t="str">
        <f t="shared" si="5"/>
        <v>1242SS03PT</v>
      </c>
      <c r="F330" s="31">
        <f>VLOOKUP(B330,[1]Course!$A$2:$R$329,2,FALSE)</f>
        <v>0</v>
      </c>
      <c r="G330" s="31">
        <f>VLOOKUP(B330, [1]Course!$A$2:$L$950, 8, FALSE)</f>
        <v>12</v>
      </c>
      <c r="H330" s="31">
        <v>3</v>
      </c>
      <c r="I330" s="31">
        <v>1</v>
      </c>
      <c r="K330" s="31" t="s">
        <v>1548</v>
      </c>
      <c r="L330" s="31" t="str">
        <f>VLOOKUP(B330, [1]Course!$A$1:$O$933, 14, FALSE)</f>
        <v>SS</v>
      </c>
      <c r="M330" s="31">
        <v>1</v>
      </c>
    </row>
    <row r="331" spans="1:13" ht="15.75" hidden="1" customHeight="1" x14ac:dyDescent="0.2">
      <c r="A331" s="31">
        <v>330</v>
      </c>
      <c r="B331" s="31">
        <v>28</v>
      </c>
      <c r="C331" s="31">
        <v>43</v>
      </c>
      <c r="D331" s="31" t="s">
        <v>295</v>
      </c>
      <c r="E331" s="31" t="str">
        <f t="shared" si="5"/>
        <v>1243SS03PT</v>
      </c>
      <c r="F331" s="31">
        <f>VLOOKUP(B331,[1]Course!$A$2:$R$329,2,FALSE)</f>
        <v>0</v>
      </c>
      <c r="G331" s="31">
        <f>VLOOKUP(B331, [1]Course!$A$2:$L$950, 8, FALSE)</f>
        <v>12</v>
      </c>
      <c r="H331" s="31">
        <v>3</v>
      </c>
      <c r="I331" s="31">
        <v>1</v>
      </c>
      <c r="K331" s="31" t="s">
        <v>1548</v>
      </c>
      <c r="L331" s="31" t="str">
        <f>VLOOKUP(B331, [1]Course!$A$1:$O$933, 14, FALSE)</f>
        <v>SS</v>
      </c>
      <c r="M331" s="31">
        <v>1</v>
      </c>
    </row>
    <row r="332" spans="1:13" ht="15.75" hidden="1" customHeight="1" x14ac:dyDescent="0.2">
      <c r="A332" s="31">
        <v>331</v>
      </c>
      <c r="B332" s="31">
        <v>28</v>
      </c>
      <c r="C332" s="31">
        <v>44</v>
      </c>
      <c r="D332" s="31" t="s">
        <v>295</v>
      </c>
      <c r="E332" s="31" t="str">
        <f t="shared" si="5"/>
        <v>1244SS03PT</v>
      </c>
      <c r="F332" s="31">
        <f>VLOOKUP(B332,[1]Course!$A$2:$R$329,2,FALSE)</f>
        <v>0</v>
      </c>
      <c r="G332" s="31">
        <f>VLOOKUP(B332, [1]Course!$A$2:$L$950, 8, FALSE)</f>
        <v>12</v>
      </c>
      <c r="H332" s="31">
        <v>3</v>
      </c>
      <c r="I332" s="31">
        <v>1</v>
      </c>
      <c r="K332" s="31" t="s">
        <v>1548</v>
      </c>
      <c r="L332" s="31" t="str">
        <f>VLOOKUP(B332, [1]Course!$A$1:$O$933, 14, FALSE)</f>
        <v>SS</v>
      </c>
      <c r="M332" s="31">
        <v>1</v>
      </c>
    </row>
    <row r="333" spans="1:13" ht="15.75" hidden="1" customHeight="1" x14ac:dyDescent="0.2">
      <c r="A333" s="31">
        <v>332</v>
      </c>
      <c r="B333" s="31">
        <v>28</v>
      </c>
      <c r="C333" s="31">
        <v>45</v>
      </c>
      <c r="D333" s="31" t="s">
        <v>295</v>
      </c>
      <c r="E333" s="31" t="str">
        <f t="shared" si="5"/>
        <v>1245SS03PT</v>
      </c>
      <c r="F333" s="31">
        <f>VLOOKUP(B333,[1]Course!$A$2:$R$329,2,FALSE)</f>
        <v>0</v>
      </c>
      <c r="G333" s="31">
        <f>VLOOKUP(B333, [1]Course!$A$2:$L$950, 8, FALSE)</f>
        <v>12</v>
      </c>
      <c r="H333" s="31">
        <v>3</v>
      </c>
      <c r="I333" s="31">
        <v>1</v>
      </c>
      <c r="K333" s="31" t="s">
        <v>1548</v>
      </c>
      <c r="L333" s="31" t="str">
        <f>VLOOKUP(B333, [1]Course!$A$1:$O$933, 14, FALSE)</f>
        <v>SS</v>
      </c>
      <c r="M333" s="31">
        <v>1</v>
      </c>
    </row>
    <row r="334" spans="1:13" ht="15.75" hidden="1" customHeight="1" x14ac:dyDescent="0.2">
      <c r="A334" s="31">
        <v>333</v>
      </c>
      <c r="B334" s="31">
        <v>28</v>
      </c>
      <c r="C334" s="31">
        <v>46</v>
      </c>
      <c r="D334" s="31" t="s">
        <v>295</v>
      </c>
      <c r="E334" s="31" t="str">
        <f t="shared" si="5"/>
        <v>1246SS03PT</v>
      </c>
      <c r="F334" s="31">
        <f>VLOOKUP(B334,[1]Course!$A$2:$R$329,2,FALSE)</f>
        <v>0</v>
      </c>
      <c r="G334" s="31">
        <f>VLOOKUP(B334, [1]Course!$A$2:$L$950, 8, FALSE)</f>
        <v>12</v>
      </c>
      <c r="H334" s="31">
        <v>3</v>
      </c>
      <c r="I334" s="31">
        <v>1</v>
      </c>
      <c r="K334" s="31" t="s">
        <v>1548</v>
      </c>
      <c r="L334" s="31" t="str">
        <f>VLOOKUP(B334, [1]Course!$A$1:$O$933, 14, FALSE)</f>
        <v>SS</v>
      </c>
      <c r="M334" s="31">
        <v>1</v>
      </c>
    </row>
    <row r="335" spans="1:13" ht="15.75" hidden="1" customHeight="1" x14ac:dyDescent="0.2">
      <c r="A335" s="31">
        <v>334</v>
      </c>
      <c r="B335" s="31">
        <v>28</v>
      </c>
      <c r="C335" s="31">
        <v>47</v>
      </c>
      <c r="D335" s="31" t="s">
        <v>295</v>
      </c>
      <c r="E335" s="31" t="str">
        <f t="shared" si="5"/>
        <v>1247SS03PT</v>
      </c>
      <c r="F335" s="31">
        <f>VLOOKUP(B335,[1]Course!$A$2:$R$329,2,FALSE)</f>
        <v>0</v>
      </c>
      <c r="G335" s="31">
        <f>VLOOKUP(B335, [1]Course!$A$2:$L$950, 8, FALSE)</f>
        <v>12</v>
      </c>
      <c r="H335" s="31">
        <v>3</v>
      </c>
      <c r="I335" s="31">
        <v>1</v>
      </c>
      <c r="K335" s="31" t="s">
        <v>1548</v>
      </c>
      <c r="L335" s="31" t="str">
        <f>VLOOKUP(B335, [1]Course!$A$1:$O$933, 14, FALSE)</f>
        <v>SS</v>
      </c>
      <c r="M335" s="31">
        <v>1</v>
      </c>
    </row>
    <row r="336" spans="1:13" ht="15.75" hidden="1" customHeight="1" x14ac:dyDescent="0.2">
      <c r="A336" s="31">
        <v>335</v>
      </c>
      <c r="B336" s="31">
        <v>28</v>
      </c>
      <c r="C336" s="31">
        <v>48</v>
      </c>
      <c r="D336" s="31" t="s">
        <v>295</v>
      </c>
      <c r="E336" s="31" t="str">
        <f t="shared" si="5"/>
        <v>1248SS03PT</v>
      </c>
      <c r="F336" s="31">
        <f>VLOOKUP(B336,[1]Course!$A$2:$R$329,2,FALSE)</f>
        <v>0</v>
      </c>
      <c r="G336" s="31">
        <f>VLOOKUP(B336, [1]Course!$A$2:$L$950, 8, FALSE)</f>
        <v>12</v>
      </c>
      <c r="H336" s="31">
        <v>3</v>
      </c>
      <c r="I336" s="31">
        <v>1</v>
      </c>
      <c r="K336" s="31" t="s">
        <v>1548</v>
      </c>
      <c r="L336" s="31" t="str">
        <f>VLOOKUP(B336, [1]Course!$A$1:$O$933, 14, FALSE)</f>
        <v>SS</v>
      </c>
      <c r="M336" s="31">
        <v>1</v>
      </c>
    </row>
    <row r="337" spans="1:13" ht="15.75" hidden="1" customHeight="1" x14ac:dyDescent="0.2">
      <c r="A337" s="31">
        <v>336</v>
      </c>
      <c r="B337" s="31">
        <v>29</v>
      </c>
      <c r="C337" s="31">
        <v>37</v>
      </c>
      <c r="D337" s="31" t="s">
        <v>289</v>
      </c>
      <c r="E337" s="31" t="str">
        <f t="shared" si="5"/>
        <v>1237BR03PT</v>
      </c>
      <c r="F337" s="31">
        <f>VLOOKUP(B337,[1]Course!$A$2:$R$329,2,FALSE)</f>
        <v>0</v>
      </c>
      <c r="G337" s="31">
        <f>VLOOKUP(B337, [1]Course!$A$2:$L$950, 8, FALSE)</f>
        <v>12</v>
      </c>
      <c r="H337" s="31">
        <v>3</v>
      </c>
      <c r="I337" s="31">
        <v>1</v>
      </c>
      <c r="K337" s="31" t="s">
        <v>1548</v>
      </c>
      <c r="L337" s="31" t="str">
        <f>VLOOKUP(B337, [1]Course!$A$1:$O$933, 14, FALSE)</f>
        <v>BR</v>
      </c>
      <c r="M337" s="31">
        <v>1</v>
      </c>
    </row>
    <row r="338" spans="1:13" ht="15.75" hidden="1" customHeight="1" x14ac:dyDescent="0.2">
      <c r="A338" s="31">
        <v>337</v>
      </c>
      <c r="B338" s="31">
        <v>29</v>
      </c>
      <c r="C338" s="31">
        <v>38</v>
      </c>
      <c r="D338" s="31" t="s">
        <v>289</v>
      </c>
      <c r="E338" s="31" t="str">
        <f t="shared" si="5"/>
        <v>1238BR03PT</v>
      </c>
      <c r="F338" s="31">
        <f>VLOOKUP(B338,[1]Course!$A$2:$R$329,2,FALSE)</f>
        <v>0</v>
      </c>
      <c r="G338" s="31">
        <f>VLOOKUP(B338, [1]Course!$A$2:$L$950, 8, FALSE)</f>
        <v>12</v>
      </c>
      <c r="H338" s="31">
        <v>3</v>
      </c>
      <c r="I338" s="31">
        <v>1</v>
      </c>
      <c r="K338" s="31" t="s">
        <v>1548</v>
      </c>
      <c r="L338" s="31" t="str">
        <f>VLOOKUP(B338, [1]Course!$A$1:$O$933, 14, FALSE)</f>
        <v>BR</v>
      </c>
      <c r="M338" s="31">
        <v>1</v>
      </c>
    </row>
    <row r="339" spans="1:13" ht="15.75" hidden="1" customHeight="1" x14ac:dyDescent="0.2">
      <c r="A339" s="31">
        <v>338</v>
      </c>
      <c r="B339" s="31">
        <v>29</v>
      </c>
      <c r="C339" s="31">
        <v>39</v>
      </c>
      <c r="D339" s="31" t="s">
        <v>289</v>
      </c>
      <c r="E339" s="31" t="str">
        <f t="shared" si="5"/>
        <v>1239BR03PT</v>
      </c>
      <c r="F339" s="31">
        <f>VLOOKUP(B339,[1]Course!$A$2:$R$329,2,FALSE)</f>
        <v>0</v>
      </c>
      <c r="G339" s="31">
        <f>VLOOKUP(B339, [1]Course!$A$2:$L$950, 8, FALSE)</f>
        <v>12</v>
      </c>
      <c r="H339" s="31">
        <v>3</v>
      </c>
      <c r="I339" s="31">
        <v>1</v>
      </c>
      <c r="K339" s="31" t="s">
        <v>1548</v>
      </c>
      <c r="L339" s="31" t="str">
        <f>VLOOKUP(B339, [1]Course!$A$1:$O$933, 14, FALSE)</f>
        <v>BR</v>
      </c>
      <c r="M339" s="31">
        <v>1</v>
      </c>
    </row>
    <row r="340" spans="1:13" ht="15.75" hidden="1" customHeight="1" x14ac:dyDescent="0.2">
      <c r="A340" s="31">
        <v>339</v>
      </c>
      <c r="B340" s="31">
        <v>29</v>
      </c>
      <c r="C340" s="31">
        <v>40</v>
      </c>
      <c r="D340" s="31" t="s">
        <v>289</v>
      </c>
      <c r="E340" s="31" t="str">
        <f t="shared" si="5"/>
        <v>1240BR03PT</v>
      </c>
      <c r="F340" s="31">
        <f>VLOOKUP(B340,[1]Course!$A$2:$R$329,2,FALSE)</f>
        <v>0</v>
      </c>
      <c r="G340" s="31">
        <f>VLOOKUP(B340, [1]Course!$A$2:$L$950, 8, FALSE)</f>
        <v>12</v>
      </c>
      <c r="H340" s="31">
        <v>3</v>
      </c>
      <c r="I340" s="31">
        <v>1</v>
      </c>
      <c r="K340" s="31" t="s">
        <v>1548</v>
      </c>
      <c r="L340" s="31" t="str">
        <f>VLOOKUP(B340, [1]Course!$A$1:$O$933, 14, FALSE)</f>
        <v>BR</v>
      </c>
      <c r="M340" s="31">
        <v>1</v>
      </c>
    </row>
    <row r="341" spans="1:13" ht="15.75" hidden="1" customHeight="1" x14ac:dyDescent="0.2">
      <c r="A341" s="31">
        <v>340</v>
      </c>
      <c r="B341" s="31">
        <v>29</v>
      </c>
      <c r="C341" s="31">
        <v>41</v>
      </c>
      <c r="D341" s="31" t="s">
        <v>289</v>
      </c>
      <c r="E341" s="31" t="str">
        <f t="shared" si="5"/>
        <v>1241BR03PT</v>
      </c>
      <c r="F341" s="31">
        <f>VLOOKUP(B341,[1]Course!$A$2:$R$329,2,FALSE)</f>
        <v>0</v>
      </c>
      <c r="G341" s="31">
        <f>VLOOKUP(B341, [1]Course!$A$2:$L$950, 8, FALSE)</f>
        <v>12</v>
      </c>
      <c r="H341" s="31">
        <v>3</v>
      </c>
      <c r="I341" s="31">
        <v>1</v>
      </c>
      <c r="K341" s="31" t="s">
        <v>1548</v>
      </c>
      <c r="L341" s="31" t="str">
        <f>VLOOKUP(B341, [1]Course!$A$1:$O$933, 14, FALSE)</f>
        <v>BR</v>
      </c>
      <c r="M341" s="31">
        <v>1</v>
      </c>
    </row>
    <row r="342" spans="1:13" ht="15.75" hidden="1" customHeight="1" x14ac:dyDescent="0.2">
      <c r="A342" s="31">
        <v>341</v>
      </c>
      <c r="B342" s="31">
        <v>29</v>
      </c>
      <c r="C342" s="31">
        <v>42</v>
      </c>
      <c r="D342" s="31" t="s">
        <v>289</v>
      </c>
      <c r="E342" s="31" t="str">
        <f t="shared" si="5"/>
        <v>1242BR03PT</v>
      </c>
      <c r="F342" s="31">
        <f>VLOOKUP(B342,[1]Course!$A$2:$R$329,2,FALSE)</f>
        <v>0</v>
      </c>
      <c r="G342" s="31">
        <f>VLOOKUP(B342, [1]Course!$A$2:$L$950, 8, FALSE)</f>
        <v>12</v>
      </c>
      <c r="H342" s="31">
        <v>3</v>
      </c>
      <c r="I342" s="31">
        <v>1</v>
      </c>
      <c r="K342" s="31" t="s">
        <v>1548</v>
      </c>
      <c r="L342" s="31" t="str">
        <f>VLOOKUP(B342, [1]Course!$A$1:$O$933, 14, FALSE)</f>
        <v>BR</v>
      </c>
      <c r="M342" s="31">
        <v>1</v>
      </c>
    </row>
    <row r="343" spans="1:13" ht="15.75" hidden="1" customHeight="1" x14ac:dyDescent="0.2">
      <c r="A343" s="31">
        <v>342</v>
      </c>
      <c r="B343" s="31">
        <v>29</v>
      </c>
      <c r="C343" s="31">
        <v>43</v>
      </c>
      <c r="D343" s="31" t="s">
        <v>289</v>
      </c>
      <c r="E343" s="31" t="str">
        <f t="shared" si="5"/>
        <v>1243BR03PT</v>
      </c>
      <c r="F343" s="31">
        <f>VLOOKUP(B343,[1]Course!$A$2:$R$329,2,FALSE)</f>
        <v>0</v>
      </c>
      <c r="G343" s="31">
        <f>VLOOKUP(B343, [1]Course!$A$2:$L$950, 8, FALSE)</f>
        <v>12</v>
      </c>
      <c r="H343" s="31">
        <v>3</v>
      </c>
      <c r="I343" s="31">
        <v>1</v>
      </c>
      <c r="K343" s="31" t="s">
        <v>1548</v>
      </c>
      <c r="L343" s="31" t="str">
        <f>VLOOKUP(B343, [1]Course!$A$1:$O$933, 14, FALSE)</f>
        <v>BR</v>
      </c>
      <c r="M343" s="31">
        <v>1</v>
      </c>
    </row>
    <row r="344" spans="1:13" ht="15.75" hidden="1" customHeight="1" x14ac:dyDescent="0.2">
      <c r="A344" s="31">
        <v>343</v>
      </c>
      <c r="B344" s="31">
        <v>29</v>
      </c>
      <c r="C344" s="31">
        <v>44</v>
      </c>
      <c r="D344" s="31" t="s">
        <v>289</v>
      </c>
      <c r="E344" s="31" t="str">
        <f t="shared" si="5"/>
        <v>1244BR03PT</v>
      </c>
      <c r="F344" s="31">
        <f>VLOOKUP(B344,[1]Course!$A$2:$R$329,2,FALSE)</f>
        <v>0</v>
      </c>
      <c r="G344" s="31">
        <f>VLOOKUP(B344, [1]Course!$A$2:$L$950, 8, FALSE)</f>
        <v>12</v>
      </c>
      <c r="H344" s="31">
        <v>3</v>
      </c>
      <c r="I344" s="31">
        <v>1</v>
      </c>
      <c r="K344" s="31" t="s">
        <v>1548</v>
      </c>
      <c r="L344" s="31" t="str">
        <f>VLOOKUP(B344, [1]Course!$A$1:$O$933, 14, FALSE)</f>
        <v>BR</v>
      </c>
      <c r="M344" s="31">
        <v>1</v>
      </c>
    </row>
    <row r="345" spans="1:13" ht="15.75" hidden="1" customHeight="1" x14ac:dyDescent="0.2">
      <c r="A345" s="31">
        <v>344</v>
      </c>
      <c r="B345" s="31">
        <v>29</v>
      </c>
      <c r="C345" s="31">
        <v>45</v>
      </c>
      <c r="D345" s="31" t="s">
        <v>289</v>
      </c>
      <c r="E345" s="31" t="str">
        <f t="shared" si="5"/>
        <v>1245BR03PT</v>
      </c>
      <c r="F345" s="31">
        <f>VLOOKUP(B345,[1]Course!$A$2:$R$329,2,FALSE)</f>
        <v>0</v>
      </c>
      <c r="G345" s="31">
        <f>VLOOKUP(B345, [1]Course!$A$2:$L$950, 8, FALSE)</f>
        <v>12</v>
      </c>
      <c r="H345" s="31">
        <v>3</v>
      </c>
      <c r="I345" s="31">
        <v>1</v>
      </c>
      <c r="K345" s="31" t="s">
        <v>1548</v>
      </c>
      <c r="L345" s="31" t="str">
        <f>VLOOKUP(B345, [1]Course!$A$1:$O$933, 14, FALSE)</f>
        <v>BR</v>
      </c>
      <c r="M345" s="31">
        <v>1</v>
      </c>
    </row>
    <row r="346" spans="1:13" ht="15.75" hidden="1" customHeight="1" x14ac:dyDescent="0.2">
      <c r="A346" s="31">
        <v>345</v>
      </c>
      <c r="B346" s="31">
        <v>29</v>
      </c>
      <c r="C346" s="31">
        <v>46</v>
      </c>
      <c r="D346" s="31" t="s">
        <v>289</v>
      </c>
      <c r="E346" s="31" t="str">
        <f t="shared" si="5"/>
        <v>1246BR03PT</v>
      </c>
      <c r="F346" s="31">
        <f>VLOOKUP(B346,[1]Course!$A$2:$R$329,2,FALSE)</f>
        <v>0</v>
      </c>
      <c r="G346" s="31">
        <f>VLOOKUP(B346, [1]Course!$A$2:$L$950, 8, FALSE)</f>
        <v>12</v>
      </c>
      <c r="H346" s="31">
        <v>3</v>
      </c>
      <c r="I346" s="31">
        <v>1</v>
      </c>
      <c r="K346" s="31" t="s">
        <v>1548</v>
      </c>
      <c r="L346" s="31" t="str">
        <f>VLOOKUP(B346, [1]Course!$A$1:$O$933, 14, FALSE)</f>
        <v>BR</v>
      </c>
      <c r="M346" s="31">
        <v>1</v>
      </c>
    </row>
    <row r="347" spans="1:13" ht="15.75" hidden="1" customHeight="1" x14ac:dyDescent="0.2">
      <c r="A347" s="31">
        <v>346</v>
      </c>
      <c r="B347" s="31">
        <v>29</v>
      </c>
      <c r="C347" s="31">
        <v>47</v>
      </c>
      <c r="D347" s="31" t="s">
        <v>289</v>
      </c>
      <c r="E347" s="31" t="str">
        <f t="shared" si="5"/>
        <v>1247BR03PT</v>
      </c>
      <c r="F347" s="31">
        <f>VLOOKUP(B347,[1]Course!$A$2:$R$329,2,FALSE)</f>
        <v>0</v>
      </c>
      <c r="G347" s="31">
        <f>VLOOKUP(B347, [1]Course!$A$2:$L$950, 8, FALSE)</f>
        <v>12</v>
      </c>
      <c r="H347" s="31">
        <v>3</v>
      </c>
      <c r="I347" s="31">
        <v>1</v>
      </c>
      <c r="K347" s="31" t="s">
        <v>1548</v>
      </c>
      <c r="L347" s="31" t="str">
        <f>VLOOKUP(B347, [1]Course!$A$1:$O$933, 14, FALSE)</f>
        <v>BR</v>
      </c>
      <c r="M347" s="31">
        <v>1</v>
      </c>
    </row>
    <row r="348" spans="1:13" ht="15.75" hidden="1" customHeight="1" x14ac:dyDescent="0.2">
      <c r="A348" s="31">
        <v>347</v>
      </c>
      <c r="B348" s="31">
        <v>29</v>
      </c>
      <c r="C348" s="31">
        <v>48</v>
      </c>
      <c r="D348" s="31" t="s">
        <v>289</v>
      </c>
      <c r="E348" s="31" t="str">
        <f t="shared" si="5"/>
        <v>1248BR03PT</v>
      </c>
      <c r="F348" s="31">
        <f>VLOOKUP(B348,[1]Course!$A$2:$R$329,2,FALSE)</f>
        <v>0</v>
      </c>
      <c r="G348" s="31">
        <f>VLOOKUP(B348, [1]Course!$A$2:$L$950, 8, FALSE)</f>
        <v>12</v>
      </c>
      <c r="H348" s="31">
        <v>3</v>
      </c>
      <c r="I348" s="31">
        <v>1</v>
      </c>
      <c r="K348" s="31" t="s">
        <v>1548</v>
      </c>
      <c r="L348" s="31" t="str">
        <f>VLOOKUP(B348, [1]Course!$A$1:$O$933, 14, FALSE)</f>
        <v>BR</v>
      </c>
      <c r="M348" s="31">
        <v>1</v>
      </c>
    </row>
    <row r="349" spans="1:13" ht="15.75" hidden="1" customHeight="1" x14ac:dyDescent="0.2">
      <c r="A349" s="31">
        <v>348</v>
      </c>
      <c r="B349" s="31">
        <v>30</v>
      </c>
      <c r="C349" s="31">
        <v>49</v>
      </c>
      <c r="D349" s="31" t="s">
        <v>52</v>
      </c>
      <c r="E349" s="31" t="str">
        <f t="shared" si="5"/>
        <v>1249MA03PT</v>
      </c>
      <c r="F349" s="31">
        <f>VLOOKUP(B349,[1]Course!$A$2:$R$329,2,FALSE)</f>
        <v>0</v>
      </c>
      <c r="G349" s="31">
        <f>VLOOKUP(B349, [1]Course!$A$2:$L$950, 8, FALSE)</f>
        <v>12</v>
      </c>
      <c r="H349" s="31">
        <v>3</v>
      </c>
      <c r="I349" s="31">
        <v>1</v>
      </c>
      <c r="K349" s="31" t="s">
        <v>1548</v>
      </c>
      <c r="L349" s="31" t="str">
        <f>VLOOKUP(B349, [1]Course!$A$1:$O$933, 14, FALSE)</f>
        <v>MA</v>
      </c>
      <c r="M349" s="31">
        <v>1</v>
      </c>
    </row>
    <row r="350" spans="1:13" ht="15.75" hidden="1" customHeight="1" x14ac:dyDescent="0.2">
      <c r="A350" s="31">
        <v>349</v>
      </c>
      <c r="B350" s="31">
        <v>30</v>
      </c>
      <c r="C350" s="31">
        <v>50</v>
      </c>
      <c r="D350" s="31" t="s">
        <v>52</v>
      </c>
      <c r="E350" s="31" t="str">
        <f t="shared" si="5"/>
        <v>1250MA03PT</v>
      </c>
      <c r="F350" s="31">
        <f>VLOOKUP(B350,[1]Course!$A$2:$R$329,2,FALSE)</f>
        <v>0</v>
      </c>
      <c r="G350" s="31">
        <f>VLOOKUP(B350, [1]Course!$A$2:$L$950, 8, FALSE)</f>
        <v>12</v>
      </c>
      <c r="H350" s="31">
        <v>3</v>
      </c>
      <c r="I350" s="31">
        <v>1</v>
      </c>
      <c r="K350" s="31" t="s">
        <v>1548</v>
      </c>
      <c r="L350" s="31" t="str">
        <f>VLOOKUP(B350, [1]Course!$A$1:$O$933, 14, FALSE)</f>
        <v>MA</v>
      </c>
      <c r="M350" s="31">
        <v>1</v>
      </c>
    </row>
    <row r="351" spans="1:13" ht="15.75" hidden="1" customHeight="1" x14ac:dyDescent="0.2">
      <c r="A351" s="31">
        <v>350</v>
      </c>
      <c r="B351" s="31">
        <v>30</v>
      </c>
      <c r="C351" s="31">
        <v>51</v>
      </c>
      <c r="D351" s="31" t="s">
        <v>52</v>
      </c>
      <c r="E351" s="31" t="str">
        <f t="shared" si="5"/>
        <v>1251MA03PT</v>
      </c>
      <c r="F351" s="31">
        <f>VLOOKUP(B351,[1]Course!$A$2:$R$329,2,FALSE)</f>
        <v>0</v>
      </c>
      <c r="G351" s="31">
        <f>VLOOKUP(B351, [1]Course!$A$2:$L$950, 8, FALSE)</f>
        <v>12</v>
      </c>
      <c r="H351" s="31">
        <v>3</v>
      </c>
      <c r="I351" s="31">
        <v>1</v>
      </c>
      <c r="K351" s="31" t="s">
        <v>1548</v>
      </c>
      <c r="L351" s="31" t="str">
        <f>VLOOKUP(B351, [1]Course!$A$1:$O$933, 14, FALSE)</f>
        <v>MA</v>
      </c>
      <c r="M351" s="31">
        <v>1</v>
      </c>
    </row>
    <row r="352" spans="1:13" ht="15.75" hidden="1" customHeight="1" x14ac:dyDescent="0.2">
      <c r="A352" s="31">
        <v>351</v>
      </c>
      <c r="B352" s="31">
        <v>30</v>
      </c>
      <c r="C352" s="31">
        <v>52</v>
      </c>
      <c r="D352" s="31" t="s">
        <v>52</v>
      </c>
      <c r="E352" s="31" t="str">
        <f t="shared" si="5"/>
        <v>1252MA03PT</v>
      </c>
      <c r="F352" s="31">
        <f>VLOOKUP(B352,[1]Course!$A$2:$R$329,2,FALSE)</f>
        <v>0</v>
      </c>
      <c r="G352" s="31">
        <f>VLOOKUP(B352, [1]Course!$A$2:$L$950, 8, FALSE)</f>
        <v>12</v>
      </c>
      <c r="H352" s="31">
        <v>3</v>
      </c>
      <c r="I352" s="31">
        <v>1</v>
      </c>
      <c r="K352" s="31" t="s">
        <v>1548</v>
      </c>
      <c r="L352" s="31" t="str">
        <f>VLOOKUP(B352, [1]Course!$A$1:$O$933, 14, FALSE)</f>
        <v>MA</v>
      </c>
      <c r="M352" s="31">
        <v>1</v>
      </c>
    </row>
    <row r="353" spans="1:13" ht="15.75" hidden="1" customHeight="1" x14ac:dyDescent="0.2">
      <c r="A353" s="31">
        <v>352</v>
      </c>
      <c r="B353" s="31">
        <v>30</v>
      </c>
      <c r="C353" s="31">
        <v>53</v>
      </c>
      <c r="D353" s="31" t="s">
        <v>52</v>
      </c>
      <c r="E353" s="31" t="str">
        <f t="shared" si="5"/>
        <v>1253MA03PT</v>
      </c>
      <c r="F353" s="31">
        <f>VLOOKUP(B353,[1]Course!$A$2:$R$329,2,FALSE)</f>
        <v>0</v>
      </c>
      <c r="G353" s="31">
        <f>VLOOKUP(B353, [1]Course!$A$2:$L$950, 8, FALSE)</f>
        <v>12</v>
      </c>
      <c r="H353" s="31">
        <v>3</v>
      </c>
      <c r="I353" s="31">
        <v>1</v>
      </c>
      <c r="K353" s="31" t="s">
        <v>1548</v>
      </c>
      <c r="L353" s="31" t="str">
        <f>VLOOKUP(B353, [1]Course!$A$1:$O$933, 14, FALSE)</f>
        <v>MA</v>
      </c>
      <c r="M353" s="31">
        <v>1</v>
      </c>
    </row>
    <row r="354" spans="1:13" ht="15.75" hidden="1" customHeight="1" x14ac:dyDescent="0.2">
      <c r="A354" s="31">
        <v>353</v>
      </c>
      <c r="B354" s="31">
        <v>30</v>
      </c>
      <c r="C354" s="31">
        <v>54</v>
      </c>
      <c r="D354" s="31" t="s">
        <v>52</v>
      </c>
      <c r="E354" s="31" t="str">
        <f t="shared" si="5"/>
        <v>1254MA03PT</v>
      </c>
      <c r="F354" s="31">
        <f>VLOOKUP(B354,[1]Course!$A$2:$R$329,2,FALSE)</f>
        <v>0</v>
      </c>
      <c r="G354" s="31">
        <f>VLOOKUP(B354, [1]Course!$A$2:$L$950, 8, FALSE)</f>
        <v>12</v>
      </c>
      <c r="H354" s="31">
        <v>3</v>
      </c>
      <c r="I354" s="31">
        <v>1</v>
      </c>
      <c r="K354" s="31" t="s">
        <v>1548</v>
      </c>
      <c r="L354" s="31" t="str">
        <f>VLOOKUP(B354, [1]Course!$A$1:$O$933, 14, FALSE)</f>
        <v>MA</v>
      </c>
      <c r="M354" s="31">
        <v>1</v>
      </c>
    </row>
    <row r="355" spans="1:13" ht="15.75" hidden="1" customHeight="1" x14ac:dyDescent="0.2">
      <c r="A355" s="31">
        <v>354</v>
      </c>
      <c r="B355" s="31">
        <v>30</v>
      </c>
      <c r="C355" s="31">
        <v>55</v>
      </c>
      <c r="D355" s="31" t="s">
        <v>52</v>
      </c>
      <c r="E355" s="31" t="str">
        <f t="shared" si="5"/>
        <v>1255MA03PT</v>
      </c>
      <c r="F355" s="31">
        <f>VLOOKUP(B355,[1]Course!$A$2:$R$329,2,FALSE)</f>
        <v>0</v>
      </c>
      <c r="G355" s="31">
        <f>VLOOKUP(B355, [1]Course!$A$2:$L$950, 8, FALSE)</f>
        <v>12</v>
      </c>
      <c r="H355" s="31">
        <v>3</v>
      </c>
      <c r="I355" s="31">
        <v>1</v>
      </c>
      <c r="K355" s="31" t="s">
        <v>1548</v>
      </c>
      <c r="L355" s="31" t="str">
        <f>VLOOKUP(B355, [1]Course!$A$1:$O$933, 14, FALSE)</f>
        <v>MA</v>
      </c>
      <c r="M355" s="31">
        <v>1</v>
      </c>
    </row>
    <row r="356" spans="1:13" ht="15.75" hidden="1" customHeight="1" x14ac:dyDescent="0.2">
      <c r="A356" s="31">
        <v>355</v>
      </c>
      <c r="B356" s="31">
        <v>30</v>
      </c>
      <c r="C356" s="31">
        <v>56</v>
      </c>
      <c r="D356" s="31" t="s">
        <v>52</v>
      </c>
      <c r="E356" s="31" t="str">
        <f t="shared" si="5"/>
        <v>1256MA03PT</v>
      </c>
      <c r="F356" s="31">
        <f>VLOOKUP(B356,[1]Course!$A$2:$R$329,2,FALSE)</f>
        <v>0</v>
      </c>
      <c r="G356" s="31">
        <f>VLOOKUP(B356, [1]Course!$A$2:$L$950, 8, FALSE)</f>
        <v>12</v>
      </c>
      <c r="H356" s="31">
        <v>3</v>
      </c>
      <c r="I356" s="31">
        <v>1</v>
      </c>
      <c r="K356" s="31" t="s">
        <v>1548</v>
      </c>
      <c r="L356" s="31" t="str">
        <f>VLOOKUP(B356, [1]Course!$A$1:$O$933, 14, FALSE)</f>
        <v>MA</v>
      </c>
      <c r="M356" s="31">
        <v>1</v>
      </c>
    </row>
    <row r="357" spans="1:13" ht="15.75" hidden="1" customHeight="1" x14ac:dyDescent="0.2">
      <c r="A357" s="31">
        <v>356</v>
      </c>
      <c r="B357" s="31">
        <v>30</v>
      </c>
      <c r="C357" s="31">
        <v>57</v>
      </c>
      <c r="D357" s="31" t="s">
        <v>52</v>
      </c>
      <c r="E357" s="31" t="str">
        <f t="shared" si="5"/>
        <v>1257MA03PT</v>
      </c>
      <c r="F357" s="31">
        <f>VLOOKUP(B357,[1]Course!$A$2:$R$329,2,FALSE)</f>
        <v>0</v>
      </c>
      <c r="G357" s="31">
        <f>VLOOKUP(B357, [1]Course!$A$2:$L$950, 8, FALSE)</f>
        <v>12</v>
      </c>
      <c r="H357" s="31">
        <v>3</v>
      </c>
      <c r="I357" s="31">
        <v>1</v>
      </c>
      <c r="K357" s="31" t="s">
        <v>1548</v>
      </c>
      <c r="L357" s="31" t="str">
        <f>VLOOKUP(B357, [1]Course!$A$1:$O$933, 14, FALSE)</f>
        <v>MA</v>
      </c>
      <c r="M357" s="31">
        <v>1</v>
      </c>
    </row>
    <row r="358" spans="1:13" ht="15.75" hidden="1" customHeight="1" x14ac:dyDescent="0.2">
      <c r="A358" s="31">
        <v>357</v>
      </c>
      <c r="B358" s="31">
        <v>30</v>
      </c>
      <c r="C358" s="31">
        <v>58</v>
      </c>
      <c r="D358" s="31" t="s">
        <v>52</v>
      </c>
      <c r="E358" s="31" t="str">
        <f t="shared" si="5"/>
        <v>1258MA03PT</v>
      </c>
      <c r="F358" s="31">
        <f>VLOOKUP(B358,[1]Course!$A$2:$R$329,2,FALSE)</f>
        <v>0</v>
      </c>
      <c r="G358" s="31">
        <f>VLOOKUP(B358, [1]Course!$A$2:$L$950, 8, FALSE)</f>
        <v>12</v>
      </c>
      <c r="H358" s="31">
        <v>3</v>
      </c>
      <c r="I358" s="31">
        <v>1</v>
      </c>
      <c r="K358" s="31" t="s">
        <v>1548</v>
      </c>
      <c r="L358" s="31" t="str">
        <f>VLOOKUP(B358, [1]Course!$A$1:$O$933, 14, FALSE)</f>
        <v>MA</v>
      </c>
      <c r="M358" s="31">
        <v>1</v>
      </c>
    </row>
    <row r="359" spans="1:13" ht="15.75" hidden="1" customHeight="1" x14ac:dyDescent="0.2">
      <c r="A359" s="31">
        <v>358</v>
      </c>
      <c r="B359" s="31">
        <v>30</v>
      </c>
      <c r="C359" s="31">
        <v>59</v>
      </c>
      <c r="D359" s="31" t="s">
        <v>52</v>
      </c>
      <c r="E359" s="31" t="str">
        <f t="shared" si="5"/>
        <v>1259MA03PT</v>
      </c>
      <c r="F359" s="31">
        <f>VLOOKUP(B359,[1]Course!$A$2:$R$329,2,FALSE)</f>
        <v>0</v>
      </c>
      <c r="G359" s="31">
        <f>VLOOKUP(B359, [1]Course!$A$2:$L$950, 8, FALSE)</f>
        <v>12</v>
      </c>
      <c r="H359" s="31">
        <v>3</v>
      </c>
      <c r="I359" s="31">
        <v>1</v>
      </c>
      <c r="K359" s="31" t="s">
        <v>1548</v>
      </c>
      <c r="L359" s="31" t="str">
        <f>VLOOKUP(B359, [1]Course!$A$1:$O$933, 14, FALSE)</f>
        <v>MA</v>
      </c>
      <c r="M359" s="31">
        <v>1</v>
      </c>
    </row>
    <row r="360" spans="1:13" ht="15.75" hidden="1" customHeight="1" x14ac:dyDescent="0.2">
      <c r="A360" s="31">
        <v>359</v>
      </c>
      <c r="B360" s="31">
        <v>30</v>
      </c>
      <c r="C360" s="31">
        <v>60</v>
      </c>
      <c r="D360" s="31" t="s">
        <v>52</v>
      </c>
      <c r="E360" s="31" t="str">
        <f t="shared" si="5"/>
        <v>1260MA03PT</v>
      </c>
      <c r="F360" s="31">
        <f>VLOOKUP(B360,[1]Course!$A$2:$R$329,2,FALSE)</f>
        <v>0</v>
      </c>
      <c r="G360" s="31">
        <f>VLOOKUP(B360, [1]Course!$A$2:$L$950, 8, FALSE)</f>
        <v>12</v>
      </c>
      <c r="H360" s="31">
        <v>3</v>
      </c>
      <c r="I360" s="31">
        <v>1</v>
      </c>
      <c r="K360" s="31" t="s">
        <v>1548</v>
      </c>
      <c r="L360" s="31" t="str">
        <f>VLOOKUP(B360, [1]Course!$A$1:$O$933, 14, FALSE)</f>
        <v>MA</v>
      </c>
      <c r="M360" s="31">
        <v>1</v>
      </c>
    </row>
    <row r="361" spans="1:13" ht="15.75" hidden="1" customHeight="1" x14ac:dyDescent="0.2">
      <c r="A361" s="31">
        <v>360</v>
      </c>
      <c r="B361" s="31">
        <v>31</v>
      </c>
      <c r="C361" s="31">
        <v>49</v>
      </c>
      <c r="D361" s="31" t="s">
        <v>155</v>
      </c>
      <c r="E361" s="31" t="str">
        <f t="shared" si="5"/>
        <v>1249EN03PT</v>
      </c>
      <c r="F361" s="31">
        <f>VLOOKUP(B361,[1]Course!$A$2:$R$329,2,FALSE)</f>
        <v>0</v>
      </c>
      <c r="G361" s="31">
        <f>VLOOKUP(B361, [1]Course!$A$2:$L$950, 8, FALSE)</f>
        <v>12</v>
      </c>
      <c r="H361" s="31">
        <v>3</v>
      </c>
      <c r="I361" s="31">
        <v>1</v>
      </c>
      <c r="K361" s="31" t="s">
        <v>1548</v>
      </c>
      <c r="L361" s="31" t="str">
        <f>VLOOKUP(B361, [1]Course!$A$1:$O$933, 14, FALSE)</f>
        <v>EN</v>
      </c>
      <c r="M361" s="31">
        <v>1</v>
      </c>
    </row>
    <row r="362" spans="1:13" ht="15.75" hidden="1" customHeight="1" x14ac:dyDescent="0.2">
      <c r="A362" s="31">
        <v>361</v>
      </c>
      <c r="B362" s="31">
        <v>31</v>
      </c>
      <c r="C362" s="31">
        <v>50</v>
      </c>
      <c r="D362" s="31" t="s">
        <v>155</v>
      </c>
      <c r="E362" s="31" t="str">
        <f t="shared" si="5"/>
        <v>1250EN03PT</v>
      </c>
      <c r="F362" s="31">
        <f>VLOOKUP(B362,[1]Course!$A$2:$R$329,2,FALSE)</f>
        <v>0</v>
      </c>
      <c r="G362" s="31">
        <f>VLOOKUP(B362, [1]Course!$A$2:$L$950, 8, FALSE)</f>
        <v>12</v>
      </c>
      <c r="H362" s="31">
        <v>3</v>
      </c>
      <c r="I362" s="31">
        <v>1</v>
      </c>
      <c r="K362" s="31" t="s">
        <v>1548</v>
      </c>
      <c r="L362" s="31" t="str">
        <f>VLOOKUP(B362, [1]Course!$A$1:$O$933, 14, FALSE)</f>
        <v>EN</v>
      </c>
      <c r="M362" s="31">
        <v>1</v>
      </c>
    </row>
    <row r="363" spans="1:13" ht="15.75" hidden="1" customHeight="1" x14ac:dyDescent="0.2">
      <c r="A363" s="31">
        <v>362</v>
      </c>
      <c r="B363" s="31">
        <v>31</v>
      </c>
      <c r="C363" s="31">
        <v>51</v>
      </c>
      <c r="D363" s="31" t="s">
        <v>155</v>
      </c>
      <c r="E363" s="31" t="str">
        <f t="shared" si="5"/>
        <v>1251EN03PT</v>
      </c>
      <c r="F363" s="31">
        <f>VLOOKUP(B363,[1]Course!$A$2:$R$329,2,FALSE)</f>
        <v>0</v>
      </c>
      <c r="G363" s="31">
        <f>VLOOKUP(B363, [1]Course!$A$2:$L$950, 8, FALSE)</f>
        <v>12</v>
      </c>
      <c r="H363" s="31">
        <v>3</v>
      </c>
      <c r="I363" s="31">
        <v>1</v>
      </c>
      <c r="K363" s="31" t="s">
        <v>1548</v>
      </c>
      <c r="L363" s="31" t="str">
        <f>VLOOKUP(B363, [1]Course!$A$1:$O$933, 14, FALSE)</f>
        <v>EN</v>
      </c>
      <c r="M363" s="31">
        <v>1</v>
      </c>
    </row>
    <row r="364" spans="1:13" ht="15.75" hidden="1" customHeight="1" x14ac:dyDescent="0.2">
      <c r="A364" s="31">
        <v>363</v>
      </c>
      <c r="B364" s="31">
        <v>31</v>
      </c>
      <c r="C364" s="31">
        <v>52</v>
      </c>
      <c r="D364" s="31" t="s">
        <v>155</v>
      </c>
      <c r="E364" s="31" t="str">
        <f t="shared" si="5"/>
        <v>1252EN03PT</v>
      </c>
      <c r="F364" s="31">
        <f>VLOOKUP(B364,[1]Course!$A$2:$R$329,2,FALSE)</f>
        <v>0</v>
      </c>
      <c r="G364" s="31">
        <f>VLOOKUP(B364, [1]Course!$A$2:$L$950, 8, FALSE)</f>
        <v>12</v>
      </c>
      <c r="H364" s="31">
        <v>3</v>
      </c>
      <c r="I364" s="31">
        <v>1</v>
      </c>
      <c r="K364" s="31" t="s">
        <v>1548</v>
      </c>
      <c r="L364" s="31" t="str">
        <f>VLOOKUP(B364, [1]Course!$A$1:$O$933, 14, FALSE)</f>
        <v>EN</v>
      </c>
      <c r="M364" s="31">
        <v>1</v>
      </c>
    </row>
    <row r="365" spans="1:13" ht="15.75" hidden="1" customHeight="1" x14ac:dyDescent="0.2">
      <c r="A365" s="31">
        <v>364</v>
      </c>
      <c r="B365" s="31">
        <v>31</v>
      </c>
      <c r="C365" s="31">
        <v>53</v>
      </c>
      <c r="D365" s="31" t="s">
        <v>155</v>
      </c>
      <c r="E365" s="31" t="str">
        <f t="shared" si="5"/>
        <v>1253EN03PT</v>
      </c>
      <c r="F365" s="31">
        <f>VLOOKUP(B365,[1]Course!$A$2:$R$329,2,FALSE)</f>
        <v>0</v>
      </c>
      <c r="G365" s="31">
        <f>VLOOKUP(B365, [1]Course!$A$2:$L$950, 8, FALSE)</f>
        <v>12</v>
      </c>
      <c r="H365" s="31">
        <v>3</v>
      </c>
      <c r="I365" s="31">
        <v>1</v>
      </c>
      <c r="K365" s="31" t="s">
        <v>1548</v>
      </c>
      <c r="L365" s="31" t="str">
        <f>VLOOKUP(B365, [1]Course!$A$1:$O$933, 14, FALSE)</f>
        <v>EN</v>
      </c>
      <c r="M365" s="31">
        <v>1</v>
      </c>
    </row>
    <row r="366" spans="1:13" ht="15.75" hidden="1" customHeight="1" x14ac:dyDescent="0.2">
      <c r="A366" s="31">
        <v>365</v>
      </c>
      <c r="B366" s="31">
        <v>31</v>
      </c>
      <c r="C366" s="31">
        <v>54</v>
      </c>
      <c r="D366" s="31" t="s">
        <v>155</v>
      </c>
      <c r="E366" s="31" t="str">
        <f t="shared" si="5"/>
        <v>1254EN03PT</v>
      </c>
      <c r="F366" s="31">
        <f>VLOOKUP(B366,[1]Course!$A$2:$R$329,2,FALSE)</f>
        <v>0</v>
      </c>
      <c r="G366" s="31">
        <f>VLOOKUP(B366, [1]Course!$A$2:$L$950, 8, FALSE)</f>
        <v>12</v>
      </c>
      <c r="H366" s="31">
        <v>3</v>
      </c>
      <c r="I366" s="31">
        <v>1</v>
      </c>
      <c r="K366" s="31" t="s">
        <v>1548</v>
      </c>
      <c r="L366" s="31" t="str">
        <f>VLOOKUP(B366, [1]Course!$A$1:$O$933, 14, FALSE)</f>
        <v>EN</v>
      </c>
      <c r="M366" s="31">
        <v>1</v>
      </c>
    </row>
    <row r="367" spans="1:13" ht="15.75" hidden="1" customHeight="1" x14ac:dyDescent="0.2">
      <c r="A367" s="31">
        <v>366</v>
      </c>
      <c r="B367" s="31">
        <v>31</v>
      </c>
      <c r="C367" s="31">
        <v>55</v>
      </c>
      <c r="D367" s="31" t="s">
        <v>155</v>
      </c>
      <c r="E367" s="31" t="str">
        <f t="shared" si="5"/>
        <v>1255EN03PT</v>
      </c>
      <c r="F367" s="31">
        <f>VLOOKUP(B367,[1]Course!$A$2:$R$329,2,FALSE)</f>
        <v>0</v>
      </c>
      <c r="G367" s="31">
        <f>VLOOKUP(B367, [1]Course!$A$2:$L$950, 8, FALSE)</f>
        <v>12</v>
      </c>
      <c r="H367" s="31">
        <v>3</v>
      </c>
      <c r="I367" s="31">
        <v>1</v>
      </c>
      <c r="K367" s="31" t="s">
        <v>1548</v>
      </c>
      <c r="L367" s="31" t="str">
        <f>VLOOKUP(B367, [1]Course!$A$1:$O$933, 14, FALSE)</f>
        <v>EN</v>
      </c>
      <c r="M367" s="31">
        <v>1</v>
      </c>
    </row>
    <row r="368" spans="1:13" ht="15.75" hidden="1" customHeight="1" x14ac:dyDescent="0.2">
      <c r="A368" s="31">
        <v>367</v>
      </c>
      <c r="B368" s="31">
        <v>31</v>
      </c>
      <c r="C368" s="31">
        <v>56</v>
      </c>
      <c r="D368" s="31" t="s">
        <v>155</v>
      </c>
      <c r="E368" s="31" t="str">
        <f t="shared" si="5"/>
        <v>1256EN03PT</v>
      </c>
      <c r="F368" s="31">
        <f>VLOOKUP(B368,[1]Course!$A$2:$R$329,2,FALSE)</f>
        <v>0</v>
      </c>
      <c r="G368" s="31">
        <f>VLOOKUP(B368, [1]Course!$A$2:$L$950, 8, FALSE)</f>
        <v>12</v>
      </c>
      <c r="H368" s="31">
        <v>3</v>
      </c>
      <c r="I368" s="31">
        <v>1</v>
      </c>
      <c r="K368" s="31" t="s">
        <v>1548</v>
      </c>
      <c r="L368" s="31" t="str">
        <f>VLOOKUP(B368, [1]Course!$A$1:$O$933, 14, FALSE)</f>
        <v>EN</v>
      </c>
      <c r="M368" s="31">
        <v>1</v>
      </c>
    </row>
    <row r="369" spans="1:13" ht="15.75" hidden="1" customHeight="1" x14ac:dyDescent="0.2">
      <c r="A369" s="31">
        <v>368</v>
      </c>
      <c r="B369" s="31">
        <v>31</v>
      </c>
      <c r="C369" s="31">
        <v>57</v>
      </c>
      <c r="D369" s="31" t="s">
        <v>155</v>
      </c>
      <c r="E369" s="31" t="str">
        <f t="shared" si="5"/>
        <v>1257EN03PT</v>
      </c>
      <c r="F369" s="31">
        <f>VLOOKUP(B369,[1]Course!$A$2:$R$329,2,FALSE)</f>
        <v>0</v>
      </c>
      <c r="G369" s="31">
        <f>VLOOKUP(B369, [1]Course!$A$2:$L$950, 8, FALSE)</f>
        <v>12</v>
      </c>
      <c r="H369" s="31">
        <v>3</v>
      </c>
      <c r="I369" s="31">
        <v>1</v>
      </c>
      <c r="K369" s="31" t="s">
        <v>1548</v>
      </c>
      <c r="L369" s="31" t="str">
        <f>VLOOKUP(B369, [1]Course!$A$1:$O$933, 14, FALSE)</f>
        <v>EN</v>
      </c>
      <c r="M369" s="31">
        <v>1</v>
      </c>
    </row>
    <row r="370" spans="1:13" ht="15.75" hidden="1" customHeight="1" x14ac:dyDescent="0.2">
      <c r="A370" s="31">
        <v>369</v>
      </c>
      <c r="B370" s="31">
        <v>31</v>
      </c>
      <c r="C370" s="31">
        <v>58</v>
      </c>
      <c r="D370" s="31" t="s">
        <v>155</v>
      </c>
      <c r="E370" s="31" t="str">
        <f t="shared" si="5"/>
        <v>1258EN03PT</v>
      </c>
      <c r="F370" s="31">
        <f>VLOOKUP(B370,[1]Course!$A$2:$R$329,2,FALSE)</f>
        <v>0</v>
      </c>
      <c r="G370" s="31">
        <f>VLOOKUP(B370, [1]Course!$A$2:$L$950, 8, FALSE)</f>
        <v>12</v>
      </c>
      <c r="H370" s="31">
        <v>3</v>
      </c>
      <c r="I370" s="31">
        <v>1</v>
      </c>
      <c r="K370" s="31" t="s">
        <v>1548</v>
      </c>
      <c r="L370" s="31" t="str">
        <f>VLOOKUP(B370, [1]Course!$A$1:$O$933, 14, FALSE)</f>
        <v>EN</v>
      </c>
      <c r="M370" s="31">
        <v>1</v>
      </c>
    </row>
    <row r="371" spans="1:13" ht="15.75" hidden="1" customHeight="1" x14ac:dyDescent="0.2">
      <c r="A371" s="31">
        <v>370</v>
      </c>
      <c r="B371" s="31">
        <v>31</v>
      </c>
      <c r="C371" s="31">
        <v>59</v>
      </c>
      <c r="D371" s="31" t="s">
        <v>155</v>
      </c>
      <c r="E371" s="31" t="str">
        <f t="shared" si="5"/>
        <v>1259EN03PT</v>
      </c>
      <c r="F371" s="31">
        <f>VLOOKUP(B371,[1]Course!$A$2:$R$329,2,FALSE)</f>
        <v>0</v>
      </c>
      <c r="G371" s="31">
        <f>VLOOKUP(B371, [1]Course!$A$2:$L$950, 8, FALSE)</f>
        <v>12</v>
      </c>
      <c r="H371" s="31">
        <v>3</v>
      </c>
      <c r="I371" s="31">
        <v>1</v>
      </c>
      <c r="K371" s="31" t="s">
        <v>1548</v>
      </c>
      <c r="L371" s="31" t="str">
        <f>VLOOKUP(B371, [1]Course!$A$1:$O$933, 14, FALSE)</f>
        <v>EN</v>
      </c>
      <c r="M371" s="31">
        <v>1</v>
      </c>
    </row>
    <row r="372" spans="1:13" ht="15.75" hidden="1" customHeight="1" x14ac:dyDescent="0.2">
      <c r="A372" s="31">
        <v>371</v>
      </c>
      <c r="B372" s="31">
        <v>31</v>
      </c>
      <c r="C372" s="31">
        <v>60</v>
      </c>
      <c r="D372" s="31" t="s">
        <v>155</v>
      </c>
      <c r="E372" s="31" t="str">
        <f t="shared" si="5"/>
        <v>1260EN03PT</v>
      </c>
      <c r="F372" s="31">
        <f>VLOOKUP(B372,[1]Course!$A$2:$R$329,2,FALSE)</f>
        <v>0</v>
      </c>
      <c r="G372" s="31">
        <f>VLOOKUP(B372, [1]Course!$A$2:$L$950, 8, FALSE)</f>
        <v>12</v>
      </c>
      <c r="H372" s="31">
        <v>3</v>
      </c>
      <c r="I372" s="31">
        <v>1</v>
      </c>
      <c r="K372" s="31" t="s">
        <v>1548</v>
      </c>
      <c r="L372" s="31" t="str">
        <f>VLOOKUP(B372, [1]Course!$A$1:$O$933, 14, FALSE)</f>
        <v>EN</v>
      </c>
      <c r="M372" s="31">
        <v>1</v>
      </c>
    </row>
    <row r="373" spans="1:13" ht="15.75" hidden="1" customHeight="1" x14ac:dyDescent="0.2">
      <c r="A373" s="31">
        <v>372</v>
      </c>
      <c r="B373" s="31">
        <v>32</v>
      </c>
      <c r="C373" s="31">
        <v>49</v>
      </c>
      <c r="D373" s="31" t="s">
        <v>284</v>
      </c>
      <c r="E373" s="31" t="str">
        <f t="shared" si="5"/>
        <v>1249WB03PT</v>
      </c>
      <c r="F373" s="31">
        <f>VLOOKUP(B373,[1]Course!$A$2:$R$329,2,FALSE)</f>
        <v>0</v>
      </c>
      <c r="G373" s="31">
        <f>VLOOKUP(B373, [1]Course!$A$2:$L$950, 8, FALSE)</f>
        <v>12</v>
      </c>
      <c r="H373" s="31">
        <v>3</v>
      </c>
      <c r="I373" s="31">
        <v>1</v>
      </c>
      <c r="K373" s="31" t="s">
        <v>1548</v>
      </c>
      <c r="L373" s="31" t="str">
        <f>VLOOKUP(B373, [1]Course!$A$1:$O$933, 14, FALSE)</f>
        <v>WB</v>
      </c>
      <c r="M373" s="31">
        <v>1</v>
      </c>
    </row>
    <row r="374" spans="1:13" ht="15.75" hidden="1" customHeight="1" x14ac:dyDescent="0.2">
      <c r="A374" s="31">
        <v>373</v>
      </c>
      <c r="B374" s="31">
        <v>32</v>
      </c>
      <c r="C374" s="31">
        <v>50</v>
      </c>
      <c r="D374" s="31" t="s">
        <v>284</v>
      </c>
      <c r="E374" s="31" t="str">
        <f t="shared" si="5"/>
        <v>1250WB03PT</v>
      </c>
      <c r="F374" s="31">
        <f>VLOOKUP(B374,[1]Course!$A$2:$R$329,2,FALSE)</f>
        <v>0</v>
      </c>
      <c r="G374" s="31">
        <f>VLOOKUP(B374, [1]Course!$A$2:$L$950, 8, FALSE)</f>
        <v>12</v>
      </c>
      <c r="H374" s="31">
        <v>3</v>
      </c>
      <c r="I374" s="31">
        <v>1</v>
      </c>
      <c r="K374" s="31" t="s">
        <v>1548</v>
      </c>
      <c r="L374" s="31" t="str">
        <f>VLOOKUP(B374, [1]Course!$A$1:$O$933, 14, FALSE)</f>
        <v>WB</v>
      </c>
      <c r="M374" s="31">
        <v>1</v>
      </c>
    </row>
    <row r="375" spans="1:13" ht="15.75" hidden="1" customHeight="1" x14ac:dyDescent="0.2">
      <c r="A375" s="31">
        <v>374</v>
      </c>
      <c r="B375" s="31">
        <v>32</v>
      </c>
      <c r="C375" s="31">
        <v>51</v>
      </c>
      <c r="D375" s="31" t="s">
        <v>284</v>
      </c>
      <c r="E375" s="31" t="str">
        <f t="shared" si="5"/>
        <v>1251WB03PT</v>
      </c>
      <c r="F375" s="31">
        <f>VLOOKUP(B375,[1]Course!$A$2:$R$329,2,FALSE)</f>
        <v>0</v>
      </c>
      <c r="G375" s="31">
        <f>VLOOKUP(B375, [1]Course!$A$2:$L$950, 8, FALSE)</f>
        <v>12</v>
      </c>
      <c r="H375" s="31">
        <v>3</v>
      </c>
      <c r="I375" s="31">
        <v>1</v>
      </c>
      <c r="K375" s="31" t="s">
        <v>1548</v>
      </c>
      <c r="L375" s="31" t="str">
        <f>VLOOKUP(B375, [1]Course!$A$1:$O$933, 14, FALSE)</f>
        <v>WB</v>
      </c>
      <c r="M375" s="31">
        <v>1</v>
      </c>
    </row>
    <row r="376" spans="1:13" ht="15.75" hidden="1" customHeight="1" x14ac:dyDescent="0.2">
      <c r="A376" s="31">
        <v>375</v>
      </c>
      <c r="B376" s="31">
        <v>32</v>
      </c>
      <c r="C376" s="31">
        <v>52</v>
      </c>
      <c r="D376" s="31" t="s">
        <v>284</v>
      </c>
      <c r="E376" s="31" t="str">
        <f t="shared" si="5"/>
        <v>1252WB03PT</v>
      </c>
      <c r="F376" s="31">
        <f>VLOOKUP(B376,[1]Course!$A$2:$R$329,2,FALSE)</f>
        <v>0</v>
      </c>
      <c r="G376" s="31">
        <f>VLOOKUP(B376, [1]Course!$A$2:$L$950, 8, FALSE)</f>
        <v>12</v>
      </c>
      <c r="H376" s="31">
        <v>3</v>
      </c>
      <c r="I376" s="31">
        <v>1</v>
      </c>
      <c r="K376" s="31" t="s">
        <v>1548</v>
      </c>
      <c r="L376" s="31" t="str">
        <f>VLOOKUP(B376, [1]Course!$A$1:$O$933, 14, FALSE)</f>
        <v>WB</v>
      </c>
      <c r="M376" s="31">
        <v>1</v>
      </c>
    </row>
    <row r="377" spans="1:13" ht="15.75" hidden="1" customHeight="1" x14ac:dyDescent="0.2">
      <c r="A377" s="31">
        <v>376</v>
      </c>
      <c r="B377" s="31">
        <v>32</v>
      </c>
      <c r="C377" s="31">
        <v>53</v>
      </c>
      <c r="D377" s="31" t="s">
        <v>284</v>
      </c>
      <c r="E377" s="31" t="str">
        <f t="shared" si="5"/>
        <v>1253WB03PT</v>
      </c>
      <c r="F377" s="31">
        <f>VLOOKUP(B377,[1]Course!$A$2:$R$329,2,FALSE)</f>
        <v>0</v>
      </c>
      <c r="G377" s="31">
        <f>VLOOKUP(B377, [1]Course!$A$2:$L$950, 8, FALSE)</f>
        <v>12</v>
      </c>
      <c r="H377" s="31">
        <v>3</v>
      </c>
      <c r="I377" s="31">
        <v>1</v>
      </c>
      <c r="K377" s="31" t="s">
        <v>1548</v>
      </c>
      <c r="L377" s="31" t="str">
        <f>VLOOKUP(B377, [1]Course!$A$1:$O$933, 14, FALSE)</f>
        <v>WB</v>
      </c>
      <c r="M377" s="31">
        <v>1</v>
      </c>
    </row>
    <row r="378" spans="1:13" ht="15.75" hidden="1" customHeight="1" x14ac:dyDescent="0.2">
      <c r="A378" s="31">
        <v>377</v>
      </c>
      <c r="B378" s="31">
        <v>32</v>
      </c>
      <c r="C378" s="31">
        <v>54</v>
      </c>
      <c r="D378" s="31" t="s">
        <v>284</v>
      </c>
      <c r="E378" s="31" t="str">
        <f t="shared" si="5"/>
        <v>1254WB03PT</v>
      </c>
      <c r="F378" s="31">
        <f>VLOOKUP(B378,[1]Course!$A$2:$R$329,2,FALSE)</f>
        <v>0</v>
      </c>
      <c r="G378" s="31">
        <f>VLOOKUP(B378, [1]Course!$A$2:$L$950, 8, FALSE)</f>
        <v>12</v>
      </c>
      <c r="H378" s="31">
        <v>3</v>
      </c>
      <c r="I378" s="31">
        <v>1</v>
      </c>
      <c r="K378" s="31" t="s">
        <v>1548</v>
      </c>
      <c r="L378" s="31" t="str">
        <f>VLOOKUP(B378, [1]Course!$A$1:$O$933, 14, FALSE)</f>
        <v>WB</v>
      </c>
      <c r="M378" s="31">
        <v>1</v>
      </c>
    </row>
    <row r="379" spans="1:13" ht="15.75" hidden="1" customHeight="1" x14ac:dyDescent="0.2">
      <c r="A379" s="31">
        <v>378</v>
      </c>
      <c r="B379" s="31">
        <v>32</v>
      </c>
      <c r="C379" s="31">
        <v>55</v>
      </c>
      <c r="D379" s="31" t="s">
        <v>284</v>
      </c>
      <c r="E379" s="31" t="str">
        <f t="shared" si="5"/>
        <v>1255WB03PT</v>
      </c>
      <c r="F379" s="31">
        <f>VLOOKUP(B379,[1]Course!$A$2:$R$329,2,FALSE)</f>
        <v>0</v>
      </c>
      <c r="G379" s="31">
        <f>VLOOKUP(B379, [1]Course!$A$2:$L$950, 8, FALSE)</f>
        <v>12</v>
      </c>
      <c r="H379" s="31">
        <v>3</v>
      </c>
      <c r="I379" s="31">
        <v>1</v>
      </c>
      <c r="K379" s="31" t="s">
        <v>1548</v>
      </c>
      <c r="L379" s="31" t="str">
        <f>VLOOKUP(B379, [1]Course!$A$1:$O$933, 14, FALSE)</f>
        <v>WB</v>
      </c>
      <c r="M379" s="31">
        <v>1</v>
      </c>
    </row>
    <row r="380" spans="1:13" ht="15.75" hidden="1" customHeight="1" x14ac:dyDescent="0.2">
      <c r="A380" s="31">
        <v>379</v>
      </c>
      <c r="B380" s="31">
        <v>32</v>
      </c>
      <c r="C380" s="31">
        <v>56</v>
      </c>
      <c r="D380" s="31" t="s">
        <v>284</v>
      </c>
      <c r="E380" s="31" t="str">
        <f t="shared" si="5"/>
        <v>1256WB03PT</v>
      </c>
      <c r="F380" s="31">
        <f>VLOOKUP(B380,[1]Course!$A$2:$R$329,2,FALSE)</f>
        <v>0</v>
      </c>
      <c r="G380" s="31">
        <f>VLOOKUP(B380, [1]Course!$A$2:$L$950, 8, FALSE)</f>
        <v>12</v>
      </c>
      <c r="H380" s="31">
        <v>3</v>
      </c>
      <c r="I380" s="31">
        <v>1</v>
      </c>
      <c r="K380" s="31" t="s">
        <v>1548</v>
      </c>
      <c r="L380" s="31" t="str">
        <f>VLOOKUP(B380, [1]Course!$A$1:$O$933, 14, FALSE)</f>
        <v>WB</v>
      </c>
      <c r="M380" s="31">
        <v>1</v>
      </c>
    </row>
    <row r="381" spans="1:13" ht="15.75" hidden="1" customHeight="1" x14ac:dyDescent="0.2">
      <c r="A381" s="31">
        <v>380</v>
      </c>
      <c r="B381" s="31">
        <v>32</v>
      </c>
      <c r="C381" s="31">
        <v>57</v>
      </c>
      <c r="D381" s="31" t="s">
        <v>284</v>
      </c>
      <c r="E381" s="31" t="str">
        <f t="shared" si="5"/>
        <v>1257WB03PT</v>
      </c>
      <c r="F381" s="31">
        <f>VLOOKUP(B381,[1]Course!$A$2:$R$329,2,FALSE)</f>
        <v>0</v>
      </c>
      <c r="G381" s="31">
        <f>VLOOKUP(B381, [1]Course!$A$2:$L$950, 8, FALSE)</f>
        <v>12</v>
      </c>
      <c r="H381" s="31">
        <v>3</v>
      </c>
      <c r="I381" s="31">
        <v>1</v>
      </c>
      <c r="K381" s="31" t="s">
        <v>1548</v>
      </c>
      <c r="L381" s="31" t="str">
        <f>VLOOKUP(B381, [1]Course!$A$1:$O$933, 14, FALSE)</f>
        <v>WB</v>
      </c>
      <c r="M381" s="31">
        <v>1</v>
      </c>
    </row>
    <row r="382" spans="1:13" ht="15.75" hidden="1" customHeight="1" x14ac:dyDescent="0.2">
      <c r="A382" s="31">
        <v>381</v>
      </c>
      <c r="B382" s="31">
        <v>32</v>
      </c>
      <c r="C382" s="31">
        <v>58</v>
      </c>
      <c r="D382" s="31" t="s">
        <v>284</v>
      </c>
      <c r="E382" s="31" t="str">
        <f t="shared" si="5"/>
        <v>1258WB03PT</v>
      </c>
      <c r="F382" s="31">
        <f>VLOOKUP(B382,[1]Course!$A$2:$R$329,2,FALSE)</f>
        <v>0</v>
      </c>
      <c r="G382" s="31">
        <f>VLOOKUP(B382, [1]Course!$A$2:$L$950, 8, FALSE)</f>
        <v>12</v>
      </c>
      <c r="H382" s="31">
        <v>3</v>
      </c>
      <c r="I382" s="31">
        <v>1</v>
      </c>
      <c r="K382" s="31" t="s">
        <v>1548</v>
      </c>
      <c r="L382" s="31" t="str">
        <f>VLOOKUP(B382, [1]Course!$A$1:$O$933, 14, FALSE)</f>
        <v>WB</v>
      </c>
      <c r="M382" s="31">
        <v>1</v>
      </c>
    </row>
    <row r="383" spans="1:13" ht="15.75" hidden="1" customHeight="1" x14ac:dyDescent="0.2">
      <c r="A383" s="31">
        <v>382</v>
      </c>
      <c r="B383" s="31">
        <v>32</v>
      </c>
      <c r="C383" s="31">
        <v>59</v>
      </c>
      <c r="D383" s="31" t="s">
        <v>284</v>
      </c>
      <c r="E383" s="31" t="str">
        <f t="shared" si="5"/>
        <v>1259WB03PT</v>
      </c>
      <c r="F383" s="31">
        <f>VLOOKUP(B383,[1]Course!$A$2:$R$329,2,FALSE)</f>
        <v>0</v>
      </c>
      <c r="G383" s="31">
        <f>VLOOKUP(B383, [1]Course!$A$2:$L$950, 8, FALSE)</f>
        <v>12</v>
      </c>
      <c r="H383" s="31">
        <v>3</v>
      </c>
      <c r="I383" s="31">
        <v>1</v>
      </c>
      <c r="K383" s="31" t="s">
        <v>1548</v>
      </c>
      <c r="L383" s="31" t="str">
        <f>VLOOKUP(B383, [1]Course!$A$1:$O$933, 14, FALSE)</f>
        <v>WB</v>
      </c>
      <c r="M383" s="31">
        <v>1</v>
      </c>
    </row>
    <row r="384" spans="1:13" ht="15.75" hidden="1" customHeight="1" x14ac:dyDescent="0.2">
      <c r="A384" s="31">
        <v>383</v>
      </c>
      <c r="B384" s="31">
        <v>32</v>
      </c>
      <c r="C384" s="31">
        <v>60</v>
      </c>
      <c r="D384" s="31" t="s">
        <v>284</v>
      </c>
      <c r="E384" s="31" t="str">
        <f t="shared" si="5"/>
        <v>1260WB03PT</v>
      </c>
      <c r="F384" s="31">
        <f>VLOOKUP(B384,[1]Course!$A$2:$R$329,2,FALSE)</f>
        <v>0</v>
      </c>
      <c r="G384" s="31">
        <f>VLOOKUP(B384, [1]Course!$A$2:$L$950, 8, FALSE)</f>
        <v>12</v>
      </c>
      <c r="H384" s="31">
        <v>3</v>
      </c>
      <c r="I384" s="31">
        <v>1</v>
      </c>
      <c r="K384" s="31" t="s">
        <v>1548</v>
      </c>
      <c r="L384" s="31" t="str">
        <f>VLOOKUP(B384, [1]Course!$A$1:$O$933, 14, FALSE)</f>
        <v>WB</v>
      </c>
      <c r="M384" s="31">
        <v>1</v>
      </c>
    </row>
    <row r="385" spans="1:13" ht="15.75" hidden="1" customHeight="1" x14ac:dyDescent="0.2">
      <c r="A385" s="31">
        <v>384</v>
      </c>
      <c r="B385" s="31">
        <v>33</v>
      </c>
      <c r="C385" s="31">
        <v>49</v>
      </c>
      <c r="D385" s="31" t="s">
        <v>85</v>
      </c>
      <c r="E385" s="31" t="str">
        <f t="shared" si="5"/>
        <v>1249LC03PT</v>
      </c>
      <c r="F385" s="31">
        <f>VLOOKUP(B385,[1]Course!$A$2:$R$329,2,FALSE)</f>
        <v>0</v>
      </c>
      <c r="G385" s="31">
        <f>VLOOKUP(B385, [1]Course!$A$2:$L$950, 8, FALSE)</f>
        <v>12</v>
      </c>
      <c r="H385" s="31">
        <v>3</v>
      </c>
      <c r="I385" s="31">
        <v>1</v>
      </c>
      <c r="K385" s="31" t="s">
        <v>1548</v>
      </c>
      <c r="L385" s="31" t="str">
        <f>VLOOKUP(B385, [1]Course!$A$1:$O$933, 14, FALSE)</f>
        <v>LC</v>
      </c>
      <c r="M385" s="31">
        <v>1</v>
      </c>
    </row>
    <row r="386" spans="1:13" ht="15.75" hidden="1" customHeight="1" x14ac:dyDescent="0.2">
      <c r="A386" s="31">
        <v>385</v>
      </c>
      <c r="B386" s="31">
        <v>33</v>
      </c>
      <c r="C386" s="31">
        <v>50</v>
      </c>
      <c r="D386" s="31" t="s">
        <v>85</v>
      </c>
      <c r="E386" s="31" t="str">
        <f t="shared" si="5"/>
        <v>1250LC03PT</v>
      </c>
      <c r="F386" s="31">
        <f>VLOOKUP(B386,[1]Course!$A$2:$R$329,2,FALSE)</f>
        <v>0</v>
      </c>
      <c r="G386" s="31">
        <f>VLOOKUP(B386, [1]Course!$A$2:$L$950, 8, FALSE)</f>
        <v>12</v>
      </c>
      <c r="H386" s="31">
        <v>3</v>
      </c>
      <c r="I386" s="31">
        <v>1</v>
      </c>
      <c r="K386" s="31" t="s">
        <v>1548</v>
      </c>
      <c r="L386" s="31" t="str">
        <f>VLOOKUP(B386, [1]Course!$A$1:$O$933, 14, FALSE)</f>
        <v>LC</v>
      </c>
      <c r="M386" s="31">
        <v>1</v>
      </c>
    </row>
    <row r="387" spans="1:13" ht="15.75" hidden="1" customHeight="1" x14ac:dyDescent="0.2">
      <c r="A387" s="31">
        <v>386</v>
      </c>
      <c r="B387" s="31">
        <v>33</v>
      </c>
      <c r="C387" s="31">
        <v>51</v>
      </c>
      <c r="D387" s="31" t="s">
        <v>85</v>
      </c>
      <c r="E387" s="31" t="str">
        <f t="shared" ref="E387:E450" si="6">UPPER(LEFT(G387,2)) &amp; RIGHT("0" &amp; C387, 2) &amp; D387 &amp; RIGHT("0" &amp; H387, 2) &amp; K387</f>
        <v>1251LC03PT</v>
      </c>
      <c r="F387" s="31">
        <f>VLOOKUP(B387,[1]Course!$A$2:$R$329,2,FALSE)</f>
        <v>0</v>
      </c>
      <c r="G387" s="31">
        <f>VLOOKUP(B387, [1]Course!$A$2:$L$950, 8, FALSE)</f>
        <v>12</v>
      </c>
      <c r="H387" s="31">
        <v>3</v>
      </c>
      <c r="I387" s="31">
        <v>1</v>
      </c>
      <c r="K387" s="31" t="s">
        <v>1548</v>
      </c>
      <c r="L387" s="31" t="str">
        <f>VLOOKUP(B387, [1]Course!$A$1:$O$933, 14, FALSE)</f>
        <v>LC</v>
      </c>
      <c r="M387" s="31">
        <v>1</v>
      </c>
    </row>
    <row r="388" spans="1:13" ht="15.75" hidden="1" customHeight="1" x14ac:dyDescent="0.2">
      <c r="A388" s="31">
        <v>387</v>
      </c>
      <c r="B388" s="31">
        <v>33</v>
      </c>
      <c r="C388" s="31">
        <v>52</v>
      </c>
      <c r="D388" s="31" t="s">
        <v>85</v>
      </c>
      <c r="E388" s="31" t="str">
        <f t="shared" si="6"/>
        <v>1252LC03PT</v>
      </c>
      <c r="F388" s="31">
        <f>VLOOKUP(B388,[1]Course!$A$2:$R$329,2,FALSE)</f>
        <v>0</v>
      </c>
      <c r="G388" s="31">
        <f>VLOOKUP(B388, [1]Course!$A$2:$L$950, 8, FALSE)</f>
        <v>12</v>
      </c>
      <c r="H388" s="31">
        <v>3</v>
      </c>
      <c r="I388" s="31">
        <v>1</v>
      </c>
      <c r="K388" s="31" t="s">
        <v>1548</v>
      </c>
      <c r="L388" s="31" t="str">
        <f>VLOOKUP(B388, [1]Course!$A$1:$O$933, 14, FALSE)</f>
        <v>LC</v>
      </c>
      <c r="M388" s="31">
        <v>1</v>
      </c>
    </row>
    <row r="389" spans="1:13" ht="15.75" hidden="1" customHeight="1" x14ac:dyDescent="0.2">
      <c r="A389" s="31">
        <v>388</v>
      </c>
      <c r="B389" s="31">
        <v>33</v>
      </c>
      <c r="C389" s="31">
        <v>53</v>
      </c>
      <c r="D389" s="31" t="s">
        <v>85</v>
      </c>
      <c r="E389" s="31" t="str">
        <f t="shared" si="6"/>
        <v>1253LC03PT</v>
      </c>
      <c r="F389" s="31">
        <f>VLOOKUP(B389,[1]Course!$A$2:$R$329,2,FALSE)</f>
        <v>0</v>
      </c>
      <c r="G389" s="31">
        <f>VLOOKUP(B389, [1]Course!$A$2:$L$950, 8, FALSE)</f>
        <v>12</v>
      </c>
      <c r="H389" s="31">
        <v>3</v>
      </c>
      <c r="I389" s="31">
        <v>1</v>
      </c>
      <c r="K389" s="31" t="s">
        <v>1548</v>
      </c>
      <c r="L389" s="31" t="str">
        <f>VLOOKUP(B389, [1]Course!$A$1:$O$933, 14, FALSE)</f>
        <v>LC</v>
      </c>
      <c r="M389" s="31">
        <v>1</v>
      </c>
    </row>
    <row r="390" spans="1:13" ht="15.75" hidden="1" customHeight="1" x14ac:dyDescent="0.2">
      <c r="A390" s="31">
        <v>389</v>
      </c>
      <c r="B390" s="31">
        <v>33</v>
      </c>
      <c r="C390" s="31">
        <v>54</v>
      </c>
      <c r="D390" s="31" t="s">
        <v>85</v>
      </c>
      <c r="E390" s="31" t="str">
        <f t="shared" si="6"/>
        <v>1254LC03PT</v>
      </c>
      <c r="F390" s="31">
        <f>VLOOKUP(B390,[1]Course!$A$2:$R$329,2,FALSE)</f>
        <v>0</v>
      </c>
      <c r="G390" s="31">
        <f>VLOOKUP(B390, [1]Course!$A$2:$L$950, 8, FALSE)</f>
        <v>12</v>
      </c>
      <c r="H390" s="31">
        <v>3</v>
      </c>
      <c r="I390" s="31">
        <v>1</v>
      </c>
      <c r="K390" s="31" t="s">
        <v>1548</v>
      </c>
      <c r="L390" s="31" t="str">
        <f>VLOOKUP(B390, [1]Course!$A$1:$O$933, 14, FALSE)</f>
        <v>LC</v>
      </c>
      <c r="M390" s="31">
        <v>1</v>
      </c>
    </row>
    <row r="391" spans="1:13" ht="15.75" hidden="1" customHeight="1" x14ac:dyDescent="0.2">
      <c r="A391" s="31">
        <v>390</v>
      </c>
      <c r="B391" s="31">
        <v>33</v>
      </c>
      <c r="C391" s="31">
        <v>55</v>
      </c>
      <c r="D391" s="31" t="s">
        <v>85</v>
      </c>
      <c r="E391" s="31" t="str">
        <f t="shared" si="6"/>
        <v>1255LC03PT</v>
      </c>
      <c r="F391" s="31">
        <f>VLOOKUP(B391,[1]Course!$A$2:$R$329,2,FALSE)</f>
        <v>0</v>
      </c>
      <c r="G391" s="31">
        <f>VLOOKUP(B391, [1]Course!$A$2:$L$950, 8, FALSE)</f>
        <v>12</v>
      </c>
      <c r="H391" s="31">
        <v>3</v>
      </c>
      <c r="I391" s="31">
        <v>1</v>
      </c>
      <c r="K391" s="31" t="s">
        <v>1548</v>
      </c>
      <c r="L391" s="31" t="str">
        <f>VLOOKUP(B391, [1]Course!$A$1:$O$933, 14, FALSE)</f>
        <v>LC</v>
      </c>
      <c r="M391" s="31">
        <v>1</v>
      </c>
    </row>
    <row r="392" spans="1:13" ht="15.75" hidden="1" customHeight="1" x14ac:dyDescent="0.2">
      <c r="A392" s="31">
        <v>391</v>
      </c>
      <c r="B392" s="31">
        <v>33</v>
      </c>
      <c r="C392" s="31">
        <v>56</v>
      </c>
      <c r="D392" s="31" t="s">
        <v>85</v>
      </c>
      <c r="E392" s="31" t="str">
        <f t="shared" si="6"/>
        <v>1256LC03PT</v>
      </c>
      <c r="F392" s="31">
        <f>VLOOKUP(B392,[1]Course!$A$2:$R$329,2,FALSE)</f>
        <v>0</v>
      </c>
      <c r="G392" s="31">
        <f>VLOOKUP(B392, [1]Course!$A$2:$L$950, 8, FALSE)</f>
        <v>12</v>
      </c>
      <c r="H392" s="31">
        <v>3</v>
      </c>
      <c r="I392" s="31">
        <v>1</v>
      </c>
      <c r="K392" s="31" t="s">
        <v>1548</v>
      </c>
      <c r="L392" s="31" t="str">
        <f>VLOOKUP(B392, [1]Course!$A$1:$O$933, 14, FALSE)</f>
        <v>LC</v>
      </c>
      <c r="M392" s="31">
        <v>1</v>
      </c>
    </row>
    <row r="393" spans="1:13" ht="15.75" hidden="1" customHeight="1" x14ac:dyDescent="0.2">
      <c r="A393" s="31">
        <v>392</v>
      </c>
      <c r="B393" s="31">
        <v>33</v>
      </c>
      <c r="C393" s="31">
        <v>57</v>
      </c>
      <c r="D393" s="31" t="s">
        <v>85</v>
      </c>
      <c r="E393" s="31" t="str">
        <f t="shared" si="6"/>
        <v>1257LC03PT</v>
      </c>
      <c r="F393" s="31">
        <f>VLOOKUP(B393,[1]Course!$A$2:$R$329,2,FALSE)</f>
        <v>0</v>
      </c>
      <c r="G393" s="31">
        <f>VLOOKUP(B393, [1]Course!$A$2:$L$950, 8, FALSE)</f>
        <v>12</v>
      </c>
      <c r="H393" s="31">
        <v>3</v>
      </c>
      <c r="I393" s="31">
        <v>1</v>
      </c>
      <c r="K393" s="31" t="s">
        <v>1548</v>
      </c>
      <c r="L393" s="31" t="str">
        <f>VLOOKUP(B393, [1]Course!$A$1:$O$933, 14, FALSE)</f>
        <v>LC</v>
      </c>
      <c r="M393" s="31">
        <v>1</v>
      </c>
    </row>
    <row r="394" spans="1:13" ht="15.75" hidden="1" customHeight="1" x14ac:dyDescent="0.2">
      <c r="A394" s="31">
        <v>393</v>
      </c>
      <c r="B394" s="31">
        <v>33</v>
      </c>
      <c r="C394" s="31">
        <v>58</v>
      </c>
      <c r="D394" s="31" t="s">
        <v>85</v>
      </c>
      <c r="E394" s="31" t="str">
        <f t="shared" si="6"/>
        <v>1258LC03PT</v>
      </c>
      <c r="F394" s="31">
        <f>VLOOKUP(B394,[1]Course!$A$2:$R$329,2,FALSE)</f>
        <v>0</v>
      </c>
      <c r="G394" s="31">
        <f>VLOOKUP(B394, [1]Course!$A$2:$L$950, 8, FALSE)</f>
        <v>12</v>
      </c>
      <c r="H394" s="31">
        <v>3</v>
      </c>
      <c r="I394" s="31">
        <v>1</v>
      </c>
      <c r="K394" s="31" t="s">
        <v>1548</v>
      </c>
      <c r="L394" s="31" t="str">
        <f>VLOOKUP(B394, [1]Course!$A$1:$O$933, 14, FALSE)</f>
        <v>LC</v>
      </c>
      <c r="M394" s="31">
        <v>1</v>
      </c>
    </row>
    <row r="395" spans="1:13" ht="15.75" hidden="1" customHeight="1" x14ac:dyDescent="0.2">
      <c r="A395" s="31">
        <v>394</v>
      </c>
      <c r="B395" s="31">
        <v>33</v>
      </c>
      <c r="C395" s="31">
        <v>59</v>
      </c>
      <c r="D395" s="31" t="s">
        <v>85</v>
      </c>
      <c r="E395" s="31" t="str">
        <f t="shared" si="6"/>
        <v>1259LC03PT</v>
      </c>
      <c r="F395" s="31">
        <f>VLOOKUP(B395,[1]Course!$A$2:$R$329,2,FALSE)</f>
        <v>0</v>
      </c>
      <c r="G395" s="31">
        <f>VLOOKUP(B395, [1]Course!$A$2:$L$950, 8, FALSE)</f>
        <v>12</v>
      </c>
      <c r="H395" s="31">
        <v>3</v>
      </c>
      <c r="I395" s="31">
        <v>1</v>
      </c>
      <c r="K395" s="31" t="s">
        <v>1548</v>
      </c>
      <c r="L395" s="31" t="str">
        <f>VLOOKUP(B395, [1]Course!$A$1:$O$933, 14, FALSE)</f>
        <v>LC</v>
      </c>
      <c r="M395" s="31">
        <v>1</v>
      </c>
    </row>
    <row r="396" spans="1:13" ht="15.75" hidden="1" customHeight="1" x14ac:dyDescent="0.2">
      <c r="A396" s="31">
        <v>395</v>
      </c>
      <c r="B396" s="31">
        <v>33</v>
      </c>
      <c r="C396" s="31">
        <v>60</v>
      </c>
      <c r="D396" s="31" t="s">
        <v>85</v>
      </c>
      <c r="E396" s="31" t="str">
        <f t="shared" si="6"/>
        <v>1260LC03PT</v>
      </c>
      <c r="F396" s="31">
        <f>VLOOKUP(B396,[1]Course!$A$2:$R$329,2,FALSE)</f>
        <v>0</v>
      </c>
      <c r="G396" s="31">
        <f>VLOOKUP(B396, [1]Course!$A$2:$L$950, 8, FALSE)</f>
        <v>12</v>
      </c>
      <c r="H396" s="31">
        <v>3</v>
      </c>
      <c r="I396" s="31">
        <v>1</v>
      </c>
      <c r="K396" s="31" t="s">
        <v>1548</v>
      </c>
      <c r="L396" s="31" t="str">
        <f>VLOOKUP(B396, [1]Course!$A$1:$O$933, 14, FALSE)</f>
        <v>LC</v>
      </c>
      <c r="M396" s="31">
        <v>1</v>
      </c>
    </row>
    <row r="397" spans="1:13" ht="15.75" hidden="1" customHeight="1" x14ac:dyDescent="0.2">
      <c r="A397" s="31">
        <v>396</v>
      </c>
      <c r="B397" s="31">
        <v>34</v>
      </c>
      <c r="C397" s="31">
        <v>49</v>
      </c>
      <c r="D397" s="31" t="s">
        <v>50</v>
      </c>
      <c r="E397" s="31" t="str">
        <f t="shared" si="6"/>
        <v>1249SC03PT</v>
      </c>
      <c r="F397" s="31" t="str">
        <f>VLOOKUP(B397,[1]Course!$A$2:$R$329,2,FALSE)</f>
        <v>Science 5</v>
      </c>
      <c r="G397" s="31">
        <f>VLOOKUP(B397, [1]Course!$A$2:$L$950, 8, FALSE)</f>
        <v>12</v>
      </c>
      <c r="H397" s="31">
        <v>3</v>
      </c>
      <c r="I397" s="31">
        <v>1</v>
      </c>
      <c r="K397" s="31" t="s">
        <v>1548</v>
      </c>
      <c r="L397" s="31" t="str">
        <f>VLOOKUP(B397, [1]Course!$A$1:$O$933, 14, FALSE)</f>
        <v>SC</v>
      </c>
      <c r="M397" s="31">
        <v>1</v>
      </c>
    </row>
    <row r="398" spans="1:13" ht="15.75" hidden="1" customHeight="1" x14ac:dyDescent="0.2">
      <c r="A398" s="31">
        <v>397</v>
      </c>
      <c r="B398" s="31">
        <v>34</v>
      </c>
      <c r="C398" s="31">
        <v>50</v>
      </c>
      <c r="D398" s="31" t="s">
        <v>50</v>
      </c>
      <c r="E398" s="31" t="str">
        <f t="shared" si="6"/>
        <v>1250SC03PT</v>
      </c>
      <c r="F398" s="31" t="str">
        <f>VLOOKUP(B398,[1]Course!$A$2:$R$329,2,FALSE)</f>
        <v>Science 5</v>
      </c>
      <c r="G398" s="31">
        <f>VLOOKUP(B398, [1]Course!$A$2:$L$950, 8, FALSE)</f>
        <v>12</v>
      </c>
      <c r="H398" s="31">
        <v>3</v>
      </c>
      <c r="I398" s="31">
        <v>1</v>
      </c>
      <c r="K398" s="31" t="s">
        <v>1548</v>
      </c>
      <c r="L398" s="31" t="str">
        <f>VLOOKUP(B398, [1]Course!$A$1:$O$933, 14, FALSE)</f>
        <v>SC</v>
      </c>
      <c r="M398" s="31">
        <v>1</v>
      </c>
    </row>
    <row r="399" spans="1:13" ht="15.75" hidden="1" customHeight="1" x14ac:dyDescent="0.2">
      <c r="A399" s="31">
        <v>398</v>
      </c>
      <c r="B399" s="31">
        <v>34</v>
      </c>
      <c r="C399" s="31">
        <v>51</v>
      </c>
      <c r="D399" s="31" t="s">
        <v>50</v>
      </c>
      <c r="E399" s="31" t="str">
        <f t="shared" si="6"/>
        <v>1251SC03PT</v>
      </c>
      <c r="F399" s="31" t="str">
        <f>VLOOKUP(B399,[1]Course!$A$2:$R$329,2,FALSE)</f>
        <v>Science 5</v>
      </c>
      <c r="G399" s="31">
        <f>VLOOKUP(B399, [1]Course!$A$2:$L$950, 8, FALSE)</f>
        <v>12</v>
      </c>
      <c r="H399" s="31">
        <v>3</v>
      </c>
      <c r="I399" s="31">
        <v>1</v>
      </c>
      <c r="K399" s="31" t="s">
        <v>1548</v>
      </c>
      <c r="L399" s="31" t="str">
        <f>VLOOKUP(B399, [1]Course!$A$1:$O$933, 14, FALSE)</f>
        <v>SC</v>
      </c>
      <c r="M399" s="31">
        <v>1</v>
      </c>
    </row>
    <row r="400" spans="1:13" ht="15.75" hidden="1" customHeight="1" x14ac:dyDescent="0.2">
      <c r="A400" s="31">
        <v>399</v>
      </c>
      <c r="B400" s="31">
        <v>34</v>
      </c>
      <c r="C400" s="31">
        <v>52</v>
      </c>
      <c r="D400" s="31" t="s">
        <v>50</v>
      </c>
      <c r="E400" s="31" t="str">
        <f t="shared" si="6"/>
        <v>1252SC03PT</v>
      </c>
      <c r="F400" s="31" t="str">
        <f>VLOOKUP(B400,[1]Course!$A$2:$R$329,2,FALSE)</f>
        <v>Science 5</v>
      </c>
      <c r="G400" s="31">
        <f>VLOOKUP(B400, [1]Course!$A$2:$L$950, 8, FALSE)</f>
        <v>12</v>
      </c>
      <c r="H400" s="31">
        <v>3</v>
      </c>
      <c r="I400" s="31">
        <v>1</v>
      </c>
      <c r="K400" s="31" t="s">
        <v>1548</v>
      </c>
      <c r="L400" s="31" t="str">
        <f>VLOOKUP(B400, [1]Course!$A$1:$O$933, 14, FALSE)</f>
        <v>SC</v>
      </c>
      <c r="M400" s="31">
        <v>1</v>
      </c>
    </row>
    <row r="401" spans="1:13" ht="15.75" hidden="1" customHeight="1" x14ac:dyDescent="0.2">
      <c r="A401" s="31">
        <v>400</v>
      </c>
      <c r="B401" s="31">
        <v>34</v>
      </c>
      <c r="C401" s="31">
        <v>53</v>
      </c>
      <c r="D401" s="31" t="s">
        <v>50</v>
      </c>
      <c r="E401" s="31" t="str">
        <f t="shared" si="6"/>
        <v>1253SC03PT</v>
      </c>
      <c r="F401" s="31" t="str">
        <f>VLOOKUP(B401,[1]Course!$A$2:$R$329,2,FALSE)</f>
        <v>Science 5</v>
      </c>
      <c r="G401" s="31">
        <f>VLOOKUP(B401, [1]Course!$A$2:$L$950, 8, FALSE)</f>
        <v>12</v>
      </c>
      <c r="H401" s="31">
        <v>3</v>
      </c>
      <c r="I401" s="31">
        <v>1</v>
      </c>
      <c r="K401" s="31" t="s">
        <v>1548</v>
      </c>
      <c r="L401" s="31" t="str">
        <f>VLOOKUP(B401, [1]Course!$A$1:$O$933, 14, FALSE)</f>
        <v>SC</v>
      </c>
      <c r="M401" s="31">
        <v>1</v>
      </c>
    </row>
    <row r="402" spans="1:13" ht="15.75" hidden="1" customHeight="1" x14ac:dyDescent="0.2">
      <c r="A402" s="31">
        <v>401</v>
      </c>
      <c r="B402" s="31">
        <v>34</v>
      </c>
      <c r="C402" s="31">
        <v>54</v>
      </c>
      <c r="D402" s="31" t="s">
        <v>50</v>
      </c>
      <c r="E402" s="31" t="str">
        <f t="shared" si="6"/>
        <v>1254SC03PT</v>
      </c>
      <c r="F402" s="31" t="str">
        <f>VLOOKUP(B402,[1]Course!$A$2:$R$329,2,FALSE)</f>
        <v>Science 5</v>
      </c>
      <c r="G402" s="31">
        <f>VLOOKUP(B402, [1]Course!$A$2:$L$950, 8, FALSE)</f>
        <v>12</v>
      </c>
      <c r="H402" s="31">
        <v>3</v>
      </c>
      <c r="I402" s="31">
        <v>1</v>
      </c>
      <c r="K402" s="31" t="s">
        <v>1548</v>
      </c>
      <c r="L402" s="31" t="str">
        <f>VLOOKUP(B402, [1]Course!$A$1:$O$933, 14, FALSE)</f>
        <v>SC</v>
      </c>
      <c r="M402" s="31">
        <v>1</v>
      </c>
    </row>
    <row r="403" spans="1:13" ht="15.75" hidden="1" customHeight="1" x14ac:dyDescent="0.2">
      <c r="A403" s="31">
        <v>402</v>
      </c>
      <c r="B403" s="31">
        <v>34</v>
      </c>
      <c r="C403" s="31">
        <v>55</v>
      </c>
      <c r="D403" s="31" t="s">
        <v>50</v>
      </c>
      <c r="E403" s="31" t="str">
        <f t="shared" si="6"/>
        <v>1255SC03PT</v>
      </c>
      <c r="F403" s="31" t="str">
        <f>VLOOKUP(B403,[1]Course!$A$2:$R$329,2,FALSE)</f>
        <v>Science 5</v>
      </c>
      <c r="G403" s="31">
        <f>VLOOKUP(B403, [1]Course!$A$2:$L$950, 8, FALSE)</f>
        <v>12</v>
      </c>
      <c r="H403" s="31">
        <v>3</v>
      </c>
      <c r="I403" s="31">
        <v>1</v>
      </c>
      <c r="K403" s="31" t="s">
        <v>1548</v>
      </c>
      <c r="L403" s="31" t="str">
        <f>VLOOKUP(B403, [1]Course!$A$1:$O$933, 14, FALSE)</f>
        <v>SC</v>
      </c>
      <c r="M403" s="31">
        <v>1</v>
      </c>
    </row>
    <row r="404" spans="1:13" ht="15.75" hidden="1" customHeight="1" x14ac:dyDescent="0.2">
      <c r="A404" s="31">
        <v>403</v>
      </c>
      <c r="B404" s="31">
        <v>34</v>
      </c>
      <c r="C404" s="31">
        <v>56</v>
      </c>
      <c r="D404" s="31" t="s">
        <v>50</v>
      </c>
      <c r="E404" s="31" t="str">
        <f t="shared" si="6"/>
        <v>1256SC03PT</v>
      </c>
      <c r="F404" s="31" t="str">
        <f>VLOOKUP(B404,[1]Course!$A$2:$R$329,2,FALSE)</f>
        <v>Science 5</v>
      </c>
      <c r="G404" s="31">
        <f>VLOOKUP(B404, [1]Course!$A$2:$L$950, 8, FALSE)</f>
        <v>12</v>
      </c>
      <c r="H404" s="31">
        <v>3</v>
      </c>
      <c r="I404" s="31">
        <v>1</v>
      </c>
      <c r="K404" s="31" t="s">
        <v>1548</v>
      </c>
      <c r="L404" s="31" t="str">
        <f>VLOOKUP(B404, [1]Course!$A$1:$O$933, 14, FALSE)</f>
        <v>SC</v>
      </c>
      <c r="M404" s="31">
        <v>1</v>
      </c>
    </row>
    <row r="405" spans="1:13" ht="15.75" hidden="1" customHeight="1" x14ac:dyDescent="0.2">
      <c r="A405" s="31">
        <v>404</v>
      </c>
      <c r="B405" s="31">
        <v>34</v>
      </c>
      <c r="C405" s="31">
        <v>57</v>
      </c>
      <c r="D405" s="31" t="s">
        <v>50</v>
      </c>
      <c r="E405" s="31" t="str">
        <f t="shared" si="6"/>
        <v>1257SC03PT</v>
      </c>
      <c r="F405" s="31" t="str">
        <f>VLOOKUP(B405,[1]Course!$A$2:$R$329,2,FALSE)</f>
        <v>Science 5</v>
      </c>
      <c r="G405" s="31">
        <f>VLOOKUP(B405, [1]Course!$A$2:$L$950, 8, FALSE)</f>
        <v>12</v>
      </c>
      <c r="H405" s="31">
        <v>3</v>
      </c>
      <c r="I405" s="31">
        <v>1</v>
      </c>
      <c r="K405" s="31" t="s">
        <v>1548</v>
      </c>
      <c r="L405" s="31" t="str">
        <f>VLOOKUP(B405, [1]Course!$A$1:$O$933, 14, FALSE)</f>
        <v>SC</v>
      </c>
      <c r="M405" s="31">
        <v>1</v>
      </c>
    </row>
    <row r="406" spans="1:13" ht="15.75" hidden="1" customHeight="1" x14ac:dyDescent="0.2">
      <c r="A406" s="31">
        <v>405</v>
      </c>
      <c r="B406" s="31">
        <v>34</v>
      </c>
      <c r="C406" s="31">
        <v>58</v>
      </c>
      <c r="D406" s="31" t="s">
        <v>50</v>
      </c>
      <c r="E406" s="31" t="str">
        <f t="shared" si="6"/>
        <v>1258SC03PT</v>
      </c>
      <c r="F406" s="31" t="str">
        <f>VLOOKUP(B406,[1]Course!$A$2:$R$329,2,FALSE)</f>
        <v>Science 5</v>
      </c>
      <c r="G406" s="31">
        <f>VLOOKUP(B406, [1]Course!$A$2:$L$950, 8, FALSE)</f>
        <v>12</v>
      </c>
      <c r="H406" s="31">
        <v>3</v>
      </c>
      <c r="I406" s="31">
        <v>1</v>
      </c>
      <c r="K406" s="31" t="s">
        <v>1548</v>
      </c>
      <c r="L406" s="31" t="str">
        <f>VLOOKUP(B406, [1]Course!$A$1:$O$933, 14, FALSE)</f>
        <v>SC</v>
      </c>
      <c r="M406" s="31">
        <v>1</v>
      </c>
    </row>
    <row r="407" spans="1:13" ht="15.75" hidden="1" customHeight="1" x14ac:dyDescent="0.2">
      <c r="A407" s="31">
        <v>406</v>
      </c>
      <c r="B407" s="31">
        <v>34</v>
      </c>
      <c r="C407" s="31">
        <v>59</v>
      </c>
      <c r="D407" s="31" t="s">
        <v>50</v>
      </c>
      <c r="E407" s="31" t="str">
        <f t="shared" si="6"/>
        <v>1259SC03PT</v>
      </c>
      <c r="F407" s="31" t="str">
        <f>VLOOKUP(B407,[1]Course!$A$2:$R$329,2,FALSE)</f>
        <v>Science 5</v>
      </c>
      <c r="G407" s="31">
        <f>VLOOKUP(B407, [1]Course!$A$2:$L$950, 8, FALSE)</f>
        <v>12</v>
      </c>
      <c r="H407" s="31">
        <v>3</v>
      </c>
      <c r="I407" s="31">
        <v>1</v>
      </c>
      <c r="K407" s="31" t="s">
        <v>1548</v>
      </c>
      <c r="L407" s="31" t="str">
        <f>VLOOKUP(B407, [1]Course!$A$1:$O$933, 14, FALSE)</f>
        <v>SC</v>
      </c>
      <c r="M407" s="31">
        <v>1</v>
      </c>
    </row>
    <row r="408" spans="1:13" ht="15.75" hidden="1" customHeight="1" x14ac:dyDescent="0.2">
      <c r="A408" s="31">
        <v>407</v>
      </c>
      <c r="B408" s="31">
        <v>34</v>
      </c>
      <c r="C408" s="31">
        <v>60</v>
      </c>
      <c r="D408" s="31" t="s">
        <v>50</v>
      </c>
      <c r="E408" s="31" t="str">
        <f t="shared" si="6"/>
        <v>1260SC03PT</v>
      </c>
      <c r="F408" s="31" t="str">
        <f>VLOOKUP(B408,[1]Course!$A$2:$R$329,2,FALSE)</f>
        <v>Science 5</v>
      </c>
      <c r="G408" s="31">
        <f>VLOOKUP(B408, [1]Course!$A$2:$L$950, 8, FALSE)</f>
        <v>12</v>
      </c>
      <c r="H408" s="31">
        <v>3</v>
      </c>
      <c r="I408" s="31">
        <v>1</v>
      </c>
      <c r="K408" s="31" t="s">
        <v>1548</v>
      </c>
      <c r="L408" s="31" t="str">
        <f>VLOOKUP(B408, [1]Course!$A$1:$O$933, 14, FALSE)</f>
        <v>SC</v>
      </c>
      <c r="M408" s="31">
        <v>1</v>
      </c>
    </row>
    <row r="409" spans="1:13" ht="15.75" hidden="1" customHeight="1" x14ac:dyDescent="0.2">
      <c r="A409" s="31">
        <v>408</v>
      </c>
      <c r="B409" s="31">
        <v>35</v>
      </c>
      <c r="C409" s="31">
        <v>49</v>
      </c>
      <c r="D409" s="31" t="s">
        <v>295</v>
      </c>
      <c r="E409" s="31" t="str">
        <f t="shared" si="6"/>
        <v>1249SS03PT</v>
      </c>
      <c r="F409" s="31">
        <f>VLOOKUP(B409,[1]Course!$A$2:$R$329,2,FALSE)</f>
        <v>0</v>
      </c>
      <c r="G409" s="31">
        <f>VLOOKUP(B409, [1]Course!$A$2:$L$950, 8, FALSE)</f>
        <v>12</v>
      </c>
      <c r="H409" s="31">
        <v>3</v>
      </c>
      <c r="I409" s="31">
        <v>1</v>
      </c>
      <c r="K409" s="31" t="s">
        <v>1548</v>
      </c>
      <c r="L409" s="31" t="str">
        <f>VLOOKUP(B409, [1]Course!$A$1:$O$933, 14, FALSE)</f>
        <v>SS</v>
      </c>
      <c r="M409" s="31">
        <v>1</v>
      </c>
    </row>
    <row r="410" spans="1:13" ht="15.75" hidden="1" customHeight="1" x14ac:dyDescent="0.2">
      <c r="A410" s="31">
        <v>409</v>
      </c>
      <c r="B410" s="31">
        <v>35</v>
      </c>
      <c r="C410" s="31">
        <v>50</v>
      </c>
      <c r="D410" s="31" t="s">
        <v>295</v>
      </c>
      <c r="E410" s="31" t="str">
        <f t="shared" si="6"/>
        <v>1250SS03PT</v>
      </c>
      <c r="F410" s="31">
        <f>VLOOKUP(B410,[1]Course!$A$2:$R$329,2,FALSE)</f>
        <v>0</v>
      </c>
      <c r="G410" s="31">
        <f>VLOOKUP(B410, [1]Course!$A$2:$L$950, 8, FALSE)</f>
        <v>12</v>
      </c>
      <c r="H410" s="31">
        <v>3</v>
      </c>
      <c r="I410" s="31">
        <v>1</v>
      </c>
      <c r="K410" s="31" t="s">
        <v>1548</v>
      </c>
      <c r="L410" s="31" t="str">
        <f>VLOOKUP(B410, [1]Course!$A$1:$O$933, 14, FALSE)</f>
        <v>SS</v>
      </c>
      <c r="M410" s="31">
        <v>1</v>
      </c>
    </row>
    <row r="411" spans="1:13" ht="15.75" hidden="1" customHeight="1" x14ac:dyDescent="0.2">
      <c r="A411" s="31">
        <v>410</v>
      </c>
      <c r="B411" s="31">
        <v>35</v>
      </c>
      <c r="C411" s="31">
        <v>51</v>
      </c>
      <c r="D411" s="31" t="s">
        <v>295</v>
      </c>
      <c r="E411" s="31" t="str">
        <f t="shared" si="6"/>
        <v>1251SS03PT</v>
      </c>
      <c r="F411" s="31">
        <f>VLOOKUP(B411,[1]Course!$A$2:$R$329,2,FALSE)</f>
        <v>0</v>
      </c>
      <c r="G411" s="31">
        <f>VLOOKUP(B411, [1]Course!$A$2:$L$950, 8, FALSE)</f>
        <v>12</v>
      </c>
      <c r="H411" s="31">
        <v>3</v>
      </c>
      <c r="I411" s="31">
        <v>1</v>
      </c>
      <c r="K411" s="31" t="s">
        <v>1548</v>
      </c>
      <c r="L411" s="31" t="str">
        <f>VLOOKUP(B411, [1]Course!$A$1:$O$933, 14, FALSE)</f>
        <v>SS</v>
      </c>
      <c r="M411" s="31">
        <v>1</v>
      </c>
    </row>
    <row r="412" spans="1:13" ht="15.75" hidden="1" customHeight="1" x14ac:dyDescent="0.2">
      <c r="A412" s="31">
        <v>411</v>
      </c>
      <c r="B412" s="31">
        <v>35</v>
      </c>
      <c r="C412" s="31">
        <v>52</v>
      </c>
      <c r="D412" s="31" t="s">
        <v>295</v>
      </c>
      <c r="E412" s="31" t="str">
        <f t="shared" si="6"/>
        <v>1252SS03PT</v>
      </c>
      <c r="F412" s="31">
        <f>VLOOKUP(B412,[1]Course!$A$2:$R$329,2,FALSE)</f>
        <v>0</v>
      </c>
      <c r="G412" s="31">
        <f>VLOOKUP(B412, [1]Course!$A$2:$L$950, 8, FALSE)</f>
        <v>12</v>
      </c>
      <c r="H412" s="31">
        <v>3</v>
      </c>
      <c r="I412" s="31">
        <v>1</v>
      </c>
      <c r="K412" s="31" t="s">
        <v>1548</v>
      </c>
      <c r="L412" s="31" t="str">
        <f>VLOOKUP(B412, [1]Course!$A$1:$O$933, 14, FALSE)</f>
        <v>SS</v>
      </c>
      <c r="M412" s="31">
        <v>1</v>
      </c>
    </row>
    <row r="413" spans="1:13" ht="15.75" hidden="1" customHeight="1" x14ac:dyDescent="0.2">
      <c r="A413" s="31">
        <v>412</v>
      </c>
      <c r="B413" s="31">
        <v>35</v>
      </c>
      <c r="C413" s="31">
        <v>53</v>
      </c>
      <c r="D413" s="31" t="s">
        <v>295</v>
      </c>
      <c r="E413" s="31" t="str">
        <f t="shared" si="6"/>
        <v>1253SS03PT</v>
      </c>
      <c r="F413" s="31">
        <f>VLOOKUP(B413,[1]Course!$A$2:$R$329,2,FALSE)</f>
        <v>0</v>
      </c>
      <c r="G413" s="31">
        <f>VLOOKUP(B413, [1]Course!$A$2:$L$950, 8, FALSE)</f>
        <v>12</v>
      </c>
      <c r="H413" s="31">
        <v>3</v>
      </c>
      <c r="I413" s="31">
        <v>1</v>
      </c>
      <c r="K413" s="31" t="s">
        <v>1548</v>
      </c>
      <c r="L413" s="31" t="str">
        <f>VLOOKUP(B413, [1]Course!$A$1:$O$933, 14, FALSE)</f>
        <v>SS</v>
      </c>
      <c r="M413" s="31">
        <v>1</v>
      </c>
    </row>
    <row r="414" spans="1:13" ht="15.75" hidden="1" customHeight="1" x14ac:dyDescent="0.2">
      <c r="A414" s="31">
        <v>413</v>
      </c>
      <c r="B414" s="31">
        <v>35</v>
      </c>
      <c r="C414" s="31">
        <v>54</v>
      </c>
      <c r="D414" s="31" t="s">
        <v>295</v>
      </c>
      <c r="E414" s="31" t="str">
        <f t="shared" si="6"/>
        <v>1254SS03PT</v>
      </c>
      <c r="F414" s="31">
        <f>VLOOKUP(B414,[1]Course!$A$2:$R$329,2,FALSE)</f>
        <v>0</v>
      </c>
      <c r="G414" s="31">
        <f>VLOOKUP(B414, [1]Course!$A$2:$L$950, 8, FALSE)</f>
        <v>12</v>
      </c>
      <c r="H414" s="31">
        <v>3</v>
      </c>
      <c r="I414" s="31">
        <v>1</v>
      </c>
      <c r="K414" s="31" t="s">
        <v>1548</v>
      </c>
      <c r="L414" s="31" t="str">
        <f>VLOOKUP(B414, [1]Course!$A$1:$O$933, 14, FALSE)</f>
        <v>SS</v>
      </c>
      <c r="M414" s="31">
        <v>1</v>
      </c>
    </row>
    <row r="415" spans="1:13" ht="15.75" hidden="1" customHeight="1" x14ac:dyDescent="0.2">
      <c r="A415" s="31">
        <v>414</v>
      </c>
      <c r="B415" s="31">
        <v>35</v>
      </c>
      <c r="C415" s="31">
        <v>55</v>
      </c>
      <c r="D415" s="31" t="s">
        <v>295</v>
      </c>
      <c r="E415" s="31" t="str">
        <f t="shared" si="6"/>
        <v>1255SS03PT</v>
      </c>
      <c r="F415" s="31">
        <f>VLOOKUP(B415,[1]Course!$A$2:$R$329,2,FALSE)</f>
        <v>0</v>
      </c>
      <c r="G415" s="31">
        <f>VLOOKUP(B415, [1]Course!$A$2:$L$950, 8, FALSE)</f>
        <v>12</v>
      </c>
      <c r="H415" s="31">
        <v>3</v>
      </c>
      <c r="I415" s="31">
        <v>1</v>
      </c>
      <c r="K415" s="31" t="s">
        <v>1548</v>
      </c>
      <c r="L415" s="31" t="str">
        <f>VLOOKUP(B415, [1]Course!$A$1:$O$933, 14, FALSE)</f>
        <v>SS</v>
      </c>
      <c r="M415" s="31">
        <v>1</v>
      </c>
    </row>
    <row r="416" spans="1:13" ht="15.75" hidden="1" customHeight="1" x14ac:dyDescent="0.2">
      <c r="A416" s="31">
        <v>415</v>
      </c>
      <c r="B416" s="31">
        <v>35</v>
      </c>
      <c r="C416" s="31">
        <v>56</v>
      </c>
      <c r="D416" s="31" t="s">
        <v>295</v>
      </c>
      <c r="E416" s="31" t="str">
        <f t="shared" si="6"/>
        <v>1256SS03PT</v>
      </c>
      <c r="F416" s="31">
        <f>VLOOKUP(B416,[1]Course!$A$2:$R$329,2,FALSE)</f>
        <v>0</v>
      </c>
      <c r="G416" s="31">
        <f>VLOOKUP(B416, [1]Course!$A$2:$L$950, 8, FALSE)</f>
        <v>12</v>
      </c>
      <c r="H416" s="31">
        <v>3</v>
      </c>
      <c r="I416" s="31">
        <v>1</v>
      </c>
      <c r="K416" s="31" t="s">
        <v>1548</v>
      </c>
      <c r="L416" s="31" t="str">
        <f>VLOOKUP(B416, [1]Course!$A$1:$O$933, 14, FALSE)</f>
        <v>SS</v>
      </c>
      <c r="M416" s="31">
        <v>1</v>
      </c>
    </row>
    <row r="417" spans="1:13" ht="15.75" hidden="1" customHeight="1" x14ac:dyDescent="0.2">
      <c r="A417" s="31">
        <v>416</v>
      </c>
      <c r="B417" s="31">
        <v>35</v>
      </c>
      <c r="C417" s="31">
        <v>57</v>
      </c>
      <c r="D417" s="31" t="s">
        <v>295</v>
      </c>
      <c r="E417" s="31" t="str">
        <f t="shared" si="6"/>
        <v>1257SS03PT</v>
      </c>
      <c r="F417" s="31">
        <f>VLOOKUP(B417,[1]Course!$A$2:$R$329,2,FALSE)</f>
        <v>0</v>
      </c>
      <c r="G417" s="31">
        <f>VLOOKUP(B417, [1]Course!$A$2:$L$950, 8, FALSE)</f>
        <v>12</v>
      </c>
      <c r="H417" s="31">
        <v>3</v>
      </c>
      <c r="I417" s="31">
        <v>1</v>
      </c>
      <c r="K417" s="31" t="s">
        <v>1548</v>
      </c>
      <c r="L417" s="31" t="str">
        <f>VLOOKUP(B417, [1]Course!$A$1:$O$933, 14, FALSE)</f>
        <v>SS</v>
      </c>
      <c r="M417" s="31">
        <v>1</v>
      </c>
    </row>
    <row r="418" spans="1:13" ht="15.75" hidden="1" customHeight="1" x14ac:dyDescent="0.2">
      <c r="A418" s="31">
        <v>417</v>
      </c>
      <c r="B418" s="31">
        <v>35</v>
      </c>
      <c r="C418" s="31">
        <v>58</v>
      </c>
      <c r="D418" s="31" t="s">
        <v>295</v>
      </c>
      <c r="E418" s="31" t="str">
        <f t="shared" si="6"/>
        <v>1258SS03PT</v>
      </c>
      <c r="F418" s="31">
        <f>VLOOKUP(B418,[1]Course!$A$2:$R$329,2,FALSE)</f>
        <v>0</v>
      </c>
      <c r="G418" s="31">
        <f>VLOOKUP(B418, [1]Course!$A$2:$L$950, 8, FALSE)</f>
        <v>12</v>
      </c>
      <c r="H418" s="31">
        <v>3</v>
      </c>
      <c r="I418" s="31">
        <v>1</v>
      </c>
      <c r="K418" s="31" t="s">
        <v>1548</v>
      </c>
      <c r="L418" s="31" t="str">
        <f>VLOOKUP(B418, [1]Course!$A$1:$O$933, 14, FALSE)</f>
        <v>SS</v>
      </c>
      <c r="M418" s="31">
        <v>1</v>
      </c>
    </row>
    <row r="419" spans="1:13" ht="15.75" hidden="1" customHeight="1" x14ac:dyDescent="0.2">
      <c r="A419" s="31">
        <v>418</v>
      </c>
      <c r="B419" s="31">
        <v>35</v>
      </c>
      <c r="C419" s="31">
        <v>59</v>
      </c>
      <c r="D419" s="31" t="s">
        <v>295</v>
      </c>
      <c r="E419" s="31" t="str">
        <f t="shared" si="6"/>
        <v>1259SS03PT</v>
      </c>
      <c r="F419" s="31">
        <f>VLOOKUP(B419,[1]Course!$A$2:$R$329,2,FALSE)</f>
        <v>0</v>
      </c>
      <c r="G419" s="31">
        <f>VLOOKUP(B419, [1]Course!$A$2:$L$950, 8, FALSE)</f>
        <v>12</v>
      </c>
      <c r="H419" s="31">
        <v>3</v>
      </c>
      <c r="I419" s="31">
        <v>1</v>
      </c>
      <c r="K419" s="31" t="s">
        <v>1548</v>
      </c>
      <c r="L419" s="31" t="str">
        <f>VLOOKUP(B419, [1]Course!$A$1:$O$933, 14, FALSE)</f>
        <v>SS</v>
      </c>
      <c r="M419" s="31">
        <v>1</v>
      </c>
    </row>
    <row r="420" spans="1:13" ht="15.75" hidden="1" customHeight="1" x14ac:dyDescent="0.2">
      <c r="A420" s="31">
        <v>419</v>
      </c>
      <c r="B420" s="31">
        <v>35</v>
      </c>
      <c r="C420" s="31">
        <v>60</v>
      </c>
      <c r="D420" s="31" t="s">
        <v>295</v>
      </c>
      <c r="E420" s="31" t="str">
        <f t="shared" si="6"/>
        <v>1260SS03PT</v>
      </c>
      <c r="F420" s="31">
        <f>VLOOKUP(B420,[1]Course!$A$2:$R$329,2,FALSE)</f>
        <v>0</v>
      </c>
      <c r="G420" s="31">
        <f>VLOOKUP(B420, [1]Course!$A$2:$L$950, 8, FALSE)</f>
        <v>12</v>
      </c>
      <c r="H420" s="31">
        <v>3</v>
      </c>
      <c r="I420" s="31">
        <v>1</v>
      </c>
      <c r="K420" s="31" t="s">
        <v>1548</v>
      </c>
      <c r="L420" s="31" t="str">
        <f>VLOOKUP(B420, [1]Course!$A$1:$O$933, 14, FALSE)</f>
        <v>SS</v>
      </c>
      <c r="M420" s="31">
        <v>1</v>
      </c>
    </row>
    <row r="421" spans="1:13" ht="15.75" hidden="1" customHeight="1" x14ac:dyDescent="0.2">
      <c r="A421" s="31">
        <v>420</v>
      </c>
      <c r="B421" s="31">
        <v>36</v>
      </c>
      <c r="C421" s="31">
        <v>49</v>
      </c>
      <c r="D421" s="31" t="s">
        <v>289</v>
      </c>
      <c r="E421" s="31" t="str">
        <f t="shared" si="6"/>
        <v>1249BR03PT</v>
      </c>
      <c r="F421" s="31">
        <f>VLOOKUP(B421,[1]Course!$A$2:$R$329,2,FALSE)</f>
        <v>0</v>
      </c>
      <c r="G421" s="31">
        <f>VLOOKUP(B421, [1]Course!$A$2:$L$950, 8, FALSE)</f>
        <v>12</v>
      </c>
      <c r="H421" s="31">
        <v>3</v>
      </c>
      <c r="I421" s="31">
        <v>1</v>
      </c>
      <c r="K421" s="31" t="s">
        <v>1548</v>
      </c>
      <c r="L421" s="31" t="str">
        <f>VLOOKUP(B421, [1]Course!$A$1:$O$933, 14, FALSE)</f>
        <v>BR</v>
      </c>
      <c r="M421" s="31">
        <v>1</v>
      </c>
    </row>
    <row r="422" spans="1:13" ht="15.75" hidden="1" customHeight="1" x14ac:dyDescent="0.2">
      <c r="A422" s="31">
        <v>421</v>
      </c>
      <c r="B422" s="31">
        <v>36</v>
      </c>
      <c r="C422" s="31">
        <v>50</v>
      </c>
      <c r="D422" s="31" t="s">
        <v>289</v>
      </c>
      <c r="E422" s="31" t="str">
        <f t="shared" si="6"/>
        <v>1250BR03PT</v>
      </c>
      <c r="F422" s="31">
        <f>VLOOKUP(B422,[1]Course!$A$2:$R$329,2,FALSE)</f>
        <v>0</v>
      </c>
      <c r="G422" s="31">
        <f>VLOOKUP(B422, [1]Course!$A$2:$L$950, 8, FALSE)</f>
        <v>12</v>
      </c>
      <c r="H422" s="31">
        <v>3</v>
      </c>
      <c r="I422" s="31">
        <v>1</v>
      </c>
      <c r="K422" s="31" t="s">
        <v>1548</v>
      </c>
      <c r="L422" s="31" t="str">
        <f>VLOOKUP(B422, [1]Course!$A$1:$O$933, 14, FALSE)</f>
        <v>BR</v>
      </c>
      <c r="M422" s="31">
        <v>1</v>
      </c>
    </row>
    <row r="423" spans="1:13" ht="15.75" hidden="1" customHeight="1" x14ac:dyDescent="0.2">
      <c r="A423" s="31">
        <v>422</v>
      </c>
      <c r="B423" s="31">
        <v>36</v>
      </c>
      <c r="C423" s="31">
        <v>51</v>
      </c>
      <c r="D423" s="31" t="s">
        <v>289</v>
      </c>
      <c r="E423" s="31" t="str">
        <f t="shared" si="6"/>
        <v>1251BR03PT</v>
      </c>
      <c r="F423" s="31">
        <f>VLOOKUP(B423,[1]Course!$A$2:$R$329,2,FALSE)</f>
        <v>0</v>
      </c>
      <c r="G423" s="31">
        <f>VLOOKUP(B423, [1]Course!$A$2:$L$950, 8, FALSE)</f>
        <v>12</v>
      </c>
      <c r="H423" s="31">
        <v>3</v>
      </c>
      <c r="I423" s="31">
        <v>1</v>
      </c>
      <c r="K423" s="31" t="s">
        <v>1548</v>
      </c>
      <c r="L423" s="31" t="str">
        <f>VLOOKUP(B423, [1]Course!$A$1:$O$933, 14, FALSE)</f>
        <v>BR</v>
      </c>
      <c r="M423" s="31">
        <v>1</v>
      </c>
    </row>
    <row r="424" spans="1:13" ht="15.75" hidden="1" customHeight="1" x14ac:dyDescent="0.2">
      <c r="A424" s="31">
        <v>423</v>
      </c>
      <c r="B424" s="31">
        <v>36</v>
      </c>
      <c r="C424" s="31">
        <v>52</v>
      </c>
      <c r="D424" s="31" t="s">
        <v>289</v>
      </c>
      <c r="E424" s="31" t="str">
        <f t="shared" si="6"/>
        <v>1252BR03PT</v>
      </c>
      <c r="F424" s="31">
        <f>VLOOKUP(B424,[1]Course!$A$2:$R$329,2,FALSE)</f>
        <v>0</v>
      </c>
      <c r="G424" s="31">
        <f>VLOOKUP(B424, [1]Course!$A$2:$L$950, 8, FALSE)</f>
        <v>12</v>
      </c>
      <c r="H424" s="31">
        <v>3</v>
      </c>
      <c r="I424" s="31">
        <v>1</v>
      </c>
      <c r="K424" s="31" t="s">
        <v>1548</v>
      </c>
      <c r="L424" s="31" t="str">
        <f>VLOOKUP(B424, [1]Course!$A$1:$O$933, 14, FALSE)</f>
        <v>BR</v>
      </c>
      <c r="M424" s="31">
        <v>1</v>
      </c>
    </row>
    <row r="425" spans="1:13" ht="15.75" hidden="1" customHeight="1" x14ac:dyDescent="0.2">
      <c r="A425" s="31">
        <v>424</v>
      </c>
      <c r="B425" s="31">
        <v>36</v>
      </c>
      <c r="C425" s="31">
        <v>53</v>
      </c>
      <c r="D425" s="31" t="s">
        <v>289</v>
      </c>
      <c r="E425" s="31" t="str">
        <f t="shared" si="6"/>
        <v>1253BR03PT</v>
      </c>
      <c r="F425" s="31">
        <f>VLOOKUP(B425,[1]Course!$A$2:$R$329,2,FALSE)</f>
        <v>0</v>
      </c>
      <c r="G425" s="31">
        <f>VLOOKUP(B425, [1]Course!$A$2:$L$950, 8, FALSE)</f>
        <v>12</v>
      </c>
      <c r="H425" s="31">
        <v>3</v>
      </c>
      <c r="I425" s="31">
        <v>1</v>
      </c>
      <c r="K425" s="31" t="s">
        <v>1548</v>
      </c>
      <c r="L425" s="31" t="str">
        <f>VLOOKUP(B425, [1]Course!$A$1:$O$933, 14, FALSE)</f>
        <v>BR</v>
      </c>
      <c r="M425" s="31">
        <v>1</v>
      </c>
    </row>
    <row r="426" spans="1:13" ht="15.75" hidden="1" customHeight="1" x14ac:dyDescent="0.2">
      <c r="A426" s="31">
        <v>425</v>
      </c>
      <c r="B426" s="31">
        <v>36</v>
      </c>
      <c r="C426" s="31">
        <v>54</v>
      </c>
      <c r="D426" s="31" t="s">
        <v>289</v>
      </c>
      <c r="E426" s="31" t="str">
        <f t="shared" si="6"/>
        <v>1254BR03PT</v>
      </c>
      <c r="F426" s="31">
        <f>VLOOKUP(B426,[1]Course!$A$2:$R$329,2,FALSE)</f>
        <v>0</v>
      </c>
      <c r="G426" s="31">
        <f>VLOOKUP(B426, [1]Course!$A$2:$L$950, 8, FALSE)</f>
        <v>12</v>
      </c>
      <c r="H426" s="31">
        <v>3</v>
      </c>
      <c r="I426" s="31">
        <v>1</v>
      </c>
      <c r="K426" s="31" t="s">
        <v>1548</v>
      </c>
      <c r="L426" s="31" t="str">
        <f>VLOOKUP(B426, [1]Course!$A$1:$O$933, 14, FALSE)</f>
        <v>BR</v>
      </c>
      <c r="M426" s="31">
        <v>1</v>
      </c>
    </row>
    <row r="427" spans="1:13" ht="15.75" hidden="1" customHeight="1" x14ac:dyDescent="0.2">
      <c r="A427" s="31">
        <v>426</v>
      </c>
      <c r="B427" s="31">
        <v>36</v>
      </c>
      <c r="C427" s="31">
        <v>55</v>
      </c>
      <c r="D427" s="31" t="s">
        <v>289</v>
      </c>
      <c r="E427" s="31" t="str">
        <f t="shared" si="6"/>
        <v>1255BR03PT</v>
      </c>
      <c r="F427" s="31">
        <f>VLOOKUP(B427,[1]Course!$A$2:$R$329,2,FALSE)</f>
        <v>0</v>
      </c>
      <c r="G427" s="31">
        <f>VLOOKUP(B427, [1]Course!$A$2:$L$950, 8, FALSE)</f>
        <v>12</v>
      </c>
      <c r="H427" s="31">
        <v>3</v>
      </c>
      <c r="I427" s="31">
        <v>1</v>
      </c>
      <c r="K427" s="31" t="s">
        <v>1548</v>
      </c>
      <c r="L427" s="31" t="str">
        <f>VLOOKUP(B427, [1]Course!$A$1:$O$933, 14, FALSE)</f>
        <v>BR</v>
      </c>
      <c r="M427" s="31">
        <v>1</v>
      </c>
    </row>
    <row r="428" spans="1:13" ht="15.75" hidden="1" customHeight="1" x14ac:dyDescent="0.2">
      <c r="A428" s="31">
        <v>427</v>
      </c>
      <c r="B428" s="31">
        <v>36</v>
      </c>
      <c r="C428" s="31">
        <v>56</v>
      </c>
      <c r="D428" s="31" t="s">
        <v>289</v>
      </c>
      <c r="E428" s="31" t="str">
        <f t="shared" si="6"/>
        <v>1256BR03PT</v>
      </c>
      <c r="F428" s="31">
        <f>VLOOKUP(B428,[1]Course!$A$2:$R$329,2,FALSE)</f>
        <v>0</v>
      </c>
      <c r="G428" s="31">
        <f>VLOOKUP(B428, [1]Course!$A$2:$L$950, 8, FALSE)</f>
        <v>12</v>
      </c>
      <c r="H428" s="31">
        <v>3</v>
      </c>
      <c r="I428" s="31">
        <v>1</v>
      </c>
      <c r="K428" s="31" t="s">
        <v>1548</v>
      </c>
      <c r="L428" s="31" t="str">
        <f>VLOOKUP(B428, [1]Course!$A$1:$O$933, 14, FALSE)</f>
        <v>BR</v>
      </c>
      <c r="M428" s="31">
        <v>1</v>
      </c>
    </row>
    <row r="429" spans="1:13" ht="15.75" hidden="1" customHeight="1" x14ac:dyDescent="0.2">
      <c r="A429" s="31">
        <v>428</v>
      </c>
      <c r="B429" s="31">
        <v>36</v>
      </c>
      <c r="C429" s="31">
        <v>57</v>
      </c>
      <c r="D429" s="31" t="s">
        <v>289</v>
      </c>
      <c r="E429" s="31" t="str">
        <f t="shared" si="6"/>
        <v>1257BR03PT</v>
      </c>
      <c r="F429" s="31">
        <f>VLOOKUP(B429,[1]Course!$A$2:$R$329,2,FALSE)</f>
        <v>0</v>
      </c>
      <c r="G429" s="31">
        <f>VLOOKUP(B429, [1]Course!$A$2:$L$950, 8, FALSE)</f>
        <v>12</v>
      </c>
      <c r="H429" s="31">
        <v>3</v>
      </c>
      <c r="I429" s="31">
        <v>1</v>
      </c>
      <c r="K429" s="31" t="s">
        <v>1548</v>
      </c>
      <c r="L429" s="31" t="str">
        <f>VLOOKUP(B429, [1]Course!$A$1:$O$933, 14, FALSE)</f>
        <v>BR</v>
      </c>
      <c r="M429" s="31">
        <v>1</v>
      </c>
    </row>
    <row r="430" spans="1:13" ht="15.75" hidden="1" customHeight="1" x14ac:dyDescent="0.2">
      <c r="A430" s="31">
        <v>429</v>
      </c>
      <c r="B430" s="31">
        <v>36</v>
      </c>
      <c r="C430" s="31">
        <v>58</v>
      </c>
      <c r="D430" s="31" t="s">
        <v>289</v>
      </c>
      <c r="E430" s="31" t="str">
        <f t="shared" si="6"/>
        <v>1258BR03PT</v>
      </c>
      <c r="F430" s="31">
        <f>VLOOKUP(B430,[1]Course!$A$2:$R$329,2,FALSE)</f>
        <v>0</v>
      </c>
      <c r="G430" s="31">
        <f>VLOOKUP(B430, [1]Course!$A$2:$L$950, 8, FALSE)</f>
        <v>12</v>
      </c>
      <c r="H430" s="31">
        <v>3</v>
      </c>
      <c r="I430" s="31">
        <v>1</v>
      </c>
      <c r="K430" s="31" t="s">
        <v>1548</v>
      </c>
      <c r="L430" s="31" t="str">
        <f>VLOOKUP(B430, [1]Course!$A$1:$O$933, 14, FALSE)</f>
        <v>BR</v>
      </c>
      <c r="M430" s="31">
        <v>1</v>
      </c>
    </row>
    <row r="431" spans="1:13" ht="15.75" hidden="1" customHeight="1" x14ac:dyDescent="0.2">
      <c r="A431" s="31">
        <v>430</v>
      </c>
      <c r="B431" s="31">
        <v>36</v>
      </c>
      <c r="C431" s="31">
        <v>59</v>
      </c>
      <c r="D431" s="31" t="s">
        <v>289</v>
      </c>
      <c r="E431" s="31" t="str">
        <f t="shared" si="6"/>
        <v>1259BR03PT</v>
      </c>
      <c r="F431" s="31">
        <f>VLOOKUP(B431,[1]Course!$A$2:$R$329,2,FALSE)</f>
        <v>0</v>
      </c>
      <c r="G431" s="31">
        <f>VLOOKUP(B431, [1]Course!$A$2:$L$950, 8, FALSE)</f>
        <v>12</v>
      </c>
      <c r="H431" s="31">
        <v>3</v>
      </c>
      <c r="I431" s="31">
        <v>1</v>
      </c>
      <c r="K431" s="31" t="s">
        <v>1548</v>
      </c>
      <c r="L431" s="31" t="str">
        <f>VLOOKUP(B431, [1]Course!$A$1:$O$933, 14, FALSE)</f>
        <v>BR</v>
      </c>
      <c r="M431" s="31">
        <v>1</v>
      </c>
    </row>
    <row r="432" spans="1:13" ht="15.75" hidden="1" customHeight="1" x14ac:dyDescent="0.2">
      <c r="A432" s="31">
        <v>431</v>
      </c>
      <c r="B432" s="31">
        <v>36</v>
      </c>
      <c r="C432" s="31">
        <v>60</v>
      </c>
      <c r="D432" s="31" t="s">
        <v>289</v>
      </c>
      <c r="E432" s="31" t="str">
        <f t="shared" si="6"/>
        <v>1260BR03PT</v>
      </c>
      <c r="F432" s="31">
        <f>VLOOKUP(B432,[1]Course!$A$2:$R$329,2,FALSE)</f>
        <v>0</v>
      </c>
      <c r="G432" s="31">
        <f>VLOOKUP(B432, [1]Course!$A$2:$L$950, 8, FALSE)</f>
        <v>12</v>
      </c>
      <c r="H432" s="31">
        <v>3</v>
      </c>
      <c r="I432" s="31">
        <v>1</v>
      </c>
      <c r="K432" s="31" t="s">
        <v>1548</v>
      </c>
      <c r="L432" s="31" t="str">
        <f>VLOOKUP(B432, [1]Course!$A$1:$O$933, 14, FALSE)</f>
        <v>BR</v>
      </c>
      <c r="M432" s="31">
        <v>1</v>
      </c>
    </row>
    <row r="433" spans="1:13" ht="15.75" hidden="1" customHeight="1" x14ac:dyDescent="0.2">
      <c r="A433" s="31">
        <v>432</v>
      </c>
      <c r="B433" s="31">
        <v>37</v>
      </c>
      <c r="C433" s="31">
        <v>61</v>
      </c>
      <c r="D433" s="31" t="s">
        <v>52</v>
      </c>
      <c r="E433" s="31" t="str">
        <f t="shared" si="6"/>
        <v>1261MA03PT</v>
      </c>
      <c r="F433" s="31">
        <f>VLOOKUP(B433,[1]Course!$A$2:$R$329,2,FALSE)</f>
        <v>0</v>
      </c>
      <c r="G433" s="31">
        <f>VLOOKUP(B433, [1]Course!$A$2:$L$950, 8, FALSE)</f>
        <v>12</v>
      </c>
      <c r="H433" s="31">
        <v>3</v>
      </c>
      <c r="I433" s="31">
        <v>1</v>
      </c>
      <c r="K433" s="31" t="s">
        <v>1548</v>
      </c>
      <c r="L433" s="31" t="str">
        <f>VLOOKUP(B433, [1]Course!$A$1:$O$933, 14, FALSE)</f>
        <v>MA</v>
      </c>
      <c r="M433" s="31">
        <v>1</v>
      </c>
    </row>
    <row r="434" spans="1:13" ht="15.75" hidden="1" customHeight="1" x14ac:dyDescent="0.2">
      <c r="A434" s="31">
        <v>433</v>
      </c>
      <c r="B434" s="31">
        <v>37</v>
      </c>
      <c r="C434" s="31">
        <v>62</v>
      </c>
      <c r="D434" s="31" t="s">
        <v>52</v>
      </c>
      <c r="E434" s="31" t="str">
        <f t="shared" si="6"/>
        <v>1262MA03PT</v>
      </c>
      <c r="F434" s="31">
        <f>VLOOKUP(B434,[1]Course!$A$2:$R$329,2,FALSE)</f>
        <v>0</v>
      </c>
      <c r="G434" s="31">
        <f>VLOOKUP(B434, [1]Course!$A$2:$L$950, 8, FALSE)</f>
        <v>12</v>
      </c>
      <c r="H434" s="31">
        <v>3</v>
      </c>
      <c r="I434" s="31">
        <v>1</v>
      </c>
      <c r="K434" s="31" t="s">
        <v>1548</v>
      </c>
      <c r="L434" s="31" t="str">
        <f>VLOOKUP(B434, [1]Course!$A$1:$O$933, 14, FALSE)</f>
        <v>MA</v>
      </c>
      <c r="M434" s="31">
        <v>1</v>
      </c>
    </row>
    <row r="435" spans="1:13" ht="15.75" hidden="1" customHeight="1" x14ac:dyDescent="0.2">
      <c r="A435" s="31">
        <v>434</v>
      </c>
      <c r="B435" s="31">
        <v>37</v>
      </c>
      <c r="C435" s="31">
        <v>63</v>
      </c>
      <c r="D435" s="31" t="s">
        <v>52</v>
      </c>
      <c r="E435" s="31" t="str">
        <f t="shared" si="6"/>
        <v>1263MA03PT</v>
      </c>
      <c r="F435" s="31">
        <f>VLOOKUP(B435,[1]Course!$A$2:$R$329,2,FALSE)</f>
        <v>0</v>
      </c>
      <c r="G435" s="31">
        <f>VLOOKUP(B435, [1]Course!$A$2:$L$950, 8, FALSE)</f>
        <v>12</v>
      </c>
      <c r="H435" s="31">
        <v>3</v>
      </c>
      <c r="I435" s="31">
        <v>1</v>
      </c>
      <c r="K435" s="31" t="s">
        <v>1548</v>
      </c>
      <c r="L435" s="31" t="str">
        <f>VLOOKUP(B435, [1]Course!$A$1:$O$933, 14, FALSE)</f>
        <v>MA</v>
      </c>
      <c r="M435" s="31">
        <v>1</v>
      </c>
    </row>
    <row r="436" spans="1:13" ht="15.75" hidden="1" customHeight="1" x14ac:dyDescent="0.2">
      <c r="A436" s="31">
        <v>435</v>
      </c>
      <c r="B436" s="31">
        <v>37</v>
      </c>
      <c r="C436" s="31">
        <v>64</v>
      </c>
      <c r="D436" s="31" t="s">
        <v>52</v>
      </c>
      <c r="E436" s="31" t="str">
        <f t="shared" si="6"/>
        <v>1264MA03PT</v>
      </c>
      <c r="F436" s="31">
        <f>VLOOKUP(B436,[1]Course!$A$2:$R$329,2,FALSE)</f>
        <v>0</v>
      </c>
      <c r="G436" s="31">
        <f>VLOOKUP(B436, [1]Course!$A$2:$L$950, 8, FALSE)</f>
        <v>12</v>
      </c>
      <c r="H436" s="31">
        <v>3</v>
      </c>
      <c r="I436" s="31">
        <v>1</v>
      </c>
      <c r="K436" s="31" t="s">
        <v>1548</v>
      </c>
      <c r="L436" s="31" t="str">
        <f>VLOOKUP(B436, [1]Course!$A$1:$O$933, 14, FALSE)</f>
        <v>MA</v>
      </c>
      <c r="M436" s="31">
        <v>1</v>
      </c>
    </row>
    <row r="437" spans="1:13" ht="15.75" hidden="1" customHeight="1" x14ac:dyDescent="0.2">
      <c r="A437" s="31">
        <v>436</v>
      </c>
      <c r="B437" s="31">
        <v>37</v>
      </c>
      <c r="C437" s="31">
        <v>65</v>
      </c>
      <c r="D437" s="31" t="s">
        <v>52</v>
      </c>
      <c r="E437" s="31" t="str">
        <f t="shared" si="6"/>
        <v>1265MA03PT</v>
      </c>
      <c r="F437" s="31">
        <f>VLOOKUP(B437,[1]Course!$A$2:$R$329,2,FALSE)</f>
        <v>0</v>
      </c>
      <c r="G437" s="31">
        <f>VLOOKUP(B437, [1]Course!$A$2:$L$950, 8, FALSE)</f>
        <v>12</v>
      </c>
      <c r="H437" s="31">
        <v>3</v>
      </c>
      <c r="I437" s="31">
        <v>1</v>
      </c>
      <c r="K437" s="31" t="s">
        <v>1548</v>
      </c>
      <c r="L437" s="31" t="str">
        <f>VLOOKUP(B437, [1]Course!$A$1:$O$933, 14, FALSE)</f>
        <v>MA</v>
      </c>
      <c r="M437" s="31">
        <v>1</v>
      </c>
    </row>
    <row r="438" spans="1:13" ht="15.75" hidden="1" customHeight="1" x14ac:dyDescent="0.2">
      <c r="A438" s="31">
        <v>437</v>
      </c>
      <c r="B438" s="31">
        <v>37</v>
      </c>
      <c r="C438" s="31">
        <v>66</v>
      </c>
      <c r="D438" s="31" t="s">
        <v>52</v>
      </c>
      <c r="E438" s="31" t="str">
        <f t="shared" si="6"/>
        <v>1266MA03PT</v>
      </c>
      <c r="F438" s="31">
        <f>VLOOKUP(B438,[1]Course!$A$2:$R$329,2,FALSE)</f>
        <v>0</v>
      </c>
      <c r="G438" s="31">
        <f>VLOOKUP(B438, [1]Course!$A$2:$L$950, 8, FALSE)</f>
        <v>12</v>
      </c>
      <c r="H438" s="31">
        <v>3</v>
      </c>
      <c r="I438" s="31">
        <v>1</v>
      </c>
      <c r="K438" s="31" t="s">
        <v>1548</v>
      </c>
      <c r="L438" s="31" t="str">
        <f>VLOOKUP(B438, [1]Course!$A$1:$O$933, 14, FALSE)</f>
        <v>MA</v>
      </c>
      <c r="M438" s="31">
        <v>1</v>
      </c>
    </row>
    <row r="439" spans="1:13" ht="15.75" hidden="1" customHeight="1" x14ac:dyDescent="0.2">
      <c r="A439" s="31">
        <v>438</v>
      </c>
      <c r="B439" s="31">
        <v>37</v>
      </c>
      <c r="C439" s="31">
        <v>67</v>
      </c>
      <c r="D439" s="31" t="s">
        <v>52</v>
      </c>
      <c r="E439" s="31" t="str">
        <f t="shared" si="6"/>
        <v>1267MA03PT</v>
      </c>
      <c r="F439" s="31">
        <f>VLOOKUP(B439,[1]Course!$A$2:$R$329,2,FALSE)</f>
        <v>0</v>
      </c>
      <c r="G439" s="31">
        <f>VLOOKUP(B439, [1]Course!$A$2:$L$950, 8, FALSE)</f>
        <v>12</v>
      </c>
      <c r="H439" s="31">
        <v>3</v>
      </c>
      <c r="I439" s="31">
        <v>1</v>
      </c>
      <c r="K439" s="31" t="s">
        <v>1548</v>
      </c>
      <c r="L439" s="31" t="str">
        <f>VLOOKUP(B439, [1]Course!$A$1:$O$933, 14, FALSE)</f>
        <v>MA</v>
      </c>
      <c r="M439" s="31">
        <v>1</v>
      </c>
    </row>
    <row r="440" spans="1:13" ht="15.75" hidden="1" customHeight="1" x14ac:dyDescent="0.2">
      <c r="A440" s="31">
        <v>439</v>
      </c>
      <c r="B440" s="31">
        <v>37</v>
      </c>
      <c r="C440" s="31">
        <v>68</v>
      </c>
      <c r="D440" s="31" t="s">
        <v>52</v>
      </c>
      <c r="E440" s="31" t="str">
        <f t="shared" si="6"/>
        <v>1268MA03PT</v>
      </c>
      <c r="F440" s="31">
        <f>VLOOKUP(B440,[1]Course!$A$2:$R$329,2,FALSE)</f>
        <v>0</v>
      </c>
      <c r="G440" s="31">
        <f>VLOOKUP(B440, [1]Course!$A$2:$L$950, 8, FALSE)</f>
        <v>12</v>
      </c>
      <c r="H440" s="31">
        <v>3</v>
      </c>
      <c r="I440" s="31">
        <v>1</v>
      </c>
      <c r="K440" s="31" t="s">
        <v>1548</v>
      </c>
      <c r="L440" s="31" t="str">
        <f>VLOOKUP(B440, [1]Course!$A$1:$O$933, 14, FALSE)</f>
        <v>MA</v>
      </c>
      <c r="M440" s="31">
        <v>1</v>
      </c>
    </row>
    <row r="441" spans="1:13" ht="15.75" hidden="1" customHeight="1" x14ac:dyDescent="0.2">
      <c r="A441" s="31">
        <v>440</v>
      </c>
      <c r="B441" s="31">
        <v>37</v>
      </c>
      <c r="C441" s="31">
        <v>69</v>
      </c>
      <c r="D441" s="31" t="s">
        <v>52</v>
      </c>
      <c r="E441" s="31" t="str">
        <f t="shared" si="6"/>
        <v>1269MA03PT</v>
      </c>
      <c r="F441" s="31">
        <f>VLOOKUP(B441,[1]Course!$A$2:$R$329,2,FALSE)</f>
        <v>0</v>
      </c>
      <c r="G441" s="31">
        <f>VLOOKUP(B441, [1]Course!$A$2:$L$950, 8, FALSE)</f>
        <v>12</v>
      </c>
      <c r="H441" s="31">
        <v>3</v>
      </c>
      <c r="I441" s="31">
        <v>1</v>
      </c>
      <c r="K441" s="31" t="s">
        <v>1548</v>
      </c>
      <c r="L441" s="31" t="str">
        <f>VLOOKUP(B441, [1]Course!$A$1:$O$933, 14, FALSE)</f>
        <v>MA</v>
      </c>
      <c r="M441" s="31">
        <v>1</v>
      </c>
    </row>
    <row r="442" spans="1:13" ht="15.75" hidden="1" customHeight="1" x14ac:dyDescent="0.2">
      <c r="A442" s="31">
        <v>441</v>
      </c>
      <c r="B442" s="31">
        <v>37</v>
      </c>
      <c r="C442" s="31">
        <v>70</v>
      </c>
      <c r="D442" s="31" t="s">
        <v>52</v>
      </c>
      <c r="E442" s="31" t="str">
        <f t="shared" si="6"/>
        <v>1270MA03PT</v>
      </c>
      <c r="F442" s="31">
        <f>VLOOKUP(B442,[1]Course!$A$2:$R$329,2,FALSE)</f>
        <v>0</v>
      </c>
      <c r="G442" s="31">
        <f>VLOOKUP(B442, [1]Course!$A$2:$L$950, 8, FALSE)</f>
        <v>12</v>
      </c>
      <c r="H442" s="31">
        <v>3</v>
      </c>
      <c r="I442" s="31">
        <v>1</v>
      </c>
      <c r="K442" s="31" t="s">
        <v>1548</v>
      </c>
      <c r="L442" s="31" t="str">
        <f>VLOOKUP(B442, [1]Course!$A$1:$O$933, 14, FALSE)</f>
        <v>MA</v>
      </c>
      <c r="M442" s="31">
        <v>1</v>
      </c>
    </row>
    <row r="443" spans="1:13" ht="15.75" hidden="1" customHeight="1" x14ac:dyDescent="0.2">
      <c r="A443" s="31">
        <v>442</v>
      </c>
      <c r="B443" s="31">
        <v>37</v>
      </c>
      <c r="C443" s="31">
        <v>71</v>
      </c>
      <c r="D443" s="31" t="s">
        <v>52</v>
      </c>
      <c r="E443" s="31" t="str">
        <f t="shared" si="6"/>
        <v>1271MA03PT</v>
      </c>
      <c r="F443" s="31">
        <f>VLOOKUP(B443,[1]Course!$A$2:$R$329,2,FALSE)</f>
        <v>0</v>
      </c>
      <c r="G443" s="31">
        <f>VLOOKUP(B443, [1]Course!$A$2:$L$950, 8, FALSE)</f>
        <v>12</v>
      </c>
      <c r="H443" s="31">
        <v>3</v>
      </c>
      <c r="I443" s="31">
        <v>1</v>
      </c>
      <c r="K443" s="31" t="s">
        <v>1548</v>
      </c>
      <c r="L443" s="31" t="str">
        <f>VLOOKUP(B443, [1]Course!$A$1:$O$933, 14, FALSE)</f>
        <v>MA</v>
      </c>
      <c r="M443" s="31">
        <v>1</v>
      </c>
    </row>
    <row r="444" spans="1:13" ht="15.75" hidden="1" customHeight="1" x14ac:dyDescent="0.2">
      <c r="A444" s="31">
        <v>443</v>
      </c>
      <c r="B444" s="31">
        <v>37</v>
      </c>
      <c r="C444" s="31">
        <v>72</v>
      </c>
      <c r="D444" s="31" t="s">
        <v>52</v>
      </c>
      <c r="E444" s="31" t="str">
        <f t="shared" si="6"/>
        <v>1272MA03PT</v>
      </c>
      <c r="F444" s="31">
        <f>VLOOKUP(B444,[1]Course!$A$2:$R$329,2,FALSE)</f>
        <v>0</v>
      </c>
      <c r="G444" s="31">
        <f>VLOOKUP(B444, [1]Course!$A$2:$L$950, 8, FALSE)</f>
        <v>12</v>
      </c>
      <c r="H444" s="31">
        <v>3</v>
      </c>
      <c r="I444" s="31">
        <v>1</v>
      </c>
      <c r="K444" s="31" t="s">
        <v>1548</v>
      </c>
      <c r="L444" s="31" t="str">
        <f>VLOOKUP(B444, [1]Course!$A$1:$O$933, 14, FALSE)</f>
        <v>MA</v>
      </c>
      <c r="M444" s="31">
        <v>1</v>
      </c>
    </row>
    <row r="445" spans="1:13" ht="15.75" hidden="1" customHeight="1" x14ac:dyDescent="0.2">
      <c r="A445" s="31">
        <v>444</v>
      </c>
      <c r="B445" s="31">
        <v>38</v>
      </c>
      <c r="C445" s="31">
        <v>61</v>
      </c>
      <c r="D445" s="31" t="s">
        <v>155</v>
      </c>
      <c r="E445" s="31" t="str">
        <f t="shared" si="6"/>
        <v>1261EN03PT</v>
      </c>
      <c r="F445" s="31">
        <f>VLOOKUP(B445,[1]Course!$A$2:$R$329,2,FALSE)</f>
        <v>0</v>
      </c>
      <c r="G445" s="31">
        <f>VLOOKUP(B445, [1]Course!$A$2:$L$950, 8, FALSE)</f>
        <v>12</v>
      </c>
      <c r="H445" s="31">
        <v>3</v>
      </c>
      <c r="I445" s="31">
        <v>1</v>
      </c>
      <c r="K445" s="31" t="s">
        <v>1548</v>
      </c>
      <c r="L445" s="31" t="str">
        <f>VLOOKUP(B445, [1]Course!$A$1:$O$933, 14, FALSE)</f>
        <v>EN</v>
      </c>
      <c r="M445" s="31">
        <v>1</v>
      </c>
    </row>
    <row r="446" spans="1:13" ht="15.75" hidden="1" customHeight="1" x14ac:dyDescent="0.2">
      <c r="A446" s="31">
        <v>445</v>
      </c>
      <c r="B446" s="31">
        <v>38</v>
      </c>
      <c r="C446" s="31">
        <v>62</v>
      </c>
      <c r="D446" s="31" t="s">
        <v>155</v>
      </c>
      <c r="E446" s="31" t="str">
        <f t="shared" si="6"/>
        <v>1262EN03PT</v>
      </c>
      <c r="F446" s="31">
        <f>VLOOKUP(B446,[1]Course!$A$2:$R$329,2,FALSE)</f>
        <v>0</v>
      </c>
      <c r="G446" s="31">
        <f>VLOOKUP(B446, [1]Course!$A$2:$L$950, 8, FALSE)</f>
        <v>12</v>
      </c>
      <c r="H446" s="31">
        <v>3</v>
      </c>
      <c r="I446" s="31">
        <v>1</v>
      </c>
      <c r="K446" s="31" t="s">
        <v>1548</v>
      </c>
      <c r="L446" s="31" t="str">
        <f>VLOOKUP(B446, [1]Course!$A$1:$O$933, 14, FALSE)</f>
        <v>EN</v>
      </c>
      <c r="M446" s="31">
        <v>1</v>
      </c>
    </row>
    <row r="447" spans="1:13" ht="15.75" hidden="1" customHeight="1" x14ac:dyDescent="0.2">
      <c r="A447" s="31">
        <v>446</v>
      </c>
      <c r="B447" s="31">
        <v>38</v>
      </c>
      <c r="C447" s="31">
        <v>63</v>
      </c>
      <c r="D447" s="31" t="s">
        <v>155</v>
      </c>
      <c r="E447" s="31" t="str">
        <f t="shared" si="6"/>
        <v>1263EN03PT</v>
      </c>
      <c r="F447" s="31">
        <f>VLOOKUP(B447,[1]Course!$A$2:$R$329,2,FALSE)</f>
        <v>0</v>
      </c>
      <c r="G447" s="31">
        <f>VLOOKUP(B447, [1]Course!$A$2:$L$950, 8, FALSE)</f>
        <v>12</v>
      </c>
      <c r="H447" s="31">
        <v>3</v>
      </c>
      <c r="I447" s="31">
        <v>1</v>
      </c>
      <c r="K447" s="31" t="s">
        <v>1548</v>
      </c>
      <c r="L447" s="31" t="str">
        <f>VLOOKUP(B447, [1]Course!$A$1:$O$933, 14, FALSE)</f>
        <v>EN</v>
      </c>
      <c r="M447" s="31">
        <v>1</v>
      </c>
    </row>
    <row r="448" spans="1:13" ht="15.75" hidden="1" customHeight="1" x14ac:dyDescent="0.2">
      <c r="A448" s="31">
        <v>447</v>
      </c>
      <c r="B448" s="31">
        <v>38</v>
      </c>
      <c r="C448" s="31">
        <v>64</v>
      </c>
      <c r="D448" s="31" t="s">
        <v>155</v>
      </c>
      <c r="E448" s="31" t="str">
        <f t="shared" si="6"/>
        <v>1264EN03PT</v>
      </c>
      <c r="F448" s="31">
        <f>VLOOKUP(B448,[1]Course!$A$2:$R$329,2,FALSE)</f>
        <v>0</v>
      </c>
      <c r="G448" s="31">
        <f>VLOOKUP(B448, [1]Course!$A$2:$L$950, 8, FALSE)</f>
        <v>12</v>
      </c>
      <c r="H448" s="31">
        <v>3</v>
      </c>
      <c r="I448" s="31">
        <v>1</v>
      </c>
      <c r="K448" s="31" t="s">
        <v>1548</v>
      </c>
      <c r="L448" s="31" t="str">
        <f>VLOOKUP(B448, [1]Course!$A$1:$O$933, 14, FALSE)</f>
        <v>EN</v>
      </c>
      <c r="M448" s="31">
        <v>1</v>
      </c>
    </row>
    <row r="449" spans="1:13" ht="15.75" hidden="1" customHeight="1" x14ac:dyDescent="0.2">
      <c r="A449" s="31">
        <v>448</v>
      </c>
      <c r="B449" s="31">
        <v>38</v>
      </c>
      <c r="C449" s="31">
        <v>65</v>
      </c>
      <c r="D449" s="31" t="s">
        <v>155</v>
      </c>
      <c r="E449" s="31" t="str">
        <f t="shared" si="6"/>
        <v>1265EN03PT</v>
      </c>
      <c r="F449" s="31">
        <f>VLOOKUP(B449,[1]Course!$A$2:$R$329,2,FALSE)</f>
        <v>0</v>
      </c>
      <c r="G449" s="31">
        <f>VLOOKUP(B449, [1]Course!$A$2:$L$950, 8, FALSE)</f>
        <v>12</v>
      </c>
      <c r="H449" s="31">
        <v>3</v>
      </c>
      <c r="I449" s="31">
        <v>1</v>
      </c>
      <c r="K449" s="31" t="s">
        <v>1548</v>
      </c>
      <c r="L449" s="31" t="str">
        <f>VLOOKUP(B449, [1]Course!$A$1:$O$933, 14, FALSE)</f>
        <v>EN</v>
      </c>
      <c r="M449" s="31">
        <v>1</v>
      </c>
    </row>
    <row r="450" spans="1:13" ht="15.75" hidden="1" customHeight="1" x14ac:dyDescent="0.2">
      <c r="A450" s="31">
        <v>449</v>
      </c>
      <c r="B450" s="31">
        <v>38</v>
      </c>
      <c r="C450" s="31">
        <v>66</v>
      </c>
      <c r="D450" s="31" t="s">
        <v>155</v>
      </c>
      <c r="E450" s="31" t="str">
        <f t="shared" si="6"/>
        <v>1266EN03PT</v>
      </c>
      <c r="F450" s="31">
        <f>VLOOKUP(B450,[1]Course!$A$2:$R$329,2,FALSE)</f>
        <v>0</v>
      </c>
      <c r="G450" s="31">
        <f>VLOOKUP(B450, [1]Course!$A$2:$L$950, 8, FALSE)</f>
        <v>12</v>
      </c>
      <c r="H450" s="31">
        <v>3</v>
      </c>
      <c r="I450" s="31">
        <v>1</v>
      </c>
      <c r="K450" s="31" t="s">
        <v>1548</v>
      </c>
      <c r="L450" s="31" t="str">
        <f>VLOOKUP(B450, [1]Course!$A$1:$O$933, 14, FALSE)</f>
        <v>EN</v>
      </c>
      <c r="M450" s="31">
        <v>1</v>
      </c>
    </row>
    <row r="451" spans="1:13" ht="15.75" hidden="1" customHeight="1" x14ac:dyDescent="0.2">
      <c r="A451" s="31">
        <v>450</v>
      </c>
      <c r="B451" s="31">
        <v>38</v>
      </c>
      <c r="C451" s="31">
        <v>67</v>
      </c>
      <c r="D451" s="31" t="s">
        <v>155</v>
      </c>
      <c r="E451" s="31" t="str">
        <f t="shared" ref="E451:E514" si="7">UPPER(LEFT(G451,2)) &amp; RIGHT("0" &amp; C451, 2) &amp; D451 &amp; RIGHT("0" &amp; H451, 2) &amp; K451</f>
        <v>1267EN03PT</v>
      </c>
      <c r="F451" s="31">
        <f>VLOOKUP(B451,[1]Course!$A$2:$R$329,2,FALSE)</f>
        <v>0</v>
      </c>
      <c r="G451" s="31">
        <f>VLOOKUP(B451, [1]Course!$A$2:$L$950, 8, FALSE)</f>
        <v>12</v>
      </c>
      <c r="H451" s="31">
        <v>3</v>
      </c>
      <c r="I451" s="31">
        <v>1</v>
      </c>
      <c r="K451" s="31" t="s">
        <v>1548</v>
      </c>
      <c r="L451" s="31" t="str">
        <f>VLOOKUP(B451, [1]Course!$A$1:$O$933, 14, FALSE)</f>
        <v>EN</v>
      </c>
      <c r="M451" s="31">
        <v>1</v>
      </c>
    </row>
    <row r="452" spans="1:13" ht="15.75" hidden="1" customHeight="1" x14ac:dyDescent="0.2">
      <c r="A452" s="31">
        <v>451</v>
      </c>
      <c r="B452" s="31">
        <v>38</v>
      </c>
      <c r="C452" s="31">
        <v>68</v>
      </c>
      <c r="D452" s="31" t="s">
        <v>155</v>
      </c>
      <c r="E452" s="31" t="str">
        <f t="shared" si="7"/>
        <v>1268EN03PT</v>
      </c>
      <c r="F452" s="31">
        <f>VLOOKUP(B452,[1]Course!$A$2:$R$329,2,FALSE)</f>
        <v>0</v>
      </c>
      <c r="G452" s="31">
        <f>VLOOKUP(B452, [1]Course!$A$2:$L$950, 8, FALSE)</f>
        <v>12</v>
      </c>
      <c r="H452" s="31">
        <v>3</v>
      </c>
      <c r="I452" s="31">
        <v>1</v>
      </c>
      <c r="K452" s="31" t="s">
        <v>1548</v>
      </c>
      <c r="L452" s="31" t="str">
        <f>VLOOKUP(B452, [1]Course!$A$1:$O$933, 14, FALSE)</f>
        <v>EN</v>
      </c>
      <c r="M452" s="31">
        <v>1</v>
      </c>
    </row>
    <row r="453" spans="1:13" ht="15.75" hidden="1" customHeight="1" x14ac:dyDescent="0.2">
      <c r="A453" s="31">
        <v>452</v>
      </c>
      <c r="B453" s="31">
        <v>38</v>
      </c>
      <c r="C453" s="31">
        <v>69</v>
      </c>
      <c r="D453" s="31" t="s">
        <v>155</v>
      </c>
      <c r="E453" s="31" t="str">
        <f t="shared" si="7"/>
        <v>1269EN03PT</v>
      </c>
      <c r="F453" s="31">
        <f>VLOOKUP(B453,[1]Course!$A$2:$R$329,2,FALSE)</f>
        <v>0</v>
      </c>
      <c r="G453" s="31">
        <f>VLOOKUP(B453, [1]Course!$A$2:$L$950, 8, FALSE)</f>
        <v>12</v>
      </c>
      <c r="H453" s="31">
        <v>3</v>
      </c>
      <c r="I453" s="31">
        <v>1</v>
      </c>
      <c r="K453" s="31" t="s">
        <v>1548</v>
      </c>
      <c r="L453" s="31" t="str">
        <f>VLOOKUP(B453, [1]Course!$A$1:$O$933, 14, FALSE)</f>
        <v>EN</v>
      </c>
      <c r="M453" s="31">
        <v>1</v>
      </c>
    </row>
    <row r="454" spans="1:13" ht="15.75" hidden="1" customHeight="1" x14ac:dyDescent="0.2">
      <c r="A454" s="31">
        <v>453</v>
      </c>
      <c r="B454" s="31">
        <v>38</v>
      </c>
      <c r="C454" s="31">
        <v>70</v>
      </c>
      <c r="D454" s="31" t="s">
        <v>155</v>
      </c>
      <c r="E454" s="31" t="str">
        <f t="shared" si="7"/>
        <v>1270EN03PT</v>
      </c>
      <c r="F454" s="31">
        <f>VLOOKUP(B454,[1]Course!$A$2:$R$329,2,FALSE)</f>
        <v>0</v>
      </c>
      <c r="G454" s="31">
        <f>VLOOKUP(B454, [1]Course!$A$2:$L$950, 8, FALSE)</f>
        <v>12</v>
      </c>
      <c r="H454" s="31">
        <v>3</v>
      </c>
      <c r="I454" s="31">
        <v>1</v>
      </c>
      <c r="K454" s="31" t="s">
        <v>1548</v>
      </c>
      <c r="L454" s="31" t="str">
        <f>VLOOKUP(B454, [1]Course!$A$1:$O$933, 14, FALSE)</f>
        <v>EN</v>
      </c>
      <c r="M454" s="31">
        <v>1</v>
      </c>
    </row>
    <row r="455" spans="1:13" ht="15.75" hidden="1" customHeight="1" x14ac:dyDescent="0.2">
      <c r="A455" s="31">
        <v>454</v>
      </c>
      <c r="B455" s="31">
        <v>38</v>
      </c>
      <c r="C455" s="31">
        <v>71</v>
      </c>
      <c r="D455" s="31" t="s">
        <v>155</v>
      </c>
      <c r="E455" s="31" t="str">
        <f t="shared" si="7"/>
        <v>1271EN03PT</v>
      </c>
      <c r="F455" s="31">
        <f>VLOOKUP(B455,[1]Course!$A$2:$R$329,2,FALSE)</f>
        <v>0</v>
      </c>
      <c r="G455" s="31">
        <f>VLOOKUP(B455, [1]Course!$A$2:$L$950, 8, FALSE)</f>
        <v>12</v>
      </c>
      <c r="H455" s="31">
        <v>3</v>
      </c>
      <c r="I455" s="31">
        <v>1</v>
      </c>
      <c r="K455" s="31" t="s">
        <v>1548</v>
      </c>
      <c r="L455" s="31" t="str">
        <f>VLOOKUP(B455, [1]Course!$A$1:$O$933, 14, FALSE)</f>
        <v>EN</v>
      </c>
      <c r="M455" s="31">
        <v>1</v>
      </c>
    </row>
    <row r="456" spans="1:13" ht="15.75" hidden="1" customHeight="1" x14ac:dyDescent="0.2">
      <c r="A456" s="31">
        <v>455</v>
      </c>
      <c r="B456" s="31">
        <v>38</v>
      </c>
      <c r="C456" s="31">
        <v>72</v>
      </c>
      <c r="D456" s="31" t="s">
        <v>155</v>
      </c>
      <c r="E456" s="31" t="str">
        <f t="shared" si="7"/>
        <v>1272EN03PT</v>
      </c>
      <c r="F456" s="31">
        <f>VLOOKUP(B456,[1]Course!$A$2:$R$329,2,FALSE)</f>
        <v>0</v>
      </c>
      <c r="G456" s="31">
        <f>VLOOKUP(B456, [1]Course!$A$2:$L$950, 8, FALSE)</f>
        <v>12</v>
      </c>
      <c r="H456" s="31">
        <v>3</v>
      </c>
      <c r="I456" s="31">
        <v>1</v>
      </c>
      <c r="K456" s="31" t="s">
        <v>1548</v>
      </c>
      <c r="L456" s="31" t="str">
        <f>VLOOKUP(B456, [1]Course!$A$1:$O$933, 14, FALSE)</f>
        <v>EN</v>
      </c>
      <c r="M456" s="31">
        <v>1</v>
      </c>
    </row>
    <row r="457" spans="1:13" ht="15.75" hidden="1" customHeight="1" x14ac:dyDescent="0.2">
      <c r="A457" s="31">
        <v>456</v>
      </c>
      <c r="B457" s="31">
        <v>39</v>
      </c>
      <c r="C457" s="31">
        <v>61</v>
      </c>
      <c r="D457" s="31" t="s">
        <v>284</v>
      </c>
      <c r="E457" s="31" t="str">
        <f t="shared" si="7"/>
        <v>1261WB03PT</v>
      </c>
      <c r="F457" s="31">
        <f>VLOOKUP(B457,[1]Course!$A$2:$R$329,2,FALSE)</f>
        <v>0</v>
      </c>
      <c r="G457" s="31">
        <f>VLOOKUP(B457, [1]Course!$A$2:$L$950, 8, FALSE)</f>
        <v>12</v>
      </c>
      <c r="H457" s="31">
        <v>3</v>
      </c>
      <c r="I457" s="31">
        <v>1</v>
      </c>
      <c r="K457" s="31" t="s">
        <v>1548</v>
      </c>
      <c r="L457" s="31" t="str">
        <f>VLOOKUP(B457, [1]Course!$A$1:$O$933, 14, FALSE)</f>
        <v>WB</v>
      </c>
      <c r="M457" s="31">
        <v>1</v>
      </c>
    </row>
    <row r="458" spans="1:13" ht="15.75" hidden="1" customHeight="1" x14ac:dyDescent="0.2">
      <c r="A458" s="31">
        <v>457</v>
      </c>
      <c r="B458" s="31">
        <v>39</v>
      </c>
      <c r="C458" s="31">
        <v>62</v>
      </c>
      <c r="D458" s="31" t="s">
        <v>284</v>
      </c>
      <c r="E458" s="31" t="str">
        <f t="shared" si="7"/>
        <v>1262WB03PT</v>
      </c>
      <c r="F458" s="31">
        <f>VLOOKUP(B458,[1]Course!$A$2:$R$329,2,FALSE)</f>
        <v>0</v>
      </c>
      <c r="G458" s="31">
        <f>VLOOKUP(B458, [1]Course!$A$2:$L$950, 8, FALSE)</f>
        <v>12</v>
      </c>
      <c r="H458" s="31">
        <v>3</v>
      </c>
      <c r="I458" s="31">
        <v>1</v>
      </c>
      <c r="K458" s="31" t="s">
        <v>1548</v>
      </c>
      <c r="L458" s="31" t="str">
        <f>VLOOKUP(B458, [1]Course!$A$1:$O$933, 14, FALSE)</f>
        <v>WB</v>
      </c>
      <c r="M458" s="31">
        <v>1</v>
      </c>
    </row>
    <row r="459" spans="1:13" ht="15.75" hidden="1" customHeight="1" x14ac:dyDescent="0.2">
      <c r="A459" s="31">
        <v>458</v>
      </c>
      <c r="B459" s="31">
        <v>39</v>
      </c>
      <c r="C459" s="31">
        <v>63</v>
      </c>
      <c r="D459" s="31" t="s">
        <v>284</v>
      </c>
      <c r="E459" s="31" t="str">
        <f t="shared" si="7"/>
        <v>1263WB03PT</v>
      </c>
      <c r="F459" s="31">
        <f>VLOOKUP(B459,[1]Course!$A$2:$R$329,2,FALSE)</f>
        <v>0</v>
      </c>
      <c r="G459" s="31">
        <f>VLOOKUP(B459, [1]Course!$A$2:$L$950, 8, FALSE)</f>
        <v>12</v>
      </c>
      <c r="H459" s="31">
        <v>3</v>
      </c>
      <c r="I459" s="31">
        <v>1</v>
      </c>
      <c r="K459" s="31" t="s">
        <v>1548</v>
      </c>
      <c r="L459" s="31" t="str">
        <f>VLOOKUP(B459, [1]Course!$A$1:$O$933, 14, FALSE)</f>
        <v>WB</v>
      </c>
      <c r="M459" s="31">
        <v>1</v>
      </c>
    </row>
    <row r="460" spans="1:13" ht="15.75" hidden="1" customHeight="1" x14ac:dyDescent="0.2">
      <c r="A460" s="31">
        <v>459</v>
      </c>
      <c r="B460" s="31">
        <v>39</v>
      </c>
      <c r="C460" s="31">
        <v>64</v>
      </c>
      <c r="D460" s="31" t="s">
        <v>284</v>
      </c>
      <c r="E460" s="31" t="str">
        <f t="shared" si="7"/>
        <v>1264WB03PT</v>
      </c>
      <c r="F460" s="31">
        <f>VLOOKUP(B460,[1]Course!$A$2:$R$329,2,FALSE)</f>
        <v>0</v>
      </c>
      <c r="G460" s="31">
        <f>VLOOKUP(B460, [1]Course!$A$2:$L$950, 8, FALSE)</f>
        <v>12</v>
      </c>
      <c r="H460" s="31">
        <v>3</v>
      </c>
      <c r="I460" s="31">
        <v>1</v>
      </c>
      <c r="K460" s="31" t="s">
        <v>1548</v>
      </c>
      <c r="L460" s="31" t="str">
        <f>VLOOKUP(B460, [1]Course!$A$1:$O$933, 14, FALSE)</f>
        <v>WB</v>
      </c>
      <c r="M460" s="31">
        <v>1</v>
      </c>
    </row>
    <row r="461" spans="1:13" ht="15.75" hidden="1" customHeight="1" x14ac:dyDescent="0.2">
      <c r="A461" s="31">
        <v>460</v>
      </c>
      <c r="B461" s="31">
        <v>39</v>
      </c>
      <c r="C461" s="31">
        <v>65</v>
      </c>
      <c r="D461" s="31" t="s">
        <v>284</v>
      </c>
      <c r="E461" s="31" t="str">
        <f t="shared" si="7"/>
        <v>1265WB03PT</v>
      </c>
      <c r="F461" s="31">
        <f>VLOOKUP(B461,[1]Course!$A$2:$R$329,2,FALSE)</f>
        <v>0</v>
      </c>
      <c r="G461" s="31">
        <f>VLOOKUP(B461, [1]Course!$A$2:$L$950, 8, FALSE)</f>
        <v>12</v>
      </c>
      <c r="H461" s="31">
        <v>3</v>
      </c>
      <c r="I461" s="31">
        <v>1</v>
      </c>
      <c r="K461" s="31" t="s">
        <v>1548</v>
      </c>
      <c r="L461" s="31" t="str">
        <f>VLOOKUP(B461, [1]Course!$A$1:$O$933, 14, FALSE)</f>
        <v>WB</v>
      </c>
      <c r="M461" s="31">
        <v>1</v>
      </c>
    </row>
    <row r="462" spans="1:13" ht="15.75" hidden="1" customHeight="1" x14ac:dyDescent="0.2">
      <c r="A462" s="31">
        <v>461</v>
      </c>
      <c r="B462" s="31">
        <v>39</v>
      </c>
      <c r="C462" s="31">
        <v>66</v>
      </c>
      <c r="D462" s="31" t="s">
        <v>284</v>
      </c>
      <c r="E462" s="31" t="str">
        <f t="shared" si="7"/>
        <v>1266WB03PT</v>
      </c>
      <c r="F462" s="31">
        <f>VLOOKUP(B462,[1]Course!$A$2:$R$329,2,FALSE)</f>
        <v>0</v>
      </c>
      <c r="G462" s="31">
        <f>VLOOKUP(B462, [1]Course!$A$2:$L$950, 8, FALSE)</f>
        <v>12</v>
      </c>
      <c r="H462" s="31">
        <v>3</v>
      </c>
      <c r="I462" s="31">
        <v>1</v>
      </c>
      <c r="K462" s="31" t="s">
        <v>1548</v>
      </c>
      <c r="L462" s="31" t="str">
        <f>VLOOKUP(B462, [1]Course!$A$1:$O$933, 14, FALSE)</f>
        <v>WB</v>
      </c>
      <c r="M462" s="31">
        <v>1</v>
      </c>
    </row>
    <row r="463" spans="1:13" ht="15.75" hidden="1" customHeight="1" x14ac:dyDescent="0.2">
      <c r="A463" s="31">
        <v>462</v>
      </c>
      <c r="B463" s="31">
        <v>39</v>
      </c>
      <c r="C463" s="31">
        <v>67</v>
      </c>
      <c r="D463" s="31" t="s">
        <v>284</v>
      </c>
      <c r="E463" s="31" t="str">
        <f t="shared" si="7"/>
        <v>1267WB03PT</v>
      </c>
      <c r="F463" s="31">
        <f>VLOOKUP(B463,[1]Course!$A$2:$R$329,2,FALSE)</f>
        <v>0</v>
      </c>
      <c r="G463" s="31">
        <f>VLOOKUP(B463, [1]Course!$A$2:$L$950, 8, FALSE)</f>
        <v>12</v>
      </c>
      <c r="H463" s="31">
        <v>3</v>
      </c>
      <c r="I463" s="31">
        <v>1</v>
      </c>
      <c r="K463" s="31" t="s">
        <v>1548</v>
      </c>
      <c r="L463" s="31" t="str">
        <f>VLOOKUP(B463, [1]Course!$A$1:$O$933, 14, FALSE)</f>
        <v>WB</v>
      </c>
      <c r="M463" s="31">
        <v>1</v>
      </c>
    </row>
    <row r="464" spans="1:13" ht="15.75" hidden="1" customHeight="1" x14ac:dyDescent="0.2">
      <c r="A464" s="31">
        <v>463</v>
      </c>
      <c r="B464" s="31">
        <v>39</v>
      </c>
      <c r="C464" s="31">
        <v>68</v>
      </c>
      <c r="D464" s="31" t="s">
        <v>284</v>
      </c>
      <c r="E464" s="31" t="str">
        <f t="shared" si="7"/>
        <v>1268WB03PT</v>
      </c>
      <c r="F464" s="31">
        <f>VLOOKUP(B464,[1]Course!$A$2:$R$329,2,FALSE)</f>
        <v>0</v>
      </c>
      <c r="G464" s="31">
        <f>VLOOKUP(B464, [1]Course!$A$2:$L$950, 8, FALSE)</f>
        <v>12</v>
      </c>
      <c r="H464" s="31">
        <v>3</v>
      </c>
      <c r="I464" s="31">
        <v>1</v>
      </c>
      <c r="K464" s="31" t="s">
        <v>1548</v>
      </c>
      <c r="L464" s="31" t="str">
        <f>VLOOKUP(B464, [1]Course!$A$1:$O$933, 14, FALSE)</f>
        <v>WB</v>
      </c>
      <c r="M464" s="31">
        <v>1</v>
      </c>
    </row>
    <row r="465" spans="1:13" ht="15.75" hidden="1" customHeight="1" x14ac:dyDescent="0.2">
      <c r="A465" s="31">
        <v>464</v>
      </c>
      <c r="B465" s="31">
        <v>39</v>
      </c>
      <c r="C465" s="31">
        <v>69</v>
      </c>
      <c r="D465" s="31" t="s">
        <v>284</v>
      </c>
      <c r="E465" s="31" t="str">
        <f t="shared" si="7"/>
        <v>1269WB03PT</v>
      </c>
      <c r="F465" s="31">
        <f>VLOOKUP(B465,[1]Course!$A$2:$R$329,2,FALSE)</f>
        <v>0</v>
      </c>
      <c r="G465" s="31">
        <f>VLOOKUP(B465, [1]Course!$A$2:$L$950, 8, FALSE)</f>
        <v>12</v>
      </c>
      <c r="H465" s="31">
        <v>3</v>
      </c>
      <c r="I465" s="31">
        <v>1</v>
      </c>
      <c r="K465" s="31" t="s">
        <v>1548</v>
      </c>
      <c r="L465" s="31" t="str">
        <f>VLOOKUP(B465, [1]Course!$A$1:$O$933, 14, FALSE)</f>
        <v>WB</v>
      </c>
      <c r="M465" s="31">
        <v>1</v>
      </c>
    </row>
    <row r="466" spans="1:13" ht="15.75" hidden="1" customHeight="1" x14ac:dyDescent="0.2">
      <c r="A466" s="31">
        <v>465</v>
      </c>
      <c r="B466" s="31">
        <v>39</v>
      </c>
      <c r="C466" s="31">
        <v>70</v>
      </c>
      <c r="D466" s="31" t="s">
        <v>284</v>
      </c>
      <c r="E466" s="31" t="str">
        <f t="shared" si="7"/>
        <v>1270WB03PT</v>
      </c>
      <c r="F466" s="31">
        <f>VLOOKUP(B466,[1]Course!$A$2:$R$329,2,FALSE)</f>
        <v>0</v>
      </c>
      <c r="G466" s="31">
        <f>VLOOKUP(B466, [1]Course!$A$2:$L$950, 8, FALSE)</f>
        <v>12</v>
      </c>
      <c r="H466" s="31">
        <v>3</v>
      </c>
      <c r="I466" s="31">
        <v>1</v>
      </c>
      <c r="K466" s="31" t="s">
        <v>1548</v>
      </c>
      <c r="L466" s="31" t="str">
        <f>VLOOKUP(B466, [1]Course!$A$1:$O$933, 14, FALSE)</f>
        <v>WB</v>
      </c>
      <c r="M466" s="31">
        <v>1</v>
      </c>
    </row>
    <row r="467" spans="1:13" ht="15.75" hidden="1" customHeight="1" x14ac:dyDescent="0.2">
      <c r="A467" s="31">
        <v>466</v>
      </c>
      <c r="B467" s="31">
        <v>39</v>
      </c>
      <c r="C467" s="31">
        <v>71</v>
      </c>
      <c r="D467" s="31" t="s">
        <v>284</v>
      </c>
      <c r="E467" s="31" t="str">
        <f t="shared" si="7"/>
        <v>1271WB03PT</v>
      </c>
      <c r="F467" s="31">
        <f>VLOOKUP(B467,[1]Course!$A$2:$R$329,2,FALSE)</f>
        <v>0</v>
      </c>
      <c r="G467" s="31">
        <f>VLOOKUP(B467, [1]Course!$A$2:$L$950, 8, FALSE)</f>
        <v>12</v>
      </c>
      <c r="H467" s="31">
        <v>3</v>
      </c>
      <c r="I467" s="31">
        <v>1</v>
      </c>
      <c r="K467" s="31" t="s">
        <v>1548</v>
      </c>
      <c r="L467" s="31" t="str">
        <f>VLOOKUP(B467, [1]Course!$A$1:$O$933, 14, FALSE)</f>
        <v>WB</v>
      </c>
      <c r="M467" s="31">
        <v>1</v>
      </c>
    </row>
    <row r="468" spans="1:13" ht="15.75" hidden="1" customHeight="1" x14ac:dyDescent="0.2">
      <c r="A468" s="31">
        <v>467</v>
      </c>
      <c r="B468" s="31">
        <v>39</v>
      </c>
      <c r="C468" s="31">
        <v>72</v>
      </c>
      <c r="D468" s="31" t="s">
        <v>284</v>
      </c>
      <c r="E468" s="31" t="str">
        <f t="shared" si="7"/>
        <v>1272WB03PT</v>
      </c>
      <c r="F468" s="31">
        <f>VLOOKUP(B468,[1]Course!$A$2:$R$329,2,FALSE)</f>
        <v>0</v>
      </c>
      <c r="G468" s="31">
        <f>VLOOKUP(B468, [1]Course!$A$2:$L$950, 8, FALSE)</f>
        <v>12</v>
      </c>
      <c r="H468" s="31">
        <v>3</v>
      </c>
      <c r="I468" s="31">
        <v>1</v>
      </c>
      <c r="K468" s="31" t="s">
        <v>1548</v>
      </c>
      <c r="L468" s="31" t="str">
        <f>VLOOKUP(B468, [1]Course!$A$1:$O$933, 14, FALSE)</f>
        <v>WB</v>
      </c>
      <c r="M468" s="31">
        <v>1</v>
      </c>
    </row>
    <row r="469" spans="1:13" ht="15.75" hidden="1" customHeight="1" x14ac:dyDescent="0.2">
      <c r="A469" s="31">
        <v>468</v>
      </c>
      <c r="B469" s="31">
        <v>40</v>
      </c>
      <c r="C469" s="31">
        <v>61</v>
      </c>
      <c r="D469" s="31" t="s">
        <v>85</v>
      </c>
      <c r="E469" s="31" t="str">
        <f t="shared" si="7"/>
        <v>1261LC03PT</v>
      </c>
      <c r="F469" s="31">
        <f>VLOOKUP(B469,[1]Course!$A$2:$R$329,2,FALSE)</f>
        <v>0</v>
      </c>
      <c r="G469" s="31">
        <f>VLOOKUP(B469, [1]Course!$A$2:$L$950, 8, FALSE)</f>
        <v>12</v>
      </c>
      <c r="H469" s="31">
        <v>3</v>
      </c>
      <c r="I469" s="31">
        <v>1</v>
      </c>
      <c r="K469" s="31" t="s">
        <v>1548</v>
      </c>
      <c r="L469" s="31" t="str">
        <f>VLOOKUP(B469, [1]Course!$A$1:$O$933, 14, FALSE)</f>
        <v>LC</v>
      </c>
      <c r="M469" s="31">
        <v>1</v>
      </c>
    </row>
    <row r="470" spans="1:13" ht="15.75" hidden="1" customHeight="1" x14ac:dyDescent="0.2">
      <c r="A470" s="31">
        <v>469</v>
      </c>
      <c r="B470" s="31">
        <v>40</v>
      </c>
      <c r="C470" s="31">
        <v>62</v>
      </c>
      <c r="D470" s="31" t="s">
        <v>85</v>
      </c>
      <c r="E470" s="31" t="str">
        <f t="shared" si="7"/>
        <v>1262LC03PT</v>
      </c>
      <c r="F470" s="31">
        <f>VLOOKUP(B470,[1]Course!$A$2:$R$329,2,FALSE)</f>
        <v>0</v>
      </c>
      <c r="G470" s="31">
        <f>VLOOKUP(B470, [1]Course!$A$2:$L$950, 8, FALSE)</f>
        <v>12</v>
      </c>
      <c r="H470" s="31">
        <v>3</v>
      </c>
      <c r="I470" s="31">
        <v>1</v>
      </c>
      <c r="K470" s="31" t="s">
        <v>1548</v>
      </c>
      <c r="L470" s="31" t="str">
        <f>VLOOKUP(B470, [1]Course!$A$1:$O$933, 14, FALSE)</f>
        <v>LC</v>
      </c>
      <c r="M470" s="31">
        <v>1</v>
      </c>
    </row>
    <row r="471" spans="1:13" ht="15.75" hidden="1" customHeight="1" x14ac:dyDescent="0.2">
      <c r="A471" s="31">
        <v>470</v>
      </c>
      <c r="B471" s="31">
        <v>40</v>
      </c>
      <c r="C471" s="31">
        <v>63</v>
      </c>
      <c r="D471" s="31" t="s">
        <v>85</v>
      </c>
      <c r="E471" s="31" t="str">
        <f t="shared" si="7"/>
        <v>1263LC03PT</v>
      </c>
      <c r="F471" s="31">
        <f>VLOOKUP(B471,[1]Course!$A$2:$R$329,2,FALSE)</f>
        <v>0</v>
      </c>
      <c r="G471" s="31">
        <f>VLOOKUP(B471, [1]Course!$A$2:$L$950, 8, FALSE)</f>
        <v>12</v>
      </c>
      <c r="H471" s="31">
        <v>3</v>
      </c>
      <c r="I471" s="31">
        <v>1</v>
      </c>
      <c r="K471" s="31" t="s">
        <v>1548</v>
      </c>
      <c r="L471" s="31" t="str">
        <f>VLOOKUP(B471, [1]Course!$A$1:$O$933, 14, FALSE)</f>
        <v>LC</v>
      </c>
      <c r="M471" s="31">
        <v>1</v>
      </c>
    </row>
    <row r="472" spans="1:13" ht="15.75" hidden="1" customHeight="1" x14ac:dyDescent="0.2">
      <c r="A472" s="31">
        <v>471</v>
      </c>
      <c r="B472" s="31">
        <v>40</v>
      </c>
      <c r="C472" s="31">
        <v>64</v>
      </c>
      <c r="D472" s="31" t="s">
        <v>85</v>
      </c>
      <c r="E472" s="31" t="str">
        <f t="shared" si="7"/>
        <v>1264LC03PT</v>
      </c>
      <c r="F472" s="31">
        <f>VLOOKUP(B472,[1]Course!$A$2:$R$329,2,FALSE)</f>
        <v>0</v>
      </c>
      <c r="G472" s="31">
        <f>VLOOKUP(B472, [1]Course!$A$2:$L$950, 8, FALSE)</f>
        <v>12</v>
      </c>
      <c r="H472" s="31">
        <v>3</v>
      </c>
      <c r="I472" s="31">
        <v>1</v>
      </c>
      <c r="K472" s="31" t="s">
        <v>1548</v>
      </c>
      <c r="L472" s="31" t="str">
        <f>VLOOKUP(B472, [1]Course!$A$1:$O$933, 14, FALSE)</f>
        <v>LC</v>
      </c>
      <c r="M472" s="31">
        <v>1</v>
      </c>
    </row>
    <row r="473" spans="1:13" ht="15.75" hidden="1" customHeight="1" x14ac:dyDescent="0.2">
      <c r="A473" s="31">
        <v>472</v>
      </c>
      <c r="B473" s="31">
        <v>40</v>
      </c>
      <c r="C473" s="31">
        <v>65</v>
      </c>
      <c r="D473" s="31" t="s">
        <v>85</v>
      </c>
      <c r="E473" s="31" t="str">
        <f t="shared" si="7"/>
        <v>1265LC03PT</v>
      </c>
      <c r="F473" s="31">
        <f>VLOOKUP(B473,[1]Course!$A$2:$R$329,2,FALSE)</f>
        <v>0</v>
      </c>
      <c r="G473" s="31">
        <f>VLOOKUP(B473, [1]Course!$A$2:$L$950, 8, FALSE)</f>
        <v>12</v>
      </c>
      <c r="H473" s="31">
        <v>3</v>
      </c>
      <c r="I473" s="31">
        <v>1</v>
      </c>
      <c r="K473" s="31" t="s">
        <v>1548</v>
      </c>
      <c r="L473" s="31" t="str">
        <f>VLOOKUP(B473, [1]Course!$A$1:$O$933, 14, FALSE)</f>
        <v>LC</v>
      </c>
      <c r="M473" s="31">
        <v>1</v>
      </c>
    </row>
    <row r="474" spans="1:13" ht="15.75" hidden="1" customHeight="1" x14ac:dyDescent="0.2">
      <c r="A474" s="31">
        <v>473</v>
      </c>
      <c r="B474" s="31">
        <v>40</v>
      </c>
      <c r="C474" s="31">
        <v>66</v>
      </c>
      <c r="D474" s="31" t="s">
        <v>85</v>
      </c>
      <c r="E474" s="31" t="str">
        <f t="shared" si="7"/>
        <v>1266LC03PT</v>
      </c>
      <c r="F474" s="31">
        <f>VLOOKUP(B474,[1]Course!$A$2:$R$329,2,FALSE)</f>
        <v>0</v>
      </c>
      <c r="G474" s="31">
        <f>VLOOKUP(B474, [1]Course!$A$2:$L$950, 8, FALSE)</f>
        <v>12</v>
      </c>
      <c r="H474" s="31">
        <v>3</v>
      </c>
      <c r="I474" s="31">
        <v>1</v>
      </c>
      <c r="K474" s="31" t="s">
        <v>1548</v>
      </c>
      <c r="L474" s="31" t="str">
        <f>VLOOKUP(B474, [1]Course!$A$1:$O$933, 14, FALSE)</f>
        <v>LC</v>
      </c>
      <c r="M474" s="31">
        <v>1</v>
      </c>
    </row>
    <row r="475" spans="1:13" ht="15.75" hidden="1" customHeight="1" x14ac:dyDescent="0.2">
      <c r="A475" s="31">
        <v>474</v>
      </c>
      <c r="B475" s="31">
        <v>40</v>
      </c>
      <c r="C475" s="31">
        <v>67</v>
      </c>
      <c r="D475" s="31" t="s">
        <v>85</v>
      </c>
      <c r="E475" s="31" t="str">
        <f t="shared" si="7"/>
        <v>1267LC03PT</v>
      </c>
      <c r="F475" s="31">
        <f>VLOOKUP(B475,[1]Course!$A$2:$R$329,2,FALSE)</f>
        <v>0</v>
      </c>
      <c r="G475" s="31">
        <f>VLOOKUP(B475, [1]Course!$A$2:$L$950, 8, FALSE)</f>
        <v>12</v>
      </c>
      <c r="H475" s="31">
        <v>3</v>
      </c>
      <c r="I475" s="31">
        <v>1</v>
      </c>
      <c r="K475" s="31" t="s">
        <v>1548</v>
      </c>
      <c r="L475" s="31" t="str">
        <f>VLOOKUP(B475, [1]Course!$A$1:$O$933, 14, FALSE)</f>
        <v>LC</v>
      </c>
      <c r="M475" s="31">
        <v>1</v>
      </c>
    </row>
    <row r="476" spans="1:13" ht="15.75" hidden="1" customHeight="1" x14ac:dyDescent="0.2">
      <c r="A476" s="31">
        <v>475</v>
      </c>
      <c r="B476" s="31">
        <v>40</v>
      </c>
      <c r="C476" s="31">
        <v>68</v>
      </c>
      <c r="D476" s="31" t="s">
        <v>85</v>
      </c>
      <c r="E476" s="31" t="str">
        <f t="shared" si="7"/>
        <v>1268LC03PT</v>
      </c>
      <c r="F476" s="31">
        <f>VLOOKUP(B476,[1]Course!$A$2:$R$329,2,FALSE)</f>
        <v>0</v>
      </c>
      <c r="G476" s="31">
        <f>VLOOKUP(B476, [1]Course!$A$2:$L$950, 8, FALSE)</f>
        <v>12</v>
      </c>
      <c r="H476" s="31">
        <v>3</v>
      </c>
      <c r="I476" s="31">
        <v>1</v>
      </c>
      <c r="K476" s="31" t="s">
        <v>1548</v>
      </c>
      <c r="L476" s="31" t="str">
        <f>VLOOKUP(B476, [1]Course!$A$1:$O$933, 14, FALSE)</f>
        <v>LC</v>
      </c>
      <c r="M476" s="31">
        <v>1</v>
      </c>
    </row>
    <row r="477" spans="1:13" ht="15.75" hidden="1" customHeight="1" x14ac:dyDescent="0.2">
      <c r="A477" s="31">
        <v>476</v>
      </c>
      <c r="B477" s="31">
        <v>40</v>
      </c>
      <c r="C477" s="31">
        <v>69</v>
      </c>
      <c r="D477" s="31" t="s">
        <v>85</v>
      </c>
      <c r="E477" s="31" t="str">
        <f t="shared" si="7"/>
        <v>1269LC03PT</v>
      </c>
      <c r="F477" s="31">
        <f>VLOOKUP(B477,[1]Course!$A$2:$R$329,2,FALSE)</f>
        <v>0</v>
      </c>
      <c r="G477" s="31">
        <f>VLOOKUP(B477, [1]Course!$A$2:$L$950, 8, FALSE)</f>
        <v>12</v>
      </c>
      <c r="H477" s="31">
        <v>3</v>
      </c>
      <c r="I477" s="31">
        <v>1</v>
      </c>
      <c r="K477" s="31" t="s">
        <v>1548</v>
      </c>
      <c r="L477" s="31" t="str">
        <f>VLOOKUP(B477, [1]Course!$A$1:$O$933, 14, FALSE)</f>
        <v>LC</v>
      </c>
      <c r="M477" s="31">
        <v>1</v>
      </c>
    </row>
    <row r="478" spans="1:13" ht="15.75" hidden="1" customHeight="1" x14ac:dyDescent="0.2">
      <c r="A478" s="31">
        <v>477</v>
      </c>
      <c r="B478" s="31">
        <v>40</v>
      </c>
      <c r="C478" s="31">
        <v>70</v>
      </c>
      <c r="D478" s="31" t="s">
        <v>85</v>
      </c>
      <c r="E478" s="31" t="str">
        <f t="shared" si="7"/>
        <v>1270LC03PT</v>
      </c>
      <c r="F478" s="31">
        <f>VLOOKUP(B478,[1]Course!$A$2:$R$329,2,FALSE)</f>
        <v>0</v>
      </c>
      <c r="G478" s="31">
        <f>VLOOKUP(B478, [1]Course!$A$2:$L$950, 8, FALSE)</f>
        <v>12</v>
      </c>
      <c r="H478" s="31">
        <v>3</v>
      </c>
      <c r="I478" s="31">
        <v>1</v>
      </c>
      <c r="K478" s="31" t="s">
        <v>1548</v>
      </c>
      <c r="L478" s="31" t="str">
        <f>VLOOKUP(B478, [1]Course!$A$1:$O$933, 14, FALSE)</f>
        <v>LC</v>
      </c>
      <c r="M478" s="31">
        <v>1</v>
      </c>
    </row>
    <row r="479" spans="1:13" ht="15.75" hidden="1" customHeight="1" x14ac:dyDescent="0.2">
      <c r="A479" s="31">
        <v>478</v>
      </c>
      <c r="B479" s="31">
        <v>40</v>
      </c>
      <c r="C479" s="31">
        <v>71</v>
      </c>
      <c r="D479" s="31" t="s">
        <v>85</v>
      </c>
      <c r="E479" s="31" t="str">
        <f t="shared" si="7"/>
        <v>1271LC03PT</v>
      </c>
      <c r="F479" s="31">
        <f>VLOOKUP(B479,[1]Course!$A$2:$R$329,2,FALSE)</f>
        <v>0</v>
      </c>
      <c r="G479" s="31">
        <f>VLOOKUP(B479, [1]Course!$A$2:$L$950, 8, FALSE)</f>
        <v>12</v>
      </c>
      <c r="H479" s="31">
        <v>3</v>
      </c>
      <c r="I479" s="31">
        <v>1</v>
      </c>
      <c r="K479" s="31" t="s">
        <v>1548</v>
      </c>
      <c r="L479" s="31" t="str">
        <f>VLOOKUP(B479, [1]Course!$A$1:$O$933, 14, FALSE)</f>
        <v>LC</v>
      </c>
      <c r="M479" s="31">
        <v>1</v>
      </c>
    </row>
    <row r="480" spans="1:13" ht="15.75" hidden="1" customHeight="1" x14ac:dyDescent="0.2">
      <c r="A480" s="31">
        <v>479</v>
      </c>
      <c r="B480" s="31">
        <v>40</v>
      </c>
      <c r="C480" s="31">
        <v>72</v>
      </c>
      <c r="D480" s="31" t="s">
        <v>85</v>
      </c>
      <c r="E480" s="31" t="str">
        <f t="shared" si="7"/>
        <v>1272LC03PT</v>
      </c>
      <c r="F480" s="31">
        <f>VLOOKUP(B480,[1]Course!$A$2:$R$329,2,FALSE)</f>
        <v>0</v>
      </c>
      <c r="G480" s="31">
        <f>VLOOKUP(B480, [1]Course!$A$2:$L$950, 8, FALSE)</f>
        <v>12</v>
      </c>
      <c r="H480" s="31">
        <v>3</v>
      </c>
      <c r="I480" s="31">
        <v>1</v>
      </c>
      <c r="K480" s="31" t="s">
        <v>1548</v>
      </c>
      <c r="L480" s="31" t="str">
        <f>VLOOKUP(B480, [1]Course!$A$1:$O$933, 14, FALSE)</f>
        <v>LC</v>
      </c>
      <c r="M480" s="31">
        <v>1</v>
      </c>
    </row>
    <row r="481" spans="1:13" ht="15.75" hidden="1" customHeight="1" x14ac:dyDescent="0.2">
      <c r="A481" s="31">
        <v>480</v>
      </c>
      <c r="B481" s="31">
        <v>41</v>
      </c>
      <c r="C481" s="31">
        <v>61</v>
      </c>
      <c r="D481" s="31" t="s">
        <v>50</v>
      </c>
      <c r="E481" s="31" t="str">
        <f t="shared" si="7"/>
        <v>1261SC03PT</v>
      </c>
      <c r="F481" s="31" t="str">
        <f>VLOOKUP(B481,[1]Course!$A$2:$R$329,2,FALSE)</f>
        <v>Science 6</v>
      </c>
      <c r="G481" s="31">
        <f>VLOOKUP(B481, [1]Course!$A$2:$L$950, 8, FALSE)</f>
        <v>12</v>
      </c>
      <c r="H481" s="31">
        <v>3</v>
      </c>
      <c r="I481" s="31">
        <v>1</v>
      </c>
      <c r="K481" s="31" t="s">
        <v>1548</v>
      </c>
      <c r="L481" s="31" t="str">
        <f>VLOOKUP(B481, [1]Course!$A$1:$O$933, 14, FALSE)</f>
        <v>SC</v>
      </c>
      <c r="M481" s="31">
        <v>1</v>
      </c>
    </row>
    <row r="482" spans="1:13" ht="15.75" hidden="1" customHeight="1" x14ac:dyDescent="0.2">
      <c r="A482" s="31">
        <v>481</v>
      </c>
      <c r="B482" s="31">
        <v>41</v>
      </c>
      <c r="C482" s="31">
        <v>62</v>
      </c>
      <c r="D482" s="31" t="s">
        <v>50</v>
      </c>
      <c r="E482" s="31" t="str">
        <f t="shared" si="7"/>
        <v>1262SC03PT</v>
      </c>
      <c r="F482" s="31" t="str">
        <f>VLOOKUP(B482,[1]Course!$A$2:$R$329,2,FALSE)</f>
        <v>Science 6</v>
      </c>
      <c r="G482" s="31">
        <f>VLOOKUP(B482, [1]Course!$A$2:$L$950, 8, FALSE)</f>
        <v>12</v>
      </c>
      <c r="H482" s="31">
        <v>3</v>
      </c>
      <c r="I482" s="31">
        <v>1</v>
      </c>
      <c r="K482" s="31" t="s">
        <v>1548</v>
      </c>
      <c r="L482" s="31" t="str">
        <f>VLOOKUP(B482, [1]Course!$A$1:$O$933, 14, FALSE)</f>
        <v>SC</v>
      </c>
      <c r="M482" s="31">
        <v>1</v>
      </c>
    </row>
    <row r="483" spans="1:13" ht="15.75" hidden="1" customHeight="1" x14ac:dyDescent="0.2">
      <c r="A483" s="31">
        <v>482</v>
      </c>
      <c r="B483" s="31">
        <v>41</v>
      </c>
      <c r="C483" s="31">
        <v>63</v>
      </c>
      <c r="D483" s="31" t="s">
        <v>50</v>
      </c>
      <c r="E483" s="31" t="str">
        <f t="shared" si="7"/>
        <v>1263SC03PT</v>
      </c>
      <c r="F483" s="31" t="str">
        <f>VLOOKUP(B483,[1]Course!$A$2:$R$329,2,FALSE)</f>
        <v>Science 6</v>
      </c>
      <c r="G483" s="31">
        <f>VLOOKUP(B483, [1]Course!$A$2:$L$950, 8, FALSE)</f>
        <v>12</v>
      </c>
      <c r="H483" s="31">
        <v>3</v>
      </c>
      <c r="I483" s="31">
        <v>1</v>
      </c>
      <c r="K483" s="31" t="s">
        <v>1548</v>
      </c>
      <c r="L483" s="31" t="str">
        <f>VLOOKUP(B483, [1]Course!$A$1:$O$933, 14, FALSE)</f>
        <v>SC</v>
      </c>
      <c r="M483" s="31">
        <v>1</v>
      </c>
    </row>
    <row r="484" spans="1:13" ht="15.75" hidden="1" customHeight="1" x14ac:dyDescent="0.2">
      <c r="A484" s="31">
        <v>483</v>
      </c>
      <c r="B484" s="31">
        <v>41</v>
      </c>
      <c r="C484" s="31">
        <v>64</v>
      </c>
      <c r="D484" s="31" t="s">
        <v>50</v>
      </c>
      <c r="E484" s="31" t="str">
        <f t="shared" si="7"/>
        <v>1264SC03PT</v>
      </c>
      <c r="F484" s="31" t="str">
        <f>VLOOKUP(B484,[1]Course!$A$2:$R$329,2,FALSE)</f>
        <v>Science 6</v>
      </c>
      <c r="G484" s="31">
        <f>VLOOKUP(B484, [1]Course!$A$2:$L$950, 8, FALSE)</f>
        <v>12</v>
      </c>
      <c r="H484" s="31">
        <v>3</v>
      </c>
      <c r="I484" s="31">
        <v>1</v>
      </c>
      <c r="K484" s="31" t="s">
        <v>1548</v>
      </c>
      <c r="L484" s="31" t="str">
        <f>VLOOKUP(B484, [1]Course!$A$1:$O$933, 14, FALSE)</f>
        <v>SC</v>
      </c>
      <c r="M484" s="31">
        <v>1</v>
      </c>
    </row>
    <row r="485" spans="1:13" ht="15.75" hidden="1" customHeight="1" x14ac:dyDescent="0.2">
      <c r="A485" s="31">
        <v>484</v>
      </c>
      <c r="B485" s="31">
        <v>41</v>
      </c>
      <c r="C485" s="31">
        <v>65</v>
      </c>
      <c r="D485" s="31" t="s">
        <v>50</v>
      </c>
      <c r="E485" s="31" t="str">
        <f t="shared" si="7"/>
        <v>1265SC03PT</v>
      </c>
      <c r="F485" s="31" t="str">
        <f>VLOOKUP(B485,[1]Course!$A$2:$R$329,2,FALSE)</f>
        <v>Science 6</v>
      </c>
      <c r="G485" s="31">
        <f>VLOOKUP(B485, [1]Course!$A$2:$L$950, 8, FALSE)</f>
        <v>12</v>
      </c>
      <c r="H485" s="31">
        <v>3</v>
      </c>
      <c r="I485" s="31">
        <v>1</v>
      </c>
      <c r="K485" s="31" t="s">
        <v>1548</v>
      </c>
      <c r="L485" s="31" t="str">
        <f>VLOOKUP(B485, [1]Course!$A$1:$O$933, 14, FALSE)</f>
        <v>SC</v>
      </c>
      <c r="M485" s="31">
        <v>1</v>
      </c>
    </row>
    <row r="486" spans="1:13" ht="15.75" hidden="1" customHeight="1" x14ac:dyDescent="0.2">
      <c r="A486" s="31">
        <v>485</v>
      </c>
      <c r="B486" s="31">
        <v>41</v>
      </c>
      <c r="C486" s="31">
        <v>66</v>
      </c>
      <c r="D486" s="31" t="s">
        <v>50</v>
      </c>
      <c r="E486" s="31" t="str">
        <f t="shared" si="7"/>
        <v>1266SC03PT</v>
      </c>
      <c r="F486" s="31" t="str">
        <f>VLOOKUP(B486,[1]Course!$A$2:$R$329,2,FALSE)</f>
        <v>Science 6</v>
      </c>
      <c r="G486" s="31">
        <f>VLOOKUP(B486, [1]Course!$A$2:$L$950, 8, FALSE)</f>
        <v>12</v>
      </c>
      <c r="H486" s="31">
        <v>3</v>
      </c>
      <c r="I486" s="31">
        <v>1</v>
      </c>
      <c r="K486" s="31" t="s">
        <v>1548</v>
      </c>
      <c r="L486" s="31" t="str">
        <f>VLOOKUP(B486, [1]Course!$A$1:$O$933, 14, FALSE)</f>
        <v>SC</v>
      </c>
      <c r="M486" s="31">
        <v>1</v>
      </c>
    </row>
    <row r="487" spans="1:13" ht="15.75" hidden="1" customHeight="1" x14ac:dyDescent="0.2">
      <c r="A487" s="31">
        <v>486</v>
      </c>
      <c r="B487" s="31">
        <v>41</v>
      </c>
      <c r="C487" s="31">
        <v>67</v>
      </c>
      <c r="D487" s="31" t="s">
        <v>50</v>
      </c>
      <c r="E487" s="31" t="str">
        <f t="shared" si="7"/>
        <v>1267SC03PT</v>
      </c>
      <c r="F487" s="31" t="str">
        <f>VLOOKUP(B487,[1]Course!$A$2:$R$329,2,FALSE)</f>
        <v>Science 6</v>
      </c>
      <c r="G487" s="31">
        <f>VLOOKUP(B487, [1]Course!$A$2:$L$950, 8, FALSE)</f>
        <v>12</v>
      </c>
      <c r="H487" s="31">
        <v>3</v>
      </c>
      <c r="I487" s="31">
        <v>1</v>
      </c>
      <c r="K487" s="31" t="s">
        <v>1548</v>
      </c>
      <c r="L487" s="31" t="str">
        <f>VLOOKUP(B487, [1]Course!$A$1:$O$933, 14, FALSE)</f>
        <v>SC</v>
      </c>
      <c r="M487" s="31">
        <v>1</v>
      </c>
    </row>
    <row r="488" spans="1:13" ht="15.75" hidden="1" customHeight="1" x14ac:dyDescent="0.2">
      <c r="A488" s="31">
        <v>487</v>
      </c>
      <c r="B488" s="31">
        <v>41</v>
      </c>
      <c r="C488" s="31">
        <v>68</v>
      </c>
      <c r="D488" s="31" t="s">
        <v>50</v>
      </c>
      <c r="E488" s="31" t="str">
        <f t="shared" si="7"/>
        <v>1268SC03PT</v>
      </c>
      <c r="F488" s="31" t="str">
        <f>VLOOKUP(B488,[1]Course!$A$2:$R$329,2,FALSE)</f>
        <v>Science 6</v>
      </c>
      <c r="G488" s="31">
        <f>VLOOKUP(B488, [1]Course!$A$2:$L$950, 8, FALSE)</f>
        <v>12</v>
      </c>
      <c r="H488" s="31">
        <v>3</v>
      </c>
      <c r="I488" s="31">
        <v>1</v>
      </c>
      <c r="K488" s="31" t="s">
        <v>1548</v>
      </c>
      <c r="L488" s="31" t="str">
        <f>VLOOKUP(B488, [1]Course!$A$1:$O$933, 14, FALSE)</f>
        <v>SC</v>
      </c>
      <c r="M488" s="31">
        <v>1</v>
      </c>
    </row>
    <row r="489" spans="1:13" ht="15.75" hidden="1" customHeight="1" x14ac:dyDescent="0.2">
      <c r="A489" s="31">
        <v>488</v>
      </c>
      <c r="B489" s="31">
        <v>41</v>
      </c>
      <c r="C489" s="31">
        <v>69</v>
      </c>
      <c r="D489" s="31" t="s">
        <v>50</v>
      </c>
      <c r="E489" s="31" t="str">
        <f t="shared" si="7"/>
        <v>1269SC03PT</v>
      </c>
      <c r="F489" s="31" t="str">
        <f>VLOOKUP(B489,[1]Course!$A$2:$R$329,2,FALSE)</f>
        <v>Science 6</v>
      </c>
      <c r="G489" s="31">
        <f>VLOOKUP(B489, [1]Course!$A$2:$L$950, 8, FALSE)</f>
        <v>12</v>
      </c>
      <c r="H489" s="31">
        <v>3</v>
      </c>
      <c r="I489" s="31">
        <v>1</v>
      </c>
      <c r="K489" s="31" t="s">
        <v>1548</v>
      </c>
      <c r="L489" s="31" t="str">
        <f>VLOOKUP(B489, [1]Course!$A$1:$O$933, 14, FALSE)</f>
        <v>SC</v>
      </c>
      <c r="M489" s="31">
        <v>1</v>
      </c>
    </row>
    <row r="490" spans="1:13" ht="15.75" hidden="1" customHeight="1" x14ac:dyDescent="0.2">
      <c r="A490" s="31">
        <v>489</v>
      </c>
      <c r="B490" s="31">
        <v>41</v>
      </c>
      <c r="C490" s="31">
        <v>70</v>
      </c>
      <c r="D490" s="31" t="s">
        <v>50</v>
      </c>
      <c r="E490" s="31" t="str">
        <f t="shared" si="7"/>
        <v>1270SC03PT</v>
      </c>
      <c r="F490" s="31" t="str">
        <f>VLOOKUP(B490,[1]Course!$A$2:$R$329,2,FALSE)</f>
        <v>Science 6</v>
      </c>
      <c r="G490" s="31">
        <f>VLOOKUP(B490, [1]Course!$A$2:$L$950, 8, FALSE)</f>
        <v>12</v>
      </c>
      <c r="H490" s="31">
        <v>3</v>
      </c>
      <c r="I490" s="31">
        <v>1</v>
      </c>
      <c r="K490" s="31" t="s">
        <v>1548</v>
      </c>
      <c r="L490" s="31" t="str">
        <f>VLOOKUP(B490, [1]Course!$A$1:$O$933, 14, FALSE)</f>
        <v>SC</v>
      </c>
      <c r="M490" s="31">
        <v>1</v>
      </c>
    </row>
    <row r="491" spans="1:13" ht="15.75" hidden="1" customHeight="1" x14ac:dyDescent="0.2">
      <c r="A491" s="31">
        <v>490</v>
      </c>
      <c r="B491" s="31">
        <v>41</v>
      </c>
      <c r="C491" s="31">
        <v>71</v>
      </c>
      <c r="D491" s="31" t="s">
        <v>50</v>
      </c>
      <c r="E491" s="31" t="str">
        <f t="shared" si="7"/>
        <v>1271SC03PT</v>
      </c>
      <c r="F491" s="31" t="str">
        <f>VLOOKUP(B491,[1]Course!$A$2:$R$329,2,FALSE)</f>
        <v>Science 6</v>
      </c>
      <c r="G491" s="31">
        <f>VLOOKUP(B491, [1]Course!$A$2:$L$950, 8, FALSE)</f>
        <v>12</v>
      </c>
      <c r="H491" s="31">
        <v>3</v>
      </c>
      <c r="I491" s="31">
        <v>1</v>
      </c>
      <c r="K491" s="31" t="s">
        <v>1548</v>
      </c>
      <c r="L491" s="31" t="str">
        <f>VLOOKUP(B491, [1]Course!$A$1:$O$933, 14, FALSE)</f>
        <v>SC</v>
      </c>
      <c r="M491" s="31">
        <v>1</v>
      </c>
    </row>
    <row r="492" spans="1:13" ht="15.75" hidden="1" customHeight="1" x14ac:dyDescent="0.2">
      <c r="A492" s="31">
        <v>491</v>
      </c>
      <c r="B492" s="31">
        <v>41</v>
      </c>
      <c r="C492" s="31">
        <v>72</v>
      </c>
      <c r="D492" s="31" t="s">
        <v>50</v>
      </c>
      <c r="E492" s="31" t="str">
        <f t="shared" si="7"/>
        <v>1272SC03PT</v>
      </c>
      <c r="F492" s="31" t="str">
        <f>VLOOKUP(B492,[1]Course!$A$2:$R$329,2,FALSE)</f>
        <v>Science 6</v>
      </c>
      <c r="G492" s="31">
        <f>VLOOKUP(B492, [1]Course!$A$2:$L$950, 8, FALSE)</f>
        <v>12</v>
      </c>
      <c r="H492" s="31">
        <v>3</v>
      </c>
      <c r="I492" s="31">
        <v>1</v>
      </c>
      <c r="K492" s="31" t="s">
        <v>1548</v>
      </c>
      <c r="L492" s="31" t="str">
        <f>VLOOKUP(B492, [1]Course!$A$1:$O$933, 14, FALSE)</f>
        <v>SC</v>
      </c>
      <c r="M492" s="31">
        <v>1</v>
      </c>
    </row>
    <row r="493" spans="1:13" ht="15.75" hidden="1" customHeight="1" x14ac:dyDescent="0.2">
      <c r="A493" s="31">
        <v>492</v>
      </c>
      <c r="B493" s="31">
        <v>42</v>
      </c>
      <c r="C493" s="31">
        <v>61</v>
      </c>
      <c r="D493" s="31" t="s">
        <v>295</v>
      </c>
      <c r="E493" s="31" t="str">
        <f t="shared" si="7"/>
        <v>1261SS03PT</v>
      </c>
      <c r="F493" s="31">
        <f>VLOOKUP(B493,[1]Course!$A$2:$R$329,2,FALSE)</f>
        <v>0</v>
      </c>
      <c r="G493" s="31">
        <f>VLOOKUP(B493, [1]Course!$A$2:$L$950, 8, FALSE)</f>
        <v>12</v>
      </c>
      <c r="H493" s="31">
        <v>3</v>
      </c>
      <c r="I493" s="31">
        <v>1</v>
      </c>
      <c r="K493" s="31" t="s">
        <v>1548</v>
      </c>
      <c r="L493" s="31" t="str">
        <f>VLOOKUP(B493, [1]Course!$A$1:$O$933, 14, FALSE)</f>
        <v>SS</v>
      </c>
      <c r="M493" s="31">
        <v>1</v>
      </c>
    </row>
    <row r="494" spans="1:13" ht="15.75" hidden="1" customHeight="1" x14ac:dyDescent="0.2">
      <c r="A494" s="31">
        <v>493</v>
      </c>
      <c r="B494" s="31">
        <v>42</v>
      </c>
      <c r="C494" s="31">
        <v>62</v>
      </c>
      <c r="D494" s="31" t="s">
        <v>295</v>
      </c>
      <c r="E494" s="31" t="str">
        <f t="shared" si="7"/>
        <v>1262SS03PT</v>
      </c>
      <c r="F494" s="31">
        <f>VLOOKUP(B494,[1]Course!$A$2:$R$329,2,FALSE)</f>
        <v>0</v>
      </c>
      <c r="G494" s="31">
        <f>VLOOKUP(B494, [1]Course!$A$2:$L$950, 8, FALSE)</f>
        <v>12</v>
      </c>
      <c r="H494" s="31">
        <v>3</v>
      </c>
      <c r="I494" s="31">
        <v>1</v>
      </c>
      <c r="K494" s="31" t="s">
        <v>1548</v>
      </c>
      <c r="L494" s="31" t="str">
        <f>VLOOKUP(B494, [1]Course!$A$1:$O$933, 14, FALSE)</f>
        <v>SS</v>
      </c>
      <c r="M494" s="31">
        <v>1</v>
      </c>
    </row>
    <row r="495" spans="1:13" ht="15.75" hidden="1" customHeight="1" x14ac:dyDescent="0.2">
      <c r="A495" s="31">
        <v>494</v>
      </c>
      <c r="B495" s="31">
        <v>42</v>
      </c>
      <c r="C495" s="31">
        <v>63</v>
      </c>
      <c r="D495" s="31" t="s">
        <v>295</v>
      </c>
      <c r="E495" s="31" t="str">
        <f t="shared" si="7"/>
        <v>1263SS03PT</v>
      </c>
      <c r="F495" s="31">
        <f>VLOOKUP(B495,[1]Course!$A$2:$R$329,2,FALSE)</f>
        <v>0</v>
      </c>
      <c r="G495" s="31">
        <f>VLOOKUP(B495, [1]Course!$A$2:$L$950, 8, FALSE)</f>
        <v>12</v>
      </c>
      <c r="H495" s="31">
        <v>3</v>
      </c>
      <c r="I495" s="31">
        <v>1</v>
      </c>
      <c r="K495" s="31" t="s">
        <v>1548</v>
      </c>
      <c r="L495" s="31" t="str">
        <f>VLOOKUP(B495, [1]Course!$A$1:$O$933, 14, FALSE)</f>
        <v>SS</v>
      </c>
      <c r="M495" s="31">
        <v>1</v>
      </c>
    </row>
    <row r="496" spans="1:13" ht="15.75" hidden="1" customHeight="1" x14ac:dyDescent="0.2">
      <c r="A496" s="31">
        <v>495</v>
      </c>
      <c r="B496" s="31">
        <v>42</v>
      </c>
      <c r="C496" s="31">
        <v>64</v>
      </c>
      <c r="D496" s="31" t="s">
        <v>295</v>
      </c>
      <c r="E496" s="31" t="str">
        <f t="shared" si="7"/>
        <v>1264SS03PT</v>
      </c>
      <c r="F496" s="31">
        <f>VLOOKUP(B496,[1]Course!$A$2:$R$329,2,FALSE)</f>
        <v>0</v>
      </c>
      <c r="G496" s="31">
        <f>VLOOKUP(B496, [1]Course!$A$2:$L$950, 8, FALSE)</f>
        <v>12</v>
      </c>
      <c r="H496" s="31">
        <v>3</v>
      </c>
      <c r="I496" s="31">
        <v>1</v>
      </c>
      <c r="K496" s="31" t="s">
        <v>1548</v>
      </c>
      <c r="L496" s="31" t="str">
        <f>VLOOKUP(B496, [1]Course!$A$1:$O$933, 14, FALSE)</f>
        <v>SS</v>
      </c>
      <c r="M496" s="31">
        <v>1</v>
      </c>
    </row>
    <row r="497" spans="1:13" ht="15.75" hidden="1" customHeight="1" x14ac:dyDescent="0.2">
      <c r="A497" s="31">
        <v>496</v>
      </c>
      <c r="B497" s="31">
        <v>42</v>
      </c>
      <c r="C497" s="31">
        <v>65</v>
      </c>
      <c r="D497" s="31" t="s">
        <v>295</v>
      </c>
      <c r="E497" s="31" t="str">
        <f t="shared" si="7"/>
        <v>1265SS03PT</v>
      </c>
      <c r="F497" s="31">
        <f>VLOOKUP(B497,[1]Course!$A$2:$R$329,2,FALSE)</f>
        <v>0</v>
      </c>
      <c r="G497" s="31">
        <f>VLOOKUP(B497, [1]Course!$A$2:$L$950, 8, FALSE)</f>
        <v>12</v>
      </c>
      <c r="H497" s="31">
        <v>3</v>
      </c>
      <c r="I497" s="31">
        <v>1</v>
      </c>
      <c r="K497" s="31" t="s">
        <v>1548</v>
      </c>
      <c r="L497" s="31" t="str">
        <f>VLOOKUP(B497, [1]Course!$A$1:$O$933, 14, FALSE)</f>
        <v>SS</v>
      </c>
      <c r="M497" s="31">
        <v>1</v>
      </c>
    </row>
    <row r="498" spans="1:13" ht="15.75" hidden="1" customHeight="1" x14ac:dyDescent="0.2">
      <c r="A498" s="31">
        <v>497</v>
      </c>
      <c r="B498" s="31">
        <v>42</v>
      </c>
      <c r="C498" s="31">
        <v>66</v>
      </c>
      <c r="D498" s="31" t="s">
        <v>295</v>
      </c>
      <c r="E498" s="31" t="str">
        <f t="shared" si="7"/>
        <v>1266SS03PT</v>
      </c>
      <c r="F498" s="31">
        <f>VLOOKUP(B498,[1]Course!$A$2:$R$329,2,FALSE)</f>
        <v>0</v>
      </c>
      <c r="G498" s="31">
        <f>VLOOKUP(B498, [1]Course!$A$2:$L$950, 8, FALSE)</f>
        <v>12</v>
      </c>
      <c r="H498" s="31">
        <v>3</v>
      </c>
      <c r="I498" s="31">
        <v>1</v>
      </c>
      <c r="K498" s="31" t="s">
        <v>1548</v>
      </c>
      <c r="L498" s="31" t="str">
        <f>VLOOKUP(B498, [1]Course!$A$1:$O$933, 14, FALSE)</f>
        <v>SS</v>
      </c>
      <c r="M498" s="31">
        <v>1</v>
      </c>
    </row>
    <row r="499" spans="1:13" ht="15.75" hidden="1" customHeight="1" x14ac:dyDescent="0.2">
      <c r="A499" s="31">
        <v>498</v>
      </c>
      <c r="B499" s="31">
        <v>42</v>
      </c>
      <c r="C499" s="31">
        <v>67</v>
      </c>
      <c r="D499" s="31" t="s">
        <v>295</v>
      </c>
      <c r="E499" s="31" t="str">
        <f t="shared" si="7"/>
        <v>1267SS03PT</v>
      </c>
      <c r="F499" s="31">
        <f>VLOOKUP(B499,[1]Course!$A$2:$R$329,2,FALSE)</f>
        <v>0</v>
      </c>
      <c r="G499" s="31">
        <f>VLOOKUP(B499, [1]Course!$A$2:$L$950, 8, FALSE)</f>
        <v>12</v>
      </c>
      <c r="H499" s="31">
        <v>3</v>
      </c>
      <c r="I499" s="31">
        <v>1</v>
      </c>
      <c r="K499" s="31" t="s">
        <v>1548</v>
      </c>
      <c r="L499" s="31" t="str">
        <f>VLOOKUP(B499, [1]Course!$A$1:$O$933, 14, FALSE)</f>
        <v>SS</v>
      </c>
      <c r="M499" s="31">
        <v>1</v>
      </c>
    </row>
    <row r="500" spans="1:13" ht="15.75" hidden="1" customHeight="1" x14ac:dyDescent="0.2">
      <c r="A500" s="31">
        <v>499</v>
      </c>
      <c r="B500" s="31">
        <v>42</v>
      </c>
      <c r="C500" s="31">
        <v>68</v>
      </c>
      <c r="D500" s="31" t="s">
        <v>295</v>
      </c>
      <c r="E500" s="31" t="str">
        <f t="shared" si="7"/>
        <v>1268SS03PT</v>
      </c>
      <c r="F500" s="31">
        <f>VLOOKUP(B500,[1]Course!$A$2:$R$329,2,FALSE)</f>
        <v>0</v>
      </c>
      <c r="G500" s="31">
        <f>VLOOKUP(B500, [1]Course!$A$2:$L$950, 8, FALSE)</f>
        <v>12</v>
      </c>
      <c r="H500" s="31">
        <v>3</v>
      </c>
      <c r="I500" s="31">
        <v>1</v>
      </c>
      <c r="K500" s="31" t="s">
        <v>1548</v>
      </c>
      <c r="L500" s="31" t="str">
        <f>VLOOKUP(B500, [1]Course!$A$1:$O$933, 14, FALSE)</f>
        <v>SS</v>
      </c>
      <c r="M500" s="31">
        <v>1</v>
      </c>
    </row>
    <row r="501" spans="1:13" ht="15.75" hidden="1" customHeight="1" x14ac:dyDescent="0.2">
      <c r="A501" s="31">
        <v>500</v>
      </c>
      <c r="B501" s="31">
        <v>42</v>
      </c>
      <c r="C501" s="31">
        <v>69</v>
      </c>
      <c r="D501" s="31" t="s">
        <v>295</v>
      </c>
      <c r="E501" s="31" t="str">
        <f t="shared" si="7"/>
        <v>1269SS03PT</v>
      </c>
      <c r="F501" s="31">
        <f>VLOOKUP(B501,[1]Course!$A$2:$R$329,2,FALSE)</f>
        <v>0</v>
      </c>
      <c r="G501" s="31">
        <f>VLOOKUP(B501, [1]Course!$A$2:$L$950, 8, FALSE)</f>
        <v>12</v>
      </c>
      <c r="H501" s="31">
        <v>3</v>
      </c>
      <c r="I501" s="31">
        <v>1</v>
      </c>
      <c r="K501" s="31" t="s">
        <v>1548</v>
      </c>
      <c r="L501" s="31" t="str">
        <f>VLOOKUP(B501, [1]Course!$A$1:$O$933, 14, FALSE)</f>
        <v>SS</v>
      </c>
      <c r="M501" s="31">
        <v>1</v>
      </c>
    </row>
    <row r="502" spans="1:13" ht="15.75" hidden="1" customHeight="1" x14ac:dyDescent="0.2">
      <c r="A502" s="31">
        <v>501</v>
      </c>
      <c r="B502" s="31">
        <v>42</v>
      </c>
      <c r="C502" s="31">
        <v>70</v>
      </c>
      <c r="D502" s="31" t="s">
        <v>295</v>
      </c>
      <c r="E502" s="31" t="str">
        <f t="shared" si="7"/>
        <v>1270SS03PT</v>
      </c>
      <c r="F502" s="31">
        <f>VLOOKUP(B502,[1]Course!$A$2:$R$329,2,FALSE)</f>
        <v>0</v>
      </c>
      <c r="G502" s="31">
        <f>VLOOKUP(B502, [1]Course!$A$2:$L$950, 8, FALSE)</f>
        <v>12</v>
      </c>
      <c r="H502" s="31">
        <v>3</v>
      </c>
      <c r="I502" s="31">
        <v>1</v>
      </c>
      <c r="K502" s="31" t="s">
        <v>1548</v>
      </c>
      <c r="L502" s="31" t="str">
        <f>VLOOKUP(B502, [1]Course!$A$1:$O$933, 14, FALSE)</f>
        <v>SS</v>
      </c>
      <c r="M502" s="31">
        <v>1</v>
      </c>
    </row>
    <row r="503" spans="1:13" ht="15.75" hidden="1" customHeight="1" x14ac:dyDescent="0.2">
      <c r="A503" s="31">
        <v>502</v>
      </c>
      <c r="B503" s="31">
        <v>42</v>
      </c>
      <c r="C503" s="31">
        <v>71</v>
      </c>
      <c r="D503" s="31" t="s">
        <v>295</v>
      </c>
      <c r="E503" s="31" t="str">
        <f t="shared" si="7"/>
        <v>1271SS03PT</v>
      </c>
      <c r="F503" s="31">
        <f>VLOOKUP(B503,[1]Course!$A$2:$R$329,2,FALSE)</f>
        <v>0</v>
      </c>
      <c r="G503" s="31">
        <f>VLOOKUP(B503, [1]Course!$A$2:$L$950, 8, FALSE)</f>
        <v>12</v>
      </c>
      <c r="H503" s="31">
        <v>3</v>
      </c>
      <c r="I503" s="31">
        <v>1</v>
      </c>
      <c r="K503" s="31" t="s">
        <v>1548</v>
      </c>
      <c r="L503" s="31" t="str">
        <f>VLOOKUP(B503, [1]Course!$A$1:$O$933, 14, FALSE)</f>
        <v>SS</v>
      </c>
      <c r="M503" s="31">
        <v>1</v>
      </c>
    </row>
    <row r="504" spans="1:13" ht="15.75" hidden="1" customHeight="1" x14ac:dyDescent="0.2">
      <c r="A504" s="31">
        <v>503</v>
      </c>
      <c r="B504" s="31">
        <v>42</v>
      </c>
      <c r="C504" s="31">
        <v>72</v>
      </c>
      <c r="D504" s="31" t="s">
        <v>295</v>
      </c>
      <c r="E504" s="31" t="str">
        <f t="shared" si="7"/>
        <v>1272SS03PT</v>
      </c>
      <c r="F504" s="31">
        <f>VLOOKUP(B504,[1]Course!$A$2:$R$329,2,FALSE)</f>
        <v>0</v>
      </c>
      <c r="G504" s="31">
        <f>VLOOKUP(B504, [1]Course!$A$2:$L$950, 8, FALSE)</f>
        <v>12</v>
      </c>
      <c r="H504" s="31">
        <v>3</v>
      </c>
      <c r="I504" s="31">
        <v>1</v>
      </c>
      <c r="K504" s="31" t="s">
        <v>1548</v>
      </c>
      <c r="L504" s="31" t="str">
        <f>VLOOKUP(B504, [1]Course!$A$1:$O$933, 14, FALSE)</f>
        <v>SS</v>
      </c>
      <c r="M504" s="31">
        <v>1</v>
      </c>
    </row>
    <row r="505" spans="1:13" ht="15.75" hidden="1" customHeight="1" x14ac:dyDescent="0.2">
      <c r="A505" s="31">
        <v>504</v>
      </c>
      <c r="B505" s="31">
        <v>43</v>
      </c>
      <c r="C505" s="31">
        <v>61</v>
      </c>
      <c r="D505" s="31" t="s">
        <v>289</v>
      </c>
      <c r="E505" s="31" t="str">
        <f t="shared" si="7"/>
        <v>1261BR03PT</v>
      </c>
      <c r="F505" s="31">
        <f>VLOOKUP(B505,[1]Course!$A$2:$R$329,2,FALSE)</f>
        <v>0</v>
      </c>
      <c r="G505" s="31">
        <f>VLOOKUP(B505, [1]Course!$A$2:$L$950, 8, FALSE)</f>
        <v>12</v>
      </c>
      <c r="H505" s="31">
        <v>3</v>
      </c>
      <c r="I505" s="31">
        <v>1</v>
      </c>
      <c r="K505" s="31" t="s">
        <v>1548</v>
      </c>
      <c r="L505" s="31" t="str">
        <f>VLOOKUP(B505, [1]Course!$A$1:$O$933, 14, FALSE)</f>
        <v>BR</v>
      </c>
      <c r="M505" s="31">
        <v>1</v>
      </c>
    </row>
    <row r="506" spans="1:13" ht="15.75" hidden="1" customHeight="1" x14ac:dyDescent="0.2">
      <c r="A506" s="31">
        <v>505</v>
      </c>
      <c r="B506" s="31">
        <v>43</v>
      </c>
      <c r="C506" s="31">
        <v>62</v>
      </c>
      <c r="D506" s="31" t="s">
        <v>289</v>
      </c>
      <c r="E506" s="31" t="str">
        <f t="shared" si="7"/>
        <v>1262BR03PT</v>
      </c>
      <c r="F506" s="31">
        <f>VLOOKUP(B506,[1]Course!$A$2:$R$329,2,FALSE)</f>
        <v>0</v>
      </c>
      <c r="G506" s="31">
        <f>VLOOKUP(B506, [1]Course!$A$2:$L$950, 8, FALSE)</f>
        <v>12</v>
      </c>
      <c r="H506" s="31">
        <v>3</v>
      </c>
      <c r="I506" s="31">
        <v>1</v>
      </c>
      <c r="K506" s="31" t="s">
        <v>1548</v>
      </c>
      <c r="L506" s="31" t="str">
        <f>VLOOKUP(B506, [1]Course!$A$1:$O$933, 14, FALSE)</f>
        <v>BR</v>
      </c>
      <c r="M506" s="31">
        <v>1</v>
      </c>
    </row>
    <row r="507" spans="1:13" ht="15.75" hidden="1" customHeight="1" x14ac:dyDescent="0.2">
      <c r="A507" s="31">
        <v>506</v>
      </c>
      <c r="B507" s="31">
        <v>43</v>
      </c>
      <c r="C507" s="31">
        <v>63</v>
      </c>
      <c r="D507" s="31" t="s">
        <v>289</v>
      </c>
      <c r="E507" s="31" t="str">
        <f t="shared" si="7"/>
        <v>1263BR03PT</v>
      </c>
      <c r="F507" s="31">
        <f>VLOOKUP(B507,[1]Course!$A$2:$R$329,2,FALSE)</f>
        <v>0</v>
      </c>
      <c r="G507" s="31">
        <f>VLOOKUP(B507, [1]Course!$A$2:$L$950, 8, FALSE)</f>
        <v>12</v>
      </c>
      <c r="H507" s="31">
        <v>3</v>
      </c>
      <c r="I507" s="31">
        <v>1</v>
      </c>
      <c r="K507" s="31" t="s">
        <v>1548</v>
      </c>
      <c r="L507" s="31" t="str">
        <f>VLOOKUP(B507, [1]Course!$A$1:$O$933, 14, FALSE)</f>
        <v>BR</v>
      </c>
      <c r="M507" s="31">
        <v>1</v>
      </c>
    </row>
    <row r="508" spans="1:13" ht="15.75" hidden="1" customHeight="1" x14ac:dyDescent="0.2">
      <c r="A508" s="31">
        <v>507</v>
      </c>
      <c r="B508" s="31">
        <v>43</v>
      </c>
      <c r="C508" s="31">
        <v>64</v>
      </c>
      <c r="D508" s="31" t="s">
        <v>289</v>
      </c>
      <c r="E508" s="31" t="str">
        <f t="shared" si="7"/>
        <v>1264BR03PT</v>
      </c>
      <c r="F508" s="31">
        <f>VLOOKUP(B508,[1]Course!$A$2:$R$329,2,FALSE)</f>
        <v>0</v>
      </c>
      <c r="G508" s="31">
        <f>VLOOKUP(B508, [1]Course!$A$2:$L$950, 8, FALSE)</f>
        <v>12</v>
      </c>
      <c r="H508" s="31">
        <v>3</v>
      </c>
      <c r="I508" s="31">
        <v>1</v>
      </c>
      <c r="K508" s="31" t="s">
        <v>1548</v>
      </c>
      <c r="L508" s="31" t="str">
        <f>VLOOKUP(B508, [1]Course!$A$1:$O$933, 14, FALSE)</f>
        <v>BR</v>
      </c>
      <c r="M508" s="31">
        <v>1</v>
      </c>
    </row>
    <row r="509" spans="1:13" ht="15.75" hidden="1" customHeight="1" x14ac:dyDescent="0.2">
      <c r="A509" s="31">
        <v>508</v>
      </c>
      <c r="B509" s="31">
        <v>43</v>
      </c>
      <c r="C509" s="31">
        <v>65</v>
      </c>
      <c r="D509" s="31" t="s">
        <v>289</v>
      </c>
      <c r="E509" s="31" t="str">
        <f t="shared" si="7"/>
        <v>1265BR03PT</v>
      </c>
      <c r="F509" s="31">
        <f>VLOOKUP(B509,[1]Course!$A$2:$R$329,2,FALSE)</f>
        <v>0</v>
      </c>
      <c r="G509" s="31">
        <f>VLOOKUP(B509, [1]Course!$A$2:$L$950, 8, FALSE)</f>
        <v>12</v>
      </c>
      <c r="H509" s="31">
        <v>3</v>
      </c>
      <c r="I509" s="31">
        <v>1</v>
      </c>
      <c r="K509" s="31" t="s">
        <v>1548</v>
      </c>
      <c r="L509" s="31" t="str">
        <f>VLOOKUP(B509, [1]Course!$A$1:$O$933, 14, FALSE)</f>
        <v>BR</v>
      </c>
      <c r="M509" s="31">
        <v>1</v>
      </c>
    </row>
    <row r="510" spans="1:13" ht="15.75" hidden="1" customHeight="1" x14ac:dyDescent="0.2">
      <c r="A510" s="31">
        <v>509</v>
      </c>
      <c r="B510" s="31">
        <v>43</v>
      </c>
      <c r="C510" s="31">
        <v>66</v>
      </c>
      <c r="D510" s="31" t="s">
        <v>289</v>
      </c>
      <c r="E510" s="31" t="str">
        <f t="shared" si="7"/>
        <v>1266BR03PT</v>
      </c>
      <c r="F510" s="31">
        <f>VLOOKUP(B510,[1]Course!$A$2:$R$329,2,FALSE)</f>
        <v>0</v>
      </c>
      <c r="G510" s="31">
        <f>VLOOKUP(B510, [1]Course!$A$2:$L$950, 8, FALSE)</f>
        <v>12</v>
      </c>
      <c r="H510" s="31">
        <v>3</v>
      </c>
      <c r="I510" s="31">
        <v>1</v>
      </c>
      <c r="K510" s="31" t="s">
        <v>1548</v>
      </c>
      <c r="L510" s="31" t="str">
        <f>VLOOKUP(B510, [1]Course!$A$1:$O$933, 14, FALSE)</f>
        <v>BR</v>
      </c>
      <c r="M510" s="31">
        <v>1</v>
      </c>
    </row>
    <row r="511" spans="1:13" ht="15.75" hidden="1" customHeight="1" x14ac:dyDescent="0.2">
      <c r="A511" s="31">
        <v>510</v>
      </c>
      <c r="B511" s="31">
        <v>43</v>
      </c>
      <c r="C511" s="31">
        <v>67</v>
      </c>
      <c r="D511" s="31" t="s">
        <v>289</v>
      </c>
      <c r="E511" s="31" t="str">
        <f t="shared" si="7"/>
        <v>1267BR03PT</v>
      </c>
      <c r="F511" s="31">
        <f>VLOOKUP(B511,[1]Course!$A$2:$R$329,2,FALSE)</f>
        <v>0</v>
      </c>
      <c r="G511" s="31">
        <f>VLOOKUP(B511, [1]Course!$A$2:$L$950, 8, FALSE)</f>
        <v>12</v>
      </c>
      <c r="H511" s="31">
        <v>3</v>
      </c>
      <c r="I511" s="31">
        <v>1</v>
      </c>
      <c r="K511" s="31" t="s">
        <v>1548</v>
      </c>
      <c r="L511" s="31" t="str">
        <f>VLOOKUP(B511, [1]Course!$A$1:$O$933, 14, FALSE)</f>
        <v>BR</v>
      </c>
      <c r="M511" s="31">
        <v>1</v>
      </c>
    </row>
    <row r="512" spans="1:13" ht="15.75" hidden="1" customHeight="1" x14ac:dyDescent="0.2">
      <c r="A512" s="31">
        <v>511</v>
      </c>
      <c r="B512" s="31">
        <v>43</v>
      </c>
      <c r="C512" s="31">
        <v>68</v>
      </c>
      <c r="D512" s="31" t="s">
        <v>289</v>
      </c>
      <c r="E512" s="31" t="str">
        <f t="shared" si="7"/>
        <v>1268BR03PT</v>
      </c>
      <c r="F512" s="31">
        <f>VLOOKUP(B512,[1]Course!$A$2:$R$329,2,FALSE)</f>
        <v>0</v>
      </c>
      <c r="G512" s="31">
        <f>VLOOKUP(B512, [1]Course!$A$2:$L$950, 8, FALSE)</f>
        <v>12</v>
      </c>
      <c r="H512" s="31">
        <v>3</v>
      </c>
      <c r="I512" s="31">
        <v>1</v>
      </c>
      <c r="K512" s="31" t="s">
        <v>1548</v>
      </c>
      <c r="L512" s="31" t="str">
        <f>VLOOKUP(B512, [1]Course!$A$1:$O$933, 14, FALSE)</f>
        <v>BR</v>
      </c>
      <c r="M512" s="31">
        <v>1</v>
      </c>
    </row>
    <row r="513" spans="1:13" ht="15.75" hidden="1" customHeight="1" x14ac:dyDescent="0.2">
      <c r="A513" s="31">
        <v>512</v>
      </c>
      <c r="B513" s="31">
        <v>43</v>
      </c>
      <c r="C513" s="31">
        <v>69</v>
      </c>
      <c r="D513" s="31" t="s">
        <v>289</v>
      </c>
      <c r="E513" s="31" t="str">
        <f t="shared" si="7"/>
        <v>1269BR03PT</v>
      </c>
      <c r="F513" s="31">
        <f>VLOOKUP(B513,[1]Course!$A$2:$R$329,2,FALSE)</f>
        <v>0</v>
      </c>
      <c r="G513" s="31">
        <f>VLOOKUP(B513, [1]Course!$A$2:$L$950, 8, FALSE)</f>
        <v>12</v>
      </c>
      <c r="H513" s="31">
        <v>3</v>
      </c>
      <c r="I513" s="31">
        <v>1</v>
      </c>
      <c r="K513" s="31" t="s">
        <v>1548</v>
      </c>
      <c r="L513" s="31" t="str">
        <f>VLOOKUP(B513, [1]Course!$A$1:$O$933, 14, FALSE)</f>
        <v>BR</v>
      </c>
      <c r="M513" s="31">
        <v>1</v>
      </c>
    </row>
    <row r="514" spans="1:13" ht="15.75" hidden="1" customHeight="1" x14ac:dyDescent="0.2">
      <c r="A514" s="31">
        <v>513</v>
      </c>
      <c r="B514" s="31">
        <v>43</v>
      </c>
      <c r="C514" s="31">
        <v>70</v>
      </c>
      <c r="D514" s="31" t="s">
        <v>289</v>
      </c>
      <c r="E514" s="31" t="str">
        <f t="shared" si="7"/>
        <v>1270BR03PT</v>
      </c>
      <c r="F514" s="31">
        <f>VLOOKUP(B514,[1]Course!$A$2:$R$329,2,FALSE)</f>
        <v>0</v>
      </c>
      <c r="G514" s="31">
        <f>VLOOKUP(B514, [1]Course!$A$2:$L$950, 8, FALSE)</f>
        <v>12</v>
      </c>
      <c r="H514" s="31">
        <v>3</v>
      </c>
      <c r="I514" s="31">
        <v>1</v>
      </c>
      <c r="K514" s="31" t="s">
        <v>1548</v>
      </c>
      <c r="L514" s="31" t="str">
        <f>VLOOKUP(B514, [1]Course!$A$1:$O$933, 14, FALSE)</f>
        <v>BR</v>
      </c>
      <c r="M514" s="31">
        <v>1</v>
      </c>
    </row>
    <row r="515" spans="1:13" ht="15.75" hidden="1" customHeight="1" x14ac:dyDescent="0.2">
      <c r="A515" s="31">
        <v>514</v>
      </c>
      <c r="B515" s="31">
        <v>43</v>
      </c>
      <c r="C515" s="31">
        <v>71</v>
      </c>
      <c r="D515" s="31" t="s">
        <v>289</v>
      </c>
      <c r="E515" s="31" t="str">
        <f t="shared" ref="E515:E578" si="8">UPPER(LEFT(G515,2)) &amp; RIGHT("0" &amp; C515, 2) &amp; D515 &amp; RIGHT("0" &amp; H515, 2) &amp; K515</f>
        <v>1271BR03PT</v>
      </c>
      <c r="F515" s="31">
        <f>VLOOKUP(B515,[1]Course!$A$2:$R$329,2,FALSE)</f>
        <v>0</v>
      </c>
      <c r="G515" s="31">
        <f>VLOOKUP(B515, [1]Course!$A$2:$L$950, 8, FALSE)</f>
        <v>12</v>
      </c>
      <c r="H515" s="31">
        <v>3</v>
      </c>
      <c r="I515" s="31">
        <v>1</v>
      </c>
      <c r="K515" s="31" t="s">
        <v>1548</v>
      </c>
      <c r="L515" s="31" t="str">
        <f>VLOOKUP(B515, [1]Course!$A$1:$O$933, 14, FALSE)</f>
        <v>BR</v>
      </c>
      <c r="M515" s="31">
        <v>1</v>
      </c>
    </row>
    <row r="516" spans="1:13" ht="15.75" hidden="1" customHeight="1" x14ac:dyDescent="0.2">
      <c r="A516" s="31">
        <v>515</v>
      </c>
      <c r="B516" s="31">
        <v>43</v>
      </c>
      <c r="C516" s="31">
        <v>72</v>
      </c>
      <c r="D516" s="31" t="s">
        <v>289</v>
      </c>
      <c r="E516" s="31" t="str">
        <f t="shared" si="8"/>
        <v>1272BR03PT</v>
      </c>
      <c r="F516" s="31">
        <f>VLOOKUP(B516,[1]Course!$A$2:$R$329,2,FALSE)</f>
        <v>0</v>
      </c>
      <c r="G516" s="31">
        <f>VLOOKUP(B516, [1]Course!$A$2:$L$950, 8, FALSE)</f>
        <v>12</v>
      </c>
      <c r="H516" s="31">
        <v>3</v>
      </c>
      <c r="I516" s="31">
        <v>1</v>
      </c>
      <c r="K516" s="31" t="s">
        <v>1548</v>
      </c>
      <c r="L516" s="31" t="str">
        <f>VLOOKUP(B516, [1]Course!$A$1:$O$933, 14, FALSE)</f>
        <v>BR</v>
      </c>
      <c r="M516" s="31">
        <v>1</v>
      </c>
    </row>
    <row r="517" spans="1:13" ht="15.75" hidden="1" customHeight="1" x14ac:dyDescent="0.2">
      <c r="A517" s="31">
        <v>516</v>
      </c>
      <c r="B517" s="31">
        <v>44</v>
      </c>
      <c r="C517" s="31">
        <v>73</v>
      </c>
      <c r="D517" s="31" t="s">
        <v>52</v>
      </c>
      <c r="E517" s="31" t="str">
        <f t="shared" si="8"/>
        <v>1273MA03PT</v>
      </c>
      <c r="F517" s="31">
        <f>VLOOKUP(B517,[1]Course!$A$2:$R$329,2,FALSE)</f>
        <v>0</v>
      </c>
      <c r="G517" s="31">
        <f>VLOOKUP(B517, [1]Course!$A$2:$L$950, 8, FALSE)</f>
        <v>12</v>
      </c>
      <c r="H517" s="31">
        <v>3</v>
      </c>
      <c r="I517" s="31">
        <v>1</v>
      </c>
      <c r="K517" s="31" t="s">
        <v>1548</v>
      </c>
      <c r="L517" s="31" t="str">
        <f>VLOOKUP(B517, [1]Course!$A$1:$O$933, 14, FALSE)</f>
        <v>MA</v>
      </c>
      <c r="M517" s="31">
        <v>1</v>
      </c>
    </row>
    <row r="518" spans="1:13" ht="15.75" hidden="1" customHeight="1" x14ac:dyDescent="0.2">
      <c r="A518" s="31">
        <v>517</v>
      </c>
      <c r="B518" s="31">
        <v>44</v>
      </c>
      <c r="C518" s="31">
        <v>74</v>
      </c>
      <c r="D518" s="31" t="s">
        <v>52</v>
      </c>
      <c r="E518" s="31" t="str">
        <f t="shared" si="8"/>
        <v>1274MA03PT</v>
      </c>
      <c r="F518" s="31">
        <f>VLOOKUP(B518,[1]Course!$A$2:$R$329,2,FALSE)</f>
        <v>0</v>
      </c>
      <c r="G518" s="31">
        <f>VLOOKUP(B518, [1]Course!$A$2:$L$950, 8, FALSE)</f>
        <v>12</v>
      </c>
      <c r="H518" s="31">
        <v>3</v>
      </c>
      <c r="I518" s="31">
        <v>1</v>
      </c>
      <c r="K518" s="31" t="s">
        <v>1548</v>
      </c>
      <c r="L518" s="31" t="str">
        <f>VLOOKUP(B518, [1]Course!$A$1:$O$933, 14, FALSE)</f>
        <v>MA</v>
      </c>
      <c r="M518" s="31">
        <v>1</v>
      </c>
    </row>
    <row r="519" spans="1:13" ht="15.75" hidden="1" customHeight="1" x14ac:dyDescent="0.2">
      <c r="A519" s="31">
        <v>518</v>
      </c>
      <c r="B519" s="31">
        <v>44</v>
      </c>
      <c r="C519" s="31">
        <v>75</v>
      </c>
      <c r="D519" s="31" t="s">
        <v>52</v>
      </c>
      <c r="E519" s="31" t="str">
        <f t="shared" si="8"/>
        <v>1275MA03PT</v>
      </c>
      <c r="F519" s="31">
        <f>VLOOKUP(B519,[1]Course!$A$2:$R$329,2,FALSE)</f>
        <v>0</v>
      </c>
      <c r="G519" s="31">
        <f>VLOOKUP(B519, [1]Course!$A$2:$L$950, 8, FALSE)</f>
        <v>12</v>
      </c>
      <c r="H519" s="31">
        <v>3</v>
      </c>
      <c r="I519" s="31">
        <v>1</v>
      </c>
      <c r="K519" s="31" t="s">
        <v>1548</v>
      </c>
      <c r="L519" s="31" t="str">
        <f>VLOOKUP(B519, [1]Course!$A$1:$O$933, 14, FALSE)</f>
        <v>MA</v>
      </c>
      <c r="M519" s="31">
        <v>1</v>
      </c>
    </row>
    <row r="520" spans="1:13" ht="15.75" hidden="1" customHeight="1" x14ac:dyDescent="0.2">
      <c r="A520" s="31">
        <v>519</v>
      </c>
      <c r="B520" s="31">
        <v>44</v>
      </c>
      <c r="C520" s="31">
        <v>76</v>
      </c>
      <c r="D520" s="31" t="s">
        <v>52</v>
      </c>
      <c r="E520" s="31" t="str">
        <f t="shared" si="8"/>
        <v>1276MA03PT</v>
      </c>
      <c r="F520" s="31">
        <f>VLOOKUP(B520,[1]Course!$A$2:$R$329,2,FALSE)</f>
        <v>0</v>
      </c>
      <c r="G520" s="31">
        <f>VLOOKUP(B520, [1]Course!$A$2:$L$950, 8, FALSE)</f>
        <v>12</v>
      </c>
      <c r="H520" s="31">
        <v>3</v>
      </c>
      <c r="I520" s="31">
        <v>1</v>
      </c>
      <c r="K520" s="31" t="s">
        <v>1548</v>
      </c>
      <c r="L520" s="31" t="str">
        <f>VLOOKUP(B520, [1]Course!$A$1:$O$933, 14, FALSE)</f>
        <v>MA</v>
      </c>
      <c r="M520" s="31">
        <v>1</v>
      </c>
    </row>
    <row r="521" spans="1:13" ht="15.75" hidden="1" customHeight="1" x14ac:dyDescent="0.2">
      <c r="A521" s="31">
        <v>520</v>
      </c>
      <c r="B521" s="31">
        <v>44</v>
      </c>
      <c r="C521" s="31">
        <v>77</v>
      </c>
      <c r="D521" s="31" t="s">
        <v>52</v>
      </c>
      <c r="E521" s="31" t="str">
        <f t="shared" si="8"/>
        <v>1277MA03PT</v>
      </c>
      <c r="F521" s="31">
        <f>VLOOKUP(B521,[1]Course!$A$2:$R$329,2,FALSE)</f>
        <v>0</v>
      </c>
      <c r="G521" s="31">
        <f>VLOOKUP(B521, [1]Course!$A$2:$L$950, 8, FALSE)</f>
        <v>12</v>
      </c>
      <c r="H521" s="31">
        <v>3</v>
      </c>
      <c r="I521" s="31">
        <v>1</v>
      </c>
      <c r="K521" s="31" t="s">
        <v>1548</v>
      </c>
      <c r="L521" s="31" t="str">
        <f>VLOOKUP(B521, [1]Course!$A$1:$O$933, 14, FALSE)</f>
        <v>MA</v>
      </c>
      <c r="M521" s="31">
        <v>1</v>
      </c>
    </row>
    <row r="522" spans="1:13" ht="15.75" hidden="1" customHeight="1" x14ac:dyDescent="0.2">
      <c r="A522" s="31">
        <v>521</v>
      </c>
      <c r="B522" s="31">
        <v>44</v>
      </c>
      <c r="C522" s="31">
        <v>78</v>
      </c>
      <c r="D522" s="31" t="s">
        <v>52</v>
      </c>
      <c r="E522" s="31" t="str">
        <f t="shared" si="8"/>
        <v>1278MA03PT</v>
      </c>
      <c r="F522" s="31">
        <f>VLOOKUP(B522,[1]Course!$A$2:$R$329,2,FALSE)</f>
        <v>0</v>
      </c>
      <c r="G522" s="31">
        <f>VLOOKUP(B522, [1]Course!$A$2:$L$950, 8, FALSE)</f>
        <v>12</v>
      </c>
      <c r="H522" s="31">
        <v>3</v>
      </c>
      <c r="I522" s="31">
        <v>1</v>
      </c>
      <c r="K522" s="31" t="s">
        <v>1548</v>
      </c>
      <c r="L522" s="31" t="str">
        <f>VLOOKUP(B522, [1]Course!$A$1:$O$933, 14, FALSE)</f>
        <v>MA</v>
      </c>
      <c r="M522" s="31">
        <v>1</v>
      </c>
    </row>
    <row r="523" spans="1:13" ht="15.75" hidden="1" customHeight="1" x14ac:dyDescent="0.2">
      <c r="A523" s="31">
        <v>522</v>
      </c>
      <c r="B523" s="31">
        <v>44</v>
      </c>
      <c r="C523" s="31">
        <v>79</v>
      </c>
      <c r="D523" s="31" t="s">
        <v>52</v>
      </c>
      <c r="E523" s="31" t="str">
        <f t="shared" si="8"/>
        <v>1279MA03PT</v>
      </c>
      <c r="F523" s="31">
        <f>VLOOKUP(B523,[1]Course!$A$2:$R$329,2,FALSE)</f>
        <v>0</v>
      </c>
      <c r="G523" s="31">
        <f>VLOOKUP(B523, [1]Course!$A$2:$L$950, 8, FALSE)</f>
        <v>12</v>
      </c>
      <c r="H523" s="31">
        <v>3</v>
      </c>
      <c r="I523" s="31">
        <v>1</v>
      </c>
      <c r="K523" s="31" t="s">
        <v>1548</v>
      </c>
      <c r="L523" s="31" t="str">
        <f>VLOOKUP(B523, [1]Course!$A$1:$O$933, 14, FALSE)</f>
        <v>MA</v>
      </c>
      <c r="M523" s="31">
        <v>1</v>
      </c>
    </row>
    <row r="524" spans="1:13" ht="15.75" hidden="1" customHeight="1" x14ac:dyDescent="0.2">
      <c r="A524" s="31">
        <v>523</v>
      </c>
      <c r="B524" s="31">
        <v>44</v>
      </c>
      <c r="C524" s="31">
        <v>80</v>
      </c>
      <c r="D524" s="31" t="s">
        <v>52</v>
      </c>
      <c r="E524" s="31" t="str">
        <f t="shared" si="8"/>
        <v>1280MA03PT</v>
      </c>
      <c r="F524" s="31">
        <f>VLOOKUP(B524,[1]Course!$A$2:$R$329,2,FALSE)</f>
        <v>0</v>
      </c>
      <c r="G524" s="31">
        <f>VLOOKUP(B524, [1]Course!$A$2:$L$950, 8, FALSE)</f>
        <v>12</v>
      </c>
      <c r="H524" s="31">
        <v>3</v>
      </c>
      <c r="I524" s="31">
        <v>1</v>
      </c>
      <c r="K524" s="31" t="s">
        <v>1548</v>
      </c>
      <c r="L524" s="31" t="str">
        <f>VLOOKUP(B524, [1]Course!$A$1:$O$933, 14, FALSE)</f>
        <v>MA</v>
      </c>
      <c r="M524" s="31">
        <v>1</v>
      </c>
    </row>
    <row r="525" spans="1:13" ht="15.75" hidden="1" customHeight="1" x14ac:dyDescent="0.2">
      <c r="A525" s="31">
        <v>524</v>
      </c>
      <c r="B525" s="31">
        <v>44</v>
      </c>
      <c r="C525" s="31">
        <v>81</v>
      </c>
      <c r="D525" s="31" t="s">
        <v>52</v>
      </c>
      <c r="E525" s="31" t="str">
        <f t="shared" si="8"/>
        <v>1281MA03PT</v>
      </c>
      <c r="F525" s="31">
        <f>VLOOKUP(B525,[1]Course!$A$2:$R$329,2,FALSE)</f>
        <v>0</v>
      </c>
      <c r="G525" s="31">
        <f>VLOOKUP(B525, [1]Course!$A$2:$L$950, 8, FALSE)</f>
        <v>12</v>
      </c>
      <c r="H525" s="31">
        <v>3</v>
      </c>
      <c r="I525" s="31">
        <v>1</v>
      </c>
      <c r="K525" s="31" t="s">
        <v>1548</v>
      </c>
      <c r="L525" s="31" t="str">
        <f>VLOOKUP(B525, [1]Course!$A$1:$O$933, 14, FALSE)</f>
        <v>MA</v>
      </c>
      <c r="M525" s="31">
        <v>1</v>
      </c>
    </row>
    <row r="526" spans="1:13" ht="15.75" hidden="1" customHeight="1" x14ac:dyDescent="0.2">
      <c r="A526" s="31">
        <v>525</v>
      </c>
      <c r="B526" s="31">
        <v>44</v>
      </c>
      <c r="C526" s="31">
        <v>82</v>
      </c>
      <c r="D526" s="31" t="s">
        <v>52</v>
      </c>
      <c r="E526" s="31" t="str">
        <f t="shared" si="8"/>
        <v>1282MA03PT</v>
      </c>
      <c r="F526" s="31">
        <f>VLOOKUP(B526,[1]Course!$A$2:$R$329,2,FALSE)</f>
        <v>0</v>
      </c>
      <c r="G526" s="31">
        <f>VLOOKUP(B526, [1]Course!$A$2:$L$950, 8, FALSE)</f>
        <v>12</v>
      </c>
      <c r="H526" s="31">
        <v>3</v>
      </c>
      <c r="I526" s="31">
        <v>1</v>
      </c>
      <c r="K526" s="31" t="s">
        <v>1548</v>
      </c>
      <c r="L526" s="31" t="str">
        <f>VLOOKUP(B526, [1]Course!$A$1:$O$933, 14, FALSE)</f>
        <v>MA</v>
      </c>
      <c r="M526" s="31">
        <v>1</v>
      </c>
    </row>
    <row r="527" spans="1:13" ht="15.75" hidden="1" customHeight="1" x14ac:dyDescent="0.2">
      <c r="A527" s="31">
        <v>526</v>
      </c>
      <c r="B527" s="31">
        <v>44</v>
      </c>
      <c r="C527" s="31">
        <v>83</v>
      </c>
      <c r="D527" s="31" t="s">
        <v>52</v>
      </c>
      <c r="E527" s="31" t="str">
        <f t="shared" si="8"/>
        <v>1283MA03PT</v>
      </c>
      <c r="F527" s="31">
        <f>VLOOKUP(B527,[1]Course!$A$2:$R$329,2,FALSE)</f>
        <v>0</v>
      </c>
      <c r="G527" s="31">
        <f>VLOOKUP(B527, [1]Course!$A$2:$L$950, 8, FALSE)</f>
        <v>12</v>
      </c>
      <c r="H527" s="31">
        <v>3</v>
      </c>
      <c r="I527" s="31">
        <v>1</v>
      </c>
      <c r="K527" s="31" t="s">
        <v>1548</v>
      </c>
      <c r="L527" s="31" t="str">
        <f>VLOOKUP(B527, [1]Course!$A$1:$O$933, 14, FALSE)</f>
        <v>MA</v>
      </c>
      <c r="M527" s="31">
        <v>1</v>
      </c>
    </row>
    <row r="528" spans="1:13" ht="15.75" hidden="1" customHeight="1" x14ac:dyDescent="0.2">
      <c r="A528" s="31">
        <v>527</v>
      </c>
      <c r="B528" s="31">
        <v>44</v>
      </c>
      <c r="C528" s="31">
        <v>84</v>
      </c>
      <c r="D528" s="31" t="s">
        <v>52</v>
      </c>
      <c r="E528" s="31" t="str">
        <f t="shared" si="8"/>
        <v>1284MA03PT</v>
      </c>
      <c r="F528" s="31">
        <f>VLOOKUP(B528,[1]Course!$A$2:$R$329,2,FALSE)</f>
        <v>0</v>
      </c>
      <c r="G528" s="31">
        <f>VLOOKUP(B528, [1]Course!$A$2:$L$950, 8, FALSE)</f>
        <v>12</v>
      </c>
      <c r="H528" s="31">
        <v>3</v>
      </c>
      <c r="I528" s="31">
        <v>1</v>
      </c>
      <c r="K528" s="31" t="s">
        <v>1548</v>
      </c>
      <c r="L528" s="31" t="str">
        <f>VLOOKUP(B528, [1]Course!$A$1:$O$933, 14, FALSE)</f>
        <v>MA</v>
      </c>
      <c r="M528" s="31">
        <v>1</v>
      </c>
    </row>
    <row r="529" spans="1:13" ht="15.75" hidden="1" customHeight="1" x14ac:dyDescent="0.2">
      <c r="A529" s="31">
        <v>528</v>
      </c>
      <c r="B529" s="31">
        <v>45</v>
      </c>
      <c r="C529" s="31">
        <v>73</v>
      </c>
      <c r="D529" s="31" t="s">
        <v>155</v>
      </c>
      <c r="E529" s="31" t="str">
        <f t="shared" si="8"/>
        <v>1273EN03PT</v>
      </c>
      <c r="F529" s="31">
        <f>VLOOKUP(B529,[1]Course!$A$2:$R$329,2,FALSE)</f>
        <v>0</v>
      </c>
      <c r="G529" s="31">
        <f>VLOOKUP(B529, [1]Course!$A$2:$L$950, 8, FALSE)</f>
        <v>12</v>
      </c>
      <c r="H529" s="31">
        <v>3</v>
      </c>
      <c r="I529" s="31">
        <v>1</v>
      </c>
      <c r="K529" s="31" t="s">
        <v>1548</v>
      </c>
      <c r="L529" s="31" t="str">
        <f>VLOOKUP(B529, [1]Course!$A$1:$O$933, 14, FALSE)</f>
        <v>EN</v>
      </c>
      <c r="M529" s="31">
        <v>1</v>
      </c>
    </row>
    <row r="530" spans="1:13" ht="15.75" hidden="1" customHeight="1" x14ac:dyDescent="0.2">
      <c r="A530" s="31">
        <v>529</v>
      </c>
      <c r="B530" s="31">
        <v>45</v>
      </c>
      <c r="C530" s="31">
        <v>74</v>
      </c>
      <c r="D530" s="31" t="s">
        <v>155</v>
      </c>
      <c r="E530" s="31" t="str">
        <f t="shared" si="8"/>
        <v>1274EN03PT</v>
      </c>
      <c r="F530" s="31">
        <f>VLOOKUP(B530,[1]Course!$A$2:$R$329,2,FALSE)</f>
        <v>0</v>
      </c>
      <c r="G530" s="31">
        <f>VLOOKUP(B530, [1]Course!$A$2:$L$950, 8, FALSE)</f>
        <v>12</v>
      </c>
      <c r="H530" s="31">
        <v>3</v>
      </c>
      <c r="I530" s="31">
        <v>1</v>
      </c>
      <c r="K530" s="31" t="s">
        <v>1548</v>
      </c>
      <c r="L530" s="31" t="str">
        <f>VLOOKUP(B530, [1]Course!$A$1:$O$933, 14, FALSE)</f>
        <v>EN</v>
      </c>
      <c r="M530" s="31">
        <v>1</v>
      </c>
    </row>
    <row r="531" spans="1:13" ht="15.75" hidden="1" customHeight="1" x14ac:dyDescent="0.2">
      <c r="A531" s="31">
        <v>530</v>
      </c>
      <c r="B531" s="31">
        <v>45</v>
      </c>
      <c r="C531" s="31">
        <v>75</v>
      </c>
      <c r="D531" s="31" t="s">
        <v>155</v>
      </c>
      <c r="E531" s="31" t="str">
        <f t="shared" si="8"/>
        <v>1275EN03PT</v>
      </c>
      <c r="F531" s="31">
        <f>VLOOKUP(B531,[1]Course!$A$2:$R$329,2,FALSE)</f>
        <v>0</v>
      </c>
      <c r="G531" s="31">
        <f>VLOOKUP(B531, [1]Course!$A$2:$L$950, 8, FALSE)</f>
        <v>12</v>
      </c>
      <c r="H531" s="31">
        <v>3</v>
      </c>
      <c r="I531" s="31">
        <v>1</v>
      </c>
      <c r="K531" s="31" t="s">
        <v>1548</v>
      </c>
      <c r="L531" s="31" t="str">
        <f>VLOOKUP(B531, [1]Course!$A$1:$O$933, 14, FALSE)</f>
        <v>EN</v>
      </c>
      <c r="M531" s="31">
        <v>1</v>
      </c>
    </row>
    <row r="532" spans="1:13" ht="15.75" hidden="1" customHeight="1" x14ac:dyDescent="0.2">
      <c r="A532" s="31">
        <v>531</v>
      </c>
      <c r="B532" s="31">
        <v>45</v>
      </c>
      <c r="C532" s="31">
        <v>76</v>
      </c>
      <c r="D532" s="31" t="s">
        <v>155</v>
      </c>
      <c r="E532" s="31" t="str">
        <f t="shared" si="8"/>
        <v>1276EN03PT</v>
      </c>
      <c r="F532" s="31">
        <f>VLOOKUP(B532,[1]Course!$A$2:$R$329,2,FALSE)</f>
        <v>0</v>
      </c>
      <c r="G532" s="31">
        <f>VLOOKUP(B532, [1]Course!$A$2:$L$950, 8, FALSE)</f>
        <v>12</v>
      </c>
      <c r="H532" s="31">
        <v>3</v>
      </c>
      <c r="I532" s="31">
        <v>1</v>
      </c>
      <c r="K532" s="31" t="s">
        <v>1548</v>
      </c>
      <c r="L532" s="31" t="str">
        <f>VLOOKUP(B532, [1]Course!$A$1:$O$933, 14, FALSE)</f>
        <v>EN</v>
      </c>
      <c r="M532" s="31">
        <v>1</v>
      </c>
    </row>
    <row r="533" spans="1:13" ht="15.75" hidden="1" customHeight="1" x14ac:dyDescent="0.2">
      <c r="A533" s="31">
        <v>532</v>
      </c>
      <c r="B533" s="31">
        <v>45</v>
      </c>
      <c r="C533" s="31">
        <v>77</v>
      </c>
      <c r="D533" s="31" t="s">
        <v>155</v>
      </c>
      <c r="E533" s="31" t="str">
        <f t="shared" si="8"/>
        <v>1277EN03PT</v>
      </c>
      <c r="F533" s="31">
        <f>VLOOKUP(B533,[1]Course!$A$2:$R$329,2,FALSE)</f>
        <v>0</v>
      </c>
      <c r="G533" s="31">
        <f>VLOOKUP(B533, [1]Course!$A$2:$L$950, 8, FALSE)</f>
        <v>12</v>
      </c>
      <c r="H533" s="31">
        <v>3</v>
      </c>
      <c r="I533" s="31">
        <v>1</v>
      </c>
      <c r="K533" s="31" t="s">
        <v>1548</v>
      </c>
      <c r="L533" s="31" t="str">
        <f>VLOOKUP(B533, [1]Course!$A$1:$O$933, 14, FALSE)</f>
        <v>EN</v>
      </c>
      <c r="M533" s="31">
        <v>1</v>
      </c>
    </row>
    <row r="534" spans="1:13" ht="15.75" hidden="1" customHeight="1" x14ac:dyDescent="0.2">
      <c r="A534" s="31">
        <v>533</v>
      </c>
      <c r="B534" s="31">
        <v>45</v>
      </c>
      <c r="C534" s="31">
        <v>78</v>
      </c>
      <c r="D534" s="31" t="s">
        <v>155</v>
      </c>
      <c r="E534" s="31" t="str">
        <f t="shared" si="8"/>
        <v>1278EN03PT</v>
      </c>
      <c r="F534" s="31">
        <f>VLOOKUP(B534,[1]Course!$A$2:$R$329,2,FALSE)</f>
        <v>0</v>
      </c>
      <c r="G534" s="31">
        <f>VLOOKUP(B534, [1]Course!$A$2:$L$950, 8, FALSE)</f>
        <v>12</v>
      </c>
      <c r="H534" s="31">
        <v>3</v>
      </c>
      <c r="I534" s="31">
        <v>1</v>
      </c>
      <c r="K534" s="31" t="s">
        <v>1548</v>
      </c>
      <c r="L534" s="31" t="str">
        <f>VLOOKUP(B534, [1]Course!$A$1:$O$933, 14, FALSE)</f>
        <v>EN</v>
      </c>
      <c r="M534" s="31">
        <v>1</v>
      </c>
    </row>
    <row r="535" spans="1:13" ht="15.75" hidden="1" customHeight="1" x14ac:dyDescent="0.2">
      <c r="A535" s="31">
        <v>534</v>
      </c>
      <c r="B535" s="31">
        <v>45</v>
      </c>
      <c r="C535" s="31">
        <v>79</v>
      </c>
      <c r="D535" s="31" t="s">
        <v>155</v>
      </c>
      <c r="E535" s="31" t="str">
        <f t="shared" si="8"/>
        <v>1279EN03PT</v>
      </c>
      <c r="F535" s="31">
        <f>VLOOKUP(B535,[1]Course!$A$2:$R$329,2,FALSE)</f>
        <v>0</v>
      </c>
      <c r="G535" s="31">
        <f>VLOOKUP(B535, [1]Course!$A$2:$L$950, 8, FALSE)</f>
        <v>12</v>
      </c>
      <c r="H535" s="31">
        <v>3</v>
      </c>
      <c r="I535" s="31">
        <v>1</v>
      </c>
      <c r="K535" s="31" t="s">
        <v>1548</v>
      </c>
      <c r="L535" s="31" t="str">
        <f>VLOOKUP(B535, [1]Course!$A$1:$O$933, 14, FALSE)</f>
        <v>EN</v>
      </c>
      <c r="M535" s="31">
        <v>1</v>
      </c>
    </row>
    <row r="536" spans="1:13" ht="15.75" hidden="1" customHeight="1" x14ac:dyDescent="0.2">
      <c r="A536" s="31">
        <v>535</v>
      </c>
      <c r="B536" s="31">
        <v>45</v>
      </c>
      <c r="C536" s="31">
        <v>80</v>
      </c>
      <c r="D536" s="31" t="s">
        <v>155</v>
      </c>
      <c r="E536" s="31" t="str">
        <f t="shared" si="8"/>
        <v>1280EN03PT</v>
      </c>
      <c r="F536" s="31">
        <f>VLOOKUP(B536,[1]Course!$A$2:$R$329,2,FALSE)</f>
        <v>0</v>
      </c>
      <c r="G536" s="31">
        <f>VLOOKUP(B536, [1]Course!$A$2:$L$950, 8, FALSE)</f>
        <v>12</v>
      </c>
      <c r="H536" s="31">
        <v>3</v>
      </c>
      <c r="I536" s="31">
        <v>1</v>
      </c>
      <c r="K536" s="31" t="s">
        <v>1548</v>
      </c>
      <c r="L536" s="31" t="str">
        <f>VLOOKUP(B536, [1]Course!$A$1:$O$933, 14, FALSE)</f>
        <v>EN</v>
      </c>
      <c r="M536" s="31">
        <v>1</v>
      </c>
    </row>
    <row r="537" spans="1:13" ht="15.75" hidden="1" customHeight="1" x14ac:dyDescent="0.2">
      <c r="A537" s="31">
        <v>536</v>
      </c>
      <c r="B537" s="31">
        <v>45</v>
      </c>
      <c r="C537" s="31">
        <v>81</v>
      </c>
      <c r="D537" s="31" t="s">
        <v>155</v>
      </c>
      <c r="E537" s="31" t="str">
        <f t="shared" si="8"/>
        <v>1281EN03PT</v>
      </c>
      <c r="F537" s="31">
        <f>VLOOKUP(B537,[1]Course!$A$2:$R$329,2,FALSE)</f>
        <v>0</v>
      </c>
      <c r="G537" s="31">
        <f>VLOOKUP(B537, [1]Course!$A$2:$L$950, 8, FALSE)</f>
        <v>12</v>
      </c>
      <c r="H537" s="31">
        <v>3</v>
      </c>
      <c r="I537" s="31">
        <v>1</v>
      </c>
      <c r="K537" s="31" t="s">
        <v>1548</v>
      </c>
      <c r="L537" s="31" t="str">
        <f>VLOOKUP(B537, [1]Course!$A$1:$O$933, 14, FALSE)</f>
        <v>EN</v>
      </c>
      <c r="M537" s="31">
        <v>1</v>
      </c>
    </row>
    <row r="538" spans="1:13" ht="15.75" hidden="1" customHeight="1" x14ac:dyDescent="0.2">
      <c r="A538" s="31">
        <v>537</v>
      </c>
      <c r="B538" s="31">
        <v>45</v>
      </c>
      <c r="C538" s="31">
        <v>82</v>
      </c>
      <c r="D538" s="31" t="s">
        <v>155</v>
      </c>
      <c r="E538" s="31" t="str">
        <f t="shared" si="8"/>
        <v>1282EN03PT</v>
      </c>
      <c r="F538" s="31">
        <f>VLOOKUP(B538,[1]Course!$A$2:$R$329,2,FALSE)</f>
        <v>0</v>
      </c>
      <c r="G538" s="31">
        <f>VLOOKUP(B538, [1]Course!$A$2:$L$950, 8, FALSE)</f>
        <v>12</v>
      </c>
      <c r="H538" s="31">
        <v>3</v>
      </c>
      <c r="I538" s="31">
        <v>1</v>
      </c>
      <c r="K538" s="31" t="s">
        <v>1548</v>
      </c>
      <c r="L538" s="31" t="str">
        <f>VLOOKUP(B538, [1]Course!$A$1:$O$933, 14, FALSE)</f>
        <v>EN</v>
      </c>
      <c r="M538" s="31">
        <v>1</v>
      </c>
    </row>
    <row r="539" spans="1:13" ht="15.75" hidden="1" customHeight="1" x14ac:dyDescent="0.2">
      <c r="A539" s="31">
        <v>538</v>
      </c>
      <c r="B539" s="31">
        <v>45</v>
      </c>
      <c r="C539" s="31">
        <v>83</v>
      </c>
      <c r="D539" s="31" t="s">
        <v>155</v>
      </c>
      <c r="E539" s="31" t="str">
        <f t="shared" si="8"/>
        <v>1283EN03PT</v>
      </c>
      <c r="F539" s="31">
        <f>VLOOKUP(B539,[1]Course!$A$2:$R$329,2,FALSE)</f>
        <v>0</v>
      </c>
      <c r="G539" s="31">
        <f>VLOOKUP(B539, [1]Course!$A$2:$L$950, 8, FALSE)</f>
        <v>12</v>
      </c>
      <c r="H539" s="31">
        <v>3</v>
      </c>
      <c r="I539" s="31">
        <v>1</v>
      </c>
      <c r="K539" s="31" t="s">
        <v>1548</v>
      </c>
      <c r="L539" s="31" t="str">
        <f>VLOOKUP(B539, [1]Course!$A$1:$O$933, 14, FALSE)</f>
        <v>EN</v>
      </c>
      <c r="M539" s="31">
        <v>1</v>
      </c>
    </row>
    <row r="540" spans="1:13" ht="15.75" hidden="1" customHeight="1" x14ac:dyDescent="0.2">
      <c r="A540" s="31">
        <v>539</v>
      </c>
      <c r="B540" s="31">
        <v>45</v>
      </c>
      <c r="C540" s="31">
        <v>84</v>
      </c>
      <c r="D540" s="31" t="s">
        <v>155</v>
      </c>
      <c r="E540" s="31" t="str">
        <f t="shared" si="8"/>
        <v>1284EN03PT</v>
      </c>
      <c r="F540" s="31">
        <f>VLOOKUP(B540,[1]Course!$A$2:$R$329,2,FALSE)</f>
        <v>0</v>
      </c>
      <c r="G540" s="31">
        <f>VLOOKUP(B540, [1]Course!$A$2:$L$950, 8, FALSE)</f>
        <v>12</v>
      </c>
      <c r="H540" s="31">
        <v>3</v>
      </c>
      <c r="I540" s="31">
        <v>1</v>
      </c>
      <c r="K540" s="31" t="s">
        <v>1548</v>
      </c>
      <c r="L540" s="31" t="str">
        <f>VLOOKUP(B540, [1]Course!$A$1:$O$933, 14, FALSE)</f>
        <v>EN</v>
      </c>
      <c r="M540" s="31">
        <v>1</v>
      </c>
    </row>
    <row r="541" spans="1:13" ht="15.75" hidden="1" customHeight="1" x14ac:dyDescent="0.2">
      <c r="A541" s="31">
        <v>540</v>
      </c>
      <c r="B541" s="31">
        <v>46</v>
      </c>
      <c r="C541" s="31">
        <v>73</v>
      </c>
      <c r="D541" s="31" t="s">
        <v>108</v>
      </c>
      <c r="E541" s="31" t="str">
        <f t="shared" si="8"/>
        <v>1273BA03PT</v>
      </c>
      <c r="F541" s="31">
        <f>VLOOKUP(B541,[1]Course!$A$2:$R$329,2,FALSE)</f>
        <v>0</v>
      </c>
      <c r="G541" s="31">
        <f>VLOOKUP(B541, [1]Course!$A$2:$L$950, 8, FALSE)</f>
        <v>12</v>
      </c>
      <c r="H541" s="31">
        <v>3</v>
      </c>
      <c r="I541" s="31">
        <v>1</v>
      </c>
      <c r="K541" s="31" t="s">
        <v>1548</v>
      </c>
      <c r="L541" s="31" t="str">
        <f>VLOOKUP(B541, [1]Course!$A$1:$O$933, 14, FALSE)</f>
        <v>BA</v>
      </c>
      <c r="M541" s="31">
        <v>1</v>
      </c>
    </row>
    <row r="542" spans="1:13" ht="15.75" hidden="1" customHeight="1" x14ac:dyDescent="0.2">
      <c r="A542" s="31">
        <v>541</v>
      </c>
      <c r="B542" s="31">
        <v>46</v>
      </c>
      <c r="C542" s="31">
        <v>74</v>
      </c>
      <c r="D542" s="31" t="s">
        <v>108</v>
      </c>
      <c r="E542" s="31" t="str">
        <f t="shared" si="8"/>
        <v>1274BA03PT</v>
      </c>
      <c r="F542" s="31">
        <f>VLOOKUP(B542,[1]Course!$A$2:$R$329,2,FALSE)</f>
        <v>0</v>
      </c>
      <c r="G542" s="31">
        <f>VLOOKUP(B542, [1]Course!$A$2:$L$950, 8, FALSE)</f>
        <v>12</v>
      </c>
      <c r="H542" s="31">
        <v>3</v>
      </c>
      <c r="I542" s="31">
        <v>1</v>
      </c>
      <c r="K542" s="31" t="s">
        <v>1548</v>
      </c>
      <c r="L542" s="31" t="str">
        <f>VLOOKUP(B542, [1]Course!$A$1:$O$933, 14, FALSE)</f>
        <v>BA</v>
      </c>
      <c r="M542" s="31">
        <v>1</v>
      </c>
    </row>
    <row r="543" spans="1:13" ht="15.75" hidden="1" customHeight="1" x14ac:dyDescent="0.2">
      <c r="A543" s="31">
        <v>542</v>
      </c>
      <c r="B543" s="31">
        <v>46</v>
      </c>
      <c r="C543" s="31">
        <v>75</v>
      </c>
      <c r="D543" s="31" t="s">
        <v>108</v>
      </c>
      <c r="E543" s="31" t="str">
        <f t="shared" si="8"/>
        <v>1275BA03PT</v>
      </c>
      <c r="F543" s="31">
        <f>VLOOKUP(B543,[1]Course!$A$2:$R$329,2,FALSE)</f>
        <v>0</v>
      </c>
      <c r="G543" s="31">
        <f>VLOOKUP(B543, [1]Course!$A$2:$L$950, 8, FALSE)</f>
        <v>12</v>
      </c>
      <c r="H543" s="31">
        <v>3</v>
      </c>
      <c r="I543" s="31">
        <v>1</v>
      </c>
      <c r="K543" s="31" t="s">
        <v>1548</v>
      </c>
      <c r="L543" s="31" t="str">
        <f>VLOOKUP(B543, [1]Course!$A$1:$O$933, 14, FALSE)</f>
        <v>BA</v>
      </c>
      <c r="M543" s="31">
        <v>1</v>
      </c>
    </row>
    <row r="544" spans="1:13" ht="15.75" hidden="1" customHeight="1" x14ac:dyDescent="0.2">
      <c r="A544" s="31">
        <v>543</v>
      </c>
      <c r="B544" s="31">
        <v>46</v>
      </c>
      <c r="C544" s="31">
        <v>76</v>
      </c>
      <c r="D544" s="31" t="s">
        <v>108</v>
      </c>
      <c r="E544" s="31" t="str">
        <f t="shared" si="8"/>
        <v>1276BA03PT</v>
      </c>
      <c r="F544" s="31">
        <f>VLOOKUP(B544,[1]Course!$A$2:$R$329,2,FALSE)</f>
        <v>0</v>
      </c>
      <c r="G544" s="31">
        <f>VLOOKUP(B544, [1]Course!$A$2:$L$950, 8, FALSE)</f>
        <v>12</v>
      </c>
      <c r="H544" s="31">
        <v>3</v>
      </c>
      <c r="I544" s="31">
        <v>1</v>
      </c>
      <c r="K544" s="31" t="s">
        <v>1548</v>
      </c>
      <c r="L544" s="31" t="str">
        <f>VLOOKUP(B544, [1]Course!$A$1:$O$933, 14, FALSE)</f>
        <v>BA</v>
      </c>
      <c r="M544" s="31">
        <v>1</v>
      </c>
    </row>
    <row r="545" spans="1:13" ht="15.75" hidden="1" customHeight="1" x14ac:dyDescent="0.2">
      <c r="A545" s="31">
        <v>544</v>
      </c>
      <c r="B545" s="31">
        <v>46</v>
      </c>
      <c r="C545" s="31">
        <v>77</v>
      </c>
      <c r="D545" s="31" t="s">
        <v>108</v>
      </c>
      <c r="E545" s="31" t="str">
        <f t="shared" si="8"/>
        <v>1277BA03PT</v>
      </c>
      <c r="F545" s="31">
        <f>VLOOKUP(B545,[1]Course!$A$2:$R$329,2,FALSE)</f>
        <v>0</v>
      </c>
      <c r="G545" s="31">
        <f>VLOOKUP(B545, [1]Course!$A$2:$L$950, 8, FALSE)</f>
        <v>12</v>
      </c>
      <c r="H545" s="31">
        <v>3</v>
      </c>
      <c r="I545" s="31">
        <v>1</v>
      </c>
      <c r="K545" s="31" t="s">
        <v>1548</v>
      </c>
      <c r="L545" s="31" t="str">
        <f>VLOOKUP(B545, [1]Course!$A$1:$O$933, 14, FALSE)</f>
        <v>BA</v>
      </c>
      <c r="M545" s="31">
        <v>1</v>
      </c>
    </row>
    <row r="546" spans="1:13" ht="15.75" hidden="1" customHeight="1" x14ac:dyDescent="0.2">
      <c r="A546" s="31">
        <v>545</v>
      </c>
      <c r="B546" s="31">
        <v>46</v>
      </c>
      <c r="C546" s="31">
        <v>78</v>
      </c>
      <c r="D546" s="31" t="s">
        <v>108</v>
      </c>
      <c r="E546" s="31" t="str">
        <f t="shared" si="8"/>
        <v>1278BA03PT</v>
      </c>
      <c r="F546" s="31">
        <f>VLOOKUP(B546,[1]Course!$A$2:$R$329,2,FALSE)</f>
        <v>0</v>
      </c>
      <c r="G546" s="31">
        <f>VLOOKUP(B546, [1]Course!$A$2:$L$950, 8, FALSE)</f>
        <v>12</v>
      </c>
      <c r="H546" s="31">
        <v>3</v>
      </c>
      <c r="I546" s="31">
        <v>1</v>
      </c>
      <c r="K546" s="31" t="s">
        <v>1548</v>
      </c>
      <c r="L546" s="31" t="str">
        <f>VLOOKUP(B546, [1]Course!$A$1:$O$933, 14, FALSE)</f>
        <v>BA</v>
      </c>
      <c r="M546" s="31">
        <v>1</v>
      </c>
    </row>
    <row r="547" spans="1:13" ht="15.75" hidden="1" customHeight="1" x14ac:dyDescent="0.2">
      <c r="A547" s="31">
        <v>546</v>
      </c>
      <c r="B547" s="31">
        <v>46</v>
      </c>
      <c r="C547" s="31">
        <v>79</v>
      </c>
      <c r="D547" s="31" t="s">
        <v>108</v>
      </c>
      <c r="E547" s="31" t="str">
        <f t="shared" si="8"/>
        <v>1279BA03PT</v>
      </c>
      <c r="F547" s="31">
        <f>VLOOKUP(B547,[1]Course!$A$2:$R$329,2,FALSE)</f>
        <v>0</v>
      </c>
      <c r="G547" s="31">
        <f>VLOOKUP(B547, [1]Course!$A$2:$L$950, 8, FALSE)</f>
        <v>12</v>
      </c>
      <c r="H547" s="31">
        <v>3</v>
      </c>
      <c r="I547" s="31">
        <v>1</v>
      </c>
      <c r="K547" s="31" t="s">
        <v>1548</v>
      </c>
      <c r="L547" s="31" t="str">
        <f>VLOOKUP(B547, [1]Course!$A$1:$O$933, 14, FALSE)</f>
        <v>BA</v>
      </c>
      <c r="M547" s="31">
        <v>1</v>
      </c>
    </row>
    <row r="548" spans="1:13" ht="15.75" hidden="1" customHeight="1" x14ac:dyDescent="0.2">
      <c r="A548" s="31">
        <v>547</v>
      </c>
      <c r="B548" s="31">
        <v>46</v>
      </c>
      <c r="C548" s="31">
        <v>80</v>
      </c>
      <c r="D548" s="31" t="s">
        <v>108</v>
      </c>
      <c r="E548" s="31" t="str">
        <f t="shared" si="8"/>
        <v>1280BA03PT</v>
      </c>
      <c r="F548" s="31">
        <f>VLOOKUP(B548,[1]Course!$A$2:$R$329,2,FALSE)</f>
        <v>0</v>
      </c>
      <c r="G548" s="31">
        <f>VLOOKUP(B548, [1]Course!$A$2:$L$950, 8, FALSE)</f>
        <v>12</v>
      </c>
      <c r="H548" s="31">
        <v>3</v>
      </c>
      <c r="I548" s="31">
        <v>1</v>
      </c>
      <c r="K548" s="31" t="s">
        <v>1548</v>
      </c>
      <c r="L548" s="31" t="str">
        <f>VLOOKUP(B548, [1]Course!$A$1:$O$933, 14, FALSE)</f>
        <v>BA</v>
      </c>
      <c r="M548" s="31">
        <v>1</v>
      </c>
    </row>
    <row r="549" spans="1:13" ht="15.75" hidden="1" customHeight="1" x14ac:dyDescent="0.2">
      <c r="A549" s="31">
        <v>548</v>
      </c>
      <c r="B549" s="31">
        <v>46</v>
      </c>
      <c r="C549" s="31">
        <v>81</v>
      </c>
      <c r="D549" s="31" t="s">
        <v>108</v>
      </c>
      <c r="E549" s="31" t="str">
        <f t="shared" si="8"/>
        <v>1281BA03PT</v>
      </c>
      <c r="F549" s="31">
        <f>VLOOKUP(B549,[1]Course!$A$2:$R$329,2,FALSE)</f>
        <v>0</v>
      </c>
      <c r="G549" s="31">
        <f>VLOOKUP(B549, [1]Course!$A$2:$L$950, 8, FALSE)</f>
        <v>12</v>
      </c>
      <c r="H549" s="31">
        <v>3</v>
      </c>
      <c r="I549" s="31">
        <v>1</v>
      </c>
      <c r="K549" s="31" t="s">
        <v>1548</v>
      </c>
      <c r="L549" s="31" t="str">
        <f>VLOOKUP(B549, [1]Course!$A$1:$O$933, 14, FALSE)</f>
        <v>BA</v>
      </c>
      <c r="M549" s="31">
        <v>1</v>
      </c>
    </row>
    <row r="550" spans="1:13" ht="15.75" hidden="1" customHeight="1" x14ac:dyDescent="0.2">
      <c r="A550" s="31">
        <v>549</v>
      </c>
      <c r="B550" s="31">
        <v>46</v>
      </c>
      <c r="C550" s="31">
        <v>82</v>
      </c>
      <c r="D550" s="31" t="s">
        <v>108</v>
      </c>
      <c r="E550" s="31" t="str">
        <f t="shared" si="8"/>
        <v>1282BA03PT</v>
      </c>
      <c r="F550" s="31">
        <f>VLOOKUP(B550,[1]Course!$A$2:$R$329,2,FALSE)</f>
        <v>0</v>
      </c>
      <c r="G550" s="31">
        <f>VLOOKUP(B550, [1]Course!$A$2:$L$950, 8, FALSE)</f>
        <v>12</v>
      </c>
      <c r="H550" s="31">
        <v>3</v>
      </c>
      <c r="I550" s="31">
        <v>1</v>
      </c>
      <c r="K550" s="31" t="s">
        <v>1548</v>
      </c>
      <c r="L550" s="31" t="str">
        <f>VLOOKUP(B550, [1]Course!$A$1:$O$933, 14, FALSE)</f>
        <v>BA</v>
      </c>
      <c r="M550" s="31">
        <v>1</v>
      </c>
    </row>
    <row r="551" spans="1:13" ht="15.75" hidden="1" customHeight="1" x14ac:dyDescent="0.2">
      <c r="A551" s="31">
        <v>550</v>
      </c>
      <c r="B551" s="31">
        <v>46</v>
      </c>
      <c r="C551" s="31">
        <v>83</v>
      </c>
      <c r="D551" s="31" t="s">
        <v>108</v>
      </c>
      <c r="E551" s="31" t="str">
        <f t="shared" si="8"/>
        <v>1283BA03PT</v>
      </c>
      <c r="F551" s="31">
        <f>VLOOKUP(B551,[1]Course!$A$2:$R$329,2,FALSE)</f>
        <v>0</v>
      </c>
      <c r="G551" s="31">
        <f>VLOOKUP(B551, [1]Course!$A$2:$L$950, 8, FALSE)</f>
        <v>12</v>
      </c>
      <c r="H551" s="31">
        <v>3</v>
      </c>
      <c r="I551" s="31">
        <v>1</v>
      </c>
      <c r="K551" s="31" t="s">
        <v>1548</v>
      </c>
      <c r="L551" s="31" t="str">
        <f>VLOOKUP(B551, [1]Course!$A$1:$O$933, 14, FALSE)</f>
        <v>BA</v>
      </c>
      <c r="M551" s="31">
        <v>1</v>
      </c>
    </row>
    <row r="552" spans="1:13" ht="15.75" hidden="1" customHeight="1" x14ac:dyDescent="0.2">
      <c r="A552" s="31">
        <v>551</v>
      </c>
      <c r="B552" s="31">
        <v>46</v>
      </c>
      <c r="C552" s="31">
        <v>84</v>
      </c>
      <c r="D552" s="31" t="s">
        <v>108</v>
      </c>
      <c r="E552" s="31" t="str">
        <f t="shared" si="8"/>
        <v>1284BA03PT</v>
      </c>
      <c r="F552" s="31">
        <f>VLOOKUP(B552,[1]Course!$A$2:$R$329,2,FALSE)</f>
        <v>0</v>
      </c>
      <c r="G552" s="31">
        <f>VLOOKUP(B552, [1]Course!$A$2:$L$950, 8, FALSE)</f>
        <v>12</v>
      </c>
      <c r="H552" s="31">
        <v>3</v>
      </c>
      <c r="I552" s="31">
        <v>1</v>
      </c>
      <c r="K552" s="31" t="s">
        <v>1548</v>
      </c>
      <c r="L552" s="31" t="str">
        <f>VLOOKUP(B552, [1]Course!$A$1:$O$933, 14, FALSE)</f>
        <v>BA</v>
      </c>
      <c r="M552" s="31">
        <v>1</v>
      </c>
    </row>
    <row r="553" spans="1:13" ht="15.75" hidden="1" customHeight="1" x14ac:dyDescent="0.2">
      <c r="A553" s="31">
        <v>552</v>
      </c>
      <c r="B553" s="31">
        <v>47</v>
      </c>
      <c r="C553" s="31">
        <v>73</v>
      </c>
      <c r="D553" s="31" t="s">
        <v>284</v>
      </c>
      <c r="E553" s="31" t="str">
        <f t="shared" si="8"/>
        <v>1273WB03PT</v>
      </c>
      <c r="F553" s="31">
        <f>VLOOKUP(B553,[1]Course!$A$2:$R$329,2,FALSE)</f>
        <v>0</v>
      </c>
      <c r="G553" s="31">
        <f>VLOOKUP(B553, [1]Course!$A$2:$L$950, 8, FALSE)</f>
        <v>12</v>
      </c>
      <c r="H553" s="31">
        <v>3</v>
      </c>
      <c r="I553" s="31">
        <v>1</v>
      </c>
      <c r="K553" s="31" t="s">
        <v>1548</v>
      </c>
      <c r="L553" s="31" t="str">
        <f>VLOOKUP(B553, [1]Course!$A$1:$O$933, 14, FALSE)</f>
        <v>WB</v>
      </c>
      <c r="M553" s="31">
        <v>1</v>
      </c>
    </row>
    <row r="554" spans="1:13" ht="15.75" hidden="1" customHeight="1" x14ac:dyDescent="0.2">
      <c r="A554" s="31">
        <v>553</v>
      </c>
      <c r="B554" s="31">
        <v>47</v>
      </c>
      <c r="C554" s="31">
        <v>74</v>
      </c>
      <c r="D554" s="31" t="s">
        <v>284</v>
      </c>
      <c r="E554" s="31" t="str">
        <f t="shared" si="8"/>
        <v>1274WB03PT</v>
      </c>
      <c r="F554" s="31">
        <f>VLOOKUP(B554,[1]Course!$A$2:$R$329,2,FALSE)</f>
        <v>0</v>
      </c>
      <c r="G554" s="31">
        <f>VLOOKUP(B554, [1]Course!$A$2:$L$950, 8, FALSE)</f>
        <v>12</v>
      </c>
      <c r="H554" s="31">
        <v>3</v>
      </c>
      <c r="I554" s="31">
        <v>1</v>
      </c>
      <c r="K554" s="31" t="s">
        <v>1548</v>
      </c>
      <c r="L554" s="31" t="str">
        <f>VLOOKUP(B554, [1]Course!$A$1:$O$933, 14, FALSE)</f>
        <v>WB</v>
      </c>
      <c r="M554" s="31">
        <v>1</v>
      </c>
    </row>
    <row r="555" spans="1:13" ht="15.75" hidden="1" customHeight="1" x14ac:dyDescent="0.2">
      <c r="A555" s="31">
        <v>554</v>
      </c>
      <c r="B555" s="31">
        <v>47</v>
      </c>
      <c r="C555" s="31">
        <v>75</v>
      </c>
      <c r="D555" s="31" t="s">
        <v>284</v>
      </c>
      <c r="E555" s="31" t="str">
        <f t="shared" si="8"/>
        <v>1275WB03PT</v>
      </c>
      <c r="F555" s="31">
        <f>VLOOKUP(B555,[1]Course!$A$2:$R$329,2,FALSE)</f>
        <v>0</v>
      </c>
      <c r="G555" s="31">
        <f>VLOOKUP(B555, [1]Course!$A$2:$L$950, 8, FALSE)</f>
        <v>12</v>
      </c>
      <c r="H555" s="31">
        <v>3</v>
      </c>
      <c r="I555" s="31">
        <v>1</v>
      </c>
      <c r="K555" s="31" t="s">
        <v>1548</v>
      </c>
      <c r="L555" s="31" t="str">
        <f>VLOOKUP(B555, [1]Course!$A$1:$O$933, 14, FALSE)</f>
        <v>WB</v>
      </c>
      <c r="M555" s="31">
        <v>1</v>
      </c>
    </row>
    <row r="556" spans="1:13" ht="15.75" hidden="1" customHeight="1" x14ac:dyDescent="0.2">
      <c r="A556" s="31">
        <v>555</v>
      </c>
      <c r="B556" s="31">
        <v>47</v>
      </c>
      <c r="C556" s="31">
        <v>76</v>
      </c>
      <c r="D556" s="31" t="s">
        <v>284</v>
      </c>
      <c r="E556" s="31" t="str">
        <f t="shared" si="8"/>
        <v>1276WB03PT</v>
      </c>
      <c r="F556" s="31">
        <f>VLOOKUP(B556,[1]Course!$A$2:$R$329,2,FALSE)</f>
        <v>0</v>
      </c>
      <c r="G556" s="31">
        <f>VLOOKUP(B556, [1]Course!$A$2:$L$950, 8, FALSE)</f>
        <v>12</v>
      </c>
      <c r="H556" s="31">
        <v>3</v>
      </c>
      <c r="I556" s="31">
        <v>1</v>
      </c>
      <c r="K556" s="31" t="s">
        <v>1548</v>
      </c>
      <c r="L556" s="31" t="str">
        <f>VLOOKUP(B556, [1]Course!$A$1:$O$933, 14, FALSE)</f>
        <v>WB</v>
      </c>
      <c r="M556" s="31">
        <v>1</v>
      </c>
    </row>
    <row r="557" spans="1:13" ht="15.75" hidden="1" customHeight="1" x14ac:dyDescent="0.2">
      <c r="A557" s="31">
        <v>556</v>
      </c>
      <c r="B557" s="31">
        <v>47</v>
      </c>
      <c r="C557" s="31">
        <v>77</v>
      </c>
      <c r="D557" s="31" t="s">
        <v>284</v>
      </c>
      <c r="E557" s="31" t="str">
        <f t="shared" si="8"/>
        <v>1277WB03PT</v>
      </c>
      <c r="F557" s="31">
        <f>VLOOKUP(B557,[1]Course!$A$2:$R$329,2,FALSE)</f>
        <v>0</v>
      </c>
      <c r="G557" s="31">
        <f>VLOOKUP(B557, [1]Course!$A$2:$L$950, 8, FALSE)</f>
        <v>12</v>
      </c>
      <c r="H557" s="31">
        <v>3</v>
      </c>
      <c r="I557" s="31">
        <v>1</v>
      </c>
      <c r="K557" s="31" t="s">
        <v>1548</v>
      </c>
      <c r="L557" s="31" t="str">
        <f>VLOOKUP(B557, [1]Course!$A$1:$O$933, 14, FALSE)</f>
        <v>WB</v>
      </c>
      <c r="M557" s="31">
        <v>1</v>
      </c>
    </row>
    <row r="558" spans="1:13" ht="15.75" hidden="1" customHeight="1" x14ac:dyDescent="0.2">
      <c r="A558" s="31">
        <v>557</v>
      </c>
      <c r="B558" s="31">
        <v>47</v>
      </c>
      <c r="C558" s="31">
        <v>78</v>
      </c>
      <c r="D558" s="31" t="s">
        <v>284</v>
      </c>
      <c r="E558" s="31" t="str">
        <f t="shared" si="8"/>
        <v>1278WB03PT</v>
      </c>
      <c r="F558" s="31">
        <f>VLOOKUP(B558,[1]Course!$A$2:$R$329,2,FALSE)</f>
        <v>0</v>
      </c>
      <c r="G558" s="31">
        <f>VLOOKUP(B558, [1]Course!$A$2:$L$950, 8, FALSE)</f>
        <v>12</v>
      </c>
      <c r="H558" s="31">
        <v>3</v>
      </c>
      <c r="I558" s="31">
        <v>1</v>
      </c>
      <c r="K558" s="31" t="s">
        <v>1548</v>
      </c>
      <c r="L558" s="31" t="str">
        <f>VLOOKUP(B558, [1]Course!$A$1:$O$933, 14, FALSE)</f>
        <v>WB</v>
      </c>
      <c r="M558" s="31">
        <v>1</v>
      </c>
    </row>
    <row r="559" spans="1:13" ht="15.75" hidden="1" customHeight="1" x14ac:dyDescent="0.2">
      <c r="A559" s="31">
        <v>558</v>
      </c>
      <c r="B559" s="31">
        <v>47</v>
      </c>
      <c r="C559" s="31">
        <v>79</v>
      </c>
      <c r="D559" s="31" t="s">
        <v>284</v>
      </c>
      <c r="E559" s="31" t="str">
        <f t="shared" si="8"/>
        <v>1279WB03PT</v>
      </c>
      <c r="F559" s="31">
        <f>VLOOKUP(B559,[1]Course!$A$2:$R$329,2,FALSE)</f>
        <v>0</v>
      </c>
      <c r="G559" s="31">
        <f>VLOOKUP(B559, [1]Course!$A$2:$L$950, 8, FALSE)</f>
        <v>12</v>
      </c>
      <c r="H559" s="31">
        <v>3</v>
      </c>
      <c r="I559" s="31">
        <v>1</v>
      </c>
      <c r="K559" s="31" t="s">
        <v>1548</v>
      </c>
      <c r="L559" s="31" t="str">
        <f>VLOOKUP(B559, [1]Course!$A$1:$O$933, 14, FALSE)</f>
        <v>WB</v>
      </c>
      <c r="M559" s="31">
        <v>1</v>
      </c>
    </row>
    <row r="560" spans="1:13" ht="15.75" hidden="1" customHeight="1" x14ac:dyDescent="0.2">
      <c r="A560" s="31">
        <v>559</v>
      </c>
      <c r="B560" s="31">
        <v>47</v>
      </c>
      <c r="C560" s="31">
        <v>80</v>
      </c>
      <c r="D560" s="31" t="s">
        <v>284</v>
      </c>
      <c r="E560" s="31" t="str">
        <f t="shared" si="8"/>
        <v>1280WB03PT</v>
      </c>
      <c r="F560" s="31">
        <f>VLOOKUP(B560,[1]Course!$A$2:$R$329,2,FALSE)</f>
        <v>0</v>
      </c>
      <c r="G560" s="31">
        <f>VLOOKUP(B560, [1]Course!$A$2:$L$950, 8, FALSE)</f>
        <v>12</v>
      </c>
      <c r="H560" s="31">
        <v>3</v>
      </c>
      <c r="I560" s="31">
        <v>1</v>
      </c>
      <c r="K560" s="31" t="s">
        <v>1548</v>
      </c>
      <c r="L560" s="31" t="str">
        <f>VLOOKUP(B560, [1]Course!$A$1:$O$933, 14, FALSE)</f>
        <v>WB</v>
      </c>
      <c r="M560" s="31">
        <v>1</v>
      </c>
    </row>
    <row r="561" spans="1:13" ht="15.75" hidden="1" customHeight="1" x14ac:dyDescent="0.2">
      <c r="A561" s="31">
        <v>560</v>
      </c>
      <c r="B561" s="31">
        <v>47</v>
      </c>
      <c r="C561" s="31">
        <v>81</v>
      </c>
      <c r="D561" s="31" t="s">
        <v>284</v>
      </c>
      <c r="E561" s="31" t="str">
        <f t="shared" si="8"/>
        <v>1281WB03PT</v>
      </c>
      <c r="F561" s="31">
        <f>VLOOKUP(B561,[1]Course!$A$2:$R$329,2,FALSE)</f>
        <v>0</v>
      </c>
      <c r="G561" s="31">
        <f>VLOOKUP(B561, [1]Course!$A$2:$L$950, 8, FALSE)</f>
        <v>12</v>
      </c>
      <c r="H561" s="31">
        <v>3</v>
      </c>
      <c r="I561" s="31">
        <v>1</v>
      </c>
      <c r="K561" s="31" t="s">
        <v>1548</v>
      </c>
      <c r="L561" s="31" t="str">
        <f>VLOOKUP(B561, [1]Course!$A$1:$O$933, 14, FALSE)</f>
        <v>WB</v>
      </c>
      <c r="M561" s="31">
        <v>1</v>
      </c>
    </row>
    <row r="562" spans="1:13" ht="15.75" hidden="1" customHeight="1" x14ac:dyDescent="0.2">
      <c r="A562" s="31">
        <v>561</v>
      </c>
      <c r="B562" s="31">
        <v>47</v>
      </c>
      <c r="C562" s="31">
        <v>82</v>
      </c>
      <c r="D562" s="31" t="s">
        <v>284</v>
      </c>
      <c r="E562" s="31" t="str">
        <f t="shared" si="8"/>
        <v>1282WB03PT</v>
      </c>
      <c r="F562" s="31">
        <f>VLOOKUP(B562,[1]Course!$A$2:$R$329,2,FALSE)</f>
        <v>0</v>
      </c>
      <c r="G562" s="31">
        <f>VLOOKUP(B562, [1]Course!$A$2:$L$950, 8, FALSE)</f>
        <v>12</v>
      </c>
      <c r="H562" s="31">
        <v>3</v>
      </c>
      <c r="I562" s="31">
        <v>1</v>
      </c>
      <c r="K562" s="31" t="s">
        <v>1548</v>
      </c>
      <c r="L562" s="31" t="str">
        <f>VLOOKUP(B562, [1]Course!$A$1:$O$933, 14, FALSE)</f>
        <v>WB</v>
      </c>
      <c r="M562" s="31">
        <v>1</v>
      </c>
    </row>
    <row r="563" spans="1:13" ht="15.75" hidden="1" customHeight="1" x14ac:dyDescent="0.2">
      <c r="A563" s="31">
        <v>562</v>
      </c>
      <c r="B563" s="31">
        <v>47</v>
      </c>
      <c r="C563" s="31">
        <v>83</v>
      </c>
      <c r="D563" s="31" t="s">
        <v>284</v>
      </c>
      <c r="E563" s="31" t="str">
        <f t="shared" si="8"/>
        <v>1283WB03PT</v>
      </c>
      <c r="F563" s="31">
        <f>VLOOKUP(B563,[1]Course!$A$2:$R$329,2,FALSE)</f>
        <v>0</v>
      </c>
      <c r="G563" s="31">
        <f>VLOOKUP(B563, [1]Course!$A$2:$L$950, 8, FALSE)</f>
        <v>12</v>
      </c>
      <c r="H563" s="31">
        <v>3</v>
      </c>
      <c r="I563" s="31">
        <v>1</v>
      </c>
      <c r="K563" s="31" t="s">
        <v>1548</v>
      </c>
      <c r="L563" s="31" t="str">
        <f>VLOOKUP(B563, [1]Course!$A$1:$O$933, 14, FALSE)</f>
        <v>WB</v>
      </c>
      <c r="M563" s="31">
        <v>1</v>
      </c>
    </row>
    <row r="564" spans="1:13" ht="15.75" hidden="1" customHeight="1" x14ac:dyDescent="0.2">
      <c r="A564" s="31">
        <v>563</v>
      </c>
      <c r="B564" s="31">
        <v>47</v>
      </c>
      <c r="C564" s="31">
        <v>84</v>
      </c>
      <c r="D564" s="31" t="s">
        <v>284</v>
      </c>
      <c r="E564" s="31" t="str">
        <f t="shared" si="8"/>
        <v>1284WB03PT</v>
      </c>
      <c r="F564" s="31">
        <f>VLOOKUP(B564,[1]Course!$A$2:$R$329,2,FALSE)</f>
        <v>0</v>
      </c>
      <c r="G564" s="31">
        <f>VLOOKUP(B564, [1]Course!$A$2:$L$950, 8, FALSE)</f>
        <v>12</v>
      </c>
      <c r="H564" s="31">
        <v>3</v>
      </c>
      <c r="I564" s="31">
        <v>1</v>
      </c>
      <c r="K564" s="31" t="s">
        <v>1548</v>
      </c>
      <c r="L564" s="31" t="str">
        <f>VLOOKUP(B564, [1]Course!$A$1:$O$933, 14, FALSE)</f>
        <v>WB</v>
      </c>
      <c r="M564" s="31">
        <v>1</v>
      </c>
    </row>
    <row r="565" spans="1:13" ht="15.75" hidden="1" customHeight="1" x14ac:dyDescent="0.2">
      <c r="A565" s="31">
        <v>564</v>
      </c>
      <c r="B565" s="31">
        <v>48</v>
      </c>
      <c r="C565" s="31">
        <v>74</v>
      </c>
      <c r="D565" s="31" t="s">
        <v>85</v>
      </c>
      <c r="E565" s="31" t="str">
        <f t="shared" si="8"/>
        <v>1274LC03PT</v>
      </c>
      <c r="F565" s="31">
        <f>VLOOKUP(B565,[1]Course!$A$2:$R$329,2,FALSE)</f>
        <v>0</v>
      </c>
      <c r="G565" s="31">
        <f>VLOOKUP(B565, [1]Course!$A$2:$L$950, 8, FALSE)</f>
        <v>12</v>
      </c>
      <c r="H565" s="31">
        <v>3</v>
      </c>
      <c r="I565" s="31">
        <v>1</v>
      </c>
      <c r="K565" s="31" t="s">
        <v>1548</v>
      </c>
      <c r="L565" s="31" t="str">
        <f>VLOOKUP(B565, [1]Course!$A$1:$O$933, 14, FALSE)</f>
        <v>LC</v>
      </c>
      <c r="M565" s="31">
        <v>1</v>
      </c>
    </row>
    <row r="566" spans="1:13" ht="15.75" hidden="1" customHeight="1" x14ac:dyDescent="0.2">
      <c r="A566" s="31">
        <v>565</v>
      </c>
      <c r="B566" s="31">
        <v>48</v>
      </c>
      <c r="C566" s="31">
        <v>75</v>
      </c>
      <c r="D566" s="31" t="s">
        <v>85</v>
      </c>
      <c r="E566" s="31" t="str">
        <f t="shared" si="8"/>
        <v>1275LC03PT</v>
      </c>
      <c r="F566" s="31">
        <f>VLOOKUP(B566,[1]Course!$A$2:$R$329,2,FALSE)</f>
        <v>0</v>
      </c>
      <c r="G566" s="31">
        <f>VLOOKUP(B566, [1]Course!$A$2:$L$950, 8, FALSE)</f>
        <v>12</v>
      </c>
      <c r="H566" s="31">
        <v>3</v>
      </c>
      <c r="I566" s="31">
        <v>1</v>
      </c>
      <c r="K566" s="31" t="s">
        <v>1548</v>
      </c>
      <c r="L566" s="31" t="str">
        <f>VLOOKUP(B566, [1]Course!$A$1:$O$933, 14, FALSE)</f>
        <v>LC</v>
      </c>
      <c r="M566" s="31">
        <v>1</v>
      </c>
    </row>
    <row r="567" spans="1:13" ht="15.75" hidden="1" customHeight="1" x14ac:dyDescent="0.2">
      <c r="A567" s="31">
        <v>566</v>
      </c>
      <c r="B567" s="31">
        <v>48</v>
      </c>
      <c r="C567" s="31">
        <v>76</v>
      </c>
      <c r="D567" s="31" t="s">
        <v>85</v>
      </c>
      <c r="E567" s="31" t="str">
        <f t="shared" si="8"/>
        <v>1276LC03PT</v>
      </c>
      <c r="F567" s="31">
        <f>VLOOKUP(B567,[1]Course!$A$2:$R$329,2,FALSE)</f>
        <v>0</v>
      </c>
      <c r="G567" s="31">
        <f>VLOOKUP(B567, [1]Course!$A$2:$L$950, 8, FALSE)</f>
        <v>12</v>
      </c>
      <c r="H567" s="31">
        <v>3</v>
      </c>
      <c r="I567" s="31">
        <v>1</v>
      </c>
      <c r="K567" s="31" t="s">
        <v>1548</v>
      </c>
      <c r="L567" s="31" t="str">
        <f>VLOOKUP(B567, [1]Course!$A$1:$O$933, 14, FALSE)</f>
        <v>LC</v>
      </c>
      <c r="M567" s="31">
        <v>1</v>
      </c>
    </row>
    <row r="568" spans="1:13" ht="15.75" hidden="1" customHeight="1" x14ac:dyDescent="0.2">
      <c r="A568" s="31">
        <v>567</v>
      </c>
      <c r="B568" s="31">
        <v>48</v>
      </c>
      <c r="C568" s="31">
        <v>77</v>
      </c>
      <c r="D568" s="31" t="s">
        <v>85</v>
      </c>
      <c r="E568" s="31" t="str">
        <f t="shared" si="8"/>
        <v>1277LC03PT</v>
      </c>
      <c r="F568" s="31">
        <f>VLOOKUP(B568,[1]Course!$A$2:$R$329,2,FALSE)</f>
        <v>0</v>
      </c>
      <c r="G568" s="31">
        <f>VLOOKUP(B568, [1]Course!$A$2:$L$950, 8, FALSE)</f>
        <v>12</v>
      </c>
      <c r="H568" s="31">
        <v>3</v>
      </c>
      <c r="I568" s="31">
        <v>1</v>
      </c>
      <c r="K568" s="31" t="s">
        <v>1548</v>
      </c>
      <c r="L568" s="31" t="str">
        <f>VLOOKUP(B568, [1]Course!$A$1:$O$933, 14, FALSE)</f>
        <v>LC</v>
      </c>
      <c r="M568" s="31">
        <v>1</v>
      </c>
    </row>
    <row r="569" spans="1:13" ht="15.75" hidden="1" customHeight="1" x14ac:dyDescent="0.2">
      <c r="A569" s="31">
        <v>568</v>
      </c>
      <c r="B569" s="31">
        <v>48</v>
      </c>
      <c r="C569" s="31">
        <v>78</v>
      </c>
      <c r="D569" s="31" t="s">
        <v>85</v>
      </c>
      <c r="E569" s="31" t="str">
        <f t="shared" si="8"/>
        <v>1278LC03PT</v>
      </c>
      <c r="F569" s="31">
        <f>VLOOKUP(B569,[1]Course!$A$2:$R$329,2,FALSE)</f>
        <v>0</v>
      </c>
      <c r="G569" s="31">
        <f>VLOOKUP(B569, [1]Course!$A$2:$L$950, 8, FALSE)</f>
        <v>12</v>
      </c>
      <c r="H569" s="31">
        <v>3</v>
      </c>
      <c r="I569" s="31">
        <v>1</v>
      </c>
      <c r="K569" s="31" t="s">
        <v>1548</v>
      </c>
      <c r="L569" s="31" t="str">
        <f>VLOOKUP(B569, [1]Course!$A$1:$O$933, 14, FALSE)</f>
        <v>LC</v>
      </c>
      <c r="M569" s="31">
        <v>1</v>
      </c>
    </row>
    <row r="570" spans="1:13" ht="15.75" hidden="1" customHeight="1" x14ac:dyDescent="0.2">
      <c r="A570" s="31">
        <v>569</v>
      </c>
      <c r="B570" s="31">
        <v>48</v>
      </c>
      <c r="C570" s="31">
        <v>79</v>
      </c>
      <c r="D570" s="31" t="s">
        <v>85</v>
      </c>
      <c r="E570" s="31" t="str">
        <f t="shared" si="8"/>
        <v>1279LC03PT</v>
      </c>
      <c r="F570" s="31">
        <f>VLOOKUP(B570,[1]Course!$A$2:$R$329,2,FALSE)</f>
        <v>0</v>
      </c>
      <c r="G570" s="31">
        <f>VLOOKUP(B570, [1]Course!$A$2:$L$950, 8, FALSE)</f>
        <v>12</v>
      </c>
      <c r="H570" s="31">
        <v>3</v>
      </c>
      <c r="I570" s="31">
        <v>1</v>
      </c>
      <c r="K570" s="31" t="s">
        <v>1548</v>
      </c>
      <c r="L570" s="31" t="str">
        <f>VLOOKUP(B570, [1]Course!$A$1:$O$933, 14, FALSE)</f>
        <v>LC</v>
      </c>
      <c r="M570" s="31">
        <v>1</v>
      </c>
    </row>
    <row r="571" spans="1:13" ht="15.75" hidden="1" customHeight="1" x14ac:dyDescent="0.2">
      <c r="A571" s="31">
        <v>570</v>
      </c>
      <c r="B571" s="31">
        <v>48</v>
      </c>
      <c r="C571" s="31">
        <v>80</v>
      </c>
      <c r="D571" s="31" t="s">
        <v>85</v>
      </c>
      <c r="E571" s="31" t="str">
        <f t="shared" si="8"/>
        <v>1280LC03PT</v>
      </c>
      <c r="F571" s="31">
        <f>VLOOKUP(B571,[1]Course!$A$2:$R$329,2,FALSE)</f>
        <v>0</v>
      </c>
      <c r="G571" s="31">
        <f>VLOOKUP(B571, [1]Course!$A$2:$L$950, 8, FALSE)</f>
        <v>12</v>
      </c>
      <c r="H571" s="31">
        <v>3</v>
      </c>
      <c r="I571" s="31">
        <v>1</v>
      </c>
      <c r="K571" s="31" t="s">
        <v>1548</v>
      </c>
      <c r="L571" s="31" t="str">
        <f>VLOOKUP(B571, [1]Course!$A$1:$O$933, 14, FALSE)</f>
        <v>LC</v>
      </c>
      <c r="M571" s="31">
        <v>1</v>
      </c>
    </row>
    <row r="572" spans="1:13" ht="15.75" hidden="1" customHeight="1" x14ac:dyDescent="0.2">
      <c r="A572" s="31">
        <v>571</v>
      </c>
      <c r="B572" s="31">
        <v>48</v>
      </c>
      <c r="C572" s="31">
        <v>81</v>
      </c>
      <c r="D572" s="31" t="s">
        <v>85</v>
      </c>
      <c r="E572" s="31" t="str">
        <f t="shared" si="8"/>
        <v>1281LC03PT</v>
      </c>
      <c r="F572" s="31">
        <f>VLOOKUP(B572,[1]Course!$A$2:$R$329,2,FALSE)</f>
        <v>0</v>
      </c>
      <c r="G572" s="31">
        <f>VLOOKUP(B572, [1]Course!$A$2:$L$950, 8, FALSE)</f>
        <v>12</v>
      </c>
      <c r="H572" s="31">
        <v>3</v>
      </c>
      <c r="I572" s="31">
        <v>1</v>
      </c>
      <c r="K572" s="31" t="s">
        <v>1548</v>
      </c>
      <c r="L572" s="31" t="str">
        <f>VLOOKUP(B572, [1]Course!$A$1:$O$933, 14, FALSE)</f>
        <v>LC</v>
      </c>
      <c r="M572" s="31">
        <v>1</v>
      </c>
    </row>
    <row r="573" spans="1:13" ht="15.75" hidden="1" customHeight="1" x14ac:dyDescent="0.2">
      <c r="A573" s="31">
        <v>572</v>
      </c>
      <c r="B573" s="31">
        <v>48</v>
      </c>
      <c r="C573" s="31">
        <v>82</v>
      </c>
      <c r="D573" s="31" t="s">
        <v>85</v>
      </c>
      <c r="E573" s="31" t="str">
        <f t="shared" si="8"/>
        <v>1282LC03PT</v>
      </c>
      <c r="F573" s="31">
        <f>VLOOKUP(B573,[1]Course!$A$2:$R$329,2,FALSE)</f>
        <v>0</v>
      </c>
      <c r="G573" s="31">
        <f>VLOOKUP(B573, [1]Course!$A$2:$L$950, 8, FALSE)</f>
        <v>12</v>
      </c>
      <c r="H573" s="31">
        <v>3</v>
      </c>
      <c r="I573" s="31">
        <v>1</v>
      </c>
      <c r="K573" s="31" t="s">
        <v>1548</v>
      </c>
      <c r="L573" s="31" t="str">
        <f>VLOOKUP(B573, [1]Course!$A$1:$O$933, 14, FALSE)</f>
        <v>LC</v>
      </c>
      <c r="M573" s="31">
        <v>1</v>
      </c>
    </row>
    <row r="574" spans="1:13" ht="15.75" hidden="1" customHeight="1" x14ac:dyDescent="0.2">
      <c r="A574" s="31">
        <v>573</v>
      </c>
      <c r="B574" s="31">
        <v>48</v>
      </c>
      <c r="C574" s="31">
        <v>83</v>
      </c>
      <c r="D574" s="31" t="s">
        <v>85</v>
      </c>
      <c r="E574" s="31" t="str">
        <f t="shared" si="8"/>
        <v>1283LC03PT</v>
      </c>
      <c r="F574" s="31">
        <f>VLOOKUP(B574,[1]Course!$A$2:$R$329,2,FALSE)</f>
        <v>0</v>
      </c>
      <c r="G574" s="31">
        <f>VLOOKUP(B574, [1]Course!$A$2:$L$950, 8, FALSE)</f>
        <v>12</v>
      </c>
      <c r="H574" s="31">
        <v>3</v>
      </c>
      <c r="I574" s="31">
        <v>1</v>
      </c>
      <c r="K574" s="31" t="s">
        <v>1548</v>
      </c>
      <c r="L574" s="31" t="str">
        <f>VLOOKUP(B574, [1]Course!$A$1:$O$933, 14, FALSE)</f>
        <v>LC</v>
      </c>
      <c r="M574" s="31">
        <v>1</v>
      </c>
    </row>
    <row r="575" spans="1:13" ht="15.75" hidden="1" customHeight="1" x14ac:dyDescent="0.2">
      <c r="A575" s="31">
        <v>574</v>
      </c>
      <c r="B575" s="31">
        <v>48</v>
      </c>
      <c r="C575" s="31">
        <v>84</v>
      </c>
      <c r="D575" s="31" t="s">
        <v>85</v>
      </c>
      <c r="E575" s="31" t="str">
        <f t="shared" si="8"/>
        <v>1284LC03PT</v>
      </c>
      <c r="F575" s="31">
        <f>VLOOKUP(B575,[1]Course!$A$2:$R$329,2,FALSE)</f>
        <v>0</v>
      </c>
      <c r="G575" s="31">
        <f>VLOOKUP(B575, [1]Course!$A$2:$L$950, 8, FALSE)</f>
        <v>12</v>
      </c>
      <c r="H575" s="31">
        <v>3</v>
      </c>
      <c r="I575" s="31">
        <v>1</v>
      </c>
      <c r="K575" s="31" t="s">
        <v>1548</v>
      </c>
      <c r="L575" s="31" t="str">
        <f>VLOOKUP(B575, [1]Course!$A$1:$O$933, 14, FALSE)</f>
        <v>LC</v>
      </c>
      <c r="M575" s="31">
        <v>1</v>
      </c>
    </row>
    <row r="576" spans="1:13" ht="15.75" hidden="1" customHeight="1" x14ac:dyDescent="0.2">
      <c r="A576" s="31">
        <v>575</v>
      </c>
      <c r="B576" s="31">
        <v>49</v>
      </c>
      <c r="C576" s="31">
        <v>73</v>
      </c>
      <c r="D576" s="31" t="s">
        <v>50</v>
      </c>
      <c r="E576" s="31" t="str">
        <f t="shared" si="8"/>
        <v>1273SC03PT</v>
      </c>
      <c r="F576" s="31" t="str">
        <f>VLOOKUP(B576,[1]Course!$A$2:$R$329,2,FALSE)</f>
        <v>Science 7</v>
      </c>
      <c r="G576" s="31">
        <f>VLOOKUP(B576, [1]Course!$A$2:$L$950, 8, FALSE)</f>
        <v>12</v>
      </c>
      <c r="H576" s="31">
        <v>3</v>
      </c>
      <c r="I576" s="31">
        <v>1</v>
      </c>
      <c r="K576" s="31" t="s">
        <v>1548</v>
      </c>
      <c r="L576" s="31" t="str">
        <f>VLOOKUP(B576, [1]Course!$A$1:$O$933, 14, FALSE)</f>
        <v>SC</v>
      </c>
      <c r="M576" s="31">
        <v>1</v>
      </c>
    </row>
    <row r="577" spans="1:13" ht="15.75" hidden="1" customHeight="1" x14ac:dyDescent="0.2">
      <c r="A577" s="31">
        <v>576</v>
      </c>
      <c r="B577" s="31">
        <v>49</v>
      </c>
      <c r="C577" s="31">
        <v>74</v>
      </c>
      <c r="D577" s="31" t="s">
        <v>50</v>
      </c>
      <c r="E577" s="31" t="str">
        <f t="shared" si="8"/>
        <v>1274SC03PT</v>
      </c>
      <c r="F577" s="31" t="str">
        <f>VLOOKUP(B577,[1]Course!$A$2:$R$329,2,FALSE)</f>
        <v>Science 7</v>
      </c>
      <c r="G577" s="31">
        <f>VLOOKUP(B577, [1]Course!$A$2:$L$950, 8, FALSE)</f>
        <v>12</v>
      </c>
      <c r="H577" s="31">
        <v>3</v>
      </c>
      <c r="I577" s="31">
        <v>1</v>
      </c>
      <c r="K577" s="31" t="s">
        <v>1548</v>
      </c>
      <c r="L577" s="31" t="str">
        <f>VLOOKUP(B577, [1]Course!$A$1:$O$933, 14, FALSE)</f>
        <v>SC</v>
      </c>
      <c r="M577" s="31">
        <v>1</v>
      </c>
    </row>
    <row r="578" spans="1:13" ht="15.75" hidden="1" customHeight="1" x14ac:dyDescent="0.2">
      <c r="A578" s="31">
        <v>577</v>
      </c>
      <c r="B578" s="31">
        <v>49</v>
      </c>
      <c r="C578" s="31">
        <v>75</v>
      </c>
      <c r="D578" s="31" t="s">
        <v>50</v>
      </c>
      <c r="E578" s="31" t="str">
        <f t="shared" si="8"/>
        <v>1275SC03PT</v>
      </c>
      <c r="F578" s="31" t="str">
        <f>VLOOKUP(B578,[1]Course!$A$2:$R$329,2,FALSE)</f>
        <v>Science 7</v>
      </c>
      <c r="G578" s="31">
        <f>VLOOKUP(B578, [1]Course!$A$2:$L$950, 8, FALSE)</f>
        <v>12</v>
      </c>
      <c r="H578" s="31">
        <v>3</v>
      </c>
      <c r="I578" s="31">
        <v>1</v>
      </c>
      <c r="K578" s="31" t="s">
        <v>1548</v>
      </c>
      <c r="L578" s="31" t="str">
        <f>VLOOKUP(B578, [1]Course!$A$1:$O$933, 14, FALSE)</f>
        <v>SC</v>
      </c>
      <c r="M578" s="31">
        <v>1</v>
      </c>
    </row>
    <row r="579" spans="1:13" ht="15.75" hidden="1" customHeight="1" x14ac:dyDescent="0.2">
      <c r="A579" s="31">
        <v>578</v>
      </c>
      <c r="B579" s="31">
        <v>49</v>
      </c>
      <c r="C579" s="31">
        <v>76</v>
      </c>
      <c r="D579" s="31" t="s">
        <v>50</v>
      </c>
      <c r="E579" s="31" t="str">
        <f t="shared" ref="E579:E642" si="9">UPPER(LEFT(G579,2)) &amp; RIGHT("0" &amp; C579, 2) &amp; D579 &amp; RIGHT("0" &amp; H579, 2) &amp; K579</f>
        <v>1276SC03PT</v>
      </c>
      <c r="F579" s="31" t="str">
        <f>VLOOKUP(B579,[1]Course!$A$2:$R$329,2,FALSE)</f>
        <v>Science 7</v>
      </c>
      <c r="G579" s="31">
        <f>VLOOKUP(B579, [1]Course!$A$2:$L$950, 8, FALSE)</f>
        <v>12</v>
      </c>
      <c r="H579" s="31">
        <v>3</v>
      </c>
      <c r="I579" s="31">
        <v>1</v>
      </c>
      <c r="K579" s="31" t="s">
        <v>1548</v>
      </c>
      <c r="L579" s="31" t="str">
        <f>VLOOKUP(B579, [1]Course!$A$1:$O$933, 14, FALSE)</f>
        <v>SC</v>
      </c>
      <c r="M579" s="31">
        <v>1</v>
      </c>
    </row>
    <row r="580" spans="1:13" ht="15.75" hidden="1" customHeight="1" x14ac:dyDescent="0.2">
      <c r="A580" s="31">
        <v>579</v>
      </c>
      <c r="B580" s="31">
        <v>49</v>
      </c>
      <c r="C580" s="31">
        <v>77</v>
      </c>
      <c r="D580" s="31" t="s">
        <v>50</v>
      </c>
      <c r="E580" s="31" t="str">
        <f t="shared" si="9"/>
        <v>1277SC03PT</v>
      </c>
      <c r="F580" s="31" t="str">
        <f>VLOOKUP(B580,[1]Course!$A$2:$R$329,2,FALSE)</f>
        <v>Science 7</v>
      </c>
      <c r="G580" s="31">
        <f>VLOOKUP(B580, [1]Course!$A$2:$L$950, 8, FALSE)</f>
        <v>12</v>
      </c>
      <c r="H580" s="31">
        <v>3</v>
      </c>
      <c r="I580" s="31">
        <v>1</v>
      </c>
      <c r="K580" s="31" t="s">
        <v>1548</v>
      </c>
      <c r="L580" s="31" t="str">
        <f>VLOOKUP(B580, [1]Course!$A$1:$O$933, 14, FALSE)</f>
        <v>SC</v>
      </c>
      <c r="M580" s="31">
        <v>1</v>
      </c>
    </row>
    <row r="581" spans="1:13" ht="15.75" hidden="1" customHeight="1" x14ac:dyDescent="0.2">
      <c r="A581" s="31">
        <v>580</v>
      </c>
      <c r="B581" s="31">
        <v>49</v>
      </c>
      <c r="C581" s="31">
        <v>78</v>
      </c>
      <c r="D581" s="31" t="s">
        <v>50</v>
      </c>
      <c r="E581" s="31" t="str">
        <f t="shared" si="9"/>
        <v>1278SC03PT</v>
      </c>
      <c r="F581" s="31" t="str">
        <f>VLOOKUP(B581,[1]Course!$A$2:$R$329,2,FALSE)</f>
        <v>Science 7</v>
      </c>
      <c r="G581" s="31">
        <f>VLOOKUP(B581, [1]Course!$A$2:$L$950, 8, FALSE)</f>
        <v>12</v>
      </c>
      <c r="H581" s="31">
        <v>3</v>
      </c>
      <c r="I581" s="31">
        <v>1</v>
      </c>
      <c r="K581" s="31" t="s">
        <v>1548</v>
      </c>
      <c r="L581" s="31" t="str">
        <f>VLOOKUP(B581, [1]Course!$A$1:$O$933, 14, FALSE)</f>
        <v>SC</v>
      </c>
      <c r="M581" s="31">
        <v>1</v>
      </c>
    </row>
    <row r="582" spans="1:13" ht="15.75" hidden="1" customHeight="1" x14ac:dyDescent="0.2">
      <c r="A582" s="31">
        <v>581</v>
      </c>
      <c r="B582" s="31">
        <v>49</v>
      </c>
      <c r="C582" s="31">
        <v>79</v>
      </c>
      <c r="D582" s="31" t="s">
        <v>50</v>
      </c>
      <c r="E582" s="31" t="str">
        <f t="shared" si="9"/>
        <v>1279SC03PT</v>
      </c>
      <c r="F582" s="31" t="str">
        <f>VLOOKUP(B582,[1]Course!$A$2:$R$329,2,FALSE)</f>
        <v>Science 7</v>
      </c>
      <c r="G582" s="31">
        <f>VLOOKUP(B582, [1]Course!$A$2:$L$950, 8, FALSE)</f>
        <v>12</v>
      </c>
      <c r="H582" s="31">
        <v>3</v>
      </c>
      <c r="I582" s="31">
        <v>1</v>
      </c>
      <c r="K582" s="31" t="s">
        <v>1548</v>
      </c>
      <c r="L582" s="31" t="str">
        <f>VLOOKUP(B582, [1]Course!$A$1:$O$933, 14, FALSE)</f>
        <v>SC</v>
      </c>
      <c r="M582" s="31">
        <v>1</v>
      </c>
    </row>
    <row r="583" spans="1:13" ht="15.75" hidden="1" customHeight="1" x14ac:dyDescent="0.2">
      <c r="A583" s="31">
        <v>582</v>
      </c>
      <c r="B583" s="31">
        <v>49</v>
      </c>
      <c r="C583" s="31">
        <v>80</v>
      </c>
      <c r="D583" s="31" t="s">
        <v>50</v>
      </c>
      <c r="E583" s="31" t="str">
        <f t="shared" si="9"/>
        <v>1280SC03PT</v>
      </c>
      <c r="F583" s="31" t="str">
        <f>VLOOKUP(B583,[1]Course!$A$2:$R$329,2,FALSE)</f>
        <v>Science 7</v>
      </c>
      <c r="G583" s="31">
        <f>VLOOKUP(B583, [1]Course!$A$2:$L$950, 8, FALSE)</f>
        <v>12</v>
      </c>
      <c r="H583" s="31">
        <v>3</v>
      </c>
      <c r="I583" s="31">
        <v>1</v>
      </c>
      <c r="K583" s="31" t="s">
        <v>1548</v>
      </c>
      <c r="L583" s="31" t="str">
        <f>VLOOKUP(B583, [1]Course!$A$1:$O$933, 14, FALSE)</f>
        <v>SC</v>
      </c>
      <c r="M583" s="31">
        <v>1</v>
      </c>
    </row>
    <row r="584" spans="1:13" ht="15.75" hidden="1" customHeight="1" x14ac:dyDescent="0.2">
      <c r="A584" s="31">
        <v>583</v>
      </c>
      <c r="B584" s="31">
        <v>49</v>
      </c>
      <c r="C584" s="31">
        <v>81</v>
      </c>
      <c r="D584" s="31" t="s">
        <v>50</v>
      </c>
      <c r="E584" s="31" t="str">
        <f t="shared" si="9"/>
        <v>1281SC03PT</v>
      </c>
      <c r="F584" s="31" t="str">
        <f>VLOOKUP(B584,[1]Course!$A$2:$R$329,2,FALSE)</f>
        <v>Science 7</v>
      </c>
      <c r="G584" s="31">
        <f>VLOOKUP(B584, [1]Course!$A$2:$L$950, 8, FALSE)</f>
        <v>12</v>
      </c>
      <c r="H584" s="31">
        <v>3</v>
      </c>
      <c r="I584" s="31">
        <v>1</v>
      </c>
      <c r="K584" s="31" t="s">
        <v>1548</v>
      </c>
      <c r="L584" s="31" t="str">
        <f>VLOOKUP(B584, [1]Course!$A$1:$O$933, 14, FALSE)</f>
        <v>SC</v>
      </c>
      <c r="M584" s="31">
        <v>1</v>
      </c>
    </row>
    <row r="585" spans="1:13" ht="15.75" hidden="1" customHeight="1" x14ac:dyDescent="0.2">
      <c r="A585" s="31">
        <v>584</v>
      </c>
      <c r="B585" s="31">
        <v>49</v>
      </c>
      <c r="C585" s="31">
        <v>82</v>
      </c>
      <c r="D585" s="31" t="s">
        <v>50</v>
      </c>
      <c r="E585" s="31" t="str">
        <f t="shared" si="9"/>
        <v>1282SC03PT</v>
      </c>
      <c r="F585" s="31" t="str">
        <f>VLOOKUP(B585,[1]Course!$A$2:$R$329,2,FALSE)</f>
        <v>Science 7</v>
      </c>
      <c r="G585" s="31">
        <f>VLOOKUP(B585, [1]Course!$A$2:$L$950, 8, FALSE)</f>
        <v>12</v>
      </c>
      <c r="H585" s="31">
        <v>3</v>
      </c>
      <c r="I585" s="31">
        <v>1</v>
      </c>
      <c r="K585" s="31" t="s">
        <v>1548</v>
      </c>
      <c r="L585" s="31" t="str">
        <f>VLOOKUP(B585, [1]Course!$A$1:$O$933, 14, FALSE)</f>
        <v>SC</v>
      </c>
      <c r="M585" s="31">
        <v>1</v>
      </c>
    </row>
    <row r="586" spans="1:13" ht="15.75" hidden="1" customHeight="1" x14ac:dyDescent="0.2">
      <c r="A586" s="31">
        <v>585</v>
      </c>
      <c r="B586" s="31">
        <v>49</v>
      </c>
      <c r="C586" s="31">
        <v>83</v>
      </c>
      <c r="D586" s="31" t="s">
        <v>50</v>
      </c>
      <c r="E586" s="31" t="str">
        <f t="shared" si="9"/>
        <v>1283SC03PT</v>
      </c>
      <c r="F586" s="31" t="str">
        <f>VLOOKUP(B586,[1]Course!$A$2:$R$329,2,FALSE)</f>
        <v>Science 7</v>
      </c>
      <c r="G586" s="31">
        <f>VLOOKUP(B586, [1]Course!$A$2:$L$950, 8, FALSE)</f>
        <v>12</v>
      </c>
      <c r="H586" s="31">
        <v>3</v>
      </c>
      <c r="I586" s="31">
        <v>1</v>
      </c>
      <c r="K586" s="31" t="s">
        <v>1548</v>
      </c>
      <c r="L586" s="31" t="str">
        <f>VLOOKUP(B586, [1]Course!$A$1:$O$933, 14, FALSE)</f>
        <v>SC</v>
      </c>
      <c r="M586" s="31">
        <v>1</v>
      </c>
    </row>
    <row r="587" spans="1:13" ht="15.75" hidden="1" customHeight="1" x14ac:dyDescent="0.2">
      <c r="A587" s="31">
        <v>586</v>
      </c>
      <c r="B587" s="31">
        <v>49</v>
      </c>
      <c r="C587" s="31">
        <v>84</v>
      </c>
      <c r="D587" s="31" t="s">
        <v>50</v>
      </c>
      <c r="E587" s="31" t="str">
        <f t="shared" si="9"/>
        <v>1284SC03PT</v>
      </c>
      <c r="F587" s="31" t="str">
        <f>VLOOKUP(B587,[1]Course!$A$2:$R$329,2,FALSE)</f>
        <v>Science 7</v>
      </c>
      <c r="G587" s="31">
        <f>VLOOKUP(B587, [1]Course!$A$2:$L$950, 8, FALSE)</f>
        <v>12</v>
      </c>
      <c r="H587" s="31">
        <v>3</v>
      </c>
      <c r="I587" s="31">
        <v>1</v>
      </c>
      <c r="K587" s="31" t="s">
        <v>1548</v>
      </c>
      <c r="L587" s="31" t="str">
        <f>VLOOKUP(B587, [1]Course!$A$1:$O$933, 14, FALSE)</f>
        <v>SC</v>
      </c>
      <c r="M587" s="31">
        <v>1</v>
      </c>
    </row>
    <row r="588" spans="1:13" ht="15.75" hidden="1" customHeight="1" x14ac:dyDescent="0.2">
      <c r="A588" s="31">
        <v>587</v>
      </c>
      <c r="B588" s="31">
        <v>50</v>
      </c>
      <c r="C588" s="31">
        <v>73</v>
      </c>
      <c r="D588" s="31" t="s">
        <v>295</v>
      </c>
      <c r="E588" s="31" t="str">
        <f t="shared" si="9"/>
        <v>673SS03PT</v>
      </c>
      <c r="F588" s="31">
        <f>VLOOKUP(B588,[1]Course!$A$2:$R$329,2,FALSE)</f>
        <v>0</v>
      </c>
      <c r="G588" s="31">
        <f>VLOOKUP(B588, [1]Course!$A$2:$L$950, 8, FALSE)</f>
        <v>6</v>
      </c>
      <c r="H588" s="31">
        <v>3</v>
      </c>
      <c r="I588" s="31">
        <v>1</v>
      </c>
      <c r="K588" s="31" t="s">
        <v>1548</v>
      </c>
      <c r="L588" s="31" t="str">
        <f>VLOOKUP(B588, [1]Course!$A$1:$O$933, 14, FALSE)</f>
        <v>SS</v>
      </c>
      <c r="M588" s="31">
        <v>1</v>
      </c>
    </row>
    <row r="589" spans="1:13" ht="15.75" hidden="1" customHeight="1" x14ac:dyDescent="0.2">
      <c r="A589" s="31">
        <v>588</v>
      </c>
      <c r="B589" s="31">
        <v>50</v>
      </c>
      <c r="C589" s="31">
        <v>74</v>
      </c>
      <c r="D589" s="31" t="s">
        <v>295</v>
      </c>
      <c r="E589" s="31" t="str">
        <f t="shared" si="9"/>
        <v>674SS03PT</v>
      </c>
      <c r="F589" s="31">
        <f>VLOOKUP(B589,[1]Course!$A$2:$R$329,2,FALSE)</f>
        <v>0</v>
      </c>
      <c r="G589" s="31">
        <f>VLOOKUP(B589, [1]Course!$A$2:$L$950, 8, FALSE)</f>
        <v>6</v>
      </c>
      <c r="H589" s="31">
        <v>3</v>
      </c>
      <c r="I589" s="31">
        <v>1</v>
      </c>
      <c r="K589" s="31" t="s">
        <v>1548</v>
      </c>
      <c r="L589" s="31" t="str">
        <f>VLOOKUP(B589, [1]Course!$A$1:$O$933, 14, FALSE)</f>
        <v>SS</v>
      </c>
      <c r="M589" s="31">
        <v>1</v>
      </c>
    </row>
    <row r="590" spans="1:13" ht="15.75" hidden="1" customHeight="1" x14ac:dyDescent="0.2">
      <c r="A590" s="31">
        <v>589</v>
      </c>
      <c r="B590" s="31">
        <v>50</v>
      </c>
      <c r="C590" s="31">
        <v>75</v>
      </c>
      <c r="D590" s="31" t="s">
        <v>295</v>
      </c>
      <c r="E590" s="31" t="str">
        <f t="shared" si="9"/>
        <v>675SS03PT</v>
      </c>
      <c r="F590" s="31">
        <f>VLOOKUP(B590,[1]Course!$A$2:$R$329,2,FALSE)</f>
        <v>0</v>
      </c>
      <c r="G590" s="31">
        <f>VLOOKUP(B590, [1]Course!$A$2:$L$950, 8, FALSE)</f>
        <v>6</v>
      </c>
      <c r="H590" s="31">
        <v>3</v>
      </c>
      <c r="I590" s="31">
        <v>1</v>
      </c>
      <c r="K590" s="31" t="s">
        <v>1548</v>
      </c>
      <c r="L590" s="31" t="str">
        <f>VLOOKUP(B590, [1]Course!$A$1:$O$933, 14, FALSE)</f>
        <v>SS</v>
      </c>
      <c r="M590" s="31">
        <v>1</v>
      </c>
    </row>
    <row r="591" spans="1:13" ht="15.75" hidden="1" customHeight="1" x14ac:dyDescent="0.2">
      <c r="A591" s="31">
        <v>590</v>
      </c>
      <c r="B591" s="31">
        <v>50</v>
      </c>
      <c r="C591" s="31">
        <v>76</v>
      </c>
      <c r="D591" s="31" t="s">
        <v>295</v>
      </c>
      <c r="E591" s="31" t="str">
        <f t="shared" si="9"/>
        <v>676SS03PT</v>
      </c>
      <c r="F591" s="31">
        <f>VLOOKUP(B591,[1]Course!$A$2:$R$329,2,FALSE)</f>
        <v>0</v>
      </c>
      <c r="G591" s="31">
        <f>VLOOKUP(B591, [1]Course!$A$2:$L$950, 8, FALSE)</f>
        <v>6</v>
      </c>
      <c r="H591" s="31">
        <v>3</v>
      </c>
      <c r="I591" s="31">
        <v>1</v>
      </c>
      <c r="K591" s="31" t="s">
        <v>1548</v>
      </c>
      <c r="L591" s="31" t="str">
        <f>VLOOKUP(B591, [1]Course!$A$1:$O$933, 14, FALSE)</f>
        <v>SS</v>
      </c>
      <c r="M591" s="31">
        <v>1</v>
      </c>
    </row>
    <row r="592" spans="1:13" ht="15.75" hidden="1" customHeight="1" x14ac:dyDescent="0.2">
      <c r="A592" s="31">
        <v>591</v>
      </c>
      <c r="B592" s="31">
        <v>50</v>
      </c>
      <c r="C592" s="31">
        <v>77</v>
      </c>
      <c r="D592" s="31" t="s">
        <v>295</v>
      </c>
      <c r="E592" s="31" t="str">
        <f t="shared" si="9"/>
        <v>677SS03PT</v>
      </c>
      <c r="F592" s="31">
        <f>VLOOKUP(B592,[1]Course!$A$2:$R$329,2,FALSE)</f>
        <v>0</v>
      </c>
      <c r="G592" s="31">
        <f>VLOOKUP(B592, [1]Course!$A$2:$L$950, 8, FALSE)</f>
        <v>6</v>
      </c>
      <c r="H592" s="31">
        <v>3</v>
      </c>
      <c r="I592" s="31">
        <v>1</v>
      </c>
      <c r="K592" s="31" t="s">
        <v>1548</v>
      </c>
      <c r="L592" s="31" t="str">
        <f>VLOOKUP(B592, [1]Course!$A$1:$O$933, 14, FALSE)</f>
        <v>SS</v>
      </c>
      <c r="M592" s="31">
        <v>1</v>
      </c>
    </row>
    <row r="593" spans="1:13" ht="15.75" hidden="1" customHeight="1" x14ac:dyDescent="0.2">
      <c r="A593" s="31">
        <v>592</v>
      </c>
      <c r="B593" s="31">
        <v>50</v>
      </c>
      <c r="C593" s="31">
        <v>78</v>
      </c>
      <c r="D593" s="31" t="s">
        <v>295</v>
      </c>
      <c r="E593" s="31" t="str">
        <f t="shared" si="9"/>
        <v>678SS03PT</v>
      </c>
      <c r="F593" s="31">
        <f>VLOOKUP(B593,[1]Course!$A$2:$R$329,2,FALSE)</f>
        <v>0</v>
      </c>
      <c r="G593" s="31">
        <f>VLOOKUP(B593, [1]Course!$A$2:$L$950, 8, FALSE)</f>
        <v>6</v>
      </c>
      <c r="H593" s="31">
        <v>3</v>
      </c>
      <c r="I593" s="31">
        <v>1</v>
      </c>
      <c r="K593" s="31" t="s">
        <v>1548</v>
      </c>
      <c r="L593" s="31" t="str">
        <f>VLOOKUP(B593, [1]Course!$A$1:$O$933, 14, FALSE)</f>
        <v>SS</v>
      </c>
      <c r="M593" s="31">
        <v>1</v>
      </c>
    </row>
    <row r="594" spans="1:13" ht="15.75" hidden="1" customHeight="1" x14ac:dyDescent="0.2">
      <c r="A594" s="31">
        <v>593</v>
      </c>
      <c r="B594" s="31">
        <v>51</v>
      </c>
      <c r="C594" s="31">
        <v>1</v>
      </c>
      <c r="D594" s="31" t="s">
        <v>292</v>
      </c>
      <c r="E594" s="31" t="str">
        <f t="shared" si="9"/>
        <v>301SI03PT</v>
      </c>
      <c r="F594" s="31">
        <f>VLOOKUP(B594,[1]Course!$A$2:$R$329,2,FALSE)</f>
        <v>0</v>
      </c>
      <c r="G594" s="31">
        <f>VLOOKUP(B594, [1]Course!$A$2:$L$950, 8, FALSE)</f>
        <v>3</v>
      </c>
      <c r="H594" s="31">
        <v>3</v>
      </c>
      <c r="I594" s="31">
        <v>1</v>
      </c>
      <c r="K594" s="31" t="s">
        <v>1548</v>
      </c>
      <c r="L594" s="31" t="str">
        <f>VLOOKUP(B594, [1]Course!$A$1:$O$933, 14, FALSE)</f>
        <v>SI</v>
      </c>
      <c r="M594" s="31">
        <v>1</v>
      </c>
    </row>
    <row r="595" spans="1:13" ht="15.75" hidden="1" customHeight="1" x14ac:dyDescent="0.2">
      <c r="A595" s="31">
        <v>594</v>
      </c>
      <c r="B595" s="31">
        <v>51</v>
      </c>
      <c r="C595" s="31">
        <v>2</v>
      </c>
      <c r="D595" s="31" t="s">
        <v>292</v>
      </c>
      <c r="E595" s="31" t="str">
        <f t="shared" si="9"/>
        <v>302SI03PT</v>
      </c>
      <c r="F595" s="31">
        <f>VLOOKUP(B595,[1]Course!$A$2:$R$329,2,FALSE)</f>
        <v>0</v>
      </c>
      <c r="G595" s="31">
        <f>VLOOKUP(B595, [1]Course!$A$2:$L$950, 8, FALSE)</f>
        <v>3</v>
      </c>
      <c r="H595" s="31">
        <v>3</v>
      </c>
      <c r="I595" s="31">
        <v>1</v>
      </c>
      <c r="K595" s="31" t="s">
        <v>1548</v>
      </c>
      <c r="L595" s="31" t="str">
        <f>VLOOKUP(B595, [1]Course!$A$1:$O$933, 14, FALSE)</f>
        <v>SI</v>
      </c>
      <c r="M595" s="31">
        <v>1</v>
      </c>
    </row>
    <row r="596" spans="1:13" ht="15.75" hidden="1" customHeight="1" x14ac:dyDescent="0.2">
      <c r="A596" s="31">
        <v>595</v>
      </c>
      <c r="B596" s="31">
        <v>51</v>
      </c>
      <c r="C596" s="31">
        <v>3</v>
      </c>
      <c r="D596" s="31" t="s">
        <v>292</v>
      </c>
      <c r="E596" s="31" t="str">
        <f t="shared" si="9"/>
        <v>303SI03PT</v>
      </c>
      <c r="F596" s="31">
        <f>VLOOKUP(B596,[1]Course!$A$2:$R$329,2,FALSE)</f>
        <v>0</v>
      </c>
      <c r="G596" s="31">
        <f>VLOOKUP(B596, [1]Course!$A$2:$L$950, 8, FALSE)</f>
        <v>3</v>
      </c>
      <c r="H596" s="31">
        <v>3</v>
      </c>
      <c r="I596" s="31">
        <v>1</v>
      </c>
      <c r="K596" s="31" t="s">
        <v>1548</v>
      </c>
      <c r="L596" s="31" t="str">
        <f>VLOOKUP(B596, [1]Course!$A$1:$O$933, 14, FALSE)</f>
        <v>SI</v>
      </c>
      <c r="M596" s="31">
        <v>1</v>
      </c>
    </row>
    <row r="597" spans="1:13" ht="15.75" hidden="1" customHeight="1" x14ac:dyDescent="0.2">
      <c r="A597" s="31">
        <v>596</v>
      </c>
      <c r="B597" s="31">
        <v>52</v>
      </c>
      <c r="C597" s="31">
        <v>73</v>
      </c>
      <c r="D597" s="31" t="s">
        <v>289</v>
      </c>
      <c r="E597" s="31" t="str">
        <f t="shared" si="9"/>
        <v>1273BR03PT</v>
      </c>
      <c r="F597" s="31">
        <f>VLOOKUP(B597,[1]Course!$A$2:$R$329,2,FALSE)</f>
        <v>0</v>
      </c>
      <c r="G597" s="31">
        <f>VLOOKUP(B597, [1]Course!$A$2:$L$950, 8, FALSE)</f>
        <v>12</v>
      </c>
      <c r="H597" s="31">
        <v>3</v>
      </c>
      <c r="I597" s="31">
        <v>1</v>
      </c>
      <c r="K597" s="31" t="s">
        <v>1548</v>
      </c>
      <c r="L597" s="31" t="str">
        <f>VLOOKUP(B597, [1]Course!$A$1:$O$933, 14, FALSE)</f>
        <v>BR</v>
      </c>
      <c r="M597" s="31">
        <v>1</v>
      </c>
    </row>
    <row r="598" spans="1:13" ht="15.75" hidden="1" customHeight="1" x14ac:dyDescent="0.2">
      <c r="A598" s="31">
        <v>597</v>
      </c>
      <c r="B598" s="31">
        <v>52</v>
      </c>
      <c r="C598" s="31">
        <v>74</v>
      </c>
      <c r="D598" s="31" t="s">
        <v>289</v>
      </c>
      <c r="E598" s="31" t="str">
        <f t="shared" si="9"/>
        <v>1274BR03PT</v>
      </c>
      <c r="F598" s="31">
        <f>VLOOKUP(B598,[1]Course!$A$2:$R$329,2,FALSE)</f>
        <v>0</v>
      </c>
      <c r="G598" s="31">
        <f>VLOOKUP(B598, [1]Course!$A$2:$L$950, 8, FALSE)</f>
        <v>12</v>
      </c>
      <c r="H598" s="31">
        <v>3</v>
      </c>
      <c r="I598" s="31">
        <v>1</v>
      </c>
      <c r="K598" s="31" t="s">
        <v>1548</v>
      </c>
      <c r="L598" s="31" t="str">
        <f>VLOOKUP(B598, [1]Course!$A$1:$O$933, 14, FALSE)</f>
        <v>BR</v>
      </c>
      <c r="M598" s="31">
        <v>1</v>
      </c>
    </row>
    <row r="599" spans="1:13" ht="15.75" hidden="1" customHeight="1" x14ac:dyDescent="0.2">
      <c r="A599" s="31">
        <v>598</v>
      </c>
      <c r="B599" s="31">
        <v>52</v>
      </c>
      <c r="C599" s="31">
        <v>75</v>
      </c>
      <c r="D599" s="31" t="s">
        <v>289</v>
      </c>
      <c r="E599" s="31" t="str">
        <f t="shared" si="9"/>
        <v>1275BR03PT</v>
      </c>
      <c r="F599" s="31">
        <f>VLOOKUP(B599,[1]Course!$A$2:$R$329,2,FALSE)</f>
        <v>0</v>
      </c>
      <c r="G599" s="31">
        <f>VLOOKUP(B599, [1]Course!$A$2:$L$950, 8, FALSE)</f>
        <v>12</v>
      </c>
      <c r="H599" s="31">
        <v>3</v>
      </c>
      <c r="I599" s="31">
        <v>1</v>
      </c>
      <c r="K599" s="31" t="s">
        <v>1548</v>
      </c>
      <c r="L599" s="31" t="str">
        <f>VLOOKUP(B599, [1]Course!$A$1:$O$933, 14, FALSE)</f>
        <v>BR</v>
      </c>
      <c r="M599" s="31">
        <v>1</v>
      </c>
    </row>
    <row r="600" spans="1:13" ht="15.75" hidden="1" customHeight="1" x14ac:dyDescent="0.2">
      <c r="A600" s="31">
        <v>599</v>
      </c>
      <c r="B600" s="31">
        <v>52</v>
      </c>
      <c r="C600" s="31">
        <v>76</v>
      </c>
      <c r="D600" s="31" t="s">
        <v>289</v>
      </c>
      <c r="E600" s="31" t="str">
        <f t="shared" si="9"/>
        <v>1276BR03PT</v>
      </c>
      <c r="F600" s="31">
        <f>VLOOKUP(B600,[1]Course!$A$2:$R$329,2,FALSE)</f>
        <v>0</v>
      </c>
      <c r="G600" s="31">
        <f>VLOOKUP(B600, [1]Course!$A$2:$L$950, 8, FALSE)</f>
        <v>12</v>
      </c>
      <c r="H600" s="31">
        <v>3</v>
      </c>
      <c r="I600" s="31">
        <v>1</v>
      </c>
      <c r="K600" s="31" t="s">
        <v>1548</v>
      </c>
      <c r="L600" s="31" t="str">
        <f>VLOOKUP(B600, [1]Course!$A$1:$O$933, 14, FALSE)</f>
        <v>BR</v>
      </c>
      <c r="M600" s="31">
        <v>1</v>
      </c>
    </row>
    <row r="601" spans="1:13" ht="15.75" hidden="1" customHeight="1" x14ac:dyDescent="0.2">
      <c r="A601" s="31">
        <v>600</v>
      </c>
      <c r="B601" s="31">
        <v>52</v>
      </c>
      <c r="C601" s="31">
        <v>77</v>
      </c>
      <c r="D601" s="31" t="s">
        <v>289</v>
      </c>
      <c r="E601" s="31" t="str">
        <f t="shared" si="9"/>
        <v>1277BR03PT</v>
      </c>
      <c r="F601" s="31">
        <f>VLOOKUP(B601,[1]Course!$A$2:$R$329,2,FALSE)</f>
        <v>0</v>
      </c>
      <c r="G601" s="31">
        <f>VLOOKUP(B601, [1]Course!$A$2:$L$950, 8, FALSE)</f>
        <v>12</v>
      </c>
      <c r="H601" s="31">
        <v>3</v>
      </c>
      <c r="I601" s="31">
        <v>1</v>
      </c>
      <c r="K601" s="31" t="s">
        <v>1548</v>
      </c>
      <c r="L601" s="31" t="str">
        <f>VLOOKUP(B601, [1]Course!$A$1:$O$933, 14, FALSE)</f>
        <v>BR</v>
      </c>
      <c r="M601" s="31">
        <v>1</v>
      </c>
    </row>
    <row r="602" spans="1:13" ht="15.75" hidden="1" customHeight="1" x14ac:dyDescent="0.2">
      <c r="A602" s="31">
        <v>601</v>
      </c>
      <c r="B602" s="31">
        <v>52</v>
      </c>
      <c r="C602" s="31">
        <v>78</v>
      </c>
      <c r="D602" s="31" t="s">
        <v>289</v>
      </c>
      <c r="E602" s="31" t="str">
        <f t="shared" si="9"/>
        <v>1278BR03PT</v>
      </c>
      <c r="F602" s="31">
        <f>VLOOKUP(B602,[1]Course!$A$2:$R$329,2,FALSE)</f>
        <v>0</v>
      </c>
      <c r="G602" s="31">
        <f>VLOOKUP(B602, [1]Course!$A$2:$L$950, 8, FALSE)</f>
        <v>12</v>
      </c>
      <c r="H602" s="31">
        <v>3</v>
      </c>
      <c r="I602" s="31">
        <v>1</v>
      </c>
      <c r="K602" s="31" t="s">
        <v>1548</v>
      </c>
      <c r="L602" s="31" t="str">
        <f>VLOOKUP(B602, [1]Course!$A$1:$O$933, 14, FALSE)</f>
        <v>BR</v>
      </c>
      <c r="M602" s="31">
        <v>1</v>
      </c>
    </row>
    <row r="603" spans="1:13" ht="15.75" hidden="1" customHeight="1" x14ac:dyDescent="0.2">
      <c r="A603" s="31">
        <v>602</v>
      </c>
      <c r="B603" s="31">
        <v>52</v>
      </c>
      <c r="C603" s="31">
        <v>79</v>
      </c>
      <c r="D603" s="31" t="s">
        <v>289</v>
      </c>
      <c r="E603" s="31" t="str">
        <f t="shared" si="9"/>
        <v>1279BR03PT</v>
      </c>
      <c r="F603" s="31">
        <f>VLOOKUP(B603,[1]Course!$A$2:$R$329,2,FALSE)</f>
        <v>0</v>
      </c>
      <c r="G603" s="31">
        <f>VLOOKUP(B603, [1]Course!$A$2:$L$950, 8, FALSE)</f>
        <v>12</v>
      </c>
      <c r="H603" s="31">
        <v>3</v>
      </c>
      <c r="I603" s="31">
        <v>1</v>
      </c>
      <c r="K603" s="31" t="s">
        <v>1548</v>
      </c>
      <c r="L603" s="31" t="str">
        <f>VLOOKUP(B603, [1]Course!$A$1:$O$933, 14, FALSE)</f>
        <v>BR</v>
      </c>
      <c r="M603" s="31">
        <v>1</v>
      </c>
    </row>
    <row r="604" spans="1:13" ht="15.75" hidden="1" customHeight="1" x14ac:dyDescent="0.2">
      <c r="A604" s="31">
        <v>603</v>
      </c>
      <c r="B604" s="31">
        <v>52</v>
      </c>
      <c r="C604" s="31">
        <v>80</v>
      </c>
      <c r="D604" s="31" t="s">
        <v>289</v>
      </c>
      <c r="E604" s="31" t="str">
        <f t="shared" si="9"/>
        <v>1280BR03PT</v>
      </c>
      <c r="F604" s="31">
        <f>VLOOKUP(B604,[1]Course!$A$2:$R$329,2,FALSE)</f>
        <v>0</v>
      </c>
      <c r="G604" s="31">
        <f>VLOOKUP(B604, [1]Course!$A$2:$L$950, 8, FALSE)</f>
        <v>12</v>
      </c>
      <c r="H604" s="31">
        <v>3</v>
      </c>
      <c r="I604" s="31">
        <v>1</v>
      </c>
      <c r="K604" s="31" t="s">
        <v>1548</v>
      </c>
      <c r="L604" s="31" t="str">
        <f>VLOOKUP(B604, [1]Course!$A$1:$O$933, 14, FALSE)</f>
        <v>BR</v>
      </c>
      <c r="M604" s="31">
        <v>1</v>
      </c>
    </row>
    <row r="605" spans="1:13" ht="15.75" hidden="1" customHeight="1" x14ac:dyDescent="0.2">
      <c r="A605" s="31">
        <v>604</v>
      </c>
      <c r="B605" s="31">
        <v>52</v>
      </c>
      <c r="C605" s="31">
        <v>81</v>
      </c>
      <c r="D605" s="31" t="s">
        <v>289</v>
      </c>
      <c r="E605" s="31" t="str">
        <f t="shared" si="9"/>
        <v>1281BR03PT</v>
      </c>
      <c r="F605" s="31">
        <f>VLOOKUP(B605,[1]Course!$A$2:$R$329,2,FALSE)</f>
        <v>0</v>
      </c>
      <c r="G605" s="31">
        <f>VLOOKUP(B605, [1]Course!$A$2:$L$950, 8, FALSE)</f>
        <v>12</v>
      </c>
      <c r="H605" s="31">
        <v>3</v>
      </c>
      <c r="I605" s="31">
        <v>1</v>
      </c>
      <c r="K605" s="31" t="s">
        <v>1548</v>
      </c>
      <c r="L605" s="31" t="str">
        <f>VLOOKUP(B605, [1]Course!$A$1:$O$933, 14, FALSE)</f>
        <v>BR</v>
      </c>
      <c r="M605" s="31">
        <v>1</v>
      </c>
    </row>
    <row r="606" spans="1:13" ht="15.75" hidden="1" customHeight="1" x14ac:dyDescent="0.2">
      <c r="A606" s="31">
        <v>605</v>
      </c>
      <c r="B606" s="31">
        <v>52</v>
      </c>
      <c r="C606" s="31">
        <v>82</v>
      </c>
      <c r="D606" s="31" t="s">
        <v>289</v>
      </c>
      <c r="E606" s="31" t="str">
        <f t="shared" si="9"/>
        <v>1282BR03PT</v>
      </c>
      <c r="F606" s="31">
        <f>VLOOKUP(B606,[1]Course!$A$2:$R$329,2,FALSE)</f>
        <v>0</v>
      </c>
      <c r="G606" s="31">
        <f>VLOOKUP(B606, [1]Course!$A$2:$L$950, 8, FALSE)</f>
        <v>12</v>
      </c>
      <c r="H606" s="31">
        <v>3</v>
      </c>
      <c r="I606" s="31">
        <v>1</v>
      </c>
      <c r="K606" s="31" t="s">
        <v>1548</v>
      </c>
      <c r="L606" s="31" t="str">
        <f>VLOOKUP(B606, [1]Course!$A$1:$O$933, 14, FALSE)</f>
        <v>BR</v>
      </c>
      <c r="M606" s="31">
        <v>1</v>
      </c>
    </row>
    <row r="607" spans="1:13" ht="15.75" hidden="1" customHeight="1" x14ac:dyDescent="0.2">
      <c r="A607" s="31">
        <v>606</v>
      </c>
      <c r="B607" s="31">
        <v>52</v>
      </c>
      <c r="C607" s="31">
        <v>83</v>
      </c>
      <c r="D607" s="31" t="s">
        <v>289</v>
      </c>
      <c r="E607" s="31" t="str">
        <f t="shared" si="9"/>
        <v>1283BR03PT</v>
      </c>
      <c r="F607" s="31">
        <f>VLOOKUP(B607,[1]Course!$A$2:$R$329,2,FALSE)</f>
        <v>0</v>
      </c>
      <c r="G607" s="31">
        <f>VLOOKUP(B607, [1]Course!$A$2:$L$950, 8, FALSE)</f>
        <v>12</v>
      </c>
      <c r="H607" s="31">
        <v>3</v>
      </c>
      <c r="I607" s="31">
        <v>1</v>
      </c>
      <c r="K607" s="31" t="s">
        <v>1548</v>
      </c>
      <c r="L607" s="31" t="str">
        <f>VLOOKUP(B607, [1]Course!$A$1:$O$933, 14, FALSE)</f>
        <v>BR</v>
      </c>
      <c r="M607" s="31">
        <v>1</v>
      </c>
    </row>
    <row r="608" spans="1:13" ht="15.75" hidden="1" customHeight="1" x14ac:dyDescent="0.2">
      <c r="A608" s="31">
        <v>607</v>
      </c>
      <c r="B608" s="31">
        <v>52</v>
      </c>
      <c r="C608" s="31">
        <v>84</v>
      </c>
      <c r="D608" s="31" t="s">
        <v>289</v>
      </c>
      <c r="E608" s="31" t="str">
        <f t="shared" si="9"/>
        <v>1284BR03PT</v>
      </c>
      <c r="F608" s="31">
        <f>VLOOKUP(B608,[1]Course!$A$2:$R$329,2,FALSE)</f>
        <v>0</v>
      </c>
      <c r="G608" s="31">
        <f>VLOOKUP(B608, [1]Course!$A$2:$L$950, 8, FALSE)</f>
        <v>12</v>
      </c>
      <c r="H608" s="31">
        <v>3</v>
      </c>
      <c r="I608" s="31">
        <v>1</v>
      </c>
      <c r="K608" s="31" t="s">
        <v>1548</v>
      </c>
      <c r="L608" s="31" t="str">
        <f>VLOOKUP(B608, [1]Course!$A$1:$O$933, 14, FALSE)</f>
        <v>BR</v>
      </c>
      <c r="M608" s="31">
        <v>1</v>
      </c>
    </row>
    <row r="609" spans="1:13" ht="15.75" hidden="1" customHeight="1" x14ac:dyDescent="0.2">
      <c r="A609" s="31">
        <v>608</v>
      </c>
      <c r="B609" s="31">
        <v>53</v>
      </c>
      <c r="C609" s="31">
        <v>85</v>
      </c>
      <c r="D609" s="31" t="s">
        <v>287</v>
      </c>
      <c r="E609" s="31" t="str">
        <f t="shared" si="9"/>
        <v>1285GM03PT</v>
      </c>
      <c r="F609" s="31">
        <f>VLOOKUP(B609,[1]Course!$A$2:$R$329,2,FALSE)</f>
        <v>0</v>
      </c>
      <c r="G609" s="31">
        <f>VLOOKUP(B609, [1]Course!$A$2:$L$950, 8, FALSE)</f>
        <v>12</v>
      </c>
      <c r="H609" s="31">
        <v>3</v>
      </c>
      <c r="I609" s="31">
        <v>1</v>
      </c>
      <c r="K609" s="31" t="s">
        <v>1548</v>
      </c>
      <c r="L609" s="31" t="str">
        <f>VLOOKUP(B609, [1]Course!$A$1:$O$933, 14, FALSE)</f>
        <v>GM</v>
      </c>
      <c r="M609" s="31">
        <v>1</v>
      </c>
    </row>
    <row r="610" spans="1:13" ht="15.75" hidden="1" customHeight="1" x14ac:dyDescent="0.2">
      <c r="A610" s="31">
        <v>609</v>
      </c>
      <c r="B610" s="31">
        <v>53</v>
      </c>
      <c r="C610" s="31">
        <v>86</v>
      </c>
      <c r="D610" s="31" t="s">
        <v>287</v>
      </c>
      <c r="E610" s="31" t="str">
        <f t="shared" si="9"/>
        <v>1286GM03PT</v>
      </c>
      <c r="F610" s="31">
        <f>VLOOKUP(B610,[1]Course!$A$2:$R$329,2,FALSE)</f>
        <v>0</v>
      </c>
      <c r="G610" s="31">
        <f>VLOOKUP(B610, [1]Course!$A$2:$L$950, 8, FALSE)</f>
        <v>12</v>
      </c>
      <c r="H610" s="31">
        <v>3</v>
      </c>
      <c r="I610" s="31">
        <v>1</v>
      </c>
      <c r="K610" s="31" t="s">
        <v>1548</v>
      </c>
      <c r="L610" s="31" t="str">
        <f>VLOOKUP(B610, [1]Course!$A$1:$O$933, 14, FALSE)</f>
        <v>GM</v>
      </c>
      <c r="M610" s="31">
        <v>1</v>
      </c>
    </row>
    <row r="611" spans="1:13" ht="15.75" hidden="1" customHeight="1" x14ac:dyDescent="0.2">
      <c r="A611" s="31">
        <v>610</v>
      </c>
      <c r="B611" s="31">
        <v>53</v>
      </c>
      <c r="C611" s="31">
        <v>87</v>
      </c>
      <c r="D611" s="31" t="s">
        <v>287</v>
      </c>
      <c r="E611" s="31" t="str">
        <f t="shared" si="9"/>
        <v>1287GM03PT</v>
      </c>
      <c r="F611" s="31">
        <f>VLOOKUP(B611,[1]Course!$A$2:$R$329,2,FALSE)</f>
        <v>0</v>
      </c>
      <c r="G611" s="31">
        <f>VLOOKUP(B611, [1]Course!$A$2:$L$950, 8, FALSE)</f>
        <v>12</v>
      </c>
      <c r="H611" s="31">
        <v>3</v>
      </c>
      <c r="I611" s="31">
        <v>1</v>
      </c>
      <c r="K611" s="31" t="s">
        <v>1548</v>
      </c>
      <c r="L611" s="31" t="str">
        <f>VLOOKUP(B611, [1]Course!$A$1:$O$933, 14, FALSE)</f>
        <v>GM</v>
      </c>
      <c r="M611" s="31">
        <v>1</v>
      </c>
    </row>
    <row r="612" spans="1:13" ht="15.75" hidden="1" customHeight="1" x14ac:dyDescent="0.2">
      <c r="A612" s="31">
        <v>611</v>
      </c>
      <c r="B612" s="31">
        <v>53</v>
      </c>
      <c r="C612" s="31">
        <v>88</v>
      </c>
      <c r="D612" s="31" t="s">
        <v>287</v>
      </c>
      <c r="E612" s="31" t="str">
        <f t="shared" si="9"/>
        <v>1288GM03PT</v>
      </c>
      <c r="F612" s="31">
        <f>VLOOKUP(B612,[1]Course!$A$2:$R$329,2,FALSE)</f>
        <v>0</v>
      </c>
      <c r="G612" s="31">
        <f>VLOOKUP(B612, [1]Course!$A$2:$L$950, 8, FALSE)</f>
        <v>12</v>
      </c>
      <c r="H612" s="31">
        <v>3</v>
      </c>
      <c r="I612" s="31">
        <v>1</v>
      </c>
      <c r="K612" s="31" t="s">
        <v>1548</v>
      </c>
      <c r="L612" s="31" t="str">
        <f>VLOOKUP(B612, [1]Course!$A$1:$O$933, 14, FALSE)</f>
        <v>GM</v>
      </c>
      <c r="M612" s="31">
        <v>1</v>
      </c>
    </row>
    <row r="613" spans="1:13" ht="15.75" hidden="1" customHeight="1" x14ac:dyDescent="0.2">
      <c r="A613" s="31">
        <v>612</v>
      </c>
      <c r="B613" s="31">
        <v>53</v>
      </c>
      <c r="C613" s="31">
        <v>89</v>
      </c>
      <c r="D613" s="31" t="s">
        <v>287</v>
      </c>
      <c r="E613" s="31" t="str">
        <f t="shared" si="9"/>
        <v>1289GM03PT</v>
      </c>
      <c r="F613" s="31">
        <f>VLOOKUP(B613,[1]Course!$A$2:$R$329,2,FALSE)</f>
        <v>0</v>
      </c>
      <c r="G613" s="31">
        <f>VLOOKUP(B613, [1]Course!$A$2:$L$950, 8, FALSE)</f>
        <v>12</v>
      </c>
      <c r="H613" s="31">
        <v>3</v>
      </c>
      <c r="I613" s="31">
        <v>1</v>
      </c>
      <c r="K613" s="31" t="s">
        <v>1548</v>
      </c>
      <c r="L613" s="31" t="str">
        <f>VLOOKUP(B613, [1]Course!$A$1:$O$933, 14, FALSE)</f>
        <v>GM</v>
      </c>
      <c r="M613" s="31">
        <v>1</v>
      </c>
    </row>
    <row r="614" spans="1:13" ht="15.75" hidden="1" customHeight="1" x14ac:dyDescent="0.2">
      <c r="A614" s="31">
        <v>613</v>
      </c>
      <c r="B614" s="31">
        <v>53</v>
      </c>
      <c r="C614" s="31">
        <v>90</v>
      </c>
      <c r="D614" s="31" t="s">
        <v>287</v>
      </c>
      <c r="E614" s="31" t="str">
        <f t="shared" si="9"/>
        <v>1290GM03PT</v>
      </c>
      <c r="F614" s="31">
        <f>VLOOKUP(B614,[1]Course!$A$2:$R$329,2,FALSE)</f>
        <v>0</v>
      </c>
      <c r="G614" s="31">
        <f>VLOOKUP(B614, [1]Course!$A$2:$L$950, 8, FALSE)</f>
        <v>12</v>
      </c>
      <c r="H614" s="31">
        <v>3</v>
      </c>
      <c r="I614" s="31">
        <v>1</v>
      </c>
      <c r="K614" s="31" t="s">
        <v>1548</v>
      </c>
      <c r="L614" s="31" t="str">
        <f>VLOOKUP(B614, [1]Course!$A$1:$O$933, 14, FALSE)</f>
        <v>GM</v>
      </c>
      <c r="M614" s="31">
        <v>1</v>
      </c>
    </row>
    <row r="615" spans="1:13" ht="15.75" hidden="1" customHeight="1" x14ac:dyDescent="0.2">
      <c r="A615" s="31">
        <v>614</v>
      </c>
      <c r="B615" s="31">
        <v>53</v>
      </c>
      <c r="C615" s="31">
        <v>91</v>
      </c>
      <c r="D615" s="31" t="s">
        <v>287</v>
      </c>
      <c r="E615" s="31" t="str">
        <f t="shared" si="9"/>
        <v>1291GM03PT</v>
      </c>
      <c r="F615" s="31">
        <f>VLOOKUP(B615,[1]Course!$A$2:$R$329,2,FALSE)</f>
        <v>0</v>
      </c>
      <c r="G615" s="31">
        <f>VLOOKUP(B615, [1]Course!$A$2:$L$950, 8, FALSE)</f>
        <v>12</v>
      </c>
      <c r="H615" s="31">
        <v>3</v>
      </c>
      <c r="I615" s="31">
        <v>1</v>
      </c>
      <c r="K615" s="31" t="s">
        <v>1548</v>
      </c>
      <c r="L615" s="31" t="str">
        <f>VLOOKUP(B615, [1]Course!$A$1:$O$933, 14, FALSE)</f>
        <v>GM</v>
      </c>
      <c r="M615" s="31">
        <v>1</v>
      </c>
    </row>
    <row r="616" spans="1:13" ht="15.75" hidden="1" customHeight="1" x14ac:dyDescent="0.2">
      <c r="A616" s="31">
        <v>615</v>
      </c>
      <c r="B616" s="31">
        <v>53</v>
      </c>
      <c r="C616" s="31">
        <v>92</v>
      </c>
      <c r="D616" s="31" t="s">
        <v>287</v>
      </c>
      <c r="E616" s="31" t="str">
        <f t="shared" si="9"/>
        <v>1292GM03PT</v>
      </c>
      <c r="F616" s="31">
        <f>VLOOKUP(B616,[1]Course!$A$2:$R$329,2,FALSE)</f>
        <v>0</v>
      </c>
      <c r="G616" s="31">
        <f>VLOOKUP(B616, [1]Course!$A$2:$L$950, 8, FALSE)</f>
        <v>12</v>
      </c>
      <c r="H616" s="31">
        <v>3</v>
      </c>
      <c r="I616" s="31">
        <v>1</v>
      </c>
      <c r="K616" s="31" t="s">
        <v>1548</v>
      </c>
      <c r="L616" s="31" t="str">
        <f>VLOOKUP(B616, [1]Course!$A$1:$O$933, 14, FALSE)</f>
        <v>GM</v>
      </c>
      <c r="M616" s="31">
        <v>1</v>
      </c>
    </row>
    <row r="617" spans="1:13" ht="15.75" hidden="1" customHeight="1" x14ac:dyDescent="0.2">
      <c r="A617" s="31">
        <v>616</v>
      </c>
      <c r="B617" s="31">
        <v>53</v>
      </c>
      <c r="C617" s="31">
        <v>93</v>
      </c>
      <c r="D617" s="31" t="s">
        <v>287</v>
      </c>
      <c r="E617" s="31" t="str">
        <f t="shared" si="9"/>
        <v>1293GM03PT</v>
      </c>
      <c r="F617" s="31">
        <f>VLOOKUP(B617,[1]Course!$A$2:$R$329,2,FALSE)</f>
        <v>0</v>
      </c>
      <c r="G617" s="31">
        <f>VLOOKUP(B617, [1]Course!$A$2:$L$950, 8, FALSE)</f>
        <v>12</v>
      </c>
      <c r="H617" s="31">
        <v>3</v>
      </c>
      <c r="I617" s="31">
        <v>1</v>
      </c>
      <c r="K617" s="31" t="s">
        <v>1548</v>
      </c>
      <c r="L617" s="31" t="str">
        <f>VLOOKUP(B617, [1]Course!$A$1:$O$933, 14, FALSE)</f>
        <v>GM</v>
      </c>
      <c r="M617" s="31">
        <v>1</v>
      </c>
    </row>
    <row r="618" spans="1:13" ht="15.75" hidden="1" customHeight="1" x14ac:dyDescent="0.2">
      <c r="A618" s="31">
        <v>617</v>
      </c>
      <c r="B618" s="31">
        <v>53</v>
      </c>
      <c r="C618" s="31">
        <v>94</v>
      </c>
      <c r="D618" s="31" t="s">
        <v>287</v>
      </c>
      <c r="E618" s="31" t="str">
        <f t="shared" si="9"/>
        <v>1294GM03PT</v>
      </c>
      <c r="F618" s="31">
        <f>VLOOKUP(B618,[1]Course!$A$2:$R$329,2,FALSE)</f>
        <v>0</v>
      </c>
      <c r="G618" s="31">
        <f>VLOOKUP(B618, [1]Course!$A$2:$L$950, 8, FALSE)</f>
        <v>12</v>
      </c>
      <c r="H618" s="31">
        <v>3</v>
      </c>
      <c r="I618" s="31">
        <v>1</v>
      </c>
      <c r="K618" s="31" t="s">
        <v>1548</v>
      </c>
      <c r="L618" s="31" t="str">
        <f>VLOOKUP(B618, [1]Course!$A$1:$O$933, 14, FALSE)</f>
        <v>GM</v>
      </c>
      <c r="M618" s="31">
        <v>1</v>
      </c>
    </row>
    <row r="619" spans="1:13" ht="15.75" hidden="1" customHeight="1" x14ac:dyDescent="0.2">
      <c r="A619" s="31">
        <v>618</v>
      </c>
      <c r="B619" s="31">
        <v>53</v>
      </c>
      <c r="C619" s="31">
        <v>95</v>
      </c>
      <c r="D619" s="31" t="s">
        <v>287</v>
      </c>
      <c r="E619" s="31" t="str">
        <f t="shared" si="9"/>
        <v>1295GM03PT</v>
      </c>
      <c r="F619" s="31">
        <f>VLOOKUP(B619,[1]Course!$A$2:$R$329,2,FALSE)</f>
        <v>0</v>
      </c>
      <c r="G619" s="31">
        <f>VLOOKUP(B619, [1]Course!$A$2:$L$950, 8, FALSE)</f>
        <v>12</v>
      </c>
      <c r="H619" s="31">
        <v>3</v>
      </c>
      <c r="I619" s="31">
        <v>1</v>
      </c>
      <c r="K619" s="31" t="s">
        <v>1548</v>
      </c>
      <c r="L619" s="31" t="str">
        <f>VLOOKUP(B619, [1]Course!$A$1:$O$933, 14, FALSE)</f>
        <v>GM</v>
      </c>
      <c r="M619" s="31">
        <v>1</v>
      </c>
    </row>
    <row r="620" spans="1:13" ht="15.75" hidden="1" customHeight="1" x14ac:dyDescent="0.2">
      <c r="A620" s="31">
        <v>619</v>
      </c>
      <c r="B620" s="31">
        <v>53</v>
      </c>
      <c r="C620" s="31">
        <v>96</v>
      </c>
      <c r="D620" s="31" t="s">
        <v>287</v>
      </c>
      <c r="E620" s="31" t="str">
        <f t="shared" si="9"/>
        <v>1296GM03PT</v>
      </c>
      <c r="F620" s="31">
        <f>VLOOKUP(B620,[1]Course!$A$2:$R$329,2,FALSE)</f>
        <v>0</v>
      </c>
      <c r="G620" s="31">
        <f>VLOOKUP(B620, [1]Course!$A$2:$L$950, 8, FALSE)</f>
        <v>12</v>
      </c>
      <c r="H620" s="31">
        <v>3</v>
      </c>
      <c r="I620" s="31">
        <v>1</v>
      </c>
      <c r="K620" s="31" t="s">
        <v>1548</v>
      </c>
      <c r="L620" s="31" t="str">
        <f>VLOOKUP(B620, [1]Course!$A$1:$O$933, 14, FALSE)</f>
        <v>GM</v>
      </c>
      <c r="M620" s="31">
        <v>1</v>
      </c>
    </row>
    <row r="621" spans="1:13" ht="15.75" hidden="1" customHeight="1" x14ac:dyDescent="0.2">
      <c r="A621" s="31">
        <v>620</v>
      </c>
      <c r="B621" s="31">
        <v>54</v>
      </c>
      <c r="C621" s="31">
        <v>85</v>
      </c>
      <c r="D621" s="31" t="s">
        <v>155</v>
      </c>
      <c r="E621" s="31" t="str">
        <f t="shared" si="9"/>
        <v>1285EN03PT</v>
      </c>
      <c r="F621" s="31">
        <f>VLOOKUP(B621,[1]Course!$A$2:$R$329,2,FALSE)</f>
        <v>0</v>
      </c>
      <c r="G621" s="31">
        <f>VLOOKUP(B621, [1]Course!$A$2:$L$950, 8, FALSE)</f>
        <v>12</v>
      </c>
      <c r="H621" s="31">
        <v>3</v>
      </c>
      <c r="I621" s="31">
        <v>1</v>
      </c>
      <c r="K621" s="31" t="s">
        <v>1548</v>
      </c>
      <c r="L621" s="31" t="str">
        <f>VLOOKUP(B621, [1]Course!$A$1:$O$933, 14, FALSE)</f>
        <v>EN</v>
      </c>
      <c r="M621" s="31">
        <v>1</v>
      </c>
    </row>
    <row r="622" spans="1:13" ht="15.75" hidden="1" customHeight="1" x14ac:dyDescent="0.2">
      <c r="A622" s="31">
        <v>621</v>
      </c>
      <c r="B622" s="31">
        <v>54</v>
      </c>
      <c r="C622" s="31">
        <v>86</v>
      </c>
      <c r="D622" s="31" t="s">
        <v>155</v>
      </c>
      <c r="E622" s="31" t="str">
        <f t="shared" si="9"/>
        <v>1286EN03PT</v>
      </c>
      <c r="F622" s="31">
        <f>VLOOKUP(B622,[1]Course!$A$2:$R$329,2,FALSE)</f>
        <v>0</v>
      </c>
      <c r="G622" s="31">
        <f>VLOOKUP(B622, [1]Course!$A$2:$L$950, 8, FALSE)</f>
        <v>12</v>
      </c>
      <c r="H622" s="31">
        <v>3</v>
      </c>
      <c r="I622" s="31">
        <v>1</v>
      </c>
      <c r="K622" s="31" t="s">
        <v>1548</v>
      </c>
      <c r="L622" s="31" t="str">
        <f>VLOOKUP(B622, [1]Course!$A$1:$O$933, 14, FALSE)</f>
        <v>EN</v>
      </c>
      <c r="M622" s="31">
        <v>1</v>
      </c>
    </row>
    <row r="623" spans="1:13" ht="15.75" hidden="1" customHeight="1" x14ac:dyDescent="0.2">
      <c r="A623" s="31">
        <v>622</v>
      </c>
      <c r="B623" s="31">
        <v>54</v>
      </c>
      <c r="C623" s="31">
        <v>87</v>
      </c>
      <c r="D623" s="31" t="s">
        <v>155</v>
      </c>
      <c r="E623" s="31" t="str">
        <f t="shared" si="9"/>
        <v>1287EN03PT</v>
      </c>
      <c r="F623" s="31">
        <f>VLOOKUP(B623,[1]Course!$A$2:$R$329,2,FALSE)</f>
        <v>0</v>
      </c>
      <c r="G623" s="31">
        <f>VLOOKUP(B623, [1]Course!$A$2:$L$950, 8, FALSE)</f>
        <v>12</v>
      </c>
      <c r="H623" s="31">
        <v>3</v>
      </c>
      <c r="I623" s="31">
        <v>1</v>
      </c>
      <c r="K623" s="31" t="s">
        <v>1548</v>
      </c>
      <c r="L623" s="31" t="str">
        <f>VLOOKUP(B623, [1]Course!$A$1:$O$933, 14, FALSE)</f>
        <v>EN</v>
      </c>
      <c r="M623" s="31">
        <v>1</v>
      </c>
    </row>
    <row r="624" spans="1:13" ht="15.75" hidden="1" customHeight="1" x14ac:dyDescent="0.2">
      <c r="A624" s="31">
        <v>623</v>
      </c>
      <c r="B624" s="31">
        <v>54</v>
      </c>
      <c r="C624" s="31">
        <v>88</v>
      </c>
      <c r="D624" s="31" t="s">
        <v>155</v>
      </c>
      <c r="E624" s="31" t="str">
        <f t="shared" si="9"/>
        <v>1288EN03PT</v>
      </c>
      <c r="F624" s="31">
        <f>VLOOKUP(B624,[1]Course!$A$2:$R$329,2,FALSE)</f>
        <v>0</v>
      </c>
      <c r="G624" s="31">
        <f>VLOOKUP(B624, [1]Course!$A$2:$L$950, 8, FALSE)</f>
        <v>12</v>
      </c>
      <c r="H624" s="31">
        <v>3</v>
      </c>
      <c r="I624" s="31">
        <v>1</v>
      </c>
      <c r="K624" s="31" t="s">
        <v>1548</v>
      </c>
      <c r="L624" s="31" t="str">
        <f>VLOOKUP(B624, [1]Course!$A$1:$O$933, 14, FALSE)</f>
        <v>EN</v>
      </c>
      <c r="M624" s="31">
        <v>1</v>
      </c>
    </row>
    <row r="625" spans="1:13" ht="15.75" hidden="1" customHeight="1" x14ac:dyDescent="0.2">
      <c r="A625" s="31">
        <v>624</v>
      </c>
      <c r="B625" s="31">
        <v>54</v>
      </c>
      <c r="C625" s="31">
        <v>89</v>
      </c>
      <c r="D625" s="31" t="s">
        <v>155</v>
      </c>
      <c r="E625" s="31" t="str">
        <f t="shared" si="9"/>
        <v>1289EN03PT</v>
      </c>
      <c r="F625" s="31">
        <f>VLOOKUP(B625,[1]Course!$A$2:$R$329,2,FALSE)</f>
        <v>0</v>
      </c>
      <c r="G625" s="31">
        <f>VLOOKUP(B625, [1]Course!$A$2:$L$950, 8, FALSE)</f>
        <v>12</v>
      </c>
      <c r="H625" s="31">
        <v>3</v>
      </c>
      <c r="I625" s="31">
        <v>1</v>
      </c>
      <c r="K625" s="31" t="s">
        <v>1548</v>
      </c>
      <c r="L625" s="31" t="str">
        <f>VLOOKUP(B625, [1]Course!$A$1:$O$933, 14, FALSE)</f>
        <v>EN</v>
      </c>
      <c r="M625" s="31">
        <v>1</v>
      </c>
    </row>
    <row r="626" spans="1:13" ht="15.75" hidden="1" customHeight="1" x14ac:dyDescent="0.2">
      <c r="A626" s="31">
        <v>625</v>
      </c>
      <c r="B626" s="31">
        <v>54</v>
      </c>
      <c r="C626" s="31">
        <v>90</v>
      </c>
      <c r="D626" s="31" t="s">
        <v>155</v>
      </c>
      <c r="E626" s="31" t="str">
        <f t="shared" si="9"/>
        <v>1290EN03PT</v>
      </c>
      <c r="F626" s="31">
        <f>VLOOKUP(B626,[1]Course!$A$2:$R$329,2,FALSE)</f>
        <v>0</v>
      </c>
      <c r="G626" s="31">
        <f>VLOOKUP(B626, [1]Course!$A$2:$L$950, 8, FALSE)</f>
        <v>12</v>
      </c>
      <c r="H626" s="31">
        <v>3</v>
      </c>
      <c r="I626" s="31">
        <v>1</v>
      </c>
      <c r="K626" s="31" t="s">
        <v>1548</v>
      </c>
      <c r="L626" s="31" t="str">
        <f>VLOOKUP(B626, [1]Course!$A$1:$O$933, 14, FALSE)</f>
        <v>EN</v>
      </c>
      <c r="M626" s="31">
        <v>1</v>
      </c>
    </row>
    <row r="627" spans="1:13" ht="15.75" hidden="1" customHeight="1" x14ac:dyDescent="0.2">
      <c r="A627" s="31">
        <v>626</v>
      </c>
      <c r="B627" s="31">
        <v>54</v>
      </c>
      <c r="C627" s="31">
        <v>91</v>
      </c>
      <c r="D627" s="31" t="s">
        <v>155</v>
      </c>
      <c r="E627" s="31" t="str">
        <f t="shared" si="9"/>
        <v>1291EN03PT</v>
      </c>
      <c r="F627" s="31">
        <f>VLOOKUP(B627,[1]Course!$A$2:$R$329,2,FALSE)</f>
        <v>0</v>
      </c>
      <c r="G627" s="31">
        <f>VLOOKUP(B627, [1]Course!$A$2:$L$950, 8, FALSE)</f>
        <v>12</v>
      </c>
      <c r="H627" s="31">
        <v>3</v>
      </c>
      <c r="I627" s="31">
        <v>1</v>
      </c>
      <c r="K627" s="31" t="s">
        <v>1548</v>
      </c>
      <c r="L627" s="31" t="str">
        <f>VLOOKUP(B627, [1]Course!$A$1:$O$933, 14, FALSE)</f>
        <v>EN</v>
      </c>
      <c r="M627" s="31">
        <v>1</v>
      </c>
    </row>
    <row r="628" spans="1:13" ht="15.75" hidden="1" customHeight="1" x14ac:dyDescent="0.2">
      <c r="A628" s="31">
        <v>627</v>
      </c>
      <c r="B628" s="31">
        <v>54</v>
      </c>
      <c r="C628" s="31">
        <v>92</v>
      </c>
      <c r="D628" s="31" t="s">
        <v>155</v>
      </c>
      <c r="E628" s="31" t="str">
        <f t="shared" si="9"/>
        <v>1292EN03PT</v>
      </c>
      <c r="F628" s="31">
        <f>VLOOKUP(B628,[1]Course!$A$2:$R$329,2,FALSE)</f>
        <v>0</v>
      </c>
      <c r="G628" s="31">
        <f>VLOOKUP(B628, [1]Course!$A$2:$L$950, 8, FALSE)</f>
        <v>12</v>
      </c>
      <c r="H628" s="31">
        <v>3</v>
      </c>
      <c r="I628" s="31">
        <v>1</v>
      </c>
      <c r="K628" s="31" t="s">
        <v>1548</v>
      </c>
      <c r="L628" s="31" t="str">
        <f>VLOOKUP(B628, [1]Course!$A$1:$O$933, 14, FALSE)</f>
        <v>EN</v>
      </c>
      <c r="M628" s="31">
        <v>1</v>
      </c>
    </row>
    <row r="629" spans="1:13" ht="15.75" hidden="1" customHeight="1" x14ac:dyDescent="0.2">
      <c r="A629" s="31">
        <v>628</v>
      </c>
      <c r="B629" s="31">
        <v>54</v>
      </c>
      <c r="C629" s="31">
        <v>93</v>
      </c>
      <c r="D629" s="31" t="s">
        <v>155</v>
      </c>
      <c r="E629" s="31" t="str">
        <f t="shared" si="9"/>
        <v>1293EN03PT</v>
      </c>
      <c r="F629" s="31">
        <f>VLOOKUP(B629,[1]Course!$A$2:$R$329,2,FALSE)</f>
        <v>0</v>
      </c>
      <c r="G629" s="31">
        <f>VLOOKUP(B629, [1]Course!$A$2:$L$950, 8, FALSE)</f>
        <v>12</v>
      </c>
      <c r="H629" s="31">
        <v>3</v>
      </c>
      <c r="I629" s="31">
        <v>1</v>
      </c>
      <c r="K629" s="31" t="s">
        <v>1548</v>
      </c>
      <c r="L629" s="31" t="str">
        <f>VLOOKUP(B629, [1]Course!$A$1:$O$933, 14, FALSE)</f>
        <v>EN</v>
      </c>
      <c r="M629" s="31">
        <v>1</v>
      </c>
    </row>
    <row r="630" spans="1:13" ht="15.75" hidden="1" customHeight="1" x14ac:dyDescent="0.2">
      <c r="A630" s="31">
        <v>629</v>
      </c>
      <c r="B630" s="31">
        <v>54</v>
      </c>
      <c r="C630" s="31">
        <v>94</v>
      </c>
      <c r="D630" s="31" t="s">
        <v>155</v>
      </c>
      <c r="E630" s="31" t="str">
        <f t="shared" si="9"/>
        <v>1294EN03PT</v>
      </c>
      <c r="F630" s="31">
        <f>VLOOKUP(B630,[1]Course!$A$2:$R$329,2,FALSE)</f>
        <v>0</v>
      </c>
      <c r="G630" s="31">
        <f>VLOOKUP(B630, [1]Course!$A$2:$L$950, 8, FALSE)</f>
        <v>12</v>
      </c>
      <c r="H630" s="31">
        <v>3</v>
      </c>
      <c r="I630" s="31">
        <v>1</v>
      </c>
      <c r="K630" s="31" t="s">
        <v>1548</v>
      </c>
      <c r="L630" s="31" t="str">
        <f>VLOOKUP(B630, [1]Course!$A$1:$O$933, 14, FALSE)</f>
        <v>EN</v>
      </c>
      <c r="M630" s="31">
        <v>1</v>
      </c>
    </row>
    <row r="631" spans="1:13" ht="15.75" hidden="1" customHeight="1" x14ac:dyDescent="0.2">
      <c r="A631" s="31">
        <v>630</v>
      </c>
      <c r="B631" s="31">
        <v>54</v>
      </c>
      <c r="C631" s="31">
        <v>95</v>
      </c>
      <c r="D631" s="31" t="s">
        <v>155</v>
      </c>
      <c r="E631" s="31" t="str">
        <f t="shared" si="9"/>
        <v>1295EN03PT</v>
      </c>
      <c r="F631" s="31">
        <f>VLOOKUP(B631,[1]Course!$A$2:$R$329,2,FALSE)</f>
        <v>0</v>
      </c>
      <c r="G631" s="31">
        <f>VLOOKUP(B631, [1]Course!$A$2:$L$950, 8, FALSE)</f>
        <v>12</v>
      </c>
      <c r="H631" s="31">
        <v>3</v>
      </c>
      <c r="I631" s="31">
        <v>1</v>
      </c>
      <c r="K631" s="31" t="s">
        <v>1548</v>
      </c>
      <c r="L631" s="31" t="str">
        <f>VLOOKUP(B631, [1]Course!$A$1:$O$933, 14, FALSE)</f>
        <v>EN</v>
      </c>
      <c r="M631" s="31">
        <v>1</v>
      </c>
    </row>
    <row r="632" spans="1:13" ht="15.75" hidden="1" customHeight="1" x14ac:dyDescent="0.2">
      <c r="A632" s="31">
        <v>631</v>
      </c>
      <c r="B632" s="31">
        <v>54</v>
      </c>
      <c r="C632" s="31">
        <v>96</v>
      </c>
      <c r="D632" s="31" t="s">
        <v>155</v>
      </c>
      <c r="E632" s="31" t="str">
        <f t="shared" si="9"/>
        <v>1296EN03PT</v>
      </c>
      <c r="F632" s="31">
        <f>VLOOKUP(B632,[1]Course!$A$2:$R$329,2,FALSE)</f>
        <v>0</v>
      </c>
      <c r="G632" s="31">
        <f>VLOOKUP(B632, [1]Course!$A$2:$L$950, 8, FALSE)</f>
        <v>12</v>
      </c>
      <c r="H632" s="31">
        <v>3</v>
      </c>
      <c r="I632" s="31">
        <v>1</v>
      </c>
      <c r="K632" s="31" t="s">
        <v>1548</v>
      </c>
      <c r="L632" s="31" t="str">
        <f>VLOOKUP(B632, [1]Course!$A$1:$O$933, 14, FALSE)</f>
        <v>EN</v>
      </c>
      <c r="M632" s="31">
        <v>1</v>
      </c>
    </row>
    <row r="633" spans="1:13" ht="15.75" hidden="1" customHeight="1" x14ac:dyDescent="0.2">
      <c r="A633" s="31">
        <v>632</v>
      </c>
      <c r="B633" s="31">
        <v>55</v>
      </c>
      <c r="C633" s="31">
        <v>85</v>
      </c>
      <c r="D633" s="31" t="s">
        <v>284</v>
      </c>
      <c r="E633" s="31" t="str">
        <f t="shared" si="9"/>
        <v>1285WB03PT</v>
      </c>
      <c r="F633" s="31">
        <f>VLOOKUP(B633,[1]Course!$A$2:$R$329,2,FALSE)</f>
        <v>0</v>
      </c>
      <c r="G633" s="31">
        <f>VLOOKUP(B633, [1]Course!$A$2:$L$950, 8, FALSE)</f>
        <v>12</v>
      </c>
      <c r="H633" s="31">
        <v>3</v>
      </c>
      <c r="I633" s="31">
        <v>1</v>
      </c>
      <c r="K633" s="31" t="s">
        <v>1548</v>
      </c>
      <c r="L633" s="31" t="str">
        <f>VLOOKUP(B633, [1]Course!$A$1:$O$933, 14, FALSE)</f>
        <v>WB</v>
      </c>
      <c r="M633" s="31">
        <v>1</v>
      </c>
    </row>
    <row r="634" spans="1:13" ht="15.75" hidden="1" customHeight="1" x14ac:dyDescent="0.2">
      <c r="A634" s="31">
        <v>633</v>
      </c>
      <c r="B634" s="31">
        <v>55</v>
      </c>
      <c r="C634" s="31">
        <v>86</v>
      </c>
      <c r="D634" s="31" t="s">
        <v>284</v>
      </c>
      <c r="E634" s="31" t="str">
        <f t="shared" si="9"/>
        <v>1286WB03PT</v>
      </c>
      <c r="F634" s="31">
        <f>VLOOKUP(B634,[1]Course!$A$2:$R$329,2,FALSE)</f>
        <v>0</v>
      </c>
      <c r="G634" s="31">
        <f>VLOOKUP(B634, [1]Course!$A$2:$L$950, 8, FALSE)</f>
        <v>12</v>
      </c>
      <c r="H634" s="31">
        <v>3</v>
      </c>
      <c r="I634" s="31">
        <v>1</v>
      </c>
      <c r="K634" s="31" t="s">
        <v>1548</v>
      </c>
      <c r="L634" s="31" t="str">
        <f>VLOOKUP(B634, [1]Course!$A$1:$O$933, 14, FALSE)</f>
        <v>WB</v>
      </c>
      <c r="M634" s="31">
        <v>1</v>
      </c>
    </row>
    <row r="635" spans="1:13" ht="15.75" hidden="1" customHeight="1" x14ac:dyDescent="0.2">
      <c r="A635" s="31">
        <v>634</v>
      </c>
      <c r="B635" s="31">
        <v>55</v>
      </c>
      <c r="C635" s="31">
        <v>87</v>
      </c>
      <c r="D635" s="31" t="s">
        <v>284</v>
      </c>
      <c r="E635" s="31" t="str">
        <f t="shared" si="9"/>
        <v>1287WB03PT</v>
      </c>
      <c r="F635" s="31">
        <f>VLOOKUP(B635,[1]Course!$A$2:$R$329,2,FALSE)</f>
        <v>0</v>
      </c>
      <c r="G635" s="31">
        <f>VLOOKUP(B635, [1]Course!$A$2:$L$950, 8, FALSE)</f>
        <v>12</v>
      </c>
      <c r="H635" s="31">
        <v>3</v>
      </c>
      <c r="I635" s="31">
        <v>1</v>
      </c>
      <c r="K635" s="31" t="s">
        <v>1548</v>
      </c>
      <c r="L635" s="31" t="str">
        <f>VLOOKUP(B635, [1]Course!$A$1:$O$933, 14, FALSE)</f>
        <v>WB</v>
      </c>
      <c r="M635" s="31">
        <v>1</v>
      </c>
    </row>
    <row r="636" spans="1:13" ht="15.75" hidden="1" customHeight="1" x14ac:dyDescent="0.2">
      <c r="A636" s="31">
        <v>635</v>
      </c>
      <c r="B636" s="31">
        <v>55</v>
      </c>
      <c r="C636" s="31">
        <v>88</v>
      </c>
      <c r="D636" s="31" t="s">
        <v>284</v>
      </c>
      <c r="E636" s="31" t="str">
        <f t="shared" si="9"/>
        <v>1288WB03PT</v>
      </c>
      <c r="F636" s="31">
        <f>VLOOKUP(B636,[1]Course!$A$2:$R$329,2,FALSE)</f>
        <v>0</v>
      </c>
      <c r="G636" s="31">
        <f>VLOOKUP(B636, [1]Course!$A$2:$L$950, 8, FALSE)</f>
        <v>12</v>
      </c>
      <c r="H636" s="31">
        <v>3</v>
      </c>
      <c r="I636" s="31">
        <v>1</v>
      </c>
      <c r="K636" s="31" t="s">
        <v>1548</v>
      </c>
      <c r="L636" s="31" t="str">
        <f>VLOOKUP(B636, [1]Course!$A$1:$O$933, 14, FALSE)</f>
        <v>WB</v>
      </c>
      <c r="M636" s="31">
        <v>1</v>
      </c>
    </row>
    <row r="637" spans="1:13" ht="15.75" hidden="1" customHeight="1" x14ac:dyDescent="0.2">
      <c r="A637" s="31">
        <v>636</v>
      </c>
      <c r="B637" s="31">
        <v>55</v>
      </c>
      <c r="C637" s="31">
        <v>89</v>
      </c>
      <c r="D637" s="31" t="s">
        <v>284</v>
      </c>
      <c r="E637" s="31" t="str">
        <f t="shared" si="9"/>
        <v>1289WB03PT</v>
      </c>
      <c r="F637" s="31">
        <f>VLOOKUP(B637,[1]Course!$A$2:$R$329,2,FALSE)</f>
        <v>0</v>
      </c>
      <c r="G637" s="31">
        <f>VLOOKUP(B637, [1]Course!$A$2:$L$950, 8, FALSE)</f>
        <v>12</v>
      </c>
      <c r="H637" s="31">
        <v>3</v>
      </c>
      <c r="I637" s="31">
        <v>1</v>
      </c>
      <c r="K637" s="31" t="s">
        <v>1548</v>
      </c>
      <c r="L637" s="31" t="str">
        <f>VLOOKUP(B637, [1]Course!$A$1:$O$933, 14, FALSE)</f>
        <v>WB</v>
      </c>
      <c r="M637" s="31">
        <v>1</v>
      </c>
    </row>
    <row r="638" spans="1:13" ht="15.75" hidden="1" customHeight="1" x14ac:dyDescent="0.2">
      <c r="A638" s="31">
        <v>637</v>
      </c>
      <c r="B638" s="31">
        <v>55</v>
      </c>
      <c r="C638" s="31">
        <v>90</v>
      </c>
      <c r="D638" s="31" t="s">
        <v>284</v>
      </c>
      <c r="E638" s="31" t="str">
        <f t="shared" si="9"/>
        <v>1290WB03PT</v>
      </c>
      <c r="F638" s="31">
        <f>VLOOKUP(B638,[1]Course!$A$2:$R$329,2,FALSE)</f>
        <v>0</v>
      </c>
      <c r="G638" s="31">
        <f>VLOOKUP(B638, [1]Course!$A$2:$L$950, 8, FALSE)</f>
        <v>12</v>
      </c>
      <c r="H638" s="31">
        <v>3</v>
      </c>
      <c r="I638" s="31">
        <v>1</v>
      </c>
      <c r="K638" s="31" t="s">
        <v>1548</v>
      </c>
      <c r="L638" s="31" t="str">
        <f>VLOOKUP(B638, [1]Course!$A$1:$O$933, 14, FALSE)</f>
        <v>WB</v>
      </c>
      <c r="M638" s="31">
        <v>1</v>
      </c>
    </row>
    <row r="639" spans="1:13" ht="15.75" hidden="1" customHeight="1" x14ac:dyDescent="0.2">
      <c r="A639" s="31">
        <v>638</v>
      </c>
      <c r="B639" s="31">
        <v>55</v>
      </c>
      <c r="C639" s="31">
        <v>91</v>
      </c>
      <c r="D639" s="31" t="s">
        <v>284</v>
      </c>
      <c r="E639" s="31" t="str">
        <f t="shared" si="9"/>
        <v>1291WB03PT</v>
      </c>
      <c r="F639" s="31">
        <f>VLOOKUP(B639,[1]Course!$A$2:$R$329,2,FALSE)</f>
        <v>0</v>
      </c>
      <c r="G639" s="31">
        <f>VLOOKUP(B639, [1]Course!$A$2:$L$950, 8, FALSE)</f>
        <v>12</v>
      </c>
      <c r="H639" s="31">
        <v>3</v>
      </c>
      <c r="I639" s="31">
        <v>1</v>
      </c>
      <c r="K639" s="31" t="s">
        <v>1548</v>
      </c>
      <c r="L639" s="31" t="str">
        <f>VLOOKUP(B639, [1]Course!$A$1:$O$933, 14, FALSE)</f>
        <v>WB</v>
      </c>
      <c r="M639" s="31">
        <v>1</v>
      </c>
    </row>
    <row r="640" spans="1:13" ht="15.75" hidden="1" customHeight="1" x14ac:dyDescent="0.2">
      <c r="A640" s="31">
        <v>639</v>
      </c>
      <c r="B640" s="31">
        <v>55</v>
      </c>
      <c r="C640" s="31">
        <v>92</v>
      </c>
      <c r="D640" s="31" t="s">
        <v>284</v>
      </c>
      <c r="E640" s="31" t="str">
        <f t="shared" si="9"/>
        <v>1292WB03PT</v>
      </c>
      <c r="F640" s="31">
        <f>VLOOKUP(B640,[1]Course!$A$2:$R$329,2,FALSE)</f>
        <v>0</v>
      </c>
      <c r="G640" s="31">
        <f>VLOOKUP(B640, [1]Course!$A$2:$L$950, 8, FALSE)</f>
        <v>12</v>
      </c>
      <c r="H640" s="31">
        <v>3</v>
      </c>
      <c r="I640" s="31">
        <v>1</v>
      </c>
      <c r="K640" s="31" t="s">
        <v>1548</v>
      </c>
      <c r="L640" s="31" t="str">
        <f>VLOOKUP(B640, [1]Course!$A$1:$O$933, 14, FALSE)</f>
        <v>WB</v>
      </c>
      <c r="M640" s="31">
        <v>1</v>
      </c>
    </row>
    <row r="641" spans="1:13" ht="15.75" hidden="1" customHeight="1" x14ac:dyDescent="0.2">
      <c r="A641" s="31">
        <v>640</v>
      </c>
      <c r="B641" s="31">
        <v>55</v>
      </c>
      <c r="C641" s="31">
        <v>93</v>
      </c>
      <c r="D641" s="31" t="s">
        <v>284</v>
      </c>
      <c r="E641" s="31" t="str">
        <f t="shared" si="9"/>
        <v>1293WB03PT</v>
      </c>
      <c r="F641" s="31">
        <f>VLOOKUP(B641,[1]Course!$A$2:$R$329,2,FALSE)</f>
        <v>0</v>
      </c>
      <c r="G641" s="31">
        <f>VLOOKUP(B641, [1]Course!$A$2:$L$950, 8, FALSE)</f>
        <v>12</v>
      </c>
      <c r="H641" s="31">
        <v>3</v>
      </c>
      <c r="I641" s="31">
        <v>1</v>
      </c>
      <c r="K641" s="31" t="s">
        <v>1548</v>
      </c>
      <c r="L641" s="31" t="str">
        <f>VLOOKUP(B641, [1]Course!$A$1:$O$933, 14, FALSE)</f>
        <v>WB</v>
      </c>
      <c r="M641" s="31">
        <v>1</v>
      </c>
    </row>
    <row r="642" spans="1:13" ht="15.75" hidden="1" customHeight="1" x14ac:dyDescent="0.2">
      <c r="A642" s="31">
        <v>641</v>
      </c>
      <c r="B642" s="31">
        <v>55</v>
      </c>
      <c r="C642" s="31">
        <v>94</v>
      </c>
      <c r="D642" s="31" t="s">
        <v>284</v>
      </c>
      <c r="E642" s="31" t="str">
        <f t="shared" si="9"/>
        <v>1294WB03PT</v>
      </c>
      <c r="F642" s="31">
        <f>VLOOKUP(B642,[1]Course!$A$2:$R$329,2,FALSE)</f>
        <v>0</v>
      </c>
      <c r="G642" s="31">
        <f>VLOOKUP(B642, [1]Course!$A$2:$L$950, 8, FALSE)</f>
        <v>12</v>
      </c>
      <c r="H642" s="31">
        <v>3</v>
      </c>
      <c r="I642" s="31">
        <v>1</v>
      </c>
      <c r="K642" s="31" t="s">
        <v>1548</v>
      </c>
      <c r="L642" s="31" t="str">
        <f>VLOOKUP(B642, [1]Course!$A$1:$O$933, 14, FALSE)</f>
        <v>WB</v>
      </c>
      <c r="M642" s="31">
        <v>1</v>
      </c>
    </row>
    <row r="643" spans="1:13" ht="15.75" hidden="1" customHeight="1" x14ac:dyDescent="0.2">
      <c r="A643" s="31">
        <v>642</v>
      </c>
      <c r="B643" s="31">
        <v>55</v>
      </c>
      <c r="C643" s="31">
        <v>95</v>
      </c>
      <c r="D643" s="31" t="s">
        <v>284</v>
      </c>
      <c r="E643" s="31" t="str">
        <f t="shared" ref="E643:E706" si="10">UPPER(LEFT(G643,2)) &amp; RIGHT("0" &amp; C643, 2) &amp; D643 &amp; RIGHT("0" &amp; H643, 2) &amp; K643</f>
        <v>1295WB03PT</v>
      </c>
      <c r="F643" s="31">
        <f>VLOOKUP(B643,[1]Course!$A$2:$R$329,2,FALSE)</f>
        <v>0</v>
      </c>
      <c r="G643" s="31">
        <f>VLOOKUP(B643, [1]Course!$A$2:$L$950, 8, FALSE)</f>
        <v>12</v>
      </c>
      <c r="H643" s="31">
        <v>3</v>
      </c>
      <c r="I643" s="31">
        <v>1</v>
      </c>
      <c r="K643" s="31" t="s">
        <v>1548</v>
      </c>
      <c r="L643" s="31" t="str">
        <f>VLOOKUP(B643, [1]Course!$A$1:$O$933, 14, FALSE)</f>
        <v>WB</v>
      </c>
      <c r="M643" s="31">
        <v>1</v>
      </c>
    </row>
    <row r="644" spans="1:13" ht="15.75" hidden="1" customHeight="1" x14ac:dyDescent="0.2">
      <c r="A644" s="31">
        <v>643</v>
      </c>
      <c r="B644" s="31">
        <v>55</v>
      </c>
      <c r="C644" s="31">
        <v>96</v>
      </c>
      <c r="D644" s="31" t="s">
        <v>284</v>
      </c>
      <c r="E644" s="31" t="str">
        <f t="shared" si="10"/>
        <v>1296WB03PT</v>
      </c>
      <c r="F644" s="31">
        <f>VLOOKUP(B644,[1]Course!$A$2:$R$329,2,FALSE)</f>
        <v>0</v>
      </c>
      <c r="G644" s="31">
        <f>VLOOKUP(B644, [1]Course!$A$2:$L$950, 8, FALSE)</f>
        <v>12</v>
      </c>
      <c r="H644" s="31">
        <v>3</v>
      </c>
      <c r="I644" s="31">
        <v>1</v>
      </c>
      <c r="K644" s="31" t="s">
        <v>1548</v>
      </c>
      <c r="L644" s="31" t="str">
        <f>VLOOKUP(B644, [1]Course!$A$1:$O$933, 14, FALSE)</f>
        <v>WB</v>
      </c>
      <c r="M644" s="31">
        <v>1</v>
      </c>
    </row>
    <row r="645" spans="1:13" ht="15.75" hidden="1" customHeight="1" x14ac:dyDescent="0.2">
      <c r="A645" s="31">
        <v>644</v>
      </c>
      <c r="B645" s="31">
        <v>56</v>
      </c>
      <c r="C645" s="31">
        <v>86</v>
      </c>
      <c r="D645" s="31" t="s">
        <v>85</v>
      </c>
      <c r="E645" s="31" t="str">
        <f t="shared" si="10"/>
        <v>1186LC03PT</v>
      </c>
      <c r="F645" s="31">
        <f>VLOOKUP(B645,[1]Course!$A$2:$R$329,2,FALSE)</f>
        <v>0</v>
      </c>
      <c r="G645" s="31">
        <f>VLOOKUP(B645, [1]Course!$A$2:$L$950, 8, FALSE)</f>
        <v>11</v>
      </c>
      <c r="H645" s="31">
        <v>3</v>
      </c>
      <c r="I645" s="31">
        <v>1</v>
      </c>
      <c r="K645" s="31" t="s">
        <v>1548</v>
      </c>
      <c r="L645" s="31" t="str">
        <f>VLOOKUP(B645, [1]Course!$A$1:$O$933, 14, FALSE)</f>
        <v>LC</v>
      </c>
      <c r="M645" s="31">
        <v>1</v>
      </c>
    </row>
    <row r="646" spans="1:13" ht="15.75" hidden="1" customHeight="1" x14ac:dyDescent="0.2">
      <c r="A646" s="31">
        <v>645</v>
      </c>
      <c r="B646" s="31">
        <v>56</v>
      </c>
      <c r="C646" s="31">
        <v>87</v>
      </c>
      <c r="D646" s="31" t="s">
        <v>85</v>
      </c>
      <c r="E646" s="31" t="str">
        <f t="shared" si="10"/>
        <v>1187LC03PT</v>
      </c>
      <c r="F646" s="31">
        <f>VLOOKUP(B646,[1]Course!$A$2:$R$329,2,FALSE)</f>
        <v>0</v>
      </c>
      <c r="G646" s="31">
        <f>VLOOKUP(B646, [1]Course!$A$2:$L$950, 8, FALSE)</f>
        <v>11</v>
      </c>
      <c r="H646" s="31">
        <v>3</v>
      </c>
      <c r="I646" s="31">
        <v>1</v>
      </c>
      <c r="K646" s="31" t="s">
        <v>1548</v>
      </c>
      <c r="L646" s="31" t="str">
        <f>VLOOKUP(B646, [1]Course!$A$1:$O$933, 14, FALSE)</f>
        <v>LC</v>
      </c>
      <c r="M646" s="31">
        <v>1</v>
      </c>
    </row>
    <row r="647" spans="1:13" ht="15.75" hidden="1" customHeight="1" x14ac:dyDescent="0.2">
      <c r="A647" s="31">
        <v>646</v>
      </c>
      <c r="B647" s="31">
        <v>56</v>
      </c>
      <c r="C647" s="31">
        <v>88</v>
      </c>
      <c r="D647" s="31" t="s">
        <v>85</v>
      </c>
      <c r="E647" s="31" t="str">
        <f t="shared" si="10"/>
        <v>1188LC03PT</v>
      </c>
      <c r="F647" s="31">
        <f>VLOOKUP(B647,[1]Course!$A$2:$R$329,2,FALSE)</f>
        <v>0</v>
      </c>
      <c r="G647" s="31">
        <f>VLOOKUP(B647, [1]Course!$A$2:$L$950, 8, FALSE)</f>
        <v>11</v>
      </c>
      <c r="H647" s="31">
        <v>3</v>
      </c>
      <c r="I647" s="31">
        <v>1</v>
      </c>
      <c r="K647" s="31" t="s">
        <v>1548</v>
      </c>
      <c r="L647" s="31" t="str">
        <f>VLOOKUP(B647, [1]Course!$A$1:$O$933, 14, FALSE)</f>
        <v>LC</v>
      </c>
      <c r="M647" s="31">
        <v>1</v>
      </c>
    </row>
    <row r="648" spans="1:13" ht="15.75" hidden="1" customHeight="1" x14ac:dyDescent="0.2">
      <c r="A648" s="31">
        <v>647</v>
      </c>
      <c r="B648" s="31">
        <v>56</v>
      </c>
      <c r="C648" s="31">
        <v>89</v>
      </c>
      <c r="D648" s="31" t="s">
        <v>85</v>
      </c>
      <c r="E648" s="31" t="str">
        <f t="shared" si="10"/>
        <v>1189LC03PT</v>
      </c>
      <c r="F648" s="31">
        <f>VLOOKUP(B648,[1]Course!$A$2:$R$329,2,FALSE)</f>
        <v>0</v>
      </c>
      <c r="G648" s="31">
        <f>VLOOKUP(B648, [1]Course!$A$2:$L$950, 8, FALSE)</f>
        <v>11</v>
      </c>
      <c r="H648" s="31">
        <v>3</v>
      </c>
      <c r="I648" s="31">
        <v>1</v>
      </c>
      <c r="K648" s="31" t="s">
        <v>1548</v>
      </c>
      <c r="L648" s="31" t="str">
        <f>VLOOKUP(B648, [1]Course!$A$1:$O$933, 14, FALSE)</f>
        <v>LC</v>
      </c>
      <c r="M648" s="31">
        <v>1</v>
      </c>
    </row>
    <row r="649" spans="1:13" ht="15.75" hidden="1" customHeight="1" x14ac:dyDescent="0.2">
      <c r="A649" s="31">
        <v>648</v>
      </c>
      <c r="B649" s="31">
        <v>56</v>
      </c>
      <c r="C649" s="31">
        <v>90</v>
      </c>
      <c r="D649" s="31" t="s">
        <v>85</v>
      </c>
      <c r="E649" s="31" t="str">
        <f t="shared" si="10"/>
        <v>1190LC03PT</v>
      </c>
      <c r="F649" s="31">
        <f>VLOOKUP(B649,[1]Course!$A$2:$R$329,2,FALSE)</f>
        <v>0</v>
      </c>
      <c r="G649" s="31">
        <f>VLOOKUP(B649, [1]Course!$A$2:$L$950, 8, FALSE)</f>
        <v>11</v>
      </c>
      <c r="H649" s="31">
        <v>3</v>
      </c>
      <c r="I649" s="31">
        <v>1</v>
      </c>
      <c r="K649" s="31" t="s">
        <v>1548</v>
      </c>
      <c r="L649" s="31" t="str">
        <f>VLOOKUP(B649, [1]Course!$A$1:$O$933, 14, FALSE)</f>
        <v>LC</v>
      </c>
      <c r="M649" s="31">
        <v>1</v>
      </c>
    </row>
    <row r="650" spans="1:13" ht="15.75" hidden="1" customHeight="1" x14ac:dyDescent="0.2">
      <c r="A650" s="31">
        <v>649</v>
      </c>
      <c r="B650" s="31">
        <v>56</v>
      </c>
      <c r="C650" s="31">
        <v>91</v>
      </c>
      <c r="D650" s="31" t="s">
        <v>85</v>
      </c>
      <c r="E650" s="31" t="str">
        <f t="shared" si="10"/>
        <v>1191LC03PT</v>
      </c>
      <c r="F650" s="31">
        <f>VLOOKUP(B650,[1]Course!$A$2:$R$329,2,FALSE)</f>
        <v>0</v>
      </c>
      <c r="G650" s="31">
        <f>VLOOKUP(B650, [1]Course!$A$2:$L$950, 8, FALSE)</f>
        <v>11</v>
      </c>
      <c r="H650" s="31">
        <v>3</v>
      </c>
      <c r="I650" s="31">
        <v>1</v>
      </c>
      <c r="K650" s="31" t="s">
        <v>1548</v>
      </c>
      <c r="L650" s="31" t="str">
        <f>VLOOKUP(B650, [1]Course!$A$1:$O$933, 14, FALSE)</f>
        <v>LC</v>
      </c>
      <c r="M650" s="31">
        <v>1</v>
      </c>
    </row>
    <row r="651" spans="1:13" ht="15.75" hidden="1" customHeight="1" x14ac:dyDescent="0.2">
      <c r="A651" s="31">
        <v>650</v>
      </c>
      <c r="B651" s="31">
        <v>56</v>
      </c>
      <c r="C651" s="31">
        <v>92</v>
      </c>
      <c r="D651" s="31" t="s">
        <v>85</v>
      </c>
      <c r="E651" s="31" t="str">
        <f t="shared" si="10"/>
        <v>1192LC03PT</v>
      </c>
      <c r="F651" s="31">
        <f>VLOOKUP(B651,[1]Course!$A$2:$R$329,2,FALSE)</f>
        <v>0</v>
      </c>
      <c r="G651" s="31">
        <f>VLOOKUP(B651, [1]Course!$A$2:$L$950, 8, FALSE)</f>
        <v>11</v>
      </c>
      <c r="H651" s="31">
        <v>3</v>
      </c>
      <c r="I651" s="31">
        <v>1</v>
      </c>
      <c r="K651" s="31" t="s">
        <v>1548</v>
      </c>
      <c r="L651" s="31" t="str">
        <f>VLOOKUP(B651, [1]Course!$A$1:$O$933, 14, FALSE)</f>
        <v>LC</v>
      </c>
      <c r="M651" s="31">
        <v>1</v>
      </c>
    </row>
    <row r="652" spans="1:13" ht="15.75" hidden="1" customHeight="1" x14ac:dyDescent="0.2">
      <c r="A652" s="31">
        <v>651</v>
      </c>
      <c r="B652" s="31">
        <v>56</v>
      </c>
      <c r="C652" s="31">
        <v>93</v>
      </c>
      <c r="D652" s="31" t="s">
        <v>85</v>
      </c>
      <c r="E652" s="31" t="str">
        <f t="shared" si="10"/>
        <v>1193LC03PT</v>
      </c>
      <c r="F652" s="31">
        <f>VLOOKUP(B652,[1]Course!$A$2:$R$329,2,FALSE)</f>
        <v>0</v>
      </c>
      <c r="G652" s="31">
        <f>VLOOKUP(B652, [1]Course!$A$2:$L$950, 8, FALSE)</f>
        <v>11</v>
      </c>
      <c r="H652" s="31">
        <v>3</v>
      </c>
      <c r="I652" s="31">
        <v>1</v>
      </c>
      <c r="K652" s="31" t="s">
        <v>1548</v>
      </c>
      <c r="L652" s="31" t="str">
        <f>VLOOKUP(B652, [1]Course!$A$1:$O$933, 14, FALSE)</f>
        <v>LC</v>
      </c>
      <c r="M652" s="31">
        <v>1</v>
      </c>
    </row>
    <row r="653" spans="1:13" ht="15.75" hidden="1" customHeight="1" x14ac:dyDescent="0.2">
      <c r="A653" s="31">
        <v>652</v>
      </c>
      <c r="B653" s="31">
        <v>56</v>
      </c>
      <c r="C653" s="31">
        <v>94</v>
      </c>
      <c r="D653" s="31" t="s">
        <v>85</v>
      </c>
      <c r="E653" s="31" t="str">
        <f t="shared" si="10"/>
        <v>1194LC03PT</v>
      </c>
      <c r="F653" s="31">
        <f>VLOOKUP(B653,[1]Course!$A$2:$R$329,2,FALSE)</f>
        <v>0</v>
      </c>
      <c r="G653" s="31">
        <f>VLOOKUP(B653, [1]Course!$A$2:$L$950, 8, FALSE)</f>
        <v>11</v>
      </c>
      <c r="H653" s="31">
        <v>3</v>
      </c>
      <c r="I653" s="31">
        <v>1</v>
      </c>
      <c r="K653" s="31" t="s">
        <v>1548</v>
      </c>
      <c r="L653" s="31" t="str">
        <f>VLOOKUP(B653, [1]Course!$A$1:$O$933, 14, FALSE)</f>
        <v>LC</v>
      </c>
      <c r="M653" s="31">
        <v>1</v>
      </c>
    </row>
    <row r="654" spans="1:13" ht="15.75" hidden="1" customHeight="1" x14ac:dyDescent="0.2">
      <c r="A654" s="31">
        <v>653</v>
      </c>
      <c r="B654" s="31">
        <v>56</v>
      </c>
      <c r="C654" s="31">
        <v>95</v>
      </c>
      <c r="D654" s="31" t="s">
        <v>85</v>
      </c>
      <c r="E654" s="31" t="str">
        <f t="shared" si="10"/>
        <v>1195LC03PT</v>
      </c>
      <c r="F654" s="31">
        <f>VLOOKUP(B654,[1]Course!$A$2:$R$329,2,FALSE)</f>
        <v>0</v>
      </c>
      <c r="G654" s="31">
        <f>VLOOKUP(B654, [1]Course!$A$2:$L$950, 8, FALSE)</f>
        <v>11</v>
      </c>
      <c r="H654" s="31">
        <v>3</v>
      </c>
      <c r="I654" s="31">
        <v>1</v>
      </c>
      <c r="K654" s="31" t="s">
        <v>1548</v>
      </c>
      <c r="L654" s="31" t="str">
        <f>VLOOKUP(B654, [1]Course!$A$1:$O$933, 14, FALSE)</f>
        <v>LC</v>
      </c>
      <c r="M654" s="31">
        <v>1</v>
      </c>
    </row>
    <row r="655" spans="1:13" ht="15.75" hidden="1" customHeight="1" x14ac:dyDescent="0.2">
      <c r="A655" s="31">
        <v>654</v>
      </c>
      <c r="B655" s="31">
        <v>56</v>
      </c>
      <c r="C655" s="31">
        <v>96</v>
      </c>
      <c r="D655" s="31" t="s">
        <v>85</v>
      </c>
      <c r="E655" s="31" t="str">
        <f t="shared" si="10"/>
        <v>1196LC03PT</v>
      </c>
      <c r="F655" s="31">
        <f>VLOOKUP(B655,[1]Course!$A$2:$R$329,2,FALSE)</f>
        <v>0</v>
      </c>
      <c r="G655" s="31">
        <f>VLOOKUP(B655, [1]Course!$A$2:$L$950, 8, FALSE)</f>
        <v>11</v>
      </c>
      <c r="H655" s="31">
        <v>3</v>
      </c>
      <c r="I655" s="31">
        <v>1</v>
      </c>
      <c r="K655" s="31" t="s">
        <v>1548</v>
      </c>
      <c r="L655" s="31" t="str">
        <f>VLOOKUP(B655, [1]Course!$A$1:$O$933, 14, FALSE)</f>
        <v>LC</v>
      </c>
      <c r="M655" s="31">
        <v>1</v>
      </c>
    </row>
    <row r="656" spans="1:13" ht="15.75" hidden="1" customHeight="1" x14ac:dyDescent="0.2">
      <c r="A656" s="31">
        <v>655</v>
      </c>
      <c r="B656" s="31">
        <v>57</v>
      </c>
      <c r="C656" s="31">
        <v>85</v>
      </c>
      <c r="D656" s="31" t="s">
        <v>91</v>
      </c>
      <c r="E656" s="31" t="str">
        <f t="shared" si="10"/>
        <v>1285ES03PT</v>
      </c>
      <c r="F656" s="31" t="str">
        <f>VLOOKUP(B656,[1]Course!$A$2:$R$329,2,FALSE)</f>
        <v>Science 8</v>
      </c>
      <c r="G656" s="31">
        <f>VLOOKUP(B656, [1]Course!$A$2:$L$950, 8, FALSE)</f>
        <v>12</v>
      </c>
      <c r="H656" s="31">
        <v>3</v>
      </c>
      <c r="I656" s="31">
        <v>1</v>
      </c>
      <c r="K656" s="31" t="s">
        <v>1548</v>
      </c>
      <c r="L656" s="31" t="str">
        <f>VLOOKUP(B656, [1]Course!$A$1:$O$933, 14, FALSE)</f>
        <v>ES</v>
      </c>
      <c r="M656" s="31">
        <v>1</v>
      </c>
    </row>
    <row r="657" spans="1:13" ht="15.75" hidden="1" customHeight="1" x14ac:dyDescent="0.2">
      <c r="A657" s="31">
        <v>656</v>
      </c>
      <c r="B657" s="31">
        <v>57</v>
      </c>
      <c r="C657" s="31">
        <v>86</v>
      </c>
      <c r="D657" s="31" t="s">
        <v>91</v>
      </c>
      <c r="E657" s="31" t="str">
        <f t="shared" si="10"/>
        <v>1286ES03PT</v>
      </c>
      <c r="F657" s="31" t="str">
        <f>VLOOKUP(B657,[1]Course!$A$2:$R$329,2,FALSE)</f>
        <v>Science 8</v>
      </c>
      <c r="G657" s="31">
        <f>VLOOKUP(B657, [1]Course!$A$2:$L$950, 8, FALSE)</f>
        <v>12</v>
      </c>
      <c r="H657" s="31">
        <v>3</v>
      </c>
      <c r="I657" s="31">
        <v>1</v>
      </c>
      <c r="K657" s="31" t="s">
        <v>1548</v>
      </c>
      <c r="L657" s="31" t="str">
        <f>VLOOKUP(B657, [1]Course!$A$1:$O$933, 14, FALSE)</f>
        <v>ES</v>
      </c>
      <c r="M657" s="31">
        <v>1</v>
      </c>
    </row>
    <row r="658" spans="1:13" ht="15.75" hidden="1" customHeight="1" x14ac:dyDescent="0.2">
      <c r="A658" s="31">
        <v>657</v>
      </c>
      <c r="B658" s="31">
        <v>57</v>
      </c>
      <c r="C658" s="31">
        <v>87</v>
      </c>
      <c r="D658" s="31" t="s">
        <v>91</v>
      </c>
      <c r="E658" s="31" t="str">
        <f t="shared" si="10"/>
        <v>1287ES03PT</v>
      </c>
      <c r="F658" s="31" t="str">
        <f>VLOOKUP(B658,[1]Course!$A$2:$R$329,2,FALSE)</f>
        <v>Science 8</v>
      </c>
      <c r="G658" s="31">
        <f>VLOOKUP(B658, [1]Course!$A$2:$L$950, 8, FALSE)</f>
        <v>12</v>
      </c>
      <c r="H658" s="31">
        <v>3</v>
      </c>
      <c r="I658" s="31">
        <v>1</v>
      </c>
      <c r="K658" s="31" t="s">
        <v>1548</v>
      </c>
      <c r="L658" s="31" t="str">
        <f>VLOOKUP(B658, [1]Course!$A$1:$O$933, 14, FALSE)</f>
        <v>ES</v>
      </c>
      <c r="M658" s="31">
        <v>1</v>
      </c>
    </row>
    <row r="659" spans="1:13" ht="15.75" hidden="1" customHeight="1" x14ac:dyDescent="0.2">
      <c r="A659" s="31">
        <v>658</v>
      </c>
      <c r="B659" s="31">
        <v>57</v>
      </c>
      <c r="C659" s="31">
        <v>88</v>
      </c>
      <c r="D659" s="31" t="s">
        <v>91</v>
      </c>
      <c r="E659" s="31" t="str">
        <f t="shared" si="10"/>
        <v>1288ES03PT</v>
      </c>
      <c r="F659" s="31" t="str">
        <f>VLOOKUP(B659,[1]Course!$A$2:$R$329,2,FALSE)</f>
        <v>Science 8</v>
      </c>
      <c r="G659" s="31">
        <f>VLOOKUP(B659, [1]Course!$A$2:$L$950, 8, FALSE)</f>
        <v>12</v>
      </c>
      <c r="H659" s="31">
        <v>3</v>
      </c>
      <c r="I659" s="31">
        <v>1</v>
      </c>
      <c r="K659" s="31" t="s">
        <v>1548</v>
      </c>
      <c r="L659" s="31" t="str">
        <f>VLOOKUP(B659, [1]Course!$A$1:$O$933, 14, FALSE)</f>
        <v>ES</v>
      </c>
      <c r="M659" s="31">
        <v>1</v>
      </c>
    </row>
    <row r="660" spans="1:13" ht="15.75" hidden="1" customHeight="1" x14ac:dyDescent="0.2">
      <c r="A660" s="31">
        <v>659</v>
      </c>
      <c r="B660" s="31">
        <v>57</v>
      </c>
      <c r="C660" s="31">
        <v>89</v>
      </c>
      <c r="D660" s="31" t="s">
        <v>91</v>
      </c>
      <c r="E660" s="31" t="str">
        <f t="shared" si="10"/>
        <v>1289ES03PT</v>
      </c>
      <c r="F660" s="31" t="str">
        <f>VLOOKUP(B660,[1]Course!$A$2:$R$329,2,FALSE)</f>
        <v>Science 8</v>
      </c>
      <c r="G660" s="31">
        <f>VLOOKUP(B660, [1]Course!$A$2:$L$950, 8, FALSE)</f>
        <v>12</v>
      </c>
      <c r="H660" s="31">
        <v>3</v>
      </c>
      <c r="I660" s="31">
        <v>1</v>
      </c>
      <c r="K660" s="31" t="s">
        <v>1548</v>
      </c>
      <c r="L660" s="31" t="str">
        <f>VLOOKUP(B660, [1]Course!$A$1:$O$933, 14, FALSE)</f>
        <v>ES</v>
      </c>
      <c r="M660" s="31">
        <v>1</v>
      </c>
    </row>
    <row r="661" spans="1:13" ht="15.75" hidden="1" customHeight="1" x14ac:dyDescent="0.2">
      <c r="A661" s="31">
        <v>660</v>
      </c>
      <c r="B661" s="31">
        <v>57</v>
      </c>
      <c r="C661" s="31">
        <v>90</v>
      </c>
      <c r="D661" s="31" t="s">
        <v>91</v>
      </c>
      <c r="E661" s="31" t="str">
        <f t="shared" si="10"/>
        <v>1290ES03PT</v>
      </c>
      <c r="F661" s="31" t="str">
        <f>VLOOKUP(B661,[1]Course!$A$2:$R$329,2,FALSE)</f>
        <v>Science 8</v>
      </c>
      <c r="G661" s="31">
        <f>VLOOKUP(B661, [1]Course!$A$2:$L$950, 8, FALSE)</f>
        <v>12</v>
      </c>
      <c r="H661" s="31">
        <v>3</v>
      </c>
      <c r="I661" s="31">
        <v>1</v>
      </c>
      <c r="K661" s="31" t="s">
        <v>1548</v>
      </c>
      <c r="L661" s="31" t="str">
        <f>VLOOKUP(B661, [1]Course!$A$1:$O$933, 14, FALSE)</f>
        <v>ES</v>
      </c>
      <c r="M661" s="31">
        <v>1</v>
      </c>
    </row>
    <row r="662" spans="1:13" ht="15.75" hidden="1" customHeight="1" x14ac:dyDescent="0.2">
      <c r="A662" s="31">
        <v>661</v>
      </c>
      <c r="B662" s="31">
        <v>57</v>
      </c>
      <c r="C662" s="31">
        <v>91</v>
      </c>
      <c r="D662" s="31" t="s">
        <v>91</v>
      </c>
      <c r="E662" s="31" t="str">
        <f t="shared" si="10"/>
        <v>1291ES03PT</v>
      </c>
      <c r="F662" s="31" t="str">
        <f>VLOOKUP(B662,[1]Course!$A$2:$R$329,2,FALSE)</f>
        <v>Science 8</v>
      </c>
      <c r="G662" s="31">
        <f>VLOOKUP(B662, [1]Course!$A$2:$L$950, 8, FALSE)</f>
        <v>12</v>
      </c>
      <c r="H662" s="31">
        <v>3</v>
      </c>
      <c r="I662" s="31">
        <v>1</v>
      </c>
      <c r="K662" s="31" t="s">
        <v>1548</v>
      </c>
      <c r="L662" s="31" t="str">
        <f>VLOOKUP(B662, [1]Course!$A$1:$O$933, 14, FALSE)</f>
        <v>ES</v>
      </c>
      <c r="M662" s="31">
        <v>1</v>
      </c>
    </row>
    <row r="663" spans="1:13" ht="15.75" hidden="1" customHeight="1" x14ac:dyDescent="0.2">
      <c r="A663" s="31">
        <v>662</v>
      </c>
      <c r="B663" s="31">
        <v>57</v>
      </c>
      <c r="C663" s="31">
        <v>92</v>
      </c>
      <c r="D663" s="31" t="s">
        <v>91</v>
      </c>
      <c r="E663" s="31" t="str">
        <f t="shared" si="10"/>
        <v>1292ES03PT</v>
      </c>
      <c r="F663" s="31" t="str">
        <f>VLOOKUP(B663,[1]Course!$A$2:$R$329,2,FALSE)</f>
        <v>Science 8</v>
      </c>
      <c r="G663" s="31">
        <f>VLOOKUP(B663, [1]Course!$A$2:$L$950, 8, FALSE)</f>
        <v>12</v>
      </c>
      <c r="H663" s="31">
        <v>3</v>
      </c>
      <c r="I663" s="31">
        <v>1</v>
      </c>
      <c r="K663" s="31" t="s">
        <v>1548</v>
      </c>
      <c r="L663" s="31" t="str">
        <f>VLOOKUP(B663, [1]Course!$A$1:$O$933, 14, FALSE)</f>
        <v>ES</v>
      </c>
      <c r="M663" s="31">
        <v>1</v>
      </c>
    </row>
    <row r="664" spans="1:13" ht="15.75" hidden="1" customHeight="1" x14ac:dyDescent="0.2">
      <c r="A664" s="31">
        <v>663</v>
      </c>
      <c r="B664" s="31">
        <v>57</v>
      </c>
      <c r="C664" s="31">
        <v>93</v>
      </c>
      <c r="D664" s="31" t="s">
        <v>91</v>
      </c>
      <c r="E664" s="31" t="str">
        <f t="shared" si="10"/>
        <v>1293ES03PT</v>
      </c>
      <c r="F664" s="31" t="str">
        <f>VLOOKUP(B664,[1]Course!$A$2:$R$329,2,FALSE)</f>
        <v>Science 8</v>
      </c>
      <c r="G664" s="31">
        <f>VLOOKUP(B664, [1]Course!$A$2:$L$950, 8, FALSE)</f>
        <v>12</v>
      </c>
      <c r="H664" s="31">
        <v>3</v>
      </c>
      <c r="I664" s="31">
        <v>1</v>
      </c>
      <c r="K664" s="31" t="s">
        <v>1548</v>
      </c>
      <c r="L664" s="31" t="str">
        <f>VLOOKUP(B664, [1]Course!$A$1:$O$933, 14, FALSE)</f>
        <v>ES</v>
      </c>
      <c r="M664" s="31">
        <v>1</v>
      </c>
    </row>
    <row r="665" spans="1:13" ht="15.75" hidden="1" customHeight="1" x14ac:dyDescent="0.2">
      <c r="A665" s="31">
        <v>664</v>
      </c>
      <c r="B665" s="31">
        <v>57</v>
      </c>
      <c r="C665" s="31">
        <v>94</v>
      </c>
      <c r="D665" s="31" t="s">
        <v>91</v>
      </c>
      <c r="E665" s="31" t="str">
        <f t="shared" si="10"/>
        <v>1294ES03PT</v>
      </c>
      <c r="F665" s="31" t="str">
        <f>VLOOKUP(B665,[1]Course!$A$2:$R$329,2,FALSE)</f>
        <v>Science 8</v>
      </c>
      <c r="G665" s="31">
        <f>VLOOKUP(B665, [1]Course!$A$2:$L$950, 8, FALSE)</f>
        <v>12</v>
      </c>
      <c r="H665" s="31">
        <v>3</v>
      </c>
      <c r="I665" s="31">
        <v>1</v>
      </c>
      <c r="K665" s="31" t="s">
        <v>1548</v>
      </c>
      <c r="L665" s="31" t="str">
        <f>VLOOKUP(B665, [1]Course!$A$1:$O$933, 14, FALSE)</f>
        <v>ES</v>
      </c>
      <c r="M665" s="31">
        <v>1</v>
      </c>
    </row>
    <row r="666" spans="1:13" ht="15.75" hidden="1" customHeight="1" x14ac:dyDescent="0.2">
      <c r="A666" s="31">
        <v>665</v>
      </c>
      <c r="B666" s="31">
        <v>57</v>
      </c>
      <c r="C666" s="31">
        <v>95</v>
      </c>
      <c r="D666" s="31" t="s">
        <v>91</v>
      </c>
      <c r="E666" s="31" t="str">
        <f t="shared" si="10"/>
        <v>1295ES03PT</v>
      </c>
      <c r="F666" s="31" t="str">
        <f>VLOOKUP(B666,[1]Course!$A$2:$R$329,2,FALSE)</f>
        <v>Science 8</v>
      </c>
      <c r="G666" s="31">
        <f>VLOOKUP(B666, [1]Course!$A$2:$L$950, 8, FALSE)</f>
        <v>12</v>
      </c>
      <c r="H666" s="31">
        <v>3</v>
      </c>
      <c r="I666" s="31">
        <v>1</v>
      </c>
      <c r="K666" s="31" t="s">
        <v>1548</v>
      </c>
      <c r="L666" s="31" t="str">
        <f>VLOOKUP(B666, [1]Course!$A$1:$O$933, 14, FALSE)</f>
        <v>ES</v>
      </c>
      <c r="M666" s="31">
        <v>1</v>
      </c>
    </row>
    <row r="667" spans="1:13" ht="15.75" hidden="1" customHeight="1" x14ac:dyDescent="0.2">
      <c r="A667" s="31">
        <v>666</v>
      </c>
      <c r="B667" s="31">
        <v>57</v>
      </c>
      <c r="C667" s="31">
        <v>96</v>
      </c>
      <c r="D667" s="31" t="s">
        <v>91</v>
      </c>
      <c r="E667" s="31" t="str">
        <f t="shared" si="10"/>
        <v>1296ES03PT</v>
      </c>
      <c r="F667" s="31" t="str">
        <f>VLOOKUP(B667,[1]Course!$A$2:$R$329,2,FALSE)</f>
        <v>Science 8</v>
      </c>
      <c r="G667" s="31">
        <f>VLOOKUP(B667, [1]Course!$A$2:$L$950, 8, FALSE)</f>
        <v>12</v>
      </c>
      <c r="H667" s="31">
        <v>3</v>
      </c>
      <c r="I667" s="31">
        <v>1</v>
      </c>
      <c r="K667" s="31" t="s">
        <v>1548</v>
      </c>
      <c r="L667" s="31" t="str">
        <f>VLOOKUP(B667, [1]Course!$A$1:$O$933, 14, FALSE)</f>
        <v>ES</v>
      </c>
      <c r="M667" s="31">
        <v>1</v>
      </c>
    </row>
    <row r="668" spans="1:13" ht="15.75" hidden="1" customHeight="1" x14ac:dyDescent="0.2">
      <c r="A668" s="31">
        <v>667</v>
      </c>
      <c r="B668" s="31">
        <v>58</v>
      </c>
      <c r="C668" s="31">
        <v>85</v>
      </c>
      <c r="D668" s="31" t="s">
        <v>82</v>
      </c>
      <c r="E668" s="31" t="str">
        <f t="shared" si="10"/>
        <v>1285UK03PT</v>
      </c>
      <c r="F668" s="31">
        <f>VLOOKUP(B668,[1]Course!$A$2:$R$329,2,FALSE)</f>
        <v>0</v>
      </c>
      <c r="G668" s="31">
        <f>VLOOKUP(B668, [1]Course!$A$2:$L$950, 8, FALSE)</f>
        <v>12</v>
      </c>
      <c r="H668" s="31">
        <v>3</v>
      </c>
      <c r="I668" s="31">
        <v>1</v>
      </c>
      <c r="K668" s="31" t="s">
        <v>1548</v>
      </c>
      <c r="L668" s="31" t="str">
        <f>VLOOKUP(B668, [1]Course!$A$1:$O$933, 14, FALSE)</f>
        <v>UK</v>
      </c>
      <c r="M668" s="31">
        <v>1</v>
      </c>
    </row>
    <row r="669" spans="1:13" ht="15.75" hidden="1" customHeight="1" x14ac:dyDescent="0.2">
      <c r="A669" s="31">
        <v>668</v>
      </c>
      <c r="B669" s="31">
        <v>58</v>
      </c>
      <c r="C669" s="31">
        <v>86</v>
      </c>
      <c r="D669" s="31" t="s">
        <v>82</v>
      </c>
      <c r="E669" s="31" t="str">
        <f t="shared" si="10"/>
        <v>1286UK03PT</v>
      </c>
      <c r="F669" s="31">
        <f>VLOOKUP(B669,[1]Course!$A$2:$R$329,2,FALSE)</f>
        <v>0</v>
      </c>
      <c r="G669" s="31">
        <f>VLOOKUP(B669, [1]Course!$A$2:$L$950, 8, FALSE)</f>
        <v>12</v>
      </c>
      <c r="H669" s="31">
        <v>3</v>
      </c>
      <c r="I669" s="31">
        <v>1</v>
      </c>
      <c r="K669" s="31" t="s">
        <v>1548</v>
      </c>
      <c r="L669" s="31" t="str">
        <f>VLOOKUP(B669, [1]Course!$A$1:$O$933, 14, FALSE)</f>
        <v>UK</v>
      </c>
      <c r="M669" s="31">
        <v>1</v>
      </c>
    </row>
    <row r="670" spans="1:13" ht="15.75" hidden="1" customHeight="1" x14ac:dyDescent="0.2">
      <c r="A670" s="31">
        <v>669</v>
      </c>
      <c r="B670" s="31">
        <v>58</v>
      </c>
      <c r="C670" s="31">
        <v>87</v>
      </c>
      <c r="D670" s="31" t="s">
        <v>82</v>
      </c>
      <c r="E670" s="31" t="str">
        <f t="shared" si="10"/>
        <v>1287UK03PT</v>
      </c>
      <c r="F670" s="31">
        <f>VLOOKUP(B670,[1]Course!$A$2:$R$329,2,FALSE)</f>
        <v>0</v>
      </c>
      <c r="G670" s="31">
        <f>VLOOKUP(B670, [1]Course!$A$2:$L$950, 8, FALSE)</f>
        <v>12</v>
      </c>
      <c r="H670" s="31">
        <v>3</v>
      </c>
      <c r="I670" s="31">
        <v>1</v>
      </c>
      <c r="K670" s="31" t="s">
        <v>1548</v>
      </c>
      <c r="L670" s="31" t="str">
        <f>VLOOKUP(B670, [1]Course!$A$1:$O$933, 14, FALSE)</f>
        <v>UK</v>
      </c>
      <c r="M670" s="31">
        <v>1</v>
      </c>
    </row>
    <row r="671" spans="1:13" ht="15.75" hidden="1" customHeight="1" x14ac:dyDescent="0.2">
      <c r="A671" s="31">
        <v>670</v>
      </c>
      <c r="B671" s="31">
        <v>58</v>
      </c>
      <c r="C671" s="31">
        <v>88</v>
      </c>
      <c r="D671" s="31" t="s">
        <v>82</v>
      </c>
      <c r="E671" s="31" t="str">
        <f t="shared" si="10"/>
        <v>1288UK03PT</v>
      </c>
      <c r="F671" s="31">
        <f>VLOOKUP(B671,[1]Course!$A$2:$R$329,2,FALSE)</f>
        <v>0</v>
      </c>
      <c r="G671" s="31">
        <f>VLOOKUP(B671, [1]Course!$A$2:$L$950, 8, FALSE)</f>
        <v>12</v>
      </c>
      <c r="H671" s="31">
        <v>3</v>
      </c>
      <c r="I671" s="31">
        <v>1</v>
      </c>
      <c r="K671" s="31" t="s">
        <v>1548</v>
      </c>
      <c r="L671" s="31" t="str">
        <f>VLOOKUP(B671, [1]Course!$A$1:$O$933, 14, FALSE)</f>
        <v>UK</v>
      </c>
      <c r="M671" s="31">
        <v>1</v>
      </c>
    </row>
    <row r="672" spans="1:13" ht="15.75" hidden="1" customHeight="1" x14ac:dyDescent="0.2">
      <c r="A672" s="31">
        <v>671</v>
      </c>
      <c r="B672" s="31">
        <v>58</v>
      </c>
      <c r="C672" s="31">
        <v>89</v>
      </c>
      <c r="D672" s="31" t="s">
        <v>82</v>
      </c>
      <c r="E672" s="31" t="str">
        <f t="shared" si="10"/>
        <v>1289UK03PT</v>
      </c>
      <c r="F672" s="31">
        <f>VLOOKUP(B672,[1]Course!$A$2:$R$329,2,FALSE)</f>
        <v>0</v>
      </c>
      <c r="G672" s="31">
        <f>VLOOKUP(B672, [1]Course!$A$2:$L$950, 8, FALSE)</f>
        <v>12</v>
      </c>
      <c r="H672" s="31">
        <v>3</v>
      </c>
      <c r="I672" s="31">
        <v>1</v>
      </c>
      <c r="K672" s="31" t="s">
        <v>1548</v>
      </c>
      <c r="L672" s="31" t="str">
        <f>VLOOKUP(B672, [1]Course!$A$1:$O$933, 14, FALSE)</f>
        <v>UK</v>
      </c>
      <c r="M672" s="31">
        <v>1</v>
      </c>
    </row>
    <row r="673" spans="1:13" ht="15.75" hidden="1" customHeight="1" x14ac:dyDescent="0.2">
      <c r="A673" s="31">
        <v>672</v>
      </c>
      <c r="B673" s="31">
        <v>58</v>
      </c>
      <c r="C673" s="31">
        <v>90</v>
      </c>
      <c r="D673" s="31" t="s">
        <v>82</v>
      </c>
      <c r="E673" s="31" t="str">
        <f t="shared" si="10"/>
        <v>1290UK03PT</v>
      </c>
      <c r="F673" s="31">
        <f>VLOOKUP(B673,[1]Course!$A$2:$R$329,2,FALSE)</f>
        <v>0</v>
      </c>
      <c r="G673" s="31">
        <f>VLOOKUP(B673, [1]Course!$A$2:$L$950, 8, FALSE)</f>
        <v>12</v>
      </c>
      <c r="H673" s="31">
        <v>3</v>
      </c>
      <c r="I673" s="31">
        <v>1</v>
      </c>
      <c r="K673" s="31" t="s">
        <v>1548</v>
      </c>
      <c r="L673" s="31" t="str">
        <f>VLOOKUP(B673, [1]Course!$A$1:$O$933, 14, FALSE)</f>
        <v>UK</v>
      </c>
      <c r="M673" s="31">
        <v>1</v>
      </c>
    </row>
    <row r="674" spans="1:13" ht="15.75" hidden="1" customHeight="1" x14ac:dyDescent="0.2">
      <c r="A674" s="31">
        <v>673</v>
      </c>
      <c r="B674" s="31">
        <v>58</v>
      </c>
      <c r="C674" s="31">
        <v>91</v>
      </c>
      <c r="D674" s="31" t="s">
        <v>82</v>
      </c>
      <c r="E674" s="31" t="str">
        <f t="shared" si="10"/>
        <v>1291UK03PT</v>
      </c>
      <c r="F674" s="31">
        <f>VLOOKUP(B674,[1]Course!$A$2:$R$329,2,FALSE)</f>
        <v>0</v>
      </c>
      <c r="G674" s="31">
        <f>VLOOKUP(B674, [1]Course!$A$2:$L$950, 8, FALSE)</f>
        <v>12</v>
      </c>
      <c r="H674" s="31">
        <v>3</v>
      </c>
      <c r="I674" s="31">
        <v>1</v>
      </c>
      <c r="K674" s="31" t="s">
        <v>1548</v>
      </c>
      <c r="L674" s="31" t="str">
        <f>VLOOKUP(B674, [1]Course!$A$1:$O$933, 14, FALSE)</f>
        <v>UK</v>
      </c>
      <c r="M674" s="31">
        <v>1</v>
      </c>
    </row>
    <row r="675" spans="1:13" ht="15.75" hidden="1" customHeight="1" x14ac:dyDescent="0.2">
      <c r="A675" s="31">
        <v>674</v>
      </c>
      <c r="B675" s="31">
        <v>58</v>
      </c>
      <c r="C675" s="31">
        <v>92</v>
      </c>
      <c r="D675" s="31" t="s">
        <v>82</v>
      </c>
      <c r="E675" s="31" t="str">
        <f t="shared" si="10"/>
        <v>1292UK03PT</v>
      </c>
      <c r="F675" s="31">
        <f>VLOOKUP(B675,[1]Course!$A$2:$R$329,2,FALSE)</f>
        <v>0</v>
      </c>
      <c r="G675" s="31">
        <f>VLOOKUP(B675, [1]Course!$A$2:$L$950, 8, FALSE)</f>
        <v>12</v>
      </c>
      <c r="H675" s="31">
        <v>3</v>
      </c>
      <c r="I675" s="31">
        <v>1</v>
      </c>
      <c r="K675" s="31" t="s">
        <v>1548</v>
      </c>
      <c r="L675" s="31" t="str">
        <f>VLOOKUP(B675, [1]Course!$A$1:$O$933, 14, FALSE)</f>
        <v>UK</v>
      </c>
      <c r="M675" s="31">
        <v>1</v>
      </c>
    </row>
    <row r="676" spans="1:13" ht="15.75" hidden="1" customHeight="1" x14ac:dyDescent="0.2">
      <c r="A676" s="31">
        <v>675</v>
      </c>
      <c r="B676" s="31">
        <v>58</v>
      </c>
      <c r="C676" s="31">
        <v>93</v>
      </c>
      <c r="D676" s="31" t="s">
        <v>82</v>
      </c>
      <c r="E676" s="31" t="str">
        <f t="shared" si="10"/>
        <v>1293UK03PT</v>
      </c>
      <c r="F676" s="31">
        <f>VLOOKUP(B676,[1]Course!$A$2:$R$329,2,FALSE)</f>
        <v>0</v>
      </c>
      <c r="G676" s="31">
        <f>VLOOKUP(B676, [1]Course!$A$2:$L$950, 8, FALSE)</f>
        <v>12</v>
      </c>
      <c r="H676" s="31">
        <v>3</v>
      </c>
      <c r="I676" s="31">
        <v>1</v>
      </c>
      <c r="K676" s="31" t="s">
        <v>1548</v>
      </c>
      <c r="L676" s="31" t="str">
        <f>VLOOKUP(B676, [1]Course!$A$1:$O$933, 14, FALSE)</f>
        <v>UK</v>
      </c>
      <c r="M676" s="31">
        <v>1</v>
      </c>
    </row>
    <row r="677" spans="1:13" ht="15.75" hidden="1" customHeight="1" x14ac:dyDescent="0.2">
      <c r="A677" s="31">
        <v>676</v>
      </c>
      <c r="B677" s="31">
        <v>58</v>
      </c>
      <c r="C677" s="31">
        <v>94</v>
      </c>
      <c r="D677" s="31" t="s">
        <v>82</v>
      </c>
      <c r="E677" s="31" t="str">
        <f t="shared" si="10"/>
        <v>1294UK03PT</v>
      </c>
      <c r="F677" s="31">
        <f>VLOOKUP(B677,[1]Course!$A$2:$R$329,2,FALSE)</f>
        <v>0</v>
      </c>
      <c r="G677" s="31">
        <f>VLOOKUP(B677, [1]Course!$A$2:$L$950, 8, FALSE)</f>
        <v>12</v>
      </c>
      <c r="H677" s="31">
        <v>3</v>
      </c>
      <c r="I677" s="31">
        <v>1</v>
      </c>
      <c r="K677" s="31" t="s">
        <v>1548</v>
      </c>
      <c r="L677" s="31" t="str">
        <f>VLOOKUP(B677, [1]Course!$A$1:$O$933, 14, FALSE)</f>
        <v>UK</v>
      </c>
      <c r="M677" s="31">
        <v>1</v>
      </c>
    </row>
    <row r="678" spans="1:13" ht="15.75" hidden="1" customHeight="1" x14ac:dyDescent="0.2">
      <c r="A678" s="31">
        <v>677</v>
      </c>
      <c r="B678" s="31">
        <v>58</v>
      </c>
      <c r="C678" s="31">
        <v>95</v>
      </c>
      <c r="D678" s="31" t="s">
        <v>82</v>
      </c>
      <c r="E678" s="31" t="str">
        <f t="shared" si="10"/>
        <v>1295UK03PT</v>
      </c>
      <c r="F678" s="31">
        <f>VLOOKUP(B678,[1]Course!$A$2:$R$329,2,FALSE)</f>
        <v>0</v>
      </c>
      <c r="G678" s="31">
        <f>VLOOKUP(B678, [1]Course!$A$2:$L$950, 8, FALSE)</f>
        <v>12</v>
      </c>
      <c r="H678" s="31">
        <v>3</v>
      </c>
      <c r="I678" s="31">
        <v>1</v>
      </c>
      <c r="K678" s="31" t="s">
        <v>1548</v>
      </c>
      <c r="L678" s="31" t="str">
        <f>VLOOKUP(B678, [1]Course!$A$1:$O$933, 14, FALSE)</f>
        <v>UK</v>
      </c>
      <c r="M678" s="31">
        <v>1</v>
      </c>
    </row>
    <row r="679" spans="1:13" ht="15.75" hidden="1" customHeight="1" x14ac:dyDescent="0.2">
      <c r="A679" s="31">
        <v>678</v>
      </c>
      <c r="B679" s="31">
        <v>58</v>
      </c>
      <c r="C679" s="31">
        <v>96</v>
      </c>
      <c r="D679" s="31" t="s">
        <v>82</v>
      </c>
      <c r="E679" s="31" t="str">
        <f t="shared" si="10"/>
        <v>1296UK03PT</v>
      </c>
      <c r="F679" s="31">
        <f>VLOOKUP(B679,[1]Course!$A$2:$R$329,2,FALSE)</f>
        <v>0</v>
      </c>
      <c r="G679" s="31">
        <f>VLOOKUP(B679, [1]Course!$A$2:$L$950, 8, FALSE)</f>
        <v>12</v>
      </c>
      <c r="H679" s="31">
        <v>3</v>
      </c>
      <c r="I679" s="31">
        <v>1</v>
      </c>
      <c r="K679" s="31" t="s">
        <v>1548</v>
      </c>
      <c r="L679" s="31" t="str">
        <f>VLOOKUP(B679, [1]Course!$A$1:$O$933, 14, FALSE)</f>
        <v>UK</v>
      </c>
      <c r="M679" s="31">
        <v>1</v>
      </c>
    </row>
    <row r="680" spans="1:13" ht="15.75" hidden="1" customHeight="1" x14ac:dyDescent="0.2">
      <c r="A680" s="31">
        <v>679</v>
      </c>
      <c r="B680" s="31">
        <v>59</v>
      </c>
      <c r="C680" s="31">
        <v>85</v>
      </c>
      <c r="D680" s="31" t="s">
        <v>59</v>
      </c>
      <c r="E680" s="31" t="str">
        <f t="shared" si="10"/>
        <v>1285WH03PT</v>
      </c>
      <c r="F680" s="31" t="str">
        <f>VLOOKUP(B680,[1]Course!$A$2:$R$329,2,FALSE)</f>
        <v>World History</v>
      </c>
      <c r="G680" s="31">
        <f>VLOOKUP(B680, [1]Course!$A$2:$L$950, 8, FALSE)</f>
        <v>12</v>
      </c>
      <c r="H680" s="31">
        <v>3</v>
      </c>
      <c r="I680" s="31">
        <v>1</v>
      </c>
      <c r="K680" s="31" t="s">
        <v>1548</v>
      </c>
      <c r="L680" s="31" t="str">
        <f>VLOOKUP(B680, [1]Course!$A$1:$O$933, 14, FALSE)</f>
        <v>WH</v>
      </c>
      <c r="M680" s="31">
        <v>1</v>
      </c>
    </row>
    <row r="681" spans="1:13" ht="15.75" hidden="1" customHeight="1" x14ac:dyDescent="0.2">
      <c r="A681" s="31">
        <v>680</v>
      </c>
      <c r="B681" s="31">
        <v>59</v>
      </c>
      <c r="C681" s="31">
        <v>86</v>
      </c>
      <c r="D681" s="31" t="s">
        <v>59</v>
      </c>
      <c r="E681" s="31" t="str">
        <f t="shared" si="10"/>
        <v>1286WH03PT</v>
      </c>
      <c r="F681" s="31" t="str">
        <f>VLOOKUP(B681,[1]Course!$A$2:$R$329,2,FALSE)</f>
        <v>World History</v>
      </c>
      <c r="G681" s="31">
        <f>VLOOKUP(B681, [1]Course!$A$2:$L$950, 8, FALSE)</f>
        <v>12</v>
      </c>
      <c r="H681" s="31">
        <v>3</v>
      </c>
      <c r="I681" s="31">
        <v>1</v>
      </c>
      <c r="K681" s="31" t="s">
        <v>1548</v>
      </c>
      <c r="L681" s="31" t="str">
        <f>VLOOKUP(B681, [1]Course!$A$1:$O$933, 14, FALSE)</f>
        <v>WH</v>
      </c>
      <c r="M681" s="31">
        <v>1</v>
      </c>
    </row>
    <row r="682" spans="1:13" ht="15.75" hidden="1" customHeight="1" x14ac:dyDescent="0.2">
      <c r="A682" s="31">
        <v>681</v>
      </c>
      <c r="B682" s="31">
        <v>59</v>
      </c>
      <c r="C682" s="31">
        <v>87</v>
      </c>
      <c r="D682" s="31" t="s">
        <v>59</v>
      </c>
      <c r="E682" s="31" t="str">
        <f t="shared" si="10"/>
        <v>1287WH03PT</v>
      </c>
      <c r="F682" s="31" t="str">
        <f>VLOOKUP(B682,[1]Course!$A$2:$R$329,2,FALSE)</f>
        <v>World History</v>
      </c>
      <c r="G682" s="31">
        <f>VLOOKUP(B682, [1]Course!$A$2:$L$950, 8, FALSE)</f>
        <v>12</v>
      </c>
      <c r="H682" s="31">
        <v>3</v>
      </c>
      <c r="I682" s="31">
        <v>1</v>
      </c>
      <c r="K682" s="31" t="s">
        <v>1548</v>
      </c>
      <c r="L682" s="31" t="str">
        <f>VLOOKUP(B682, [1]Course!$A$1:$O$933, 14, FALSE)</f>
        <v>WH</v>
      </c>
      <c r="M682" s="31">
        <v>1</v>
      </c>
    </row>
    <row r="683" spans="1:13" ht="15.75" hidden="1" customHeight="1" x14ac:dyDescent="0.2">
      <c r="A683" s="31">
        <v>682</v>
      </c>
      <c r="B683" s="31">
        <v>59</v>
      </c>
      <c r="C683" s="31">
        <v>88</v>
      </c>
      <c r="D683" s="31" t="s">
        <v>59</v>
      </c>
      <c r="E683" s="31" t="str">
        <f t="shared" si="10"/>
        <v>1288WH03PT</v>
      </c>
      <c r="F683" s="31" t="str">
        <f>VLOOKUP(B683,[1]Course!$A$2:$R$329,2,FALSE)</f>
        <v>World History</v>
      </c>
      <c r="G683" s="31">
        <f>VLOOKUP(B683, [1]Course!$A$2:$L$950, 8, FALSE)</f>
        <v>12</v>
      </c>
      <c r="H683" s="31">
        <v>3</v>
      </c>
      <c r="I683" s="31">
        <v>1</v>
      </c>
      <c r="K683" s="31" t="s">
        <v>1548</v>
      </c>
      <c r="L683" s="31" t="str">
        <f>VLOOKUP(B683, [1]Course!$A$1:$O$933, 14, FALSE)</f>
        <v>WH</v>
      </c>
      <c r="M683" s="31">
        <v>1</v>
      </c>
    </row>
    <row r="684" spans="1:13" ht="15.75" hidden="1" customHeight="1" x14ac:dyDescent="0.2">
      <c r="A684" s="31">
        <v>683</v>
      </c>
      <c r="B684" s="31">
        <v>59</v>
      </c>
      <c r="C684" s="31">
        <v>89</v>
      </c>
      <c r="D684" s="31" t="s">
        <v>59</v>
      </c>
      <c r="E684" s="31" t="str">
        <f t="shared" si="10"/>
        <v>1289WH03PT</v>
      </c>
      <c r="F684" s="31" t="str">
        <f>VLOOKUP(B684,[1]Course!$A$2:$R$329,2,FALSE)</f>
        <v>World History</v>
      </c>
      <c r="G684" s="31">
        <f>VLOOKUP(B684, [1]Course!$A$2:$L$950, 8, FALSE)</f>
        <v>12</v>
      </c>
      <c r="H684" s="31">
        <v>3</v>
      </c>
      <c r="I684" s="31">
        <v>1</v>
      </c>
      <c r="K684" s="31" t="s">
        <v>1548</v>
      </c>
      <c r="L684" s="31" t="str">
        <f>VLOOKUP(B684, [1]Course!$A$1:$O$933, 14, FALSE)</f>
        <v>WH</v>
      </c>
      <c r="M684" s="31">
        <v>1</v>
      </c>
    </row>
    <row r="685" spans="1:13" ht="15.75" hidden="1" customHeight="1" x14ac:dyDescent="0.2">
      <c r="A685" s="31">
        <v>684</v>
      </c>
      <c r="B685" s="31">
        <v>59</v>
      </c>
      <c r="C685" s="31">
        <v>90</v>
      </c>
      <c r="D685" s="31" t="s">
        <v>59</v>
      </c>
      <c r="E685" s="31" t="str">
        <f t="shared" si="10"/>
        <v>1290WH03PT</v>
      </c>
      <c r="F685" s="31" t="str">
        <f>VLOOKUP(B685,[1]Course!$A$2:$R$329,2,FALSE)</f>
        <v>World History</v>
      </c>
      <c r="G685" s="31">
        <f>VLOOKUP(B685, [1]Course!$A$2:$L$950, 8, FALSE)</f>
        <v>12</v>
      </c>
      <c r="H685" s="31">
        <v>3</v>
      </c>
      <c r="I685" s="31">
        <v>1</v>
      </c>
      <c r="K685" s="31" t="s">
        <v>1548</v>
      </c>
      <c r="L685" s="31" t="str">
        <f>VLOOKUP(B685, [1]Course!$A$1:$O$933, 14, FALSE)</f>
        <v>WH</v>
      </c>
      <c r="M685" s="31">
        <v>1</v>
      </c>
    </row>
    <row r="686" spans="1:13" ht="15.75" hidden="1" customHeight="1" x14ac:dyDescent="0.2">
      <c r="A686" s="31">
        <v>685</v>
      </c>
      <c r="B686" s="31">
        <v>59</v>
      </c>
      <c r="C686" s="31">
        <v>91</v>
      </c>
      <c r="D686" s="31" t="s">
        <v>59</v>
      </c>
      <c r="E686" s="31" t="str">
        <f t="shared" si="10"/>
        <v>1291WH03PT</v>
      </c>
      <c r="F686" s="31" t="str">
        <f>VLOOKUP(B686,[1]Course!$A$2:$R$329,2,FALSE)</f>
        <v>World History</v>
      </c>
      <c r="G686" s="31">
        <f>VLOOKUP(B686, [1]Course!$A$2:$L$950, 8, FALSE)</f>
        <v>12</v>
      </c>
      <c r="H686" s="31">
        <v>3</v>
      </c>
      <c r="I686" s="31">
        <v>1</v>
      </c>
      <c r="K686" s="31" t="s">
        <v>1548</v>
      </c>
      <c r="L686" s="31" t="str">
        <f>VLOOKUP(B686, [1]Course!$A$1:$O$933, 14, FALSE)</f>
        <v>WH</v>
      </c>
      <c r="M686" s="31">
        <v>1</v>
      </c>
    </row>
    <row r="687" spans="1:13" ht="15.75" hidden="1" customHeight="1" x14ac:dyDescent="0.2">
      <c r="A687" s="31">
        <v>686</v>
      </c>
      <c r="B687" s="31">
        <v>59</v>
      </c>
      <c r="C687" s="31">
        <v>92</v>
      </c>
      <c r="D687" s="31" t="s">
        <v>59</v>
      </c>
      <c r="E687" s="31" t="str">
        <f t="shared" si="10"/>
        <v>1292WH03PT</v>
      </c>
      <c r="F687" s="31" t="str">
        <f>VLOOKUP(B687,[1]Course!$A$2:$R$329,2,FALSE)</f>
        <v>World History</v>
      </c>
      <c r="G687" s="31">
        <f>VLOOKUP(B687, [1]Course!$A$2:$L$950, 8, FALSE)</f>
        <v>12</v>
      </c>
      <c r="H687" s="31">
        <v>3</v>
      </c>
      <c r="I687" s="31">
        <v>1</v>
      </c>
      <c r="K687" s="31" t="s">
        <v>1548</v>
      </c>
      <c r="L687" s="31" t="str">
        <f>VLOOKUP(B687, [1]Course!$A$1:$O$933, 14, FALSE)</f>
        <v>WH</v>
      </c>
      <c r="M687" s="31">
        <v>1</v>
      </c>
    </row>
    <row r="688" spans="1:13" ht="15.75" hidden="1" customHeight="1" x14ac:dyDescent="0.2">
      <c r="A688" s="31">
        <v>687</v>
      </c>
      <c r="B688" s="31">
        <v>59</v>
      </c>
      <c r="C688" s="31">
        <v>93</v>
      </c>
      <c r="D688" s="31" t="s">
        <v>59</v>
      </c>
      <c r="E688" s="31" t="str">
        <f t="shared" si="10"/>
        <v>1293WH03PT</v>
      </c>
      <c r="F688" s="31" t="str">
        <f>VLOOKUP(B688,[1]Course!$A$2:$R$329,2,FALSE)</f>
        <v>World History</v>
      </c>
      <c r="G688" s="31">
        <f>VLOOKUP(B688, [1]Course!$A$2:$L$950, 8, FALSE)</f>
        <v>12</v>
      </c>
      <c r="H688" s="31">
        <v>3</v>
      </c>
      <c r="I688" s="31">
        <v>1</v>
      </c>
      <c r="K688" s="31" t="s">
        <v>1548</v>
      </c>
      <c r="L688" s="31" t="str">
        <f>VLOOKUP(B688, [1]Course!$A$1:$O$933, 14, FALSE)</f>
        <v>WH</v>
      </c>
      <c r="M688" s="31">
        <v>1</v>
      </c>
    </row>
    <row r="689" spans="1:13" ht="15.75" hidden="1" customHeight="1" x14ac:dyDescent="0.2">
      <c r="A689" s="31">
        <v>688</v>
      </c>
      <c r="B689" s="31">
        <v>59</v>
      </c>
      <c r="C689" s="31">
        <v>94</v>
      </c>
      <c r="D689" s="31" t="s">
        <v>59</v>
      </c>
      <c r="E689" s="31" t="str">
        <f t="shared" si="10"/>
        <v>1294WH03PT</v>
      </c>
      <c r="F689" s="31" t="str">
        <f>VLOOKUP(B689,[1]Course!$A$2:$R$329,2,FALSE)</f>
        <v>World History</v>
      </c>
      <c r="G689" s="31">
        <f>VLOOKUP(B689, [1]Course!$A$2:$L$950, 8, FALSE)</f>
        <v>12</v>
      </c>
      <c r="H689" s="31">
        <v>3</v>
      </c>
      <c r="I689" s="31">
        <v>1</v>
      </c>
      <c r="K689" s="31" t="s">
        <v>1548</v>
      </c>
      <c r="L689" s="31" t="str">
        <f>VLOOKUP(B689, [1]Course!$A$1:$O$933, 14, FALSE)</f>
        <v>WH</v>
      </c>
      <c r="M689" s="31">
        <v>1</v>
      </c>
    </row>
    <row r="690" spans="1:13" ht="15.75" hidden="1" customHeight="1" x14ac:dyDescent="0.2">
      <c r="A690" s="31">
        <v>689</v>
      </c>
      <c r="B690" s="31">
        <v>59</v>
      </c>
      <c r="C690" s="31">
        <v>95</v>
      </c>
      <c r="D690" s="31" t="s">
        <v>59</v>
      </c>
      <c r="E690" s="31" t="str">
        <f t="shared" si="10"/>
        <v>1295WH03PT</v>
      </c>
      <c r="F690" s="31" t="str">
        <f>VLOOKUP(B690,[1]Course!$A$2:$R$329,2,FALSE)</f>
        <v>World History</v>
      </c>
      <c r="G690" s="31">
        <f>VLOOKUP(B690, [1]Course!$A$2:$L$950, 8, FALSE)</f>
        <v>12</v>
      </c>
      <c r="H690" s="31">
        <v>3</v>
      </c>
      <c r="I690" s="31">
        <v>1</v>
      </c>
      <c r="K690" s="31" t="s">
        <v>1548</v>
      </c>
      <c r="L690" s="31" t="str">
        <f>VLOOKUP(B690, [1]Course!$A$1:$O$933, 14, FALSE)</f>
        <v>WH</v>
      </c>
      <c r="M690" s="31">
        <v>1</v>
      </c>
    </row>
    <row r="691" spans="1:13" ht="15.75" hidden="1" customHeight="1" x14ac:dyDescent="0.2">
      <c r="A691" s="31">
        <v>690</v>
      </c>
      <c r="B691" s="31">
        <v>59</v>
      </c>
      <c r="C691" s="31">
        <v>96</v>
      </c>
      <c r="D691" s="31" t="s">
        <v>59</v>
      </c>
      <c r="E691" s="31" t="str">
        <f t="shared" si="10"/>
        <v>1296WH03PT</v>
      </c>
      <c r="F691" s="31" t="str">
        <f>VLOOKUP(B691,[1]Course!$A$2:$R$329,2,FALSE)</f>
        <v>World History</v>
      </c>
      <c r="G691" s="31">
        <f>VLOOKUP(B691, [1]Course!$A$2:$L$950, 8, FALSE)</f>
        <v>12</v>
      </c>
      <c r="H691" s="31">
        <v>3</v>
      </c>
      <c r="I691" s="31">
        <v>1</v>
      </c>
      <c r="K691" s="31" t="s">
        <v>1548</v>
      </c>
      <c r="L691" s="31" t="str">
        <f>VLOOKUP(B691, [1]Course!$A$1:$O$933, 14, FALSE)</f>
        <v>WH</v>
      </c>
      <c r="M691" s="31">
        <v>1</v>
      </c>
    </row>
    <row r="692" spans="1:13" ht="15.75" hidden="1" customHeight="1" x14ac:dyDescent="0.2">
      <c r="A692" s="31">
        <v>691</v>
      </c>
      <c r="B692" s="31">
        <v>60</v>
      </c>
      <c r="C692" s="31">
        <v>97</v>
      </c>
      <c r="D692" s="31" t="s">
        <v>271</v>
      </c>
      <c r="E692" s="31" t="str">
        <f t="shared" si="10"/>
        <v>1297NT03PT</v>
      </c>
      <c r="F692" s="31" t="str">
        <f>VLOOKUP(B692,[1]Course!$A$2:$R$329,2,FALSE)</f>
        <v>Biblical Studies I: New Testament Survey</v>
      </c>
      <c r="G692" s="31">
        <f>VLOOKUP(B692, [1]Course!$A$2:$L$950, 8, FALSE)</f>
        <v>12</v>
      </c>
      <c r="H692" s="31">
        <v>3</v>
      </c>
      <c r="I692" s="31">
        <v>1</v>
      </c>
      <c r="K692" s="31" t="s">
        <v>1548</v>
      </c>
      <c r="L692" s="31" t="str">
        <f>VLOOKUP(B692, [1]Course!$A$1:$O$933, 14, FALSE)</f>
        <v>NT</v>
      </c>
      <c r="M692" s="31">
        <v>1</v>
      </c>
    </row>
    <row r="693" spans="1:13" ht="15.75" hidden="1" customHeight="1" x14ac:dyDescent="0.2">
      <c r="A693" s="31">
        <v>692</v>
      </c>
      <c r="B693" s="31">
        <v>60</v>
      </c>
      <c r="C693" s="31">
        <v>98</v>
      </c>
      <c r="D693" s="31" t="s">
        <v>271</v>
      </c>
      <c r="E693" s="31" t="str">
        <f t="shared" si="10"/>
        <v>1298NT03PT</v>
      </c>
      <c r="F693" s="31" t="str">
        <f>VLOOKUP(B693,[1]Course!$A$2:$R$329,2,FALSE)</f>
        <v>Biblical Studies I: New Testament Survey</v>
      </c>
      <c r="G693" s="31">
        <f>VLOOKUP(B693, [1]Course!$A$2:$L$950, 8, FALSE)</f>
        <v>12</v>
      </c>
      <c r="H693" s="31">
        <v>3</v>
      </c>
      <c r="I693" s="31">
        <v>1</v>
      </c>
      <c r="K693" s="31" t="s">
        <v>1548</v>
      </c>
      <c r="L693" s="31" t="str">
        <f>VLOOKUP(B693, [1]Course!$A$1:$O$933, 14, FALSE)</f>
        <v>NT</v>
      </c>
      <c r="M693" s="31">
        <v>1</v>
      </c>
    </row>
    <row r="694" spans="1:13" ht="15.75" hidden="1" customHeight="1" x14ac:dyDescent="0.2">
      <c r="A694" s="31">
        <v>693</v>
      </c>
      <c r="B694" s="31">
        <v>60</v>
      </c>
      <c r="C694" s="31">
        <v>99</v>
      </c>
      <c r="D694" s="31" t="s">
        <v>271</v>
      </c>
      <c r="E694" s="31" t="str">
        <f t="shared" si="10"/>
        <v>1299NT03PT</v>
      </c>
      <c r="F694" s="31" t="str">
        <f>VLOOKUP(B694,[1]Course!$A$2:$R$329,2,FALSE)</f>
        <v>Biblical Studies I: New Testament Survey</v>
      </c>
      <c r="G694" s="31">
        <f>VLOOKUP(B694, [1]Course!$A$2:$L$950, 8, FALSE)</f>
        <v>12</v>
      </c>
      <c r="H694" s="31">
        <v>3</v>
      </c>
      <c r="I694" s="31">
        <v>1</v>
      </c>
      <c r="K694" s="31" t="s">
        <v>1548</v>
      </c>
      <c r="L694" s="31" t="str">
        <f>VLOOKUP(B694, [1]Course!$A$1:$O$933, 14, FALSE)</f>
        <v>NT</v>
      </c>
      <c r="M694" s="31">
        <v>1</v>
      </c>
    </row>
    <row r="695" spans="1:13" ht="15.75" hidden="1" customHeight="1" x14ac:dyDescent="0.2">
      <c r="A695" s="31">
        <v>694</v>
      </c>
      <c r="B695" s="31">
        <v>60</v>
      </c>
      <c r="C695" s="31">
        <v>100</v>
      </c>
      <c r="D695" s="31" t="s">
        <v>271</v>
      </c>
      <c r="E695" s="31" t="str">
        <f t="shared" si="10"/>
        <v>1200NT03PT</v>
      </c>
      <c r="F695" s="31" t="str">
        <f>VLOOKUP(B695,[1]Course!$A$2:$R$329,2,FALSE)</f>
        <v>Biblical Studies I: New Testament Survey</v>
      </c>
      <c r="G695" s="31">
        <f>VLOOKUP(B695, [1]Course!$A$2:$L$950, 8, FALSE)</f>
        <v>12</v>
      </c>
      <c r="H695" s="31">
        <v>3</v>
      </c>
      <c r="I695" s="31">
        <v>1</v>
      </c>
      <c r="K695" s="31" t="s">
        <v>1548</v>
      </c>
      <c r="L695" s="31" t="str">
        <f>VLOOKUP(B695, [1]Course!$A$1:$O$933, 14, FALSE)</f>
        <v>NT</v>
      </c>
      <c r="M695" s="31">
        <v>1</v>
      </c>
    </row>
    <row r="696" spans="1:13" ht="15.75" hidden="1" customHeight="1" x14ac:dyDescent="0.2">
      <c r="A696" s="31">
        <v>695</v>
      </c>
      <c r="B696" s="31">
        <v>60</v>
      </c>
      <c r="C696" s="31">
        <v>101</v>
      </c>
      <c r="D696" s="31" t="s">
        <v>271</v>
      </c>
      <c r="E696" s="31" t="str">
        <f t="shared" si="10"/>
        <v>1201NT03PT</v>
      </c>
      <c r="F696" s="31" t="str">
        <f>VLOOKUP(B696,[1]Course!$A$2:$R$329,2,FALSE)</f>
        <v>Biblical Studies I: New Testament Survey</v>
      </c>
      <c r="G696" s="31">
        <f>VLOOKUP(B696, [1]Course!$A$2:$L$950, 8, FALSE)</f>
        <v>12</v>
      </c>
      <c r="H696" s="31">
        <v>3</v>
      </c>
      <c r="I696" s="31">
        <v>1</v>
      </c>
      <c r="K696" s="31" t="s">
        <v>1548</v>
      </c>
      <c r="L696" s="31" t="str">
        <f>VLOOKUP(B696, [1]Course!$A$1:$O$933, 14, FALSE)</f>
        <v>NT</v>
      </c>
      <c r="M696" s="31">
        <v>1</v>
      </c>
    </row>
    <row r="697" spans="1:13" ht="15.75" hidden="1" customHeight="1" x14ac:dyDescent="0.2">
      <c r="A697" s="31">
        <v>696</v>
      </c>
      <c r="B697" s="31">
        <v>60</v>
      </c>
      <c r="C697" s="31">
        <v>102</v>
      </c>
      <c r="D697" s="31" t="s">
        <v>271</v>
      </c>
      <c r="E697" s="31" t="str">
        <f t="shared" si="10"/>
        <v>1202NT03PT</v>
      </c>
      <c r="F697" s="31" t="str">
        <f>VLOOKUP(B697,[1]Course!$A$2:$R$329,2,FALSE)</f>
        <v>Biblical Studies I: New Testament Survey</v>
      </c>
      <c r="G697" s="31">
        <f>VLOOKUP(B697, [1]Course!$A$2:$L$950, 8, FALSE)</f>
        <v>12</v>
      </c>
      <c r="H697" s="31">
        <v>3</v>
      </c>
      <c r="I697" s="31">
        <v>1</v>
      </c>
      <c r="K697" s="31" t="s">
        <v>1548</v>
      </c>
      <c r="L697" s="31" t="str">
        <f>VLOOKUP(B697, [1]Course!$A$1:$O$933, 14, FALSE)</f>
        <v>NT</v>
      </c>
      <c r="M697" s="31">
        <v>1</v>
      </c>
    </row>
    <row r="698" spans="1:13" ht="15.75" hidden="1" customHeight="1" x14ac:dyDescent="0.2">
      <c r="A698" s="31">
        <v>697</v>
      </c>
      <c r="B698" s="31">
        <v>61</v>
      </c>
      <c r="C698" s="31">
        <v>97</v>
      </c>
      <c r="D698" s="31" t="s">
        <v>188</v>
      </c>
      <c r="E698" s="31" t="str">
        <f t="shared" si="10"/>
        <v>1297AL03PT</v>
      </c>
      <c r="F698" s="31">
        <f>VLOOKUP(B698,[1]Course!$A$2:$R$329,2,FALSE)</f>
        <v>0</v>
      </c>
      <c r="G698" s="31">
        <f>VLOOKUP(B698, [1]Course!$A$2:$L$950, 8, FALSE)</f>
        <v>12</v>
      </c>
      <c r="H698" s="31">
        <v>3</v>
      </c>
      <c r="I698" s="31">
        <v>1</v>
      </c>
      <c r="K698" s="31" t="s">
        <v>1548</v>
      </c>
      <c r="L698" s="31" t="str">
        <f>VLOOKUP(B698, [1]Course!$A$1:$O$933, 14, FALSE)</f>
        <v>AL</v>
      </c>
      <c r="M698" s="31">
        <v>1</v>
      </c>
    </row>
    <row r="699" spans="1:13" ht="15.75" hidden="1" customHeight="1" x14ac:dyDescent="0.2">
      <c r="A699" s="31">
        <v>698</v>
      </c>
      <c r="B699" s="31">
        <v>61</v>
      </c>
      <c r="C699" s="31">
        <v>98</v>
      </c>
      <c r="D699" s="31" t="s">
        <v>188</v>
      </c>
      <c r="E699" s="31" t="str">
        <f t="shared" si="10"/>
        <v>1298AL03PT</v>
      </c>
      <c r="F699" s="31">
        <f>VLOOKUP(B699,[1]Course!$A$2:$R$329,2,FALSE)</f>
        <v>0</v>
      </c>
      <c r="G699" s="31">
        <f>VLOOKUP(B699, [1]Course!$A$2:$L$950, 8, FALSE)</f>
        <v>12</v>
      </c>
      <c r="H699" s="31">
        <v>3</v>
      </c>
      <c r="I699" s="31">
        <v>1</v>
      </c>
      <c r="K699" s="31" t="s">
        <v>1548</v>
      </c>
      <c r="L699" s="31" t="str">
        <f>VLOOKUP(B699, [1]Course!$A$1:$O$933, 14, FALSE)</f>
        <v>AL</v>
      </c>
      <c r="M699" s="31">
        <v>1</v>
      </c>
    </row>
    <row r="700" spans="1:13" ht="15.75" hidden="1" customHeight="1" x14ac:dyDescent="0.2">
      <c r="A700" s="31">
        <v>699</v>
      </c>
      <c r="B700" s="31">
        <v>61</v>
      </c>
      <c r="C700" s="31">
        <v>99</v>
      </c>
      <c r="D700" s="31" t="s">
        <v>188</v>
      </c>
      <c r="E700" s="31" t="str">
        <f t="shared" si="10"/>
        <v>1299AL03PT</v>
      </c>
      <c r="F700" s="31">
        <f>VLOOKUP(B700,[1]Course!$A$2:$R$329,2,FALSE)</f>
        <v>0</v>
      </c>
      <c r="G700" s="31">
        <f>VLOOKUP(B700, [1]Course!$A$2:$L$950, 8, FALSE)</f>
        <v>12</v>
      </c>
      <c r="H700" s="31">
        <v>3</v>
      </c>
      <c r="I700" s="31">
        <v>1</v>
      </c>
      <c r="K700" s="31" t="s">
        <v>1548</v>
      </c>
      <c r="L700" s="31" t="str">
        <f>VLOOKUP(B700, [1]Course!$A$1:$O$933, 14, FALSE)</f>
        <v>AL</v>
      </c>
      <c r="M700" s="31">
        <v>1</v>
      </c>
    </row>
    <row r="701" spans="1:13" ht="15.75" hidden="1" customHeight="1" x14ac:dyDescent="0.2">
      <c r="A701" s="31">
        <v>700</v>
      </c>
      <c r="B701" s="31">
        <v>61</v>
      </c>
      <c r="C701" s="31">
        <v>100</v>
      </c>
      <c r="D701" s="31" t="s">
        <v>188</v>
      </c>
      <c r="E701" s="31" t="str">
        <f t="shared" si="10"/>
        <v>1200AL03PT</v>
      </c>
      <c r="F701" s="31">
        <f>VLOOKUP(B701,[1]Course!$A$2:$R$329,2,FALSE)</f>
        <v>0</v>
      </c>
      <c r="G701" s="31">
        <f>VLOOKUP(B701, [1]Course!$A$2:$L$950, 8, FALSE)</f>
        <v>12</v>
      </c>
      <c r="H701" s="31">
        <v>3</v>
      </c>
      <c r="I701" s="31">
        <v>1</v>
      </c>
      <c r="K701" s="31" t="s">
        <v>1548</v>
      </c>
      <c r="L701" s="31" t="str">
        <f>VLOOKUP(B701, [1]Course!$A$1:$O$933, 14, FALSE)</f>
        <v>AL</v>
      </c>
      <c r="M701" s="31">
        <v>1</v>
      </c>
    </row>
    <row r="702" spans="1:13" ht="15.75" hidden="1" customHeight="1" x14ac:dyDescent="0.2">
      <c r="A702" s="31">
        <v>701</v>
      </c>
      <c r="B702" s="31">
        <v>61</v>
      </c>
      <c r="C702" s="31">
        <v>101</v>
      </c>
      <c r="D702" s="31" t="s">
        <v>188</v>
      </c>
      <c r="E702" s="31" t="str">
        <f t="shared" si="10"/>
        <v>1201AL03PT</v>
      </c>
      <c r="F702" s="31">
        <f>VLOOKUP(B702,[1]Course!$A$2:$R$329,2,FALSE)</f>
        <v>0</v>
      </c>
      <c r="G702" s="31">
        <f>VLOOKUP(B702, [1]Course!$A$2:$L$950, 8, FALSE)</f>
        <v>12</v>
      </c>
      <c r="H702" s="31">
        <v>3</v>
      </c>
      <c r="I702" s="31">
        <v>1</v>
      </c>
      <c r="K702" s="31" t="s">
        <v>1548</v>
      </c>
      <c r="L702" s="31" t="str">
        <f>VLOOKUP(B702, [1]Course!$A$1:$O$933, 14, FALSE)</f>
        <v>AL</v>
      </c>
      <c r="M702" s="31">
        <v>1</v>
      </c>
    </row>
    <row r="703" spans="1:13" ht="15.75" hidden="1" customHeight="1" x14ac:dyDescent="0.2">
      <c r="A703" s="31">
        <v>702</v>
      </c>
      <c r="B703" s="31">
        <v>61</v>
      </c>
      <c r="C703" s="31">
        <v>102</v>
      </c>
      <c r="D703" s="31" t="s">
        <v>188</v>
      </c>
      <c r="E703" s="31" t="str">
        <f t="shared" si="10"/>
        <v>1202AL03PT</v>
      </c>
      <c r="F703" s="31">
        <f>VLOOKUP(B703,[1]Course!$A$2:$R$329,2,FALSE)</f>
        <v>0</v>
      </c>
      <c r="G703" s="31">
        <f>VLOOKUP(B703, [1]Course!$A$2:$L$950, 8, FALSE)</f>
        <v>12</v>
      </c>
      <c r="H703" s="31">
        <v>3</v>
      </c>
      <c r="I703" s="31">
        <v>1</v>
      </c>
      <c r="K703" s="31" t="s">
        <v>1548</v>
      </c>
      <c r="L703" s="31" t="str">
        <f>VLOOKUP(B703, [1]Course!$A$1:$O$933, 14, FALSE)</f>
        <v>AL</v>
      </c>
      <c r="M703" s="31">
        <v>1</v>
      </c>
    </row>
    <row r="704" spans="1:13" ht="15.75" hidden="1" customHeight="1" x14ac:dyDescent="0.2">
      <c r="A704" s="31">
        <v>703</v>
      </c>
      <c r="B704" s="31">
        <v>61</v>
      </c>
      <c r="C704" s="31">
        <v>103</v>
      </c>
      <c r="D704" s="31" t="s">
        <v>188</v>
      </c>
      <c r="E704" s="31" t="str">
        <f t="shared" si="10"/>
        <v>1203AL03PT</v>
      </c>
      <c r="F704" s="31">
        <f>VLOOKUP(B704,[1]Course!$A$2:$R$329,2,FALSE)</f>
        <v>0</v>
      </c>
      <c r="G704" s="31">
        <f>VLOOKUP(B704, [1]Course!$A$2:$L$950, 8, FALSE)</f>
        <v>12</v>
      </c>
      <c r="H704" s="31">
        <v>3</v>
      </c>
      <c r="I704" s="31">
        <v>1</v>
      </c>
      <c r="K704" s="31" t="s">
        <v>1548</v>
      </c>
      <c r="L704" s="31" t="str">
        <f>VLOOKUP(B704, [1]Course!$A$1:$O$933, 14, FALSE)</f>
        <v>AL</v>
      </c>
      <c r="M704" s="31">
        <v>1</v>
      </c>
    </row>
    <row r="705" spans="1:13" ht="15.75" hidden="1" customHeight="1" x14ac:dyDescent="0.2">
      <c r="A705" s="31">
        <v>704</v>
      </c>
      <c r="B705" s="31">
        <v>61</v>
      </c>
      <c r="C705" s="31">
        <v>104</v>
      </c>
      <c r="D705" s="31" t="s">
        <v>188</v>
      </c>
      <c r="E705" s="31" t="str">
        <f t="shared" si="10"/>
        <v>1204AL03PT</v>
      </c>
      <c r="F705" s="31">
        <f>VLOOKUP(B705,[1]Course!$A$2:$R$329,2,FALSE)</f>
        <v>0</v>
      </c>
      <c r="G705" s="31">
        <f>VLOOKUP(B705, [1]Course!$A$2:$L$950, 8, FALSE)</f>
        <v>12</v>
      </c>
      <c r="H705" s="31">
        <v>3</v>
      </c>
      <c r="I705" s="31">
        <v>1</v>
      </c>
      <c r="K705" s="31" t="s">
        <v>1548</v>
      </c>
      <c r="L705" s="31" t="str">
        <f>VLOOKUP(B705, [1]Course!$A$1:$O$933, 14, FALSE)</f>
        <v>AL</v>
      </c>
      <c r="M705" s="31">
        <v>1</v>
      </c>
    </row>
    <row r="706" spans="1:13" ht="15.75" hidden="1" customHeight="1" x14ac:dyDescent="0.2">
      <c r="A706" s="31">
        <v>705</v>
      </c>
      <c r="B706" s="31">
        <v>61</v>
      </c>
      <c r="C706" s="31">
        <v>105</v>
      </c>
      <c r="D706" s="31" t="s">
        <v>188</v>
      </c>
      <c r="E706" s="31" t="str">
        <f t="shared" si="10"/>
        <v>1205AL03PT</v>
      </c>
      <c r="F706" s="31">
        <f>VLOOKUP(B706,[1]Course!$A$2:$R$329,2,FALSE)</f>
        <v>0</v>
      </c>
      <c r="G706" s="31">
        <f>VLOOKUP(B706, [1]Course!$A$2:$L$950, 8, FALSE)</f>
        <v>12</v>
      </c>
      <c r="H706" s="31">
        <v>3</v>
      </c>
      <c r="I706" s="31">
        <v>1</v>
      </c>
      <c r="K706" s="31" t="s">
        <v>1548</v>
      </c>
      <c r="L706" s="31" t="str">
        <f>VLOOKUP(B706, [1]Course!$A$1:$O$933, 14, FALSE)</f>
        <v>AL</v>
      </c>
      <c r="M706" s="31">
        <v>1</v>
      </c>
    </row>
    <row r="707" spans="1:13" ht="15.75" hidden="1" customHeight="1" x14ac:dyDescent="0.2">
      <c r="A707" s="31">
        <v>706</v>
      </c>
      <c r="B707" s="31">
        <v>61</v>
      </c>
      <c r="C707" s="31">
        <v>106</v>
      </c>
      <c r="D707" s="31" t="s">
        <v>188</v>
      </c>
      <c r="E707" s="31" t="str">
        <f t="shared" ref="E707:E770" si="11">UPPER(LEFT(G707,2)) &amp; RIGHT("0" &amp; C707, 2) &amp; D707 &amp; RIGHT("0" &amp; H707, 2) &amp; K707</f>
        <v>1206AL03PT</v>
      </c>
      <c r="F707" s="31">
        <f>VLOOKUP(B707,[1]Course!$A$2:$R$329,2,FALSE)</f>
        <v>0</v>
      </c>
      <c r="G707" s="31">
        <f>VLOOKUP(B707, [1]Course!$A$2:$L$950, 8, FALSE)</f>
        <v>12</v>
      </c>
      <c r="H707" s="31">
        <v>3</v>
      </c>
      <c r="I707" s="31">
        <v>1</v>
      </c>
      <c r="K707" s="31" t="s">
        <v>1548</v>
      </c>
      <c r="L707" s="31" t="str">
        <f>VLOOKUP(B707, [1]Course!$A$1:$O$933, 14, FALSE)</f>
        <v>AL</v>
      </c>
      <c r="M707" s="31">
        <v>1</v>
      </c>
    </row>
    <row r="708" spans="1:13" ht="15.75" hidden="1" customHeight="1" x14ac:dyDescent="0.2">
      <c r="A708" s="31">
        <v>707</v>
      </c>
      <c r="B708" s="31">
        <v>61</v>
      </c>
      <c r="C708" s="31">
        <v>107</v>
      </c>
      <c r="D708" s="31" t="s">
        <v>188</v>
      </c>
      <c r="E708" s="31" t="str">
        <f t="shared" si="11"/>
        <v>1207AL03PT</v>
      </c>
      <c r="F708" s="31">
        <f>VLOOKUP(B708,[1]Course!$A$2:$R$329,2,FALSE)</f>
        <v>0</v>
      </c>
      <c r="G708" s="31">
        <f>VLOOKUP(B708, [1]Course!$A$2:$L$950, 8, FALSE)</f>
        <v>12</v>
      </c>
      <c r="H708" s="31">
        <v>3</v>
      </c>
      <c r="I708" s="31">
        <v>1</v>
      </c>
      <c r="K708" s="31" t="s">
        <v>1548</v>
      </c>
      <c r="L708" s="31" t="str">
        <f>VLOOKUP(B708, [1]Course!$A$1:$O$933, 14, FALSE)</f>
        <v>AL</v>
      </c>
      <c r="M708" s="31">
        <v>1</v>
      </c>
    </row>
    <row r="709" spans="1:13" ht="15.75" hidden="1" customHeight="1" x14ac:dyDescent="0.2">
      <c r="A709" s="31">
        <v>708</v>
      </c>
      <c r="B709" s="31">
        <v>61</v>
      </c>
      <c r="C709" s="31">
        <v>108</v>
      </c>
      <c r="D709" s="31" t="s">
        <v>188</v>
      </c>
      <c r="E709" s="31" t="str">
        <f t="shared" si="11"/>
        <v>1208AL03PT</v>
      </c>
      <c r="F709" s="31">
        <f>VLOOKUP(B709,[1]Course!$A$2:$R$329,2,FALSE)</f>
        <v>0</v>
      </c>
      <c r="G709" s="31">
        <f>VLOOKUP(B709, [1]Course!$A$2:$L$950, 8, FALSE)</f>
        <v>12</v>
      </c>
      <c r="H709" s="31">
        <v>3</v>
      </c>
      <c r="I709" s="31">
        <v>1</v>
      </c>
      <c r="K709" s="31" t="s">
        <v>1548</v>
      </c>
      <c r="L709" s="31" t="str">
        <f>VLOOKUP(B709, [1]Course!$A$1:$O$933, 14, FALSE)</f>
        <v>AL</v>
      </c>
      <c r="M709" s="31">
        <v>1</v>
      </c>
    </row>
    <row r="710" spans="1:13" ht="15.75" hidden="1" customHeight="1" x14ac:dyDescent="0.2">
      <c r="A710" s="31">
        <v>709</v>
      </c>
      <c r="B710" s="31">
        <v>62</v>
      </c>
      <c r="C710" s="31">
        <v>97</v>
      </c>
      <c r="D710" s="31" t="s">
        <v>155</v>
      </c>
      <c r="E710" s="31" t="str">
        <f t="shared" si="11"/>
        <v>1297EN03PT</v>
      </c>
      <c r="F710" s="31">
        <f>VLOOKUP(B710,[1]Course!$A$2:$R$329,2,FALSE)</f>
        <v>0</v>
      </c>
      <c r="G710" s="31">
        <f>VLOOKUP(B710, [1]Course!$A$2:$L$950, 8, FALSE)</f>
        <v>12</v>
      </c>
      <c r="H710" s="31">
        <v>3</v>
      </c>
      <c r="I710" s="31">
        <v>1</v>
      </c>
      <c r="K710" s="31" t="s">
        <v>1548</v>
      </c>
      <c r="L710" s="31" t="str">
        <f>VLOOKUP(B710, [1]Course!$A$1:$O$933, 14, FALSE)</f>
        <v>EN</v>
      </c>
      <c r="M710" s="31">
        <v>1</v>
      </c>
    </row>
    <row r="711" spans="1:13" ht="15.75" hidden="1" customHeight="1" x14ac:dyDescent="0.2">
      <c r="A711" s="31">
        <v>710</v>
      </c>
      <c r="B711" s="31">
        <v>62</v>
      </c>
      <c r="C711" s="31">
        <v>98</v>
      </c>
      <c r="D711" s="31" t="s">
        <v>155</v>
      </c>
      <c r="E711" s="31" t="str">
        <f t="shared" si="11"/>
        <v>1298EN03PT</v>
      </c>
      <c r="F711" s="31">
        <f>VLOOKUP(B711,[1]Course!$A$2:$R$329,2,FALSE)</f>
        <v>0</v>
      </c>
      <c r="G711" s="31">
        <f>VLOOKUP(B711, [1]Course!$A$2:$L$950, 8, FALSE)</f>
        <v>12</v>
      </c>
      <c r="H711" s="31">
        <v>3</v>
      </c>
      <c r="I711" s="31">
        <v>1</v>
      </c>
      <c r="K711" s="31" t="s">
        <v>1548</v>
      </c>
      <c r="L711" s="31" t="str">
        <f>VLOOKUP(B711, [1]Course!$A$1:$O$933, 14, FALSE)</f>
        <v>EN</v>
      </c>
      <c r="M711" s="31">
        <v>1</v>
      </c>
    </row>
    <row r="712" spans="1:13" ht="15.75" hidden="1" customHeight="1" x14ac:dyDescent="0.2">
      <c r="A712" s="31">
        <v>711</v>
      </c>
      <c r="B712" s="31">
        <v>62</v>
      </c>
      <c r="C712" s="31">
        <v>99</v>
      </c>
      <c r="D712" s="31" t="s">
        <v>155</v>
      </c>
      <c r="E712" s="31" t="str">
        <f t="shared" si="11"/>
        <v>1299EN03PT</v>
      </c>
      <c r="F712" s="31">
        <f>VLOOKUP(B712,[1]Course!$A$2:$R$329,2,FALSE)</f>
        <v>0</v>
      </c>
      <c r="G712" s="31">
        <f>VLOOKUP(B712, [1]Course!$A$2:$L$950, 8, FALSE)</f>
        <v>12</v>
      </c>
      <c r="H712" s="31">
        <v>3</v>
      </c>
      <c r="I712" s="31">
        <v>1</v>
      </c>
      <c r="K712" s="31" t="s">
        <v>1548</v>
      </c>
      <c r="L712" s="31" t="str">
        <f>VLOOKUP(B712, [1]Course!$A$1:$O$933, 14, FALSE)</f>
        <v>EN</v>
      </c>
      <c r="M712" s="31">
        <v>1</v>
      </c>
    </row>
    <row r="713" spans="1:13" ht="15.75" hidden="1" customHeight="1" x14ac:dyDescent="0.2">
      <c r="A713" s="31">
        <v>712</v>
      </c>
      <c r="B713" s="31">
        <v>62</v>
      </c>
      <c r="C713" s="31">
        <v>100</v>
      </c>
      <c r="D713" s="31" t="s">
        <v>155</v>
      </c>
      <c r="E713" s="31" t="str">
        <f t="shared" si="11"/>
        <v>1200EN03PT</v>
      </c>
      <c r="F713" s="31">
        <f>VLOOKUP(B713,[1]Course!$A$2:$R$329,2,FALSE)</f>
        <v>0</v>
      </c>
      <c r="G713" s="31">
        <f>VLOOKUP(B713, [1]Course!$A$2:$L$950, 8, FALSE)</f>
        <v>12</v>
      </c>
      <c r="H713" s="31">
        <v>3</v>
      </c>
      <c r="I713" s="31">
        <v>1</v>
      </c>
      <c r="K713" s="31" t="s">
        <v>1548</v>
      </c>
      <c r="L713" s="31" t="str">
        <f>VLOOKUP(B713, [1]Course!$A$1:$O$933, 14, FALSE)</f>
        <v>EN</v>
      </c>
      <c r="M713" s="31">
        <v>1</v>
      </c>
    </row>
    <row r="714" spans="1:13" ht="15.75" hidden="1" customHeight="1" x14ac:dyDescent="0.2">
      <c r="A714" s="31">
        <v>713</v>
      </c>
      <c r="B714" s="31">
        <v>62</v>
      </c>
      <c r="C714" s="31">
        <v>101</v>
      </c>
      <c r="D714" s="31" t="s">
        <v>155</v>
      </c>
      <c r="E714" s="31" t="str">
        <f t="shared" si="11"/>
        <v>1201EN03PT</v>
      </c>
      <c r="F714" s="31">
        <f>VLOOKUP(B714,[1]Course!$A$2:$R$329,2,FALSE)</f>
        <v>0</v>
      </c>
      <c r="G714" s="31">
        <f>VLOOKUP(B714, [1]Course!$A$2:$L$950, 8, FALSE)</f>
        <v>12</v>
      </c>
      <c r="H714" s="31">
        <v>3</v>
      </c>
      <c r="I714" s="31">
        <v>1</v>
      </c>
      <c r="K714" s="31" t="s">
        <v>1548</v>
      </c>
      <c r="L714" s="31" t="str">
        <f>VLOOKUP(B714, [1]Course!$A$1:$O$933, 14, FALSE)</f>
        <v>EN</v>
      </c>
      <c r="M714" s="31">
        <v>1</v>
      </c>
    </row>
    <row r="715" spans="1:13" ht="15.75" hidden="1" customHeight="1" x14ac:dyDescent="0.2">
      <c r="A715" s="31">
        <v>714</v>
      </c>
      <c r="B715" s="31">
        <v>62</v>
      </c>
      <c r="C715" s="31">
        <v>102</v>
      </c>
      <c r="D715" s="31" t="s">
        <v>155</v>
      </c>
      <c r="E715" s="31" t="str">
        <f t="shared" si="11"/>
        <v>1202EN03PT</v>
      </c>
      <c r="F715" s="31">
        <f>VLOOKUP(B715,[1]Course!$A$2:$R$329,2,FALSE)</f>
        <v>0</v>
      </c>
      <c r="G715" s="31">
        <f>VLOOKUP(B715, [1]Course!$A$2:$L$950, 8, FALSE)</f>
        <v>12</v>
      </c>
      <c r="H715" s="31">
        <v>3</v>
      </c>
      <c r="I715" s="31">
        <v>1</v>
      </c>
      <c r="K715" s="31" t="s">
        <v>1548</v>
      </c>
      <c r="L715" s="31" t="str">
        <f>VLOOKUP(B715, [1]Course!$A$1:$O$933, 14, FALSE)</f>
        <v>EN</v>
      </c>
      <c r="M715" s="31">
        <v>1</v>
      </c>
    </row>
    <row r="716" spans="1:13" ht="15.75" hidden="1" customHeight="1" x14ac:dyDescent="0.2">
      <c r="A716" s="31">
        <v>715</v>
      </c>
      <c r="B716" s="31">
        <v>62</v>
      </c>
      <c r="C716" s="31">
        <v>103</v>
      </c>
      <c r="D716" s="31" t="s">
        <v>155</v>
      </c>
      <c r="E716" s="31" t="str">
        <f t="shared" si="11"/>
        <v>1203EN03PT</v>
      </c>
      <c r="F716" s="31">
        <f>VLOOKUP(B716,[1]Course!$A$2:$R$329,2,FALSE)</f>
        <v>0</v>
      </c>
      <c r="G716" s="31">
        <f>VLOOKUP(B716, [1]Course!$A$2:$L$950, 8, FALSE)</f>
        <v>12</v>
      </c>
      <c r="H716" s="31">
        <v>3</v>
      </c>
      <c r="I716" s="31">
        <v>1</v>
      </c>
      <c r="K716" s="31" t="s">
        <v>1548</v>
      </c>
      <c r="L716" s="31" t="str">
        <f>VLOOKUP(B716, [1]Course!$A$1:$O$933, 14, FALSE)</f>
        <v>EN</v>
      </c>
      <c r="M716" s="31">
        <v>1</v>
      </c>
    </row>
    <row r="717" spans="1:13" ht="15.75" hidden="1" customHeight="1" x14ac:dyDescent="0.2">
      <c r="A717" s="31">
        <v>716</v>
      </c>
      <c r="B717" s="31">
        <v>62</v>
      </c>
      <c r="C717" s="31">
        <v>104</v>
      </c>
      <c r="D717" s="31" t="s">
        <v>155</v>
      </c>
      <c r="E717" s="31" t="str">
        <f t="shared" si="11"/>
        <v>1204EN03PT</v>
      </c>
      <c r="F717" s="31">
        <f>VLOOKUP(B717,[1]Course!$A$2:$R$329,2,FALSE)</f>
        <v>0</v>
      </c>
      <c r="G717" s="31">
        <f>VLOOKUP(B717, [1]Course!$A$2:$L$950, 8, FALSE)</f>
        <v>12</v>
      </c>
      <c r="H717" s="31">
        <v>3</v>
      </c>
      <c r="I717" s="31">
        <v>1</v>
      </c>
      <c r="K717" s="31" t="s">
        <v>1548</v>
      </c>
      <c r="L717" s="31" t="str">
        <f>VLOOKUP(B717, [1]Course!$A$1:$O$933, 14, FALSE)</f>
        <v>EN</v>
      </c>
      <c r="M717" s="31">
        <v>1</v>
      </c>
    </row>
    <row r="718" spans="1:13" ht="15.75" hidden="1" customHeight="1" x14ac:dyDescent="0.2">
      <c r="A718" s="31">
        <v>717</v>
      </c>
      <c r="B718" s="31">
        <v>62</v>
      </c>
      <c r="C718" s="31">
        <v>105</v>
      </c>
      <c r="D718" s="31" t="s">
        <v>155</v>
      </c>
      <c r="E718" s="31" t="str">
        <f t="shared" si="11"/>
        <v>1205EN03PT</v>
      </c>
      <c r="F718" s="31">
        <f>VLOOKUP(B718,[1]Course!$A$2:$R$329,2,FALSE)</f>
        <v>0</v>
      </c>
      <c r="G718" s="31">
        <f>VLOOKUP(B718, [1]Course!$A$2:$L$950, 8, FALSE)</f>
        <v>12</v>
      </c>
      <c r="H718" s="31">
        <v>3</v>
      </c>
      <c r="I718" s="31">
        <v>1</v>
      </c>
      <c r="K718" s="31" t="s">
        <v>1548</v>
      </c>
      <c r="L718" s="31" t="str">
        <f>VLOOKUP(B718, [1]Course!$A$1:$O$933, 14, FALSE)</f>
        <v>EN</v>
      </c>
      <c r="M718" s="31">
        <v>1</v>
      </c>
    </row>
    <row r="719" spans="1:13" ht="15.75" hidden="1" customHeight="1" x14ac:dyDescent="0.2">
      <c r="A719" s="31">
        <v>718</v>
      </c>
      <c r="B719" s="31">
        <v>62</v>
      </c>
      <c r="C719" s="31">
        <v>106</v>
      </c>
      <c r="D719" s="31" t="s">
        <v>155</v>
      </c>
      <c r="E719" s="31" t="str">
        <f t="shared" si="11"/>
        <v>1206EN03PT</v>
      </c>
      <c r="F719" s="31">
        <f>VLOOKUP(B719,[1]Course!$A$2:$R$329,2,FALSE)</f>
        <v>0</v>
      </c>
      <c r="G719" s="31">
        <f>VLOOKUP(B719, [1]Course!$A$2:$L$950, 8, FALSE)</f>
        <v>12</v>
      </c>
      <c r="H719" s="31">
        <v>3</v>
      </c>
      <c r="I719" s="31">
        <v>1</v>
      </c>
      <c r="K719" s="31" t="s">
        <v>1548</v>
      </c>
      <c r="L719" s="31" t="str">
        <f>VLOOKUP(B719, [1]Course!$A$1:$O$933, 14, FALSE)</f>
        <v>EN</v>
      </c>
      <c r="M719" s="31">
        <v>1</v>
      </c>
    </row>
    <row r="720" spans="1:13" ht="15.75" hidden="1" customHeight="1" x14ac:dyDescent="0.2">
      <c r="A720" s="31">
        <v>719</v>
      </c>
      <c r="B720" s="31">
        <v>62</v>
      </c>
      <c r="C720" s="31">
        <v>107</v>
      </c>
      <c r="D720" s="31" t="s">
        <v>155</v>
      </c>
      <c r="E720" s="31" t="str">
        <f t="shared" si="11"/>
        <v>1207EN03PT</v>
      </c>
      <c r="F720" s="31">
        <f>VLOOKUP(B720,[1]Course!$A$2:$R$329,2,FALSE)</f>
        <v>0</v>
      </c>
      <c r="G720" s="31">
        <f>VLOOKUP(B720, [1]Course!$A$2:$L$950, 8, FALSE)</f>
        <v>12</v>
      </c>
      <c r="H720" s="31">
        <v>3</v>
      </c>
      <c r="I720" s="31">
        <v>1</v>
      </c>
      <c r="K720" s="31" t="s">
        <v>1548</v>
      </c>
      <c r="L720" s="31" t="str">
        <f>VLOOKUP(B720, [1]Course!$A$1:$O$933, 14, FALSE)</f>
        <v>EN</v>
      </c>
      <c r="M720" s="31">
        <v>1</v>
      </c>
    </row>
    <row r="721" spans="1:13" ht="15.75" hidden="1" customHeight="1" x14ac:dyDescent="0.2">
      <c r="A721" s="31">
        <v>720</v>
      </c>
      <c r="B721" s="31">
        <v>62</v>
      </c>
      <c r="C721" s="31">
        <v>108</v>
      </c>
      <c r="D721" s="31" t="s">
        <v>155</v>
      </c>
      <c r="E721" s="31" t="str">
        <f t="shared" si="11"/>
        <v>1208EN03PT</v>
      </c>
      <c r="F721" s="31">
        <f>VLOOKUP(B721,[1]Course!$A$2:$R$329,2,FALSE)</f>
        <v>0</v>
      </c>
      <c r="G721" s="31">
        <f>VLOOKUP(B721, [1]Course!$A$2:$L$950, 8, FALSE)</f>
        <v>12</v>
      </c>
      <c r="H721" s="31">
        <v>3</v>
      </c>
      <c r="I721" s="31">
        <v>1</v>
      </c>
      <c r="K721" s="31" t="s">
        <v>1548</v>
      </c>
      <c r="L721" s="31" t="str">
        <f>VLOOKUP(B721, [1]Course!$A$1:$O$933, 14, FALSE)</f>
        <v>EN</v>
      </c>
      <c r="M721" s="31">
        <v>1</v>
      </c>
    </row>
    <row r="722" spans="1:13" ht="15.75" hidden="1" customHeight="1" x14ac:dyDescent="0.2">
      <c r="A722" s="31">
        <v>721</v>
      </c>
      <c r="B722" s="31">
        <v>63</v>
      </c>
      <c r="C722" s="31">
        <v>97</v>
      </c>
      <c r="D722" s="31" t="s">
        <v>266</v>
      </c>
      <c r="E722" s="31" t="str">
        <f t="shared" si="11"/>
        <v>1297FR03PT</v>
      </c>
      <c r="F722" s="31">
        <f>VLOOKUP(B722,[1]Course!$A$2:$R$329,2,FALSE)</f>
        <v>0</v>
      </c>
      <c r="G722" s="31">
        <f>VLOOKUP(B722, [1]Course!$A$2:$L$950, 8, FALSE)</f>
        <v>12</v>
      </c>
      <c r="H722" s="31">
        <v>3</v>
      </c>
      <c r="I722" s="31">
        <v>1</v>
      </c>
      <c r="K722" s="31" t="s">
        <v>1548</v>
      </c>
      <c r="L722" s="31" t="str">
        <f>VLOOKUP(B722, [1]Course!$A$1:$O$933, 14, FALSE)</f>
        <v>FR</v>
      </c>
      <c r="M722" s="31">
        <v>1</v>
      </c>
    </row>
    <row r="723" spans="1:13" ht="15.75" hidden="1" customHeight="1" x14ac:dyDescent="0.2">
      <c r="A723" s="31">
        <v>722</v>
      </c>
      <c r="B723" s="31">
        <v>63</v>
      </c>
      <c r="C723" s="31">
        <v>98</v>
      </c>
      <c r="D723" s="31" t="s">
        <v>266</v>
      </c>
      <c r="E723" s="31" t="str">
        <f t="shared" si="11"/>
        <v>1298FR03PT</v>
      </c>
      <c r="F723" s="31">
        <f>VLOOKUP(B723,[1]Course!$A$2:$R$329,2,FALSE)</f>
        <v>0</v>
      </c>
      <c r="G723" s="31">
        <f>VLOOKUP(B723, [1]Course!$A$2:$L$950, 8, FALSE)</f>
        <v>12</v>
      </c>
      <c r="H723" s="31">
        <v>3</v>
      </c>
      <c r="I723" s="31">
        <v>1</v>
      </c>
      <c r="K723" s="31" t="s">
        <v>1548</v>
      </c>
      <c r="L723" s="31" t="str">
        <f>VLOOKUP(B723, [1]Course!$A$1:$O$933, 14, FALSE)</f>
        <v>FR</v>
      </c>
      <c r="M723" s="31">
        <v>1</v>
      </c>
    </row>
    <row r="724" spans="1:13" ht="15.75" hidden="1" customHeight="1" x14ac:dyDescent="0.2">
      <c r="A724" s="31">
        <v>723</v>
      </c>
      <c r="B724" s="31">
        <v>63</v>
      </c>
      <c r="C724" s="31">
        <v>99</v>
      </c>
      <c r="D724" s="31" t="s">
        <v>266</v>
      </c>
      <c r="E724" s="31" t="str">
        <f t="shared" si="11"/>
        <v>1299FR03PT</v>
      </c>
      <c r="F724" s="31">
        <f>VLOOKUP(B724,[1]Course!$A$2:$R$329,2,FALSE)</f>
        <v>0</v>
      </c>
      <c r="G724" s="31">
        <f>VLOOKUP(B724, [1]Course!$A$2:$L$950, 8, FALSE)</f>
        <v>12</v>
      </c>
      <c r="H724" s="31">
        <v>3</v>
      </c>
      <c r="I724" s="31">
        <v>1</v>
      </c>
      <c r="K724" s="31" t="s">
        <v>1548</v>
      </c>
      <c r="L724" s="31" t="str">
        <f>VLOOKUP(B724, [1]Course!$A$1:$O$933, 14, FALSE)</f>
        <v>FR</v>
      </c>
      <c r="M724" s="31">
        <v>1</v>
      </c>
    </row>
    <row r="725" spans="1:13" ht="15.75" hidden="1" customHeight="1" x14ac:dyDescent="0.2">
      <c r="A725" s="31">
        <v>724</v>
      </c>
      <c r="B725" s="31">
        <v>63</v>
      </c>
      <c r="C725" s="31">
        <v>100</v>
      </c>
      <c r="D725" s="31" t="s">
        <v>266</v>
      </c>
      <c r="E725" s="31" t="str">
        <f t="shared" si="11"/>
        <v>1200FR03PT</v>
      </c>
      <c r="F725" s="31">
        <f>VLOOKUP(B725,[1]Course!$A$2:$R$329,2,FALSE)</f>
        <v>0</v>
      </c>
      <c r="G725" s="31">
        <f>VLOOKUP(B725, [1]Course!$A$2:$L$950, 8, FALSE)</f>
        <v>12</v>
      </c>
      <c r="H725" s="31">
        <v>3</v>
      </c>
      <c r="I725" s="31">
        <v>1</v>
      </c>
      <c r="K725" s="31" t="s">
        <v>1548</v>
      </c>
      <c r="L725" s="31" t="str">
        <f>VLOOKUP(B725, [1]Course!$A$1:$O$933, 14, FALSE)</f>
        <v>FR</v>
      </c>
      <c r="M725" s="31">
        <v>1</v>
      </c>
    </row>
    <row r="726" spans="1:13" ht="15.75" hidden="1" customHeight="1" x14ac:dyDescent="0.2">
      <c r="A726" s="31">
        <v>725</v>
      </c>
      <c r="B726" s="31">
        <v>63</v>
      </c>
      <c r="C726" s="31">
        <v>101</v>
      </c>
      <c r="D726" s="31" t="s">
        <v>266</v>
      </c>
      <c r="E726" s="31" t="str">
        <f t="shared" si="11"/>
        <v>1201FR03PT</v>
      </c>
      <c r="F726" s="31">
        <f>VLOOKUP(B726,[1]Course!$A$2:$R$329,2,FALSE)</f>
        <v>0</v>
      </c>
      <c r="G726" s="31">
        <f>VLOOKUP(B726, [1]Course!$A$2:$L$950, 8, FALSE)</f>
        <v>12</v>
      </c>
      <c r="H726" s="31">
        <v>3</v>
      </c>
      <c r="I726" s="31">
        <v>1</v>
      </c>
      <c r="K726" s="31" t="s">
        <v>1548</v>
      </c>
      <c r="L726" s="31" t="str">
        <f>VLOOKUP(B726, [1]Course!$A$1:$O$933, 14, FALSE)</f>
        <v>FR</v>
      </c>
      <c r="M726" s="31">
        <v>1</v>
      </c>
    </row>
    <row r="727" spans="1:13" ht="15.75" hidden="1" customHeight="1" x14ac:dyDescent="0.2">
      <c r="A727" s="31">
        <v>726</v>
      </c>
      <c r="B727" s="31">
        <v>63</v>
      </c>
      <c r="C727" s="31">
        <v>102</v>
      </c>
      <c r="D727" s="31" t="s">
        <v>266</v>
      </c>
      <c r="E727" s="31" t="str">
        <f t="shared" si="11"/>
        <v>1202FR03PT</v>
      </c>
      <c r="F727" s="31">
        <f>VLOOKUP(B727,[1]Course!$A$2:$R$329,2,FALSE)</f>
        <v>0</v>
      </c>
      <c r="G727" s="31">
        <f>VLOOKUP(B727, [1]Course!$A$2:$L$950, 8, FALSE)</f>
        <v>12</v>
      </c>
      <c r="H727" s="31">
        <v>3</v>
      </c>
      <c r="I727" s="31">
        <v>1</v>
      </c>
      <c r="K727" s="31" t="s">
        <v>1548</v>
      </c>
      <c r="L727" s="31" t="str">
        <f>VLOOKUP(B727, [1]Course!$A$1:$O$933, 14, FALSE)</f>
        <v>FR</v>
      </c>
      <c r="M727" s="31">
        <v>1</v>
      </c>
    </row>
    <row r="728" spans="1:13" ht="15.75" hidden="1" customHeight="1" x14ac:dyDescent="0.2">
      <c r="A728" s="31">
        <v>727</v>
      </c>
      <c r="B728" s="31">
        <v>63</v>
      </c>
      <c r="C728" s="31">
        <v>103</v>
      </c>
      <c r="D728" s="31" t="s">
        <v>266</v>
      </c>
      <c r="E728" s="31" t="str">
        <f t="shared" si="11"/>
        <v>1203FR03PT</v>
      </c>
      <c r="F728" s="31">
        <f>VLOOKUP(B728,[1]Course!$A$2:$R$329,2,FALSE)</f>
        <v>0</v>
      </c>
      <c r="G728" s="31">
        <f>VLOOKUP(B728, [1]Course!$A$2:$L$950, 8, FALSE)</f>
        <v>12</v>
      </c>
      <c r="H728" s="31">
        <v>3</v>
      </c>
      <c r="I728" s="31">
        <v>1</v>
      </c>
      <c r="K728" s="31" t="s">
        <v>1548</v>
      </c>
      <c r="L728" s="31" t="str">
        <f>VLOOKUP(B728, [1]Course!$A$1:$O$933, 14, FALSE)</f>
        <v>FR</v>
      </c>
      <c r="M728" s="31">
        <v>1</v>
      </c>
    </row>
    <row r="729" spans="1:13" ht="15.75" hidden="1" customHeight="1" x14ac:dyDescent="0.2">
      <c r="A729" s="31">
        <v>728</v>
      </c>
      <c r="B729" s="31">
        <v>63</v>
      </c>
      <c r="C729" s="31">
        <v>104</v>
      </c>
      <c r="D729" s="31" t="s">
        <v>266</v>
      </c>
      <c r="E729" s="31" t="str">
        <f t="shared" si="11"/>
        <v>1204FR03PT</v>
      </c>
      <c r="F729" s="31">
        <f>VLOOKUP(B729,[1]Course!$A$2:$R$329,2,FALSE)</f>
        <v>0</v>
      </c>
      <c r="G729" s="31">
        <f>VLOOKUP(B729, [1]Course!$A$2:$L$950, 8, FALSE)</f>
        <v>12</v>
      </c>
      <c r="H729" s="31">
        <v>3</v>
      </c>
      <c r="I729" s="31">
        <v>1</v>
      </c>
      <c r="K729" s="31" t="s">
        <v>1548</v>
      </c>
      <c r="L729" s="31" t="str">
        <f>VLOOKUP(B729, [1]Course!$A$1:$O$933, 14, FALSE)</f>
        <v>FR</v>
      </c>
      <c r="M729" s="31">
        <v>1</v>
      </c>
    </row>
    <row r="730" spans="1:13" ht="15.75" hidden="1" customHeight="1" x14ac:dyDescent="0.2">
      <c r="A730" s="31">
        <v>729</v>
      </c>
      <c r="B730" s="31">
        <v>63</v>
      </c>
      <c r="C730" s="31">
        <v>105</v>
      </c>
      <c r="D730" s="31" t="s">
        <v>266</v>
      </c>
      <c r="E730" s="31" t="str">
        <f t="shared" si="11"/>
        <v>1205FR03PT</v>
      </c>
      <c r="F730" s="31">
        <f>VLOOKUP(B730,[1]Course!$A$2:$R$329,2,FALSE)</f>
        <v>0</v>
      </c>
      <c r="G730" s="31">
        <f>VLOOKUP(B730, [1]Course!$A$2:$L$950, 8, FALSE)</f>
        <v>12</v>
      </c>
      <c r="H730" s="31">
        <v>3</v>
      </c>
      <c r="I730" s="31">
        <v>1</v>
      </c>
      <c r="K730" s="31" t="s">
        <v>1548</v>
      </c>
      <c r="L730" s="31" t="str">
        <f>VLOOKUP(B730, [1]Course!$A$1:$O$933, 14, FALSE)</f>
        <v>FR</v>
      </c>
      <c r="M730" s="31">
        <v>1</v>
      </c>
    </row>
    <row r="731" spans="1:13" ht="15.75" hidden="1" customHeight="1" x14ac:dyDescent="0.2">
      <c r="A731" s="31">
        <v>730</v>
      </c>
      <c r="B731" s="31">
        <v>63</v>
      </c>
      <c r="C731" s="31">
        <v>106</v>
      </c>
      <c r="D731" s="31" t="s">
        <v>266</v>
      </c>
      <c r="E731" s="31" t="str">
        <f t="shared" si="11"/>
        <v>1206FR03PT</v>
      </c>
      <c r="F731" s="31">
        <f>VLOOKUP(B731,[1]Course!$A$2:$R$329,2,FALSE)</f>
        <v>0</v>
      </c>
      <c r="G731" s="31">
        <f>VLOOKUP(B731, [1]Course!$A$2:$L$950, 8, FALSE)</f>
        <v>12</v>
      </c>
      <c r="H731" s="31">
        <v>3</v>
      </c>
      <c r="I731" s="31">
        <v>1</v>
      </c>
      <c r="K731" s="31" t="s">
        <v>1548</v>
      </c>
      <c r="L731" s="31" t="str">
        <f>VLOOKUP(B731, [1]Course!$A$1:$O$933, 14, FALSE)</f>
        <v>FR</v>
      </c>
      <c r="M731" s="31">
        <v>1</v>
      </c>
    </row>
    <row r="732" spans="1:13" ht="15.75" hidden="1" customHeight="1" x14ac:dyDescent="0.2">
      <c r="A732" s="31">
        <v>731</v>
      </c>
      <c r="B732" s="31">
        <v>63</v>
      </c>
      <c r="C732" s="31">
        <v>107</v>
      </c>
      <c r="D732" s="31" t="s">
        <v>266</v>
      </c>
      <c r="E732" s="31" t="str">
        <f t="shared" si="11"/>
        <v>1207FR03PT</v>
      </c>
      <c r="F732" s="31">
        <f>VLOOKUP(B732,[1]Course!$A$2:$R$329,2,FALSE)</f>
        <v>0</v>
      </c>
      <c r="G732" s="31">
        <f>VLOOKUP(B732, [1]Course!$A$2:$L$950, 8, FALSE)</f>
        <v>12</v>
      </c>
      <c r="H732" s="31">
        <v>3</v>
      </c>
      <c r="I732" s="31">
        <v>1</v>
      </c>
      <c r="K732" s="31" t="s">
        <v>1548</v>
      </c>
      <c r="L732" s="31" t="str">
        <f>VLOOKUP(B732, [1]Course!$A$1:$O$933, 14, FALSE)</f>
        <v>FR</v>
      </c>
      <c r="M732" s="31">
        <v>1</v>
      </c>
    </row>
    <row r="733" spans="1:13" ht="15.75" hidden="1" customHeight="1" x14ac:dyDescent="0.2">
      <c r="A733" s="31">
        <v>732</v>
      </c>
      <c r="B733" s="31">
        <v>63</v>
      </c>
      <c r="C733" s="31">
        <v>108</v>
      </c>
      <c r="D733" s="31" t="s">
        <v>266</v>
      </c>
      <c r="E733" s="31" t="str">
        <f t="shared" si="11"/>
        <v>1208FR03PT</v>
      </c>
      <c r="F733" s="31">
        <f>VLOOKUP(B733,[1]Course!$A$2:$R$329,2,FALSE)</f>
        <v>0</v>
      </c>
      <c r="G733" s="31">
        <f>VLOOKUP(B733, [1]Course!$A$2:$L$950, 8, FALSE)</f>
        <v>12</v>
      </c>
      <c r="H733" s="31">
        <v>3</v>
      </c>
      <c r="I733" s="31">
        <v>1</v>
      </c>
      <c r="K733" s="31" t="s">
        <v>1548</v>
      </c>
      <c r="L733" s="31" t="str">
        <f>VLOOKUP(B733, [1]Course!$A$1:$O$933, 14, FALSE)</f>
        <v>FR</v>
      </c>
      <c r="M733" s="31">
        <v>1</v>
      </c>
    </row>
    <row r="734" spans="1:13" ht="15.75" hidden="1" customHeight="1" x14ac:dyDescent="0.2">
      <c r="A734" s="31">
        <v>733</v>
      </c>
      <c r="B734" s="31">
        <v>64</v>
      </c>
      <c r="C734" s="31">
        <v>1</v>
      </c>
      <c r="D734" s="31" t="s">
        <v>45</v>
      </c>
      <c r="E734" s="31" t="str">
        <f t="shared" si="11"/>
        <v>201RS03PT</v>
      </c>
      <c r="F734" s="31">
        <f>VLOOKUP(B734,[1]Course!$A$2:$R$329,2,FALSE)</f>
        <v>0</v>
      </c>
      <c r="G734" s="31">
        <f>VLOOKUP(B734, [1]Course!$A$2:$L$950, 8, FALSE)</f>
        <v>2</v>
      </c>
      <c r="H734" s="31">
        <v>3</v>
      </c>
      <c r="I734" s="31">
        <v>1</v>
      </c>
      <c r="K734" s="31" t="s">
        <v>1548</v>
      </c>
      <c r="L734" s="31" t="str">
        <f>VLOOKUP(B734, [1]Course!$A$1:$O$933, 14, FALSE)</f>
        <v>RS</v>
      </c>
      <c r="M734" s="31">
        <v>1</v>
      </c>
    </row>
    <row r="735" spans="1:13" ht="15.75" hidden="1" customHeight="1" x14ac:dyDescent="0.2">
      <c r="A735" s="31">
        <v>734</v>
      </c>
      <c r="B735" s="31">
        <v>64</v>
      </c>
      <c r="C735" s="31">
        <v>2</v>
      </c>
      <c r="D735" s="31" t="s">
        <v>45</v>
      </c>
      <c r="E735" s="31" t="str">
        <f t="shared" si="11"/>
        <v>202RS03PT</v>
      </c>
      <c r="F735" s="31">
        <f>VLOOKUP(B735,[1]Course!$A$2:$R$329,2,FALSE)</f>
        <v>0</v>
      </c>
      <c r="G735" s="31">
        <f>VLOOKUP(B735, [1]Course!$A$2:$L$950, 8, FALSE)</f>
        <v>2</v>
      </c>
      <c r="H735" s="31">
        <v>3</v>
      </c>
      <c r="I735" s="31">
        <v>1</v>
      </c>
      <c r="K735" s="31" t="s">
        <v>1548</v>
      </c>
      <c r="L735" s="31" t="str">
        <f>VLOOKUP(B735, [1]Course!$A$1:$O$933, 14, FALSE)</f>
        <v>RS</v>
      </c>
      <c r="M735" s="31">
        <v>1</v>
      </c>
    </row>
    <row r="736" spans="1:13" ht="15.75" hidden="1" customHeight="1" x14ac:dyDescent="0.2">
      <c r="A736" s="31">
        <v>735</v>
      </c>
      <c r="B736" s="31">
        <v>65</v>
      </c>
      <c r="C736" s="31">
        <v>1</v>
      </c>
      <c r="D736" s="31" t="s">
        <v>91</v>
      </c>
      <c r="E736" s="31" t="str">
        <f t="shared" si="11"/>
        <v>1201ES03PT</v>
      </c>
      <c r="F736" s="31">
        <f>VLOOKUP(B736,[1]Course!$A$2:$R$329,2,FALSE)</f>
        <v>0</v>
      </c>
      <c r="G736" s="31">
        <f>VLOOKUP(B736, [1]Course!$A$2:$L$950, 8, FALSE)</f>
        <v>12</v>
      </c>
      <c r="H736" s="31">
        <v>3</v>
      </c>
      <c r="I736" s="31">
        <v>1</v>
      </c>
      <c r="K736" s="31" t="s">
        <v>1548</v>
      </c>
      <c r="L736" s="31" t="str">
        <f>VLOOKUP(B736, [1]Course!$A$1:$O$933, 14, FALSE)</f>
        <v>ES</v>
      </c>
      <c r="M736" s="31">
        <v>1</v>
      </c>
    </row>
    <row r="737" spans="1:13" ht="15.75" hidden="1" customHeight="1" x14ac:dyDescent="0.2">
      <c r="A737" s="31">
        <v>736</v>
      </c>
      <c r="B737" s="31">
        <v>65</v>
      </c>
      <c r="C737" s="31">
        <v>2</v>
      </c>
      <c r="D737" s="31" t="s">
        <v>91</v>
      </c>
      <c r="E737" s="31" t="str">
        <f t="shared" si="11"/>
        <v>1202ES03PT</v>
      </c>
      <c r="F737" s="31">
        <f>VLOOKUP(B737,[1]Course!$A$2:$R$329,2,FALSE)</f>
        <v>0</v>
      </c>
      <c r="G737" s="31">
        <f>VLOOKUP(B737, [1]Course!$A$2:$L$950, 8, FALSE)</f>
        <v>12</v>
      </c>
      <c r="H737" s="31">
        <v>3</v>
      </c>
      <c r="I737" s="31">
        <v>1</v>
      </c>
      <c r="K737" s="31" t="s">
        <v>1548</v>
      </c>
      <c r="L737" s="31" t="str">
        <f>VLOOKUP(B737, [1]Course!$A$1:$O$933, 14, FALSE)</f>
        <v>ES</v>
      </c>
      <c r="M737" s="31">
        <v>1</v>
      </c>
    </row>
    <row r="738" spans="1:13" ht="15.75" hidden="1" customHeight="1" x14ac:dyDescent="0.2">
      <c r="A738" s="31">
        <v>737</v>
      </c>
      <c r="B738" s="31">
        <v>65</v>
      </c>
      <c r="C738" s="31">
        <v>3</v>
      </c>
      <c r="D738" s="31" t="s">
        <v>91</v>
      </c>
      <c r="E738" s="31" t="str">
        <f t="shared" si="11"/>
        <v>1203ES03PT</v>
      </c>
      <c r="F738" s="31">
        <f>VLOOKUP(B738,[1]Course!$A$2:$R$329,2,FALSE)</f>
        <v>0</v>
      </c>
      <c r="G738" s="31">
        <f>VLOOKUP(B738, [1]Course!$A$2:$L$950, 8, FALSE)</f>
        <v>12</v>
      </c>
      <c r="H738" s="31">
        <v>3</v>
      </c>
      <c r="I738" s="31">
        <v>1</v>
      </c>
      <c r="K738" s="31" t="s">
        <v>1548</v>
      </c>
      <c r="L738" s="31" t="str">
        <f>VLOOKUP(B738, [1]Course!$A$1:$O$933, 14, FALSE)</f>
        <v>ES</v>
      </c>
      <c r="M738" s="31">
        <v>1</v>
      </c>
    </row>
    <row r="739" spans="1:13" ht="15.75" hidden="1" customHeight="1" x14ac:dyDescent="0.2">
      <c r="A739" s="31">
        <v>738</v>
      </c>
      <c r="B739" s="31">
        <v>65</v>
      </c>
      <c r="C739" s="31">
        <v>4</v>
      </c>
      <c r="D739" s="31" t="s">
        <v>91</v>
      </c>
      <c r="E739" s="31" t="str">
        <f t="shared" si="11"/>
        <v>1204ES03PT</v>
      </c>
      <c r="F739" s="31">
        <f>VLOOKUP(B739,[1]Course!$A$2:$R$329,2,FALSE)</f>
        <v>0</v>
      </c>
      <c r="G739" s="31">
        <f>VLOOKUP(B739, [1]Course!$A$2:$L$950, 8, FALSE)</f>
        <v>12</v>
      </c>
      <c r="H739" s="31">
        <v>3</v>
      </c>
      <c r="I739" s="31">
        <v>1</v>
      </c>
      <c r="K739" s="31" t="s">
        <v>1548</v>
      </c>
      <c r="L739" s="31" t="str">
        <f>VLOOKUP(B739, [1]Course!$A$1:$O$933, 14, FALSE)</f>
        <v>ES</v>
      </c>
      <c r="M739" s="31">
        <v>1</v>
      </c>
    </row>
    <row r="740" spans="1:13" ht="15.75" hidden="1" customHeight="1" x14ac:dyDescent="0.2">
      <c r="A740" s="31">
        <v>739</v>
      </c>
      <c r="B740" s="31">
        <v>65</v>
      </c>
      <c r="C740" s="31">
        <v>5</v>
      </c>
      <c r="D740" s="31" t="s">
        <v>91</v>
      </c>
      <c r="E740" s="31" t="str">
        <f t="shared" si="11"/>
        <v>1205ES03PT</v>
      </c>
      <c r="F740" s="31">
        <f>VLOOKUP(B740,[1]Course!$A$2:$R$329,2,FALSE)</f>
        <v>0</v>
      </c>
      <c r="G740" s="31">
        <f>VLOOKUP(B740, [1]Course!$A$2:$L$950, 8, FALSE)</f>
        <v>12</v>
      </c>
      <c r="H740" s="31">
        <v>3</v>
      </c>
      <c r="I740" s="31">
        <v>1</v>
      </c>
      <c r="K740" s="31" t="s">
        <v>1548</v>
      </c>
      <c r="L740" s="31" t="str">
        <f>VLOOKUP(B740, [1]Course!$A$1:$O$933, 14, FALSE)</f>
        <v>ES</v>
      </c>
      <c r="M740" s="31">
        <v>1</v>
      </c>
    </row>
    <row r="741" spans="1:13" ht="15.75" hidden="1" customHeight="1" x14ac:dyDescent="0.2">
      <c r="A741" s="31">
        <v>740</v>
      </c>
      <c r="B741" s="31">
        <v>65</v>
      </c>
      <c r="C741" s="31">
        <v>6</v>
      </c>
      <c r="D741" s="31" t="s">
        <v>91</v>
      </c>
      <c r="E741" s="31" t="str">
        <f t="shared" si="11"/>
        <v>1206ES03PT</v>
      </c>
      <c r="F741" s="31">
        <f>VLOOKUP(B741,[1]Course!$A$2:$R$329,2,FALSE)</f>
        <v>0</v>
      </c>
      <c r="G741" s="31">
        <f>VLOOKUP(B741, [1]Course!$A$2:$L$950, 8, FALSE)</f>
        <v>12</v>
      </c>
      <c r="H741" s="31">
        <v>3</v>
      </c>
      <c r="I741" s="31">
        <v>1</v>
      </c>
      <c r="K741" s="31" t="s">
        <v>1548</v>
      </c>
      <c r="L741" s="31" t="str">
        <f>VLOOKUP(B741, [1]Course!$A$1:$O$933, 14, FALSE)</f>
        <v>ES</v>
      </c>
      <c r="M741" s="31">
        <v>1</v>
      </c>
    </row>
    <row r="742" spans="1:13" ht="15.75" hidden="1" customHeight="1" x14ac:dyDescent="0.2">
      <c r="A742" s="31">
        <v>741</v>
      </c>
      <c r="B742" s="31">
        <v>65</v>
      </c>
      <c r="C742" s="31">
        <v>7</v>
      </c>
      <c r="D742" s="31" t="s">
        <v>91</v>
      </c>
      <c r="E742" s="31" t="str">
        <f t="shared" si="11"/>
        <v>1207ES03PT</v>
      </c>
      <c r="F742" s="31">
        <f>VLOOKUP(B742,[1]Course!$A$2:$R$329,2,FALSE)</f>
        <v>0</v>
      </c>
      <c r="G742" s="31">
        <f>VLOOKUP(B742, [1]Course!$A$2:$L$950, 8, FALSE)</f>
        <v>12</v>
      </c>
      <c r="H742" s="31">
        <v>3</v>
      </c>
      <c r="I742" s="31">
        <v>1</v>
      </c>
      <c r="K742" s="31" t="s">
        <v>1548</v>
      </c>
      <c r="L742" s="31" t="str">
        <f>VLOOKUP(B742, [1]Course!$A$1:$O$933, 14, FALSE)</f>
        <v>ES</v>
      </c>
      <c r="M742" s="31">
        <v>1</v>
      </c>
    </row>
    <row r="743" spans="1:13" ht="15.75" hidden="1" customHeight="1" x14ac:dyDescent="0.2">
      <c r="A743" s="31">
        <v>742</v>
      </c>
      <c r="B743" s="31">
        <v>65</v>
      </c>
      <c r="C743" s="31">
        <v>8</v>
      </c>
      <c r="D743" s="31" t="s">
        <v>91</v>
      </c>
      <c r="E743" s="31" t="str">
        <f t="shared" si="11"/>
        <v>1208ES03PT</v>
      </c>
      <c r="F743" s="31">
        <f>VLOOKUP(B743,[1]Course!$A$2:$R$329,2,FALSE)</f>
        <v>0</v>
      </c>
      <c r="G743" s="31">
        <f>VLOOKUP(B743, [1]Course!$A$2:$L$950, 8, FALSE)</f>
        <v>12</v>
      </c>
      <c r="H743" s="31">
        <v>3</v>
      </c>
      <c r="I743" s="31">
        <v>1</v>
      </c>
      <c r="K743" s="31" t="s">
        <v>1548</v>
      </c>
      <c r="L743" s="31" t="str">
        <f>VLOOKUP(B743, [1]Course!$A$1:$O$933, 14, FALSE)</f>
        <v>ES</v>
      </c>
      <c r="M743" s="31">
        <v>1</v>
      </c>
    </row>
    <row r="744" spans="1:13" ht="15.75" hidden="1" customHeight="1" x14ac:dyDescent="0.2">
      <c r="A744" s="31">
        <v>743</v>
      </c>
      <c r="B744" s="31">
        <v>65</v>
      </c>
      <c r="C744" s="31">
        <v>9</v>
      </c>
      <c r="D744" s="31" t="s">
        <v>91</v>
      </c>
      <c r="E744" s="31" t="str">
        <f t="shared" si="11"/>
        <v>1209ES03PT</v>
      </c>
      <c r="F744" s="31">
        <f>VLOOKUP(B744,[1]Course!$A$2:$R$329,2,FALSE)</f>
        <v>0</v>
      </c>
      <c r="G744" s="31">
        <f>VLOOKUP(B744, [1]Course!$A$2:$L$950, 8, FALSE)</f>
        <v>12</v>
      </c>
      <c r="H744" s="31">
        <v>3</v>
      </c>
      <c r="I744" s="31">
        <v>1</v>
      </c>
      <c r="K744" s="31" t="s">
        <v>1548</v>
      </c>
      <c r="L744" s="31" t="str">
        <f>VLOOKUP(B744, [1]Course!$A$1:$O$933, 14, FALSE)</f>
        <v>ES</v>
      </c>
      <c r="M744" s="31">
        <v>1</v>
      </c>
    </row>
    <row r="745" spans="1:13" ht="15.75" hidden="1" customHeight="1" x14ac:dyDescent="0.2">
      <c r="A745" s="31">
        <v>744</v>
      </c>
      <c r="B745" s="31">
        <v>65</v>
      </c>
      <c r="C745" s="31">
        <v>10</v>
      </c>
      <c r="D745" s="31" t="s">
        <v>91</v>
      </c>
      <c r="E745" s="31" t="str">
        <f t="shared" si="11"/>
        <v>1210ES03PT</v>
      </c>
      <c r="F745" s="31">
        <f>VLOOKUP(B745,[1]Course!$A$2:$R$329,2,FALSE)</f>
        <v>0</v>
      </c>
      <c r="G745" s="31">
        <f>VLOOKUP(B745, [1]Course!$A$2:$L$950, 8, FALSE)</f>
        <v>12</v>
      </c>
      <c r="H745" s="31">
        <v>3</v>
      </c>
      <c r="I745" s="31">
        <v>1</v>
      </c>
      <c r="K745" s="31" t="s">
        <v>1548</v>
      </c>
      <c r="L745" s="31" t="str">
        <f>VLOOKUP(B745, [1]Course!$A$1:$O$933, 14, FALSE)</f>
        <v>ES</v>
      </c>
      <c r="M745" s="31">
        <v>1</v>
      </c>
    </row>
    <row r="746" spans="1:13" ht="15.75" hidden="1" customHeight="1" x14ac:dyDescent="0.2">
      <c r="A746" s="31">
        <v>745</v>
      </c>
      <c r="B746" s="31">
        <v>65</v>
      </c>
      <c r="C746" s="31">
        <v>11</v>
      </c>
      <c r="D746" s="31" t="s">
        <v>91</v>
      </c>
      <c r="E746" s="31" t="str">
        <f t="shared" si="11"/>
        <v>1211ES03PT</v>
      </c>
      <c r="F746" s="31">
        <f>VLOOKUP(B746,[1]Course!$A$2:$R$329,2,FALSE)</f>
        <v>0</v>
      </c>
      <c r="G746" s="31">
        <f>VLOOKUP(B746, [1]Course!$A$2:$L$950, 8, FALSE)</f>
        <v>12</v>
      </c>
      <c r="H746" s="31">
        <v>3</v>
      </c>
      <c r="I746" s="31">
        <v>1</v>
      </c>
      <c r="K746" s="31" t="s">
        <v>1548</v>
      </c>
      <c r="L746" s="31" t="str">
        <f>VLOOKUP(B746, [1]Course!$A$1:$O$933, 14, FALSE)</f>
        <v>ES</v>
      </c>
      <c r="M746" s="31">
        <v>1</v>
      </c>
    </row>
    <row r="747" spans="1:13" ht="15.75" hidden="1" customHeight="1" x14ac:dyDescent="0.2">
      <c r="A747" s="31">
        <v>746</v>
      </c>
      <c r="B747" s="31">
        <v>65</v>
      </c>
      <c r="C747" s="31">
        <v>12</v>
      </c>
      <c r="D747" s="31" t="s">
        <v>91</v>
      </c>
      <c r="E747" s="31" t="str">
        <f t="shared" si="11"/>
        <v>1212ES03PT</v>
      </c>
      <c r="F747" s="31">
        <f>VLOOKUP(B747,[1]Course!$A$2:$R$329,2,FALSE)</f>
        <v>0</v>
      </c>
      <c r="G747" s="31">
        <f>VLOOKUP(B747, [1]Course!$A$2:$L$950, 8, FALSE)</f>
        <v>12</v>
      </c>
      <c r="H747" s="31">
        <v>3</v>
      </c>
      <c r="I747" s="31">
        <v>1</v>
      </c>
      <c r="K747" s="31" t="s">
        <v>1548</v>
      </c>
      <c r="L747" s="31" t="str">
        <f>VLOOKUP(B747, [1]Course!$A$1:$O$933, 14, FALSE)</f>
        <v>ES</v>
      </c>
      <c r="M747" s="31">
        <v>1</v>
      </c>
    </row>
    <row r="748" spans="1:13" ht="15.75" hidden="1" customHeight="1" x14ac:dyDescent="0.2">
      <c r="A748" s="31">
        <v>747</v>
      </c>
      <c r="B748" s="31">
        <v>66</v>
      </c>
      <c r="C748" s="31">
        <v>97</v>
      </c>
      <c r="D748" s="31" t="s">
        <v>261</v>
      </c>
      <c r="E748" s="31" t="str">
        <f t="shared" si="11"/>
        <v>1297AA03PT</v>
      </c>
      <c r="F748" s="31">
        <f>VLOOKUP(B748,[1]Course!$A$2:$R$329,2,FALSE)</f>
        <v>0</v>
      </c>
      <c r="G748" s="31">
        <f>VLOOKUP(B748, [1]Course!$A$2:$L$950, 8, FALSE)</f>
        <v>12</v>
      </c>
      <c r="H748" s="31">
        <v>3</v>
      </c>
      <c r="I748" s="31">
        <v>1</v>
      </c>
      <c r="K748" s="31" t="s">
        <v>1548</v>
      </c>
      <c r="L748" s="31" t="str">
        <f>VLOOKUP(B748, [1]Course!$A$1:$O$933, 14, FALSE)</f>
        <v>AA</v>
      </c>
      <c r="M748" s="31">
        <v>1</v>
      </c>
    </row>
    <row r="749" spans="1:13" ht="15.75" hidden="1" customHeight="1" x14ac:dyDescent="0.2">
      <c r="A749" s="31">
        <v>748</v>
      </c>
      <c r="B749" s="31">
        <v>66</v>
      </c>
      <c r="C749" s="31">
        <v>98</v>
      </c>
      <c r="D749" s="31" t="s">
        <v>261</v>
      </c>
      <c r="E749" s="31" t="str">
        <f t="shared" si="11"/>
        <v>1298AA03PT</v>
      </c>
      <c r="F749" s="31">
        <f>VLOOKUP(B749,[1]Course!$A$2:$R$329,2,FALSE)</f>
        <v>0</v>
      </c>
      <c r="G749" s="31">
        <f>VLOOKUP(B749, [1]Course!$A$2:$L$950, 8, FALSE)</f>
        <v>12</v>
      </c>
      <c r="H749" s="31">
        <v>3</v>
      </c>
      <c r="I749" s="31">
        <v>1</v>
      </c>
      <c r="K749" s="31" t="s">
        <v>1548</v>
      </c>
      <c r="L749" s="31" t="str">
        <f>VLOOKUP(B749, [1]Course!$A$1:$O$933, 14, FALSE)</f>
        <v>AA</v>
      </c>
      <c r="M749" s="31">
        <v>1</v>
      </c>
    </row>
    <row r="750" spans="1:13" ht="15.75" hidden="1" customHeight="1" x14ac:dyDescent="0.2">
      <c r="A750" s="31">
        <v>749</v>
      </c>
      <c r="B750" s="31">
        <v>66</v>
      </c>
      <c r="C750" s="31">
        <v>99</v>
      </c>
      <c r="D750" s="31" t="s">
        <v>261</v>
      </c>
      <c r="E750" s="31" t="str">
        <f t="shared" si="11"/>
        <v>1299AA03PT</v>
      </c>
      <c r="F750" s="31">
        <f>VLOOKUP(B750,[1]Course!$A$2:$R$329,2,FALSE)</f>
        <v>0</v>
      </c>
      <c r="G750" s="31">
        <f>VLOOKUP(B750, [1]Course!$A$2:$L$950, 8, FALSE)</f>
        <v>12</v>
      </c>
      <c r="H750" s="31">
        <v>3</v>
      </c>
      <c r="I750" s="31">
        <v>1</v>
      </c>
      <c r="K750" s="31" t="s">
        <v>1548</v>
      </c>
      <c r="L750" s="31" t="str">
        <f>VLOOKUP(B750, [1]Course!$A$1:$O$933, 14, FALSE)</f>
        <v>AA</v>
      </c>
      <c r="M750" s="31">
        <v>1</v>
      </c>
    </row>
    <row r="751" spans="1:13" ht="15.75" hidden="1" customHeight="1" x14ac:dyDescent="0.2">
      <c r="A751" s="31">
        <v>750</v>
      </c>
      <c r="B751" s="31">
        <v>66</v>
      </c>
      <c r="C751" s="31">
        <v>100</v>
      </c>
      <c r="D751" s="31" t="s">
        <v>261</v>
      </c>
      <c r="E751" s="31" t="str">
        <f t="shared" si="11"/>
        <v>1200AA03PT</v>
      </c>
      <c r="F751" s="31">
        <f>VLOOKUP(B751,[1]Course!$A$2:$R$329,2,FALSE)</f>
        <v>0</v>
      </c>
      <c r="G751" s="31">
        <f>VLOOKUP(B751, [1]Course!$A$2:$L$950, 8, FALSE)</f>
        <v>12</v>
      </c>
      <c r="H751" s="31">
        <v>3</v>
      </c>
      <c r="I751" s="31">
        <v>1</v>
      </c>
      <c r="K751" s="31" t="s">
        <v>1548</v>
      </c>
      <c r="L751" s="31" t="str">
        <f>VLOOKUP(B751, [1]Course!$A$1:$O$933, 14, FALSE)</f>
        <v>AA</v>
      </c>
      <c r="M751" s="31">
        <v>1</v>
      </c>
    </row>
    <row r="752" spans="1:13" ht="15.75" hidden="1" customHeight="1" x14ac:dyDescent="0.2">
      <c r="A752" s="31">
        <v>751</v>
      </c>
      <c r="B752" s="31">
        <v>66</v>
      </c>
      <c r="C752" s="31">
        <v>101</v>
      </c>
      <c r="D752" s="31" t="s">
        <v>261</v>
      </c>
      <c r="E752" s="31" t="str">
        <f t="shared" si="11"/>
        <v>1201AA03PT</v>
      </c>
      <c r="F752" s="31">
        <f>VLOOKUP(B752,[1]Course!$A$2:$R$329,2,FALSE)</f>
        <v>0</v>
      </c>
      <c r="G752" s="31">
        <f>VLOOKUP(B752, [1]Course!$A$2:$L$950, 8, FALSE)</f>
        <v>12</v>
      </c>
      <c r="H752" s="31">
        <v>3</v>
      </c>
      <c r="I752" s="31">
        <v>1</v>
      </c>
      <c r="K752" s="31" t="s">
        <v>1548</v>
      </c>
      <c r="L752" s="31" t="str">
        <f>VLOOKUP(B752, [1]Course!$A$1:$O$933, 14, FALSE)</f>
        <v>AA</v>
      </c>
      <c r="M752" s="31">
        <v>1</v>
      </c>
    </row>
    <row r="753" spans="1:13" ht="15.75" hidden="1" customHeight="1" x14ac:dyDescent="0.2">
      <c r="A753" s="31">
        <v>752</v>
      </c>
      <c r="B753" s="31">
        <v>66</v>
      </c>
      <c r="C753" s="31">
        <v>102</v>
      </c>
      <c r="D753" s="31" t="s">
        <v>261</v>
      </c>
      <c r="E753" s="31" t="str">
        <f t="shared" si="11"/>
        <v>1202AA03PT</v>
      </c>
      <c r="F753" s="31">
        <f>VLOOKUP(B753,[1]Course!$A$2:$R$329,2,FALSE)</f>
        <v>0</v>
      </c>
      <c r="G753" s="31">
        <f>VLOOKUP(B753, [1]Course!$A$2:$L$950, 8, FALSE)</f>
        <v>12</v>
      </c>
      <c r="H753" s="31">
        <v>3</v>
      </c>
      <c r="I753" s="31">
        <v>1</v>
      </c>
      <c r="K753" s="31" t="s">
        <v>1548</v>
      </c>
      <c r="L753" s="31" t="str">
        <f>VLOOKUP(B753, [1]Course!$A$1:$O$933, 14, FALSE)</f>
        <v>AA</v>
      </c>
      <c r="M753" s="31">
        <v>1</v>
      </c>
    </row>
    <row r="754" spans="1:13" ht="15.75" hidden="1" customHeight="1" x14ac:dyDescent="0.2">
      <c r="A754" s="31">
        <v>753</v>
      </c>
      <c r="B754" s="31">
        <v>66</v>
      </c>
      <c r="C754" s="31">
        <v>103</v>
      </c>
      <c r="D754" s="31" t="s">
        <v>261</v>
      </c>
      <c r="E754" s="31" t="str">
        <f t="shared" si="11"/>
        <v>1203AA03PT</v>
      </c>
      <c r="F754" s="31">
        <f>VLOOKUP(B754,[1]Course!$A$2:$R$329,2,FALSE)</f>
        <v>0</v>
      </c>
      <c r="G754" s="31">
        <f>VLOOKUP(B754, [1]Course!$A$2:$L$950, 8, FALSE)</f>
        <v>12</v>
      </c>
      <c r="H754" s="31">
        <v>3</v>
      </c>
      <c r="I754" s="31">
        <v>1</v>
      </c>
      <c r="K754" s="31" t="s">
        <v>1548</v>
      </c>
      <c r="L754" s="31" t="str">
        <f>VLOOKUP(B754, [1]Course!$A$1:$O$933, 14, FALSE)</f>
        <v>AA</v>
      </c>
      <c r="M754" s="31">
        <v>1</v>
      </c>
    </row>
    <row r="755" spans="1:13" ht="15.75" hidden="1" customHeight="1" x14ac:dyDescent="0.2">
      <c r="A755" s="31">
        <v>754</v>
      </c>
      <c r="B755" s="31">
        <v>66</v>
      </c>
      <c r="C755" s="31">
        <v>104</v>
      </c>
      <c r="D755" s="31" t="s">
        <v>261</v>
      </c>
      <c r="E755" s="31" t="str">
        <f t="shared" si="11"/>
        <v>1204AA03PT</v>
      </c>
      <c r="F755" s="31">
        <f>VLOOKUP(B755,[1]Course!$A$2:$R$329,2,FALSE)</f>
        <v>0</v>
      </c>
      <c r="G755" s="31">
        <f>VLOOKUP(B755, [1]Course!$A$2:$L$950, 8, FALSE)</f>
        <v>12</v>
      </c>
      <c r="H755" s="31">
        <v>3</v>
      </c>
      <c r="I755" s="31">
        <v>1</v>
      </c>
      <c r="K755" s="31" t="s">
        <v>1548</v>
      </c>
      <c r="L755" s="31" t="str">
        <f>VLOOKUP(B755, [1]Course!$A$1:$O$933, 14, FALSE)</f>
        <v>AA</v>
      </c>
      <c r="M755" s="31">
        <v>1</v>
      </c>
    </row>
    <row r="756" spans="1:13" ht="15.75" hidden="1" customHeight="1" x14ac:dyDescent="0.2">
      <c r="A756" s="31">
        <v>755</v>
      </c>
      <c r="B756" s="31">
        <v>66</v>
      </c>
      <c r="C756" s="31">
        <v>105</v>
      </c>
      <c r="D756" s="31" t="s">
        <v>261</v>
      </c>
      <c r="E756" s="31" t="str">
        <f t="shared" si="11"/>
        <v>1205AA03PT</v>
      </c>
      <c r="F756" s="31">
        <f>VLOOKUP(B756,[1]Course!$A$2:$R$329,2,FALSE)</f>
        <v>0</v>
      </c>
      <c r="G756" s="31">
        <f>VLOOKUP(B756, [1]Course!$A$2:$L$950, 8, FALSE)</f>
        <v>12</v>
      </c>
      <c r="H756" s="31">
        <v>3</v>
      </c>
      <c r="I756" s="31">
        <v>1</v>
      </c>
      <c r="K756" s="31" t="s">
        <v>1548</v>
      </c>
      <c r="L756" s="31" t="str">
        <f>VLOOKUP(B756, [1]Course!$A$1:$O$933, 14, FALSE)</f>
        <v>AA</v>
      </c>
      <c r="M756" s="31">
        <v>1</v>
      </c>
    </row>
    <row r="757" spans="1:13" ht="15.75" hidden="1" customHeight="1" x14ac:dyDescent="0.2">
      <c r="A757" s="31">
        <v>756</v>
      </c>
      <c r="B757" s="31">
        <v>66</v>
      </c>
      <c r="C757" s="31">
        <v>106</v>
      </c>
      <c r="D757" s="31" t="s">
        <v>261</v>
      </c>
      <c r="E757" s="31" t="str">
        <f t="shared" si="11"/>
        <v>1206AA03PT</v>
      </c>
      <c r="F757" s="31">
        <f>VLOOKUP(B757,[1]Course!$A$2:$R$329,2,FALSE)</f>
        <v>0</v>
      </c>
      <c r="G757" s="31">
        <f>VLOOKUP(B757, [1]Course!$A$2:$L$950, 8, FALSE)</f>
        <v>12</v>
      </c>
      <c r="H757" s="31">
        <v>3</v>
      </c>
      <c r="I757" s="31">
        <v>1</v>
      </c>
      <c r="K757" s="31" t="s">
        <v>1548</v>
      </c>
      <c r="L757" s="31" t="str">
        <f>VLOOKUP(B757, [1]Course!$A$1:$O$933, 14, FALSE)</f>
        <v>AA</v>
      </c>
      <c r="M757" s="31">
        <v>1</v>
      </c>
    </row>
    <row r="758" spans="1:13" ht="15.75" hidden="1" customHeight="1" x14ac:dyDescent="0.2">
      <c r="A758" s="31">
        <v>757</v>
      </c>
      <c r="B758" s="31">
        <v>66</v>
      </c>
      <c r="C758" s="31">
        <v>107</v>
      </c>
      <c r="D758" s="31" t="s">
        <v>261</v>
      </c>
      <c r="E758" s="31" t="str">
        <f t="shared" si="11"/>
        <v>1207AA03PT</v>
      </c>
      <c r="F758" s="31">
        <f>VLOOKUP(B758,[1]Course!$A$2:$R$329,2,FALSE)</f>
        <v>0</v>
      </c>
      <c r="G758" s="31">
        <f>VLOOKUP(B758, [1]Course!$A$2:$L$950, 8, FALSE)</f>
        <v>12</v>
      </c>
      <c r="H758" s="31">
        <v>3</v>
      </c>
      <c r="I758" s="31">
        <v>1</v>
      </c>
      <c r="K758" s="31" t="s">
        <v>1548</v>
      </c>
      <c r="L758" s="31" t="str">
        <f>VLOOKUP(B758, [1]Course!$A$1:$O$933, 14, FALSE)</f>
        <v>AA</v>
      </c>
      <c r="M758" s="31">
        <v>1</v>
      </c>
    </row>
    <row r="759" spans="1:13" ht="15.75" hidden="1" customHeight="1" x14ac:dyDescent="0.2">
      <c r="A759" s="31">
        <v>758</v>
      </c>
      <c r="B759" s="31">
        <v>66</v>
      </c>
      <c r="C759" s="31">
        <v>108</v>
      </c>
      <c r="D759" s="31" t="s">
        <v>261</v>
      </c>
      <c r="E759" s="31" t="str">
        <f t="shared" si="11"/>
        <v>1208AA03PT</v>
      </c>
      <c r="F759" s="31">
        <f>VLOOKUP(B759,[1]Course!$A$2:$R$329,2,FALSE)</f>
        <v>0</v>
      </c>
      <c r="G759" s="31">
        <f>VLOOKUP(B759, [1]Course!$A$2:$L$950, 8, FALSE)</f>
        <v>12</v>
      </c>
      <c r="H759" s="31">
        <v>3</v>
      </c>
      <c r="I759" s="31">
        <v>1</v>
      </c>
      <c r="K759" s="31" t="s">
        <v>1548</v>
      </c>
      <c r="L759" s="31" t="str">
        <f>VLOOKUP(B759, [1]Course!$A$1:$O$933, 14, FALSE)</f>
        <v>AA</v>
      </c>
      <c r="M759" s="31">
        <v>1</v>
      </c>
    </row>
    <row r="760" spans="1:13" ht="15.75" hidden="1" customHeight="1" x14ac:dyDescent="0.2">
      <c r="A760" s="31">
        <v>759</v>
      </c>
      <c r="B760" s="31">
        <v>67</v>
      </c>
      <c r="C760" s="31">
        <v>1</v>
      </c>
      <c r="D760" s="31" t="s">
        <v>259</v>
      </c>
      <c r="E760" s="31" t="str">
        <f t="shared" si="11"/>
        <v>1001CA03PT</v>
      </c>
      <c r="F760" s="31">
        <f>VLOOKUP(B760,[1]Course!$A$2:$R$329,2,FALSE)</f>
        <v>0</v>
      </c>
      <c r="G760" s="31">
        <f>VLOOKUP(B760, [1]Course!$A$2:$L$950, 8, FALSE)</f>
        <v>10</v>
      </c>
      <c r="H760" s="31">
        <v>3</v>
      </c>
      <c r="I760" s="31">
        <v>1</v>
      </c>
      <c r="K760" s="31" t="s">
        <v>1548</v>
      </c>
      <c r="L760" s="31" t="str">
        <f>VLOOKUP(B760, [1]Course!$A$1:$O$933, 14, FALSE)</f>
        <v>CA</v>
      </c>
      <c r="M760" s="31">
        <v>1</v>
      </c>
    </row>
    <row r="761" spans="1:13" ht="15.75" hidden="1" customHeight="1" x14ac:dyDescent="0.2">
      <c r="A761" s="31">
        <v>760</v>
      </c>
      <c r="B761" s="31">
        <v>67</v>
      </c>
      <c r="C761" s="31">
        <v>2</v>
      </c>
      <c r="D761" s="31" t="s">
        <v>259</v>
      </c>
      <c r="E761" s="31" t="str">
        <f t="shared" si="11"/>
        <v>1002CA03PT</v>
      </c>
      <c r="F761" s="31">
        <f>VLOOKUP(B761,[1]Course!$A$2:$R$329,2,FALSE)</f>
        <v>0</v>
      </c>
      <c r="G761" s="31">
        <f>VLOOKUP(B761, [1]Course!$A$2:$L$950, 8, FALSE)</f>
        <v>10</v>
      </c>
      <c r="H761" s="31">
        <v>3</v>
      </c>
      <c r="I761" s="31">
        <v>1</v>
      </c>
      <c r="K761" s="31" t="s">
        <v>1548</v>
      </c>
      <c r="L761" s="31" t="str">
        <f>VLOOKUP(B761, [1]Course!$A$1:$O$933, 14, FALSE)</f>
        <v>CA</v>
      </c>
      <c r="M761" s="31">
        <v>1</v>
      </c>
    </row>
    <row r="762" spans="1:13" ht="15.75" hidden="1" customHeight="1" x14ac:dyDescent="0.2">
      <c r="A762" s="31">
        <v>761</v>
      </c>
      <c r="B762" s="31">
        <v>67</v>
      </c>
      <c r="C762" s="31">
        <v>3</v>
      </c>
      <c r="D762" s="31" t="s">
        <v>259</v>
      </c>
      <c r="E762" s="31" t="str">
        <f t="shared" si="11"/>
        <v>1003CA03PT</v>
      </c>
      <c r="F762" s="31">
        <f>VLOOKUP(B762,[1]Course!$A$2:$R$329,2,FALSE)</f>
        <v>0</v>
      </c>
      <c r="G762" s="31">
        <f>VLOOKUP(B762, [1]Course!$A$2:$L$950, 8, FALSE)</f>
        <v>10</v>
      </c>
      <c r="H762" s="31">
        <v>3</v>
      </c>
      <c r="I762" s="31">
        <v>1</v>
      </c>
      <c r="K762" s="31" t="s">
        <v>1548</v>
      </c>
      <c r="L762" s="31" t="str">
        <f>VLOOKUP(B762, [1]Course!$A$1:$O$933, 14, FALSE)</f>
        <v>CA</v>
      </c>
      <c r="M762" s="31">
        <v>1</v>
      </c>
    </row>
    <row r="763" spans="1:13" ht="15.75" hidden="1" customHeight="1" x14ac:dyDescent="0.2">
      <c r="A763" s="31">
        <v>762</v>
      </c>
      <c r="B763" s="31">
        <v>67</v>
      </c>
      <c r="C763" s="31">
        <v>4</v>
      </c>
      <c r="D763" s="31" t="s">
        <v>259</v>
      </c>
      <c r="E763" s="31" t="str">
        <f t="shared" si="11"/>
        <v>1004CA03PT</v>
      </c>
      <c r="F763" s="31">
        <f>VLOOKUP(B763,[1]Course!$A$2:$R$329,2,FALSE)</f>
        <v>0</v>
      </c>
      <c r="G763" s="31">
        <f>VLOOKUP(B763, [1]Course!$A$2:$L$950, 8, FALSE)</f>
        <v>10</v>
      </c>
      <c r="H763" s="31">
        <v>3</v>
      </c>
      <c r="I763" s="31">
        <v>1</v>
      </c>
      <c r="K763" s="31" t="s">
        <v>1548</v>
      </c>
      <c r="L763" s="31" t="str">
        <f>VLOOKUP(B763, [1]Course!$A$1:$O$933, 14, FALSE)</f>
        <v>CA</v>
      </c>
      <c r="M763" s="31">
        <v>1</v>
      </c>
    </row>
    <row r="764" spans="1:13" ht="15.75" hidden="1" customHeight="1" x14ac:dyDescent="0.2">
      <c r="A764" s="31">
        <v>763</v>
      </c>
      <c r="B764" s="31">
        <v>67</v>
      </c>
      <c r="C764" s="31">
        <v>5</v>
      </c>
      <c r="D764" s="31" t="s">
        <v>259</v>
      </c>
      <c r="E764" s="31" t="str">
        <f t="shared" si="11"/>
        <v>1005CA03PT</v>
      </c>
      <c r="F764" s="31">
        <f>VLOOKUP(B764,[1]Course!$A$2:$R$329,2,FALSE)</f>
        <v>0</v>
      </c>
      <c r="G764" s="31">
        <f>VLOOKUP(B764, [1]Course!$A$2:$L$950, 8, FALSE)</f>
        <v>10</v>
      </c>
      <c r="H764" s="31">
        <v>3</v>
      </c>
      <c r="I764" s="31">
        <v>1</v>
      </c>
      <c r="K764" s="31" t="s">
        <v>1548</v>
      </c>
      <c r="L764" s="31" t="str">
        <f>VLOOKUP(B764, [1]Course!$A$1:$O$933, 14, FALSE)</f>
        <v>CA</v>
      </c>
      <c r="M764" s="31">
        <v>1</v>
      </c>
    </row>
    <row r="765" spans="1:13" ht="15.75" hidden="1" customHeight="1" x14ac:dyDescent="0.2">
      <c r="A765" s="31">
        <v>764</v>
      </c>
      <c r="B765" s="31">
        <v>67</v>
      </c>
      <c r="C765" s="31">
        <v>6</v>
      </c>
      <c r="D765" s="31" t="s">
        <v>259</v>
      </c>
      <c r="E765" s="31" t="str">
        <f t="shared" si="11"/>
        <v>1006CA03PT</v>
      </c>
      <c r="F765" s="31">
        <f>VLOOKUP(B765,[1]Course!$A$2:$R$329,2,FALSE)</f>
        <v>0</v>
      </c>
      <c r="G765" s="31">
        <f>VLOOKUP(B765, [1]Course!$A$2:$L$950, 8, FALSE)</f>
        <v>10</v>
      </c>
      <c r="H765" s="31">
        <v>3</v>
      </c>
      <c r="I765" s="31">
        <v>1</v>
      </c>
      <c r="K765" s="31" t="s">
        <v>1548</v>
      </c>
      <c r="L765" s="31" t="str">
        <f>VLOOKUP(B765, [1]Course!$A$1:$O$933, 14, FALSE)</f>
        <v>CA</v>
      </c>
      <c r="M765" s="31">
        <v>1</v>
      </c>
    </row>
    <row r="766" spans="1:13" ht="15.75" hidden="1" customHeight="1" x14ac:dyDescent="0.2">
      <c r="A766" s="31">
        <v>765</v>
      </c>
      <c r="B766" s="31">
        <v>67</v>
      </c>
      <c r="C766" s="31">
        <v>7</v>
      </c>
      <c r="D766" s="31" t="s">
        <v>259</v>
      </c>
      <c r="E766" s="31" t="str">
        <f t="shared" si="11"/>
        <v>1007CA03PT</v>
      </c>
      <c r="F766" s="31">
        <f>VLOOKUP(B766,[1]Course!$A$2:$R$329,2,FALSE)</f>
        <v>0</v>
      </c>
      <c r="G766" s="31">
        <f>VLOOKUP(B766, [1]Course!$A$2:$L$950, 8, FALSE)</f>
        <v>10</v>
      </c>
      <c r="H766" s="31">
        <v>3</v>
      </c>
      <c r="I766" s="31">
        <v>1</v>
      </c>
      <c r="K766" s="31" t="s">
        <v>1548</v>
      </c>
      <c r="L766" s="31" t="str">
        <f>VLOOKUP(B766, [1]Course!$A$1:$O$933, 14, FALSE)</f>
        <v>CA</v>
      </c>
      <c r="M766" s="31">
        <v>1</v>
      </c>
    </row>
    <row r="767" spans="1:13" ht="15.75" hidden="1" customHeight="1" x14ac:dyDescent="0.2">
      <c r="A767" s="31">
        <v>766</v>
      </c>
      <c r="B767" s="31">
        <v>67</v>
      </c>
      <c r="C767" s="31">
        <v>8</v>
      </c>
      <c r="D767" s="31" t="s">
        <v>259</v>
      </c>
      <c r="E767" s="31" t="str">
        <f t="shared" si="11"/>
        <v>1008CA03PT</v>
      </c>
      <c r="F767" s="31">
        <f>VLOOKUP(B767,[1]Course!$A$2:$R$329,2,FALSE)</f>
        <v>0</v>
      </c>
      <c r="G767" s="31">
        <f>VLOOKUP(B767, [1]Course!$A$2:$L$950, 8, FALSE)</f>
        <v>10</v>
      </c>
      <c r="H767" s="31">
        <v>3</v>
      </c>
      <c r="I767" s="31">
        <v>1</v>
      </c>
      <c r="K767" s="31" t="s">
        <v>1548</v>
      </c>
      <c r="L767" s="31" t="str">
        <f>VLOOKUP(B767, [1]Course!$A$1:$O$933, 14, FALSE)</f>
        <v>CA</v>
      </c>
      <c r="M767" s="31">
        <v>1</v>
      </c>
    </row>
    <row r="768" spans="1:13" ht="15.75" hidden="1" customHeight="1" x14ac:dyDescent="0.2">
      <c r="A768" s="31">
        <v>767</v>
      </c>
      <c r="B768" s="31">
        <v>67</v>
      </c>
      <c r="C768" s="31">
        <v>9</v>
      </c>
      <c r="D768" s="31" t="s">
        <v>259</v>
      </c>
      <c r="E768" s="31" t="str">
        <f t="shared" si="11"/>
        <v>1009CA03PT</v>
      </c>
      <c r="F768" s="31">
        <f>VLOOKUP(B768,[1]Course!$A$2:$R$329,2,FALSE)</f>
        <v>0</v>
      </c>
      <c r="G768" s="31">
        <f>VLOOKUP(B768, [1]Course!$A$2:$L$950, 8, FALSE)</f>
        <v>10</v>
      </c>
      <c r="H768" s="31">
        <v>3</v>
      </c>
      <c r="I768" s="31">
        <v>1</v>
      </c>
      <c r="K768" s="31" t="s">
        <v>1548</v>
      </c>
      <c r="L768" s="31" t="str">
        <f>VLOOKUP(B768, [1]Course!$A$1:$O$933, 14, FALSE)</f>
        <v>CA</v>
      </c>
      <c r="M768" s="31">
        <v>1</v>
      </c>
    </row>
    <row r="769" spans="1:13" ht="15.75" hidden="1" customHeight="1" x14ac:dyDescent="0.2">
      <c r="A769" s="31">
        <v>768</v>
      </c>
      <c r="B769" s="31">
        <v>67</v>
      </c>
      <c r="C769" s="31">
        <v>10</v>
      </c>
      <c r="D769" s="31" t="s">
        <v>259</v>
      </c>
      <c r="E769" s="31" t="str">
        <f t="shared" si="11"/>
        <v>1010CA03PT</v>
      </c>
      <c r="F769" s="31">
        <f>VLOOKUP(B769,[1]Course!$A$2:$R$329,2,FALSE)</f>
        <v>0</v>
      </c>
      <c r="G769" s="31">
        <f>VLOOKUP(B769, [1]Course!$A$2:$L$950, 8, FALSE)</f>
        <v>10</v>
      </c>
      <c r="H769" s="31">
        <v>3</v>
      </c>
      <c r="I769" s="31">
        <v>1</v>
      </c>
      <c r="K769" s="31" t="s">
        <v>1548</v>
      </c>
      <c r="L769" s="31" t="str">
        <f>VLOOKUP(B769, [1]Course!$A$1:$O$933, 14, FALSE)</f>
        <v>CA</v>
      </c>
      <c r="M769" s="31">
        <v>1</v>
      </c>
    </row>
    <row r="770" spans="1:13" ht="15.75" hidden="1" customHeight="1" x14ac:dyDescent="0.2">
      <c r="A770" s="31">
        <v>769</v>
      </c>
      <c r="B770" s="31">
        <v>68</v>
      </c>
      <c r="C770" s="31">
        <v>97</v>
      </c>
      <c r="D770" s="31" t="s">
        <v>257</v>
      </c>
      <c r="E770" s="31" t="str">
        <f t="shared" si="11"/>
        <v>1297ET03PT</v>
      </c>
      <c r="F770" s="31">
        <f>VLOOKUP(B770,[1]Course!$A$2:$R$329,2,FALSE)</f>
        <v>0</v>
      </c>
      <c r="G770" s="31">
        <f>VLOOKUP(B770, [1]Course!$A$2:$L$950, 8, FALSE)</f>
        <v>12</v>
      </c>
      <c r="H770" s="31">
        <v>3</v>
      </c>
      <c r="I770" s="31">
        <v>1</v>
      </c>
      <c r="K770" s="31" t="s">
        <v>1548</v>
      </c>
      <c r="L770" s="31" t="str">
        <f>VLOOKUP(B770, [1]Course!$A$1:$O$933, 14, FALSE)</f>
        <v>ET</v>
      </c>
      <c r="M770" s="31">
        <v>1</v>
      </c>
    </row>
    <row r="771" spans="1:13" ht="15.75" hidden="1" customHeight="1" x14ac:dyDescent="0.2">
      <c r="A771" s="31">
        <v>770</v>
      </c>
      <c r="B771" s="31">
        <v>68</v>
      </c>
      <c r="C771" s="31">
        <v>98</v>
      </c>
      <c r="D771" s="31" t="s">
        <v>257</v>
      </c>
      <c r="E771" s="31" t="str">
        <f t="shared" ref="E771:E834" si="12">UPPER(LEFT(G771,2)) &amp; RIGHT("0" &amp; C771, 2) &amp; D771 &amp; RIGHT("0" &amp; H771, 2) &amp; K771</f>
        <v>1298ET03PT</v>
      </c>
      <c r="F771" s="31">
        <f>VLOOKUP(B771,[1]Course!$A$2:$R$329,2,FALSE)</f>
        <v>0</v>
      </c>
      <c r="G771" s="31">
        <f>VLOOKUP(B771, [1]Course!$A$2:$L$950, 8, FALSE)</f>
        <v>12</v>
      </c>
      <c r="H771" s="31">
        <v>3</v>
      </c>
      <c r="I771" s="31">
        <v>1</v>
      </c>
      <c r="K771" s="31" t="s">
        <v>1548</v>
      </c>
      <c r="L771" s="31" t="str">
        <f>VLOOKUP(B771, [1]Course!$A$1:$O$933, 14, FALSE)</f>
        <v>ET</v>
      </c>
      <c r="M771" s="31">
        <v>1</v>
      </c>
    </row>
    <row r="772" spans="1:13" ht="15.75" hidden="1" customHeight="1" x14ac:dyDescent="0.2">
      <c r="A772" s="31">
        <v>771</v>
      </c>
      <c r="B772" s="31">
        <v>68</v>
      </c>
      <c r="C772" s="31">
        <v>99</v>
      </c>
      <c r="D772" s="31" t="s">
        <v>257</v>
      </c>
      <c r="E772" s="31" t="str">
        <f t="shared" si="12"/>
        <v>1299ET03PT</v>
      </c>
      <c r="F772" s="31">
        <f>VLOOKUP(B772,[1]Course!$A$2:$R$329,2,FALSE)</f>
        <v>0</v>
      </c>
      <c r="G772" s="31">
        <f>VLOOKUP(B772, [1]Course!$A$2:$L$950, 8, FALSE)</f>
        <v>12</v>
      </c>
      <c r="H772" s="31">
        <v>3</v>
      </c>
      <c r="I772" s="31">
        <v>1</v>
      </c>
      <c r="K772" s="31" t="s">
        <v>1548</v>
      </c>
      <c r="L772" s="31" t="str">
        <f>VLOOKUP(B772, [1]Course!$A$1:$O$933, 14, FALSE)</f>
        <v>ET</v>
      </c>
      <c r="M772" s="31">
        <v>1</v>
      </c>
    </row>
    <row r="773" spans="1:13" ht="15.75" hidden="1" customHeight="1" x14ac:dyDescent="0.2">
      <c r="A773" s="31">
        <v>772</v>
      </c>
      <c r="B773" s="31">
        <v>68</v>
      </c>
      <c r="C773" s="31">
        <v>100</v>
      </c>
      <c r="D773" s="31" t="s">
        <v>257</v>
      </c>
      <c r="E773" s="31" t="str">
        <f t="shared" si="12"/>
        <v>1200ET03PT</v>
      </c>
      <c r="F773" s="31">
        <f>VLOOKUP(B773,[1]Course!$A$2:$R$329,2,FALSE)</f>
        <v>0</v>
      </c>
      <c r="G773" s="31">
        <f>VLOOKUP(B773, [1]Course!$A$2:$L$950, 8, FALSE)</f>
        <v>12</v>
      </c>
      <c r="H773" s="31">
        <v>3</v>
      </c>
      <c r="I773" s="31">
        <v>1</v>
      </c>
      <c r="K773" s="31" t="s">
        <v>1548</v>
      </c>
      <c r="L773" s="31" t="str">
        <f>VLOOKUP(B773, [1]Course!$A$1:$O$933, 14, FALSE)</f>
        <v>ET</v>
      </c>
      <c r="M773" s="31">
        <v>1</v>
      </c>
    </row>
    <row r="774" spans="1:13" ht="15.75" hidden="1" customHeight="1" x14ac:dyDescent="0.2">
      <c r="A774" s="31">
        <v>773</v>
      </c>
      <c r="B774" s="31">
        <v>68</v>
      </c>
      <c r="C774" s="31">
        <v>101</v>
      </c>
      <c r="D774" s="31" t="s">
        <v>257</v>
      </c>
      <c r="E774" s="31" t="str">
        <f t="shared" si="12"/>
        <v>1201ET03PT</v>
      </c>
      <c r="F774" s="31">
        <f>VLOOKUP(B774,[1]Course!$A$2:$R$329,2,FALSE)</f>
        <v>0</v>
      </c>
      <c r="G774" s="31">
        <f>VLOOKUP(B774, [1]Course!$A$2:$L$950, 8, FALSE)</f>
        <v>12</v>
      </c>
      <c r="H774" s="31">
        <v>3</v>
      </c>
      <c r="I774" s="31">
        <v>1</v>
      </c>
      <c r="K774" s="31" t="s">
        <v>1548</v>
      </c>
      <c r="L774" s="31" t="str">
        <f>VLOOKUP(B774, [1]Course!$A$1:$O$933, 14, FALSE)</f>
        <v>ET</v>
      </c>
      <c r="M774" s="31">
        <v>1</v>
      </c>
    </row>
    <row r="775" spans="1:13" ht="15.75" hidden="1" customHeight="1" x14ac:dyDescent="0.2">
      <c r="A775" s="31">
        <v>774</v>
      </c>
      <c r="B775" s="31">
        <v>68</v>
      </c>
      <c r="C775" s="31">
        <v>102</v>
      </c>
      <c r="D775" s="31" t="s">
        <v>257</v>
      </c>
      <c r="E775" s="31" t="str">
        <f t="shared" si="12"/>
        <v>1202ET03PT</v>
      </c>
      <c r="F775" s="31">
        <f>VLOOKUP(B775,[1]Course!$A$2:$R$329,2,FALSE)</f>
        <v>0</v>
      </c>
      <c r="G775" s="31">
        <f>VLOOKUP(B775, [1]Course!$A$2:$L$950, 8, FALSE)</f>
        <v>12</v>
      </c>
      <c r="H775" s="31">
        <v>3</v>
      </c>
      <c r="I775" s="31">
        <v>1</v>
      </c>
      <c r="K775" s="31" t="s">
        <v>1548</v>
      </c>
      <c r="L775" s="31" t="str">
        <f>VLOOKUP(B775, [1]Course!$A$1:$O$933, 14, FALSE)</f>
        <v>ET</v>
      </c>
      <c r="M775" s="31">
        <v>1</v>
      </c>
    </row>
    <row r="776" spans="1:13" ht="15.75" hidden="1" customHeight="1" x14ac:dyDescent="0.2">
      <c r="A776" s="31">
        <v>775</v>
      </c>
      <c r="B776" s="31">
        <v>68</v>
      </c>
      <c r="C776" s="31">
        <v>103</v>
      </c>
      <c r="D776" s="31" t="s">
        <v>257</v>
      </c>
      <c r="E776" s="31" t="str">
        <f t="shared" si="12"/>
        <v>1203ET03PT</v>
      </c>
      <c r="F776" s="31">
        <f>VLOOKUP(B776,[1]Course!$A$2:$R$329,2,FALSE)</f>
        <v>0</v>
      </c>
      <c r="G776" s="31">
        <f>VLOOKUP(B776, [1]Course!$A$2:$L$950, 8, FALSE)</f>
        <v>12</v>
      </c>
      <c r="H776" s="31">
        <v>3</v>
      </c>
      <c r="I776" s="31">
        <v>1</v>
      </c>
      <c r="K776" s="31" t="s">
        <v>1548</v>
      </c>
      <c r="L776" s="31" t="str">
        <f>VLOOKUP(B776, [1]Course!$A$1:$O$933, 14, FALSE)</f>
        <v>ET</v>
      </c>
      <c r="M776" s="31">
        <v>1</v>
      </c>
    </row>
    <row r="777" spans="1:13" ht="15.75" hidden="1" customHeight="1" x14ac:dyDescent="0.2">
      <c r="A777" s="31">
        <v>776</v>
      </c>
      <c r="B777" s="31">
        <v>68</v>
      </c>
      <c r="C777" s="31">
        <v>104</v>
      </c>
      <c r="D777" s="31" t="s">
        <v>257</v>
      </c>
      <c r="E777" s="31" t="str">
        <f t="shared" si="12"/>
        <v>1204ET03PT</v>
      </c>
      <c r="F777" s="31">
        <f>VLOOKUP(B777,[1]Course!$A$2:$R$329,2,FALSE)</f>
        <v>0</v>
      </c>
      <c r="G777" s="31">
        <f>VLOOKUP(B777, [1]Course!$A$2:$L$950, 8, FALSE)</f>
        <v>12</v>
      </c>
      <c r="H777" s="31">
        <v>3</v>
      </c>
      <c r="I777" s="31">
        <v>1</v>
      </c>
      <c r="K777" s="31" t="s">
        <v>1548</v>
      </c>
      <c r="L777" s="31" t="str">
        <f>VLOOKUP(B777, [1]Course!$A$1:$O$933, 14, FALSE)</f>
        <v>ET</v>
      </c>
      <c r="M777" s="31">
        <v>1</v>
      </c>
    </row>
    <row r="778" spans="1:13" ht="15.75" hidden="1" customHeight="1" x14ac:dyDescent="0.2">
      <c r="A778" s="31">
        <v>777</v>
      </c>
      <c r="B778" s="31">
        <v>68</v>
      </c>
      <c r="C778" s="31">
        <v>105</v>
      </c>
      <c r="D778" s="31" t="s">
        <v>257</v>
      </c>
      <c r="E778" s="31" t="str">
        <f t="shared" si="12"/>
        <v>1205ET03PT</v>
      </c>
      <c r="F778" s="31">
        <f>VLOOKUP(B778,[1]Course!$A$2:$R$329,2,FALSE)</f>
        <v>0</v>
      </c>
      <c r="G778" s="31">
        <f>VLOOKUP(B778, [1]Course!$A$2:$L$950, 8, FALSE)</f>
        <v>12</v>
      </c>
      <c r="H778" s="31">
        <v>3</v>
      </c>
      <c r="I778" s="31">
        <v>1</v>
      </c>
      <c r="K778" s="31" t="s">
        <v>1548</v>
      </c>
      <c r="L778" s="31" t="str">
        <f>VLOOKUP(B778, [1]Course!$A$1:$O$933, 14, FALSE)</f>
        <v>ET</v>
      </c>
      <c r="M778" s="31">
        <v>1</v>
      </c>
    </row>
    <row r="779" spans="1:13" ht="15.75" hidden="1" customHeight="1" x14ac:dyDescent="0.2">
      <c r="A779" s="31">
        <v>778</v>
      </c>
      <c r="B779" s="31">
        <v>68</v>
      </c>
      <c r="C779" s="31">
        <v>106</v>
      </c>
      <c r="D779" s="31" t="s">
        <v>257</v>
      </c>
      <c r="E779" s="31" t="str">
        <f t="shared" si="12"/>
        <v>1206ET03PT</v>
      </c>
      <c r="F779" s="31">
        <f>VLOOKUP(B779,[1]Course!$A$2:$R$329,2,FALSE)</f>
        <v>0</v>
      </c>
      <c r="G779" s="31">
        <f>VLOOKUP(B779, [1]Course!$A$2:$L$950, 8, FALSE)</f>
        <v>12</v>
      </c>
      <c r="H779" s="31">
        <v>3</v>
      </c>
      <c r="I779" s="31">
        <v>1</v>
      </c>
      <c r="K779" s="31" t="s">
        <v>1548</v>
      </c>
      <c r="L779" s="31" t="str">
        <f>VLOOKUP(B779, [1]Course!$A$1:$O$933, 14, FALSE)</f>
        <v>ET</v>
      </c>
      <c r="M779" s="31">
        <v>1</v>
      </c>
    </row>
    <row r="780" spans="1:13" ht="15.75" hidden="1" customHeight="1" x14ac:dyDescent="0.2">
      <c r="A780" s="31">
        <v>779</v>
      </c>
      <c r="B780" s="31">
        <v>68</v>
      </c>
      <c r="C780" s="31">
        <v>107</v>
      </c>
      <c r="D780" s="31" t="s">
        <v>257</v>
      </c>
      <c r="E780" s="31" t="str">
        <f t="shared" si="12"/>
        <v>1207ET03PT</v>
      </c>
      <c r="F780" s="31">
        <f>VLOOKUP(B780,[1]Course!$A$2:$R$329,2,FALSE)</f>
        <v>0</v>
      </c>
      <c r="G780" s="31">
        <f>VLOOKUP(B780, [1]Course!$A$2:$L$950, 8, FALSE)</f>
        <v>12</v>
      </c>
      <c r="H780" s="31">
        <v>3</v>
      </c>
      <c r="I780" s="31">
        <v>1</v>
      </c>
      <c r="K780" s="31" t="s">
        <v>1548</v>
      </c>
      <c r="L780" s="31" t="str">
        <f>VLOOKUP(B780, [1]Course!$A$1:$O$933, 14, FALSE)</f>
        <v>ET</v>
      </c>
      <c r="M780" s="31">
        <v>1</v>
      </c>
    </row>
    <row r="781" spans="1:13" ht="15.75" hidden="1" customHeight="1" x14ac:dyDescent="0.2">
      <c r="A781" s="31">
        <v>780</v>
      </c>
      <c r="B781" s="31">
        <v>68</v>
      </c>
      <c r="C781" s="31">
        <v>108</v>
      </c>
      <c r="D781" s="31" t="s">
        <v>257</v>
      </c>
      <c r="E781" s="31" t="str">
        <f t="shared" si="12"/>
        <v>1208ET03PT</v>
      </c>
      <c r="F781" s="31">
        <f>VLOOKUP(B781,[1]Course!$A$2:$R$329,2,FALSE)</f>
        <v>0</v>
      </c>
      <c r="G781" s="31">
        <f>VLOOKUP(B781, [1]Course!$A$2:$L$950, 8, FALSE)</f>
        <v>12</v>
      </c>
      <c r="H781" s="31">
        <v>3</v>
      </c>
      <c r="I781" s="31">
        <v>1</v>
      </c>
      <c r="K781" s="31" t="s">
        <v>1548</v>
      </c>
      <c r="L781" s="31" t="str">
        <f>VLOOKUP(B781, [1]Course!$A$1:$O$933, 14, FALSE)</f>
        <v>ET</v>
      </c>
      <c r="M781" s="31">
        <v>1</v>
      </c>
    </row>
    <row r="782" spans="1:13" ht="15.75" hidden="1" customHeight="1" x14ac:dyDescent="0.2">
      <c r="A782" s="31">
        <v>781</v>
      </c>
      <c r="B782" s="31">
        <v>69</v>
      </c>
      <c r="C782" s="31">
        <v>1</v>
      </c>
      <c r="D782" s="31" t="s">
        <v>254</v>
      </c>
      <c r="E782" s="31" t="str">
        <f t="shared" si="12"/>
        <v>601MU03PT</v>
      </c>
      <c r="F782" s="31">
        <f>VLOOKUP(B782,[1]Course!$A$2:$R$329,2,FALSE)</f>
        <v>0</v>
      </c>
      <c r="G782" s="31">
        <f>VLOOKUP(B782, [1]Course!$A$2:$L$950, 8, FALSE)</f>
        <v>6</v>
      </c>
      <c r="H782" s="31">
        <v>3</v>
      </c>
      <c r="I782" s="31">
        <v>1</v>
      </c>
      <c r="K782" s="31" t="s">
        <v>1548</v>
      </c>
      <c r="L782" s="31" t="str">
        <f>VLOOKUP(B782, [1]Course!$A$1:$O$933, 14, FALSE)</f>
        <v>MU</v>
      </c>
      <c r="M782" s="31">
        <v>1</v>
      </c>
    </row>
    <row r="783" spans="1:13" ht="15.75" hidden="1" customHeight="1" x14ac:dyDescent="0.2">
      <c r="A783" s="31">
        <v>782</v>
      </c>
      <c r="B783" s="31">
        <v>69</v>
      </c>
      <c r="C783" s="31">
        <v>2</v>
      </c>
      <c r="D783" s="31" t="s">
        <v>254</v>
      </c>
      <c r="E783" s="31" t="str">
        <f t="shared" si="12"/>
        <v>602MU03PT</v>
      </c>
      <c r="F783" s="31">
        <f>VLOOKUP(B783,[1]Course!$A$2:$R$329,2,FALSE)</f>
        <v>0</v>
      </c>
      <c r="G783" s="31">
        <f>VLOOKUP(B783, [1]Course!$A$2:$L$950, 8, FALSE)</f>
        <v>6</v>
      </c>
      <c r="H783" s="31">
        <v>3</v>
      </c>
      <c r="I783" s="31">
        <v>1</v>
      </c>
      <c r="K783" s="31" t="s">
        <v>1548</v>
      </c>
      <c r="L783" s="31" t="str">
        <f>VLOOKUP(B783, [1]Course!$A$1:$O$933, 14, FALSE)</f>
        <v>MU</v>
      </c>
      <c r="M783" s="31">
        <v>1</v>
      </c>
    </row>
    <row r="784" spans="1:13" ht="15.75" hidden="1" customHeight="1" x14ac:dyDescent="0.2">
      <c r="A784" s="31">
        <v>783</v>
      </c>
      <c r="B784" s="31">
        <v>69</v>
      </c>
      <c r="C784" s="31">
        <v>3</v>
      </c>
      <c r="D784" s="31" t="s">
        <v>254</v>
      </c>
      <c r="E784" s="31" t="str">
        <f t="shared" si="12"/>
        <v>603MU03PT</v>
      </c>
      <c r="F784" s="31">
        <f>VLOOKUP(B784,[1]Course!$A$2:$R$329,2,FALSE)</f>
        <v>0</v>
      </c>
      <c r="G784" s="31">
        <f>VLOOKUP(B784, [1]Course!$A$2:$L$950, 8, FALSE)</f>
        <v>6</v>
      </c>
      <c r="H784" s="31">
        <v>3</v>
      </c>
      <c r="I784" s="31">
        <v>1</v>
      </c>
      <c r="K784" s="31" t="s">
        <v>1548</v>
      </c>
      <c r="L784" s="31" t="str">
        <f>VLOOKUP(B784, [1]Course!$A$1:$O$933, 14, FALSE)</f>
        <v>MU</v>
      </c>
      <c r="M784" s="31">
        <v>1</v>
      </c>
    </row>
    <row r="785" spans="1:13" ht="15.75" hidden="1" customHeight="1" x14ac:dyDescent="0.2">
      <c r="A785" s="31">
        <v>784</v>
      </c>
      <c r="B785" s="31">
        <v>69</v>
      </c>
      <c r="C785" s="31">
        <v>4</v>
      </c>
      <c r="D785" s="31" t="s">
        <v>254</v>
      </c>
      <c r="E785" s="31" t="str">
        <f t="shared" si="12"/>
        <v>604MU03PT</v>
      </c>
      <c r="F785" s="31">
        <f>VLOOKUP(B785,[1]Course!$A$2:$R$329,2,FALSE)</f>
        <v>0</v>
      </c>
      <c r="G785" s="31">
        <f>VLOOKUP(B785, [1]Course!$A$2:$L$950, 8, FALSE)</f>
        <v>6</v>
      </c>
      <c r="H785" s="31">
        <v>3</v>
      </c>
      <c r="I785" s="31">
        <v>1</v>
      </c>
      <c r="K785" s="31" t="s">
        <v>1548</v>
      </c>
      <c r="L785" s="31" t="str">
        <f>VLOOKUP(B785, [1]Course!$A$1:$O$933, 14, FALSE)</f>
        <v>MU</v>
      </c>
      <c r="M785" s="31">
        <v>1</v>
      </c>
    </row>
    <row r="786" spans="1:13" ht="15.75" hidden="1" customHeight="1" x14ac:dyDescent="0.2">
      <c r="A786" s="31">
        <v>785</v>
      </c>
      <c r="B786" s="31">
        <v>69</v>
      </c>
      <c r="C786" s="31">
        <v>5</v>
      </c>
      <c r="D786" s="31" t="s">
        <v>254</v>
      </c>
      <c r="E786" s="31" t="str">
        <f t="shared" si="12"/>
        <v>605MU03PT</v>
      </c>
      <c r="F786" s="31">
        <f>VLOOKUP(B786,[1]Course!$A$2:$R$329,2,FALSE)</f>
        <v>0</v>
      </c>
      <c r="G786" s="31">
        <f>VLOOKUP(B786, [1]Course!$A$2:$L$950, 8, FALSE)</f>
        <v>6</v>
      </c>
      <c r="H786" s="31">
        <v>3</v>
      </c>
      <c r="I786" s="31">
        <v>1</v>
      </c>
      <c r="K786" s="31" t="s">
        <v>1548</v>
      </c>
      <c r="L786" s="31" t="str">
        <f>VLOOKUP(B786, [1]Course!$A$1:$O$933, 14, FALSE)</f>
        <v>MU</v>
      </c>
      <c r="M786" s="31">
        <v>1</v>
      </c>
    </row>
    <row r="787" spans="1:13" ht="15.75" hidden="1" customHeight="1" x14ac:dyDescent="0.2">
      <c r="A787" s="31">
        <v>786</v>
      </c>
      <c r="B787" s="31">
        <v>69</v>
      </c>
      <c r="C787" s="31">
        <v>6</v>
      </c>
      <c r="D787" s="31" t="s">
        <v>254</v>
      </c>
      <c r="E787" s="31" t="str">
        <f t="shared" si="12"/>
        <v>606MU03PT</v>
      </c>
      <c r="F787" s="31">
        <f>VLOOKUP(B787,[1]Course!$A$2:$R$329,2,FALSE)</f>
        <v>0</v>
      </c>
      <c r="G787" s="31">
        <f>VLOOKUP(B787, [1]Course!$A$2:$L$950, 8, FALSE)</f>
        <v>6</v>
      </c>
      <c r="H787" s="31">
        <v>3</v>
      </c>
      <c r="I787" s="31">
        <v>1</v>
      </c>
      <c r="K787" s="31" t="s">
        <v>1548</v>
      </c>
      <c r="L787" s="31" t="str">
        <f>VLOOKUP(B787, [1]Course!$A$1:$O$933, 14, FALSE)</f>
        <v>MU</v>
      </c>
      <c r="M787" s="31">
        <v>1</v>
      </c>
    </row>
    <row r="788" spans="1:13" ht="15.75" hidden="1" customHeight="1" x14ac:dyDescent="0.2">
      <c r="A788" s="31">
        <v>787</v>
      </c>
      <c r="B788" s="31">
        <v>70</v>
      </c>
      <c r="C788" s="31">
        <v>5</v>
      </c>
      <c r="D788" s="31" t="s">
        <v>151</v>
      </c>
      <c r="E788" s="31" t="str">
        <f t="shared" si="12"/>
        <v>205MT03PT</v>
      </c>
      <c r="F788" s="31">
        <f>VLOOKUP(B788,[1]Course!$A$2:$R$329,2,FALSE)</f>
        <v>0</v>
      </c>
      <c r="G788" s="31">
        <f>VLOOKUP(B788, [1]Course!$A$2:$L$950, 8, FALSE)</f>
        <v>2</v>
      </c>
      <c r="H788" s="31">
        <v>3</v>
      </c>
      <c r="I788" s="31">
        <v>1</v>
      </c>
      <c r="K788" s="31" t="s">
        <v>1548</v>
      </c>
      <c r="L788" s="31" t="str">
        <f>VLOOKUP(B788, [1]Course!$A$1:$O$933, 14, FALSE)</f>
        <v>MT</v>
      </c>
      <c r="M788" s="31">
        <v>1</v>
      </c>
    </row>
    <row r="789" spans="1:13" ht="15.75" hidden="1" customHeight="1" x14ac:dyDescent="0.2">
      <c r="A789" s="31">
        <v>788</v>
      </c>
      <c r="B789" s="31">
        <v>70</v>
      </c>
      <c r="C789" s="31">
        <v>6</v>
      </c>
      <c r="D789" s="31" t="s">
        <v>151</v>
      </c>
      <c r="E789" s="31" t="str">
        <f t="shared" si="12"/>
        <v>206MT03PT</v>
      </c>
      <c r="F789" s="31">
        <f>VLOOKUP(B789,[1]Course!$A$2:$R$329,2,FALSE)</f>
        <v>0</v>
      </c>
      <c r="G789" s="31">
        <f>VLOOKUP(B789, [1]Course!$A$2:$L$950, 8, FALSE)</f>
        <v>2</v>
      </c>
      <c r="H789" s="31">
        <v>3</v>
      </c>
      <c r="I789" s="31">
        <v>1</v>
      </c>
      <c r="K789" s="31" t="s">
        <v>1548</v>
      </c>
      <c r="L789" s="31" t="str">
        <f>VLOOKUP(B789, [1]Course!$A$1:$O$933, 14, FALSE)</f>
        <v>MT</v>
      </c>
      <c r="M789" s="31">
        <v>1</v>
      </c>
    </row>
    <row r="790" spans="1:13" ht="15.75" hidden="1" customHeight="1" x14ac:dyDescent="0.2">
      <c r="A790" s="31">
        <v>789</v>
      </c>
      <c r="B790" s="31">
        <v>71</v>
      </c>
      <c r="C790" s="31">
        <v>5</v>
      </c>
      <c r="D790" s="31" t="s">
        <v>151</v>
      </c>
      <c r="E790" s="31" t="str">
        <f t="shared" si="12"/>
        <v>205MT03PT</v>
      </c>
      <c r="F790" s="31">
        <f>VLOOKUP(B790,[1]Course!$A$2:$R$329,2,FALSE)</f>
        <v>0</v>
      </c>
      <c r="G790" s="31">
        <f>VLOOKUP(B790, [1]Course!$A$2:$L$950, 8, FALSE)</f>
        <v>2</v>
      </c>
      <c r="H790" s="31">
        <v>3</v>
      </c>
      <c r="I790" s="31">
        <v>1</v>
      </c>
      <c r="K790" s="31" t="s">
        <v>1548</v>
      </c>
      <c r="L790" s="31" t="str">
        <f>VLOOKUP(B790, [1]Course!$A$1:$O$933, 14, FALSE)</f>
        <v>MT</v>
      </c>
      <c r="M790" s="31">
        <v>1</v>
      </c>
    </row>
    <row r="791" spans="1:13" ht="15.75" hidden="1" customHeight="1" x14ac:dyDescent="0.2">
      <c r="A791" s="31">
        <v>790</v>
      </c>
      <c r="B791" s="31">
        <v>71</v>
      </c>
      <c r="C791" s="31">
        <v>6</v>
      </c>
      <c r="D791" s="31" t="s">
        <v>151</v>
      </c>
      <c r="E791" s="31" t="str">
        <f t="shared" si="12"/>
        <v>206MT03PT</v>
      </c>
      <c r="F791" s="31">
        <f>VLOOKUP(B791,[1]Course!$A$2:$R$329,2,FALSE)</f>
        <v>0</v>
      </c>
      <c r="G791" s="31">
        <f>VLOOKUP(B791, [1]Course!$A$2:$L$950, 8, FALSE)</f>
        <v>2</v>
      </c>
      <c r="H791" s="31">
        <v>3</v>
      </c>
      <c r="I791" s="31">
        <v>1</v>
      </c>
      <c r="K791" s="31" t="s">
        <v>1548</v>
      </c>
      <c r="L791" s="31" t="str">
        <f>VLOOKUP(B791, [1]Course!$A$1:$O$933, 14, FALSE)</f>
        <v>MT</v>
      </c>
      <c r="M791" s="31">
        <v>1</v>
      </c>
    </row>
    <row r="792" spans="1:13" ht="15.75" hidden="1" customHeight="1" x14ac:dyDescent="0.2">
      <c r="A792" s="31">
        <v>791</v>
      </c>
      <c r="B792" s="31">
        <v>72</v>
      </c>
      <c r="C792" s="31">
        <v>1</v>
      </c>
      <c r="D792" s="31" t="s">
        <v>235</v>
      </c>
      <c r="E792" s="31" t="str">
        <f t="shared" si="12"/>
        <v>601SP03PT</v>
      </c>
      <c r="F792" s="31">
        <f>VLOOKUP(B792,[1]Course!$A$2:$R$329,2,FALSE)</f>
        <v>0</v>
      </c>
      <c r="G792" s="31">
        <f>VLOOKUP(B792, [1]Course!$A$2:$L$950, 8, FALSE)</f>
        <v>6</v>
      </c>
      <c r="H792" s="31">
        <v>3</v>
      </c>
      <c r="I792" s="31">
        <v>1</v>
      </c>
      <c r="K792" s="31" t="s">
        <v>1548</v>
      </c>
      <c r="L792" s="31" t="str">
        <f>VLOOKUP(B792, [1]Course!$A$1:$O$933, 14, FALSE)</f>
        <v>SP</v>
      </c>
      <c r="M792" s="31">
        <v>1</v>
      </c>
    </row>
    <row r="793" spans="1:13" ht="15.75" hidden="1" customHeight="1" x14ac:dyDescent="0.2">
      <c r="A793" s="31">
        <v>792</v>
      </c>
      <c r="B793" s="31">
        <v>72</v>
      </c>
      <c r="C793" s="31">
        <v>2</v>
      </c>
      <c r="D793" s="31" t="s">
        <v>235</v>
      </c>
      <c r="E793" s="31" t="str">
        <f t="shared" si="12"/>
        <v>602SP03PT</v>
      </c>
      <c r="F793" s="31">
        <f>VLOOKUP(B793,[1]Course!$A$2:$R$329,2,FALSE)</f>
        <v>0</v>
      </c>
      <c r="G793" s="31">
        <f>VLOOKUP(B793, [1]Course!$A$2:$L$950, 8, FALSE)</f>
        <v>6</v>
      </c>
      <c r="H793" s="31">
        <v>3</v>
      </c>
      <c r="I793" s="31">
        <v>1</v>
      </c>
      <c r="K793" s="31" t="s">
        <v>1548</v>
      </c>
      <c r="L793" s="31" t="str">
        <f>VLOOKUP(B793, [1]Course!$A$1:$O$933, 14, FALSE)</f>
        <v>SP</v>
      </c>
      <c r="M793" s="31">
        <v>1</v>
      </c>
    </row>
    <row r="794" spans="1:13" ht="15.75" hidden="1" customHeight="1" x14ac:dyDescent="0.2">
      <c r="A794" s="31">
        <v>793</v>
      </c>
      <c r="B794" s="31">
        <v>72</v>
      </c>
      <c r="C794" s="31">
        <v>3</v>
      </c>
      <c r="D794" s="31" t="s">
        <v>235</v>
      </c>
      <c r="E794" s="31" t="str">
        <f t="shared" si="12"/>
        <v>603SP03PT</v>
      </c>
      <c r="F794" s="31">
        <f>VLOOKUP(B794,[1]Course!$A$2:$R$329,2,FALSE)</f>
        <v>0</v>
      </c>
      <c r="G794" s="31">
        <f>VLOOKUP(B794, [1]Course!$A$2:$L$950, 8, FALSE)</f>
        <v>6</v>
      </c>
      <c r="H794" s="31">
        <v>3</v>
      </c>
      <c r="I794" s="31">
        <v>1</v>
      </c>
      <c r="K794" s="31" t="s">
        <v>1548</v>
      </c>
      <c r="L794" s="31" t="str">
        <f>VLOOKUP(B794, [1]Course!$A$1:$O$933, 14, FALSE)</f>
        <v>SP</v>
      </c>
      <c r="M794" s="31">
        <v>1</v>
      </c>
    </row>
    <row r="795" spans="1:13" ht="15.75" hidden="1" customHeight="1" x14ac:dyDescent="0.2">
      <c r="A795" s="31">
        <v>794</v>
      </c>
      <c r="B795" s="31">
        <v>72</v>
      </c>
      <c r="C795" s="31">
        <v>4</v>
      </c>
      <c r="D795" s="31" t="s">
        <v>235</v>
      </c>
      <c r="E795" s="31" t="str">
        <f t="shared" si="12"/>
        <v>604SP03PT</v>
      </c>
      <c r="F795" s="31">
        <f>VLOOKUP(B795,[1]Course!$A$2:$R$329,2,FALSE)</f>
        <v>0</v>
      </c>
      <c r="G795" s="31">
        <f>VLOOKUP(B795, [1]Course!$A$2:$L$950, 8, FALSE)</f>
        <v>6</v>
      </c>
      <c r="H795" s="31">
        <v>3</v>
      </c>
      <c r="I795" s="31">
        <v>1</v>
      </c>
      <c r="K795" s="31" t="s">
        <v>1548</v>
      </c>
      <c r="L795" s="31" t="str">
        <f>VLOOKUP(B795, [1]Course!$A$1:$O$933, 14, FALSE)</f>
        <v>SP</v>
      </c>
      <c r="M795" s="31">
        <v>1</v>
      </c>
    </row>
    <row r="796" spans="1:13" ht="15.75" hidden="1" customHeight="1" x14ac:dyDescent="0.2">
      <c r="A796" s="31">
        <v>795</v>
      </c>
      <c r="B796" s="31">
        <v>72</v>
      </c>
      <c r="C796" s="31">
        <v>5</v>
      </c>
      <c r="D796" s="31" t="s">
        <v>235</v>
      </c>
      <c r="E796" s="31" t="str">
        <f t="shared" si="12"/>
        <v>605SP03PT</v>
      </c>
      <c r="F796" s="31">
        <f>VLOOKUP(B796,[1]Course!$A$2:$R$329,2,FALSE)</f>
        <v>0</v>
      </c>
      <c r="G796" s="31">
        <f>VLOOKUP(B796, [1]Course!$A$2:$L$950, 8, FALSE)</f>
        <v>6</v>
      </c>
      <c r="H796" s="31">
        <v>3</v>
      </c>
      <c r="I796" s="31">
        <v>1</v>
      </c>
      <c r="K796" s="31" t="s">
        <v>1548</v>
      </c>
      <c r="L796" s="31" t="str">
        <f>VLOOKUP(B796, [1]Course!$A$1:$O$933, 14, FALSE)</f>
        <v>SP</v>
      </c>
      <c r="M796" s="31">
        <v>1</v>
      </c>
    </row>
    <row r="797" spans="1:13" ht="15.75" hidden="1" customHeight="1" x14ac:dyDescent="0.2">
      <c r="A797" s="31">
        <v>796</v>
      </c>
      <c r="B797" s="31">
        <v>72</v>
      </c>
      <c r="C797" s="31">
        <v>6</v>
      </c>
      <c r="D797" s="31" t="s">
        <v>235</v>
      </c>
      <c r="E797" s="31" t="str">
        <f t="shared" si="12"/>
        <v>606SP03PT</v>
      </c>
      <c r="F797" s="31">
        <f>VLOOKUP(B797,[1]Course!$A$2:$R$329,2,FALSE)</f>
        <v>0</v>
      </c>
      <c r="G797" s="31">
        <f>VLOOKUP(B797, [1]Course!$A$2:$L$950, 8, FALSE)</f>
        <v>6</v>
      </c>
      <c r="H797" s="31">
        <v>3</v>
      </c>
      <c r="I797" s="31">
        <v>1</v>
      </c>
      <c r="K797" s="31" t="s">
        <v>1548</v>
      </c>
      <c r="L797" s="31" t="str">
        <f>VLOOKUP(B797, [1]Course!$A$1:$O$933, 14, FALSE)</f>
        <v>SP</v>
      </c>
      <c r="M797" s="31">
        <v>1</v>
      </c>
    </row>
    <row r="798" spans="1:13" ht="15.75" hidden="1" customHeight="1" x14ac:dyDescent="0.2">
      <c r="A798" s="31">
        <v>797</v>
      </c>
      <c r="B798" s="31">
        <v>73</v>
      </c>
      <c r="C798" s="31">
        <v>1</v>
      </c>
      <c r="D798" s="31" t="s">
        <v>247</v>
      </c>
      <c r="E798" s="31" t="str">
        <f t="shared" si="12"/>
        <v>401I903PT</v>
      </c>
      <c r="F798" s="31">
        <f>VLOOKUP(B798,[1]Course!$A$2:$R$329,2,FALSE)</f>
        <v>0</v>
      </c>
      <c r="G798" s="31">
        <f>VLOOKUP(B798, [1]Course!$A$2:$L$950, 8, FALSE)</f>
        <v>4</v>
      </c>
      <c r="H798" s="31">
        <v>3</v>
      </c>
      <c r="I798" s="31">
        <v>1</v>
      </c>
      <c r="K798" s="31" t="s">
        <v>1548</v>
      </c>
      <c r="L798" s="31" t="str">
        <f>VLOOKUP(B798, [1]Course!$A$1:$O$933, 14, FALSE)</f>
        <v>I9</v>
      </c>
      <c r="M798" s="31">
        <v>1</v>
      </c>
    </row>
    <row r="799" spans="1:13" ht="15.75" hidden="1" customHeight="1" x14ac:dyDescent="0.2">
      <c r="A799" s="31">
        <v>798</v>
      </c>
      <c r="B799" s="31">
        <v>73</v>
      </c>
      <c r="C799" s="31">
        <v>2</v>
      </c>
      <c r="D799" s="31" t="s">
        <v>247</v>
      </c>
      <c r="E799" s="31" t="str">
        <f t="shared" si="12"/>
        <v>402I903PT</v>
      </c>
      <c r="F799" s="31">
        <f>VLOOKUP(B799,[1]Course!$A$2:$R$329,2,FALSE)</f>
        <v>0</v>
      </c>
      <c r="G799" s="31">
        <f>VLOOKUP(B799, [1]Course!$A$2:$L$950, 8, FALSE)</f>
        <v>4</v>
      </c>
      <c r="H799" s="31">
        <v>3</v>
      </c>
      <c r="I799" s="31">
        <v>1</v>
      </c>
      <c r="K799" s="31" t="s">
        <v>1548</v>
      </c>
      <c r="L799" s="31" t="str">
        <f>VLOOKUP(B799, [1]Course!$A$1:$O$933, 14, FALSE)</f>
        <v>I9</v>
      </c>
      <c r="M799" s="31">
        <v>1</v>
      </c>
    </row>
    <row r="800" spans="1:13" ht="15.75" hidden="1" customHeight="1" x14ac:dyDescent="0.2">
      <c r="A800" s="31">
        <v>799</v>
      </c>
      <c r="B800" s="31">
        <v>73</v>
      </c>
      <c r="C800" s="31">
        <v>3</v>
      </c>
      <c r="D800" s="31" t="s">
        <v>247</v>
      </c>
      <c r="E800" s="31" t="str">
        <f t="shared" si="12"/>
        <v>403I903PT</v>
      </c>
      <c r="F800" s="31">
        <f>VLOOKUP(B800,[1]Course!$A$2:$R$329,2,FALSE)</f>
        <v>0</v>
      </c>
      <c r="G800" s="31">
        <f>VLOOKUP(B800, [1]Course!$A$2:$L$950, 8, FALSE)</f>
        <v>4</v>
      </c>
      <c r="H800" s="31">
        <v>3</v>
      </c>
      <c r="I800" s="31">
        <v>1</v>
      </c>
      <c r="K800" s="31" t="s">
        <v>1548</v>
      </c>
      <c r="L800" s="31" t="str">
        <f>VLOOKUP(B800, [1]Course!$A$1:$O$933, 14, FALSE)</f>
        <v>I9</v>
      </c>
      <c r="M800" s="31">
        <v>1</v>
      </c>
    </row>
    <row r="801" spans="1:13" ht="15.75" hidden="1" customHeight="1" x14ac:dyDescent="0.2">
      <c r="A801" s="31">
        <v>800</v>
      </c>
      <c r="B801" s="31">
        <v>73</v>
      </c>
      <c r="C801" s="31">
        <v>4</v>
      </c>
      <c r="D801" s="31" t="s">
        <v>247</v>
      </c>
      <c r="E801" s="31" t="str">
        <f t="shared" si="12"/>
        <v>404I903PT</v>
      </c>
      <c r="F801" s="31">
        <f>VLOOKUP(B801,[1]Course!$A$2:$R$329,2,FALSE)</f>
        <v>0</v>
      </c>
      <c r="G801" s="31">
        <f>VLOOKUP(B801, [1]Course!$A$2:$L$950, 8, FALSE)</f>
        <v>4</v>
      </c>
      <c r="H801" s="31">
        <v>3</v>
      </c>
      <c r="I801" s="31">
        <v>1</v>
      </c>
      <c r="K801" s="31" t="s">
        <v>1548</v>
      </c>
      <c r="L801" s="31" t="str">
        <f>VLOOKUP(B801, [1]Course!$A$1:$O$933, 14, FALSE)</f>
        <v>I9</v>
      </c>
      <c r="M801" s="31">
        <v>1</v>
      </c>
    </row>
    <row r="802" spans="1:13" ht="15.75" hidden="1" customHeight="1" x14ac:dyDescent="0.2">
      <c r="A802" s="31">
        <v>801</v>
      </c>
      <c r="B802" s="31">
        <v>73</v>
      </c>
      <c r="C802" s="31">
        <v>98</v>
      </c>
      <c r="D802" s="31" t="s">
        <v>85</v>
      </c>
      <c r="E802" s="31" t="str">
        <f t="shared" si="12"/>
        <v>498LC03PT</v>
      </c>
      <c r="F802" s="31">
        <f>VLOOKUP(B802,[1]Course!$A$2:$R$329,2,FALSE)</f>
        <v>0</v>
      </c>
      <c r="G802" s="31">
        <f>VLOOKUP(B802, [1]Course!$A$2:$L$950, 8, FALSE)</f>
        <v>4</v>
      </c>
      <c r="H802" s="31">
        <v>3</v>
      </c>
      <c r="I802" s="31">
        <v>1</v>
      </c>
      <c r="K802" s="31" t="s">
        <v>1548</v>
      </c>
      <c r="L802" s="31" t="str">
        <f>VLOOKUP(B802, [1]Course!$A$1:$O$933, 14, FALSE)</f>
        <v>I9</v>
      </c>
      <c r="M802" s="31">
        <v>1</v>
      </c>
    </row>
    <row r="803" spans="1:13" ht="15.75" hidden="1" customHeight="1" x14ac:dyDescent="0.2">
      <c r="A803" s="31">
        <v>802</v>
      </c>
      <c r="B803" s="31">
        <v>48</v>
      </c>
      <c r="C803" s="31">
        <v>73</v>
      </c>
      <c r="D803" s="31" t="s">
        <v>85</v>
      </c>
      <c r="E803" s="31" t="str">
        <f t="shared" si="12"/>
        <v>1273LC03PT</v>
      </c>
      <c r="F803" s="31">
        <f>VLOOKUP(B803,[1]Course!$A$2:$R$329,2,FALSE)</f>
        <v>0</v>
      </c>
      <c r="G803" s="31">
        <f>VLOOKUP(B803, [1]Course!$A$2:$L$950, 8, FALSE)</f>
        <v>12</v>
      </c>
      <c r="H803" s="31">
        <v>3</v>
      </c>
      <c r="I803" s="31">
        <v>1</v>
      </c>
      <c r="K803" s="31" t="s">
        <v>1548</v>
      </c>
      <c r="L803" s="31" t="str">
        <f>VLOOKUP(B803, [1]Course!$A$1:$O$933, 14, FALSE)</f>
        <v>LC</v>
      </c>
      <c r="M803" s="31">
        <v>1</v>
      </c>
    </row>
    <row r="804" spans="1:13" ht="15.75" hidden="1" customHeight="1" x14ac:dyDescent="0.2">
      <c r="A804" s="31">
        <v>803</v>
      </c>
      <c r="B804" s="31">
        <v>73</v>
      </c>
      <c r="C804" s="31">
        <v>100</v>
      </c>
      <c r="D804" s="31" t="s">
        <v>85</v>
      </c>
      <c r="E804" s="31" t="str">
        <f t="shared" si="12"/>
        <v>400LC03PT</v>
      </c>
      <c r="F804" s="31">
        <f>VLOOKUP(B804,[1]Course!$A$2:$R$329,2,FALSE)</f>
        <v>0</v>
      </c>
      <c r="G804" s="31">
        <f>VLOOKUP(B804, [1]Course!$A$2:$L$950, 8, FALSE)</f>
        <v>4</v>
      </c>
      <c r="H804" s="31">
        <v>3</v>
      </c>
      <c r="I804" s="31">
        <v>1</v>
      </c>
      <c r="K804" s="31" t="s">
        <v>1548</v>
      </c>
      <c r="L804" s="31" t="str">
        <f>VLOOKUP(B804, [1]Course!$A$1:$O$933, 14, FALSE)</f>
        <v>I9</v>
      </c>
      <c r="M804" s="31">
        <v>1</v>
      </c>
    </row>
    <row r="805" spans="1:13" ht="15.75" hidden="1" customHeight="1" x14ac:dyDescent="0.2">
      <c r="A805" s="31">
        <v>805</v>
      </c>
      <c r="B805" s="31">
        <v>73</v>
      </c>
      <c r="C805" s="31">
        <v>102</v>
      </c>
      <c r="D805" s="31" t="s">
        <v>85</v>
      </c>
      <c r="E805" s="31" t="str">
        <f t="shared" si="12"/>
        <v>402LC03PT</v>
      </c>
      <c r="F805" s="31">
        <f>VLOOKUP(B805,[1]Course!$A$2:$R$329,2,FALSE)</f>
        <v>0</v>
      </c>
      <c r="G805" s="31">
        <f>VLOOKUP(B805, [1]Course!$A$2:$L$950, 8, FALSE)</f>
        <v>4</v>
      </c>
      <c r="H805" s="31">
        <v>3</v>
      </c>
      <c r="I805" s="31">
        <v>1</v>
      </c>
      <c r="K805" s="31" t="s">
        <v>1548</v>
      </c>
      <c r="L805" s="31" t="str">
        <f>VLOOKUP(B805, [1]Course!$A$1:$O$933, 14, FALSE)</f>
        <v>I9</v>
      </c>
      <c r="M805" s="31">
        <v>1</v>
      </c>
    </row>
    <row r="806" spans="1:13" ht="15.75" hidden="1" customHeight="1" x14ac:dyDescent="0.2">
      <c r="A806" s="31">
        <v>807</v>
      </c>
      <c r="B806" s="31">
        <v>73</v>
      </c>
      <c r="C806" s="31">
        <v>104</v>
      </c>
      <c r="D806" s="31" t="s">
        <v>85</v>
      </c>
      <c r="E806" s="31" t="str">
        <f t="shared" si="12"/>
        <v>404LC03PT</v>
      </c>
      <c r="F806" s="31">
        <f>VLOOKUP(B806,[1]Course!$A$2:$R$329,2,FALSE)</f>
        <v>0</v>
      </c>
      <c r="G806" s="31">
        <f>VLOOKUP(B806, [1]Course!$A$2:$L$950, 8, FALSE)</f>
        <v>4</v>
      </c>
      <c r="H806" s="31">
        <v>3</v>
      </c>
      <c r="I806" s="31">
        <v>1</v>
      </c>
      <c r="K806" s="31" t="s">
        <v>1548</v>
      </c>
      <c r="L806" s="31" t="str">
        <f>VLOOKUP(B806, [1]Course!$A$1:$O$933, 14, FALSE)</f>
        <v>I9</v>
      </c>
      <c r="M806" s="31">
        <v>1</v>
      </c>
    </row>
    <row r="807" spans="1:13" ht="15.75" hidden="1" customHeight="1" x14ac:dyDescent="0.2">
      <c r="A807" s="31">
        <v>809</v>
      </c>
      <c r="B807" s="31">
        <v>73</v>
      </c>
      <c r="C807" s="31">
        <v>106</v>
      </c>
      <c r="D807" s="31" t="s">
        <v>85</v>
      </c>
      <c r="E807" s="31" t="str">
        <f t="shared" si="12"/>
        <v>406LC03PT</v>
      </c>
      <c r="F807" s="31">
        <f>VLOOKUP(B807,[1]Course!$A$2:$R$329,2,FALSE)</f>
        <v>0</v>
      </c>
      <c r="G807" s="31">
        <f>VLOOKUP(B807, [1]Course!$A$2:$L$950, 8, FALSE)</f>
        <v>4</v>
      </c>
      <c r="H807" s="31">
        <v>3</v>
      </c>
      <c r="I807" s="31">
        <v>1</v>
      </c>
      <c r="K807" s="31" t="s">
        <v>1548</v>
      </c>
      <c r="L807" s="31" t="str">
        <f>VLOOKUP(B807, [1]Course!$A$1:$O$933, 14, FALSE)</f>
        <v>I9</v>
      </c>
      <c r="M807" s="31">
        <v>1</v>
      </c>
    </row>
    <row r="808" spans="1:13" ht="15.75" hidden="1" customHeight="1" x14ac:dyDescent="0.2">
      <c r="A808" s="31">
        <v>811</v>
      </c>
      <c r="B808" s="31">
        <v>73</v>
      </c>
      <c r="C808" s="31">
        <v>108</v>
      </c>
      <c r="D808" s="31" t="s">
        <v>85</v>
      </c>
      <c r="E808" s="31" t="str">
        <f t="shared" si="12"/>
        <v>408LC03PT</v>
      </c>
      <c r="F808" s="31">
        <f>VLOOKUP(B808,[1]Course!$A$2:$R$329,2,FALSE)</f>
        <v>0</v>
      </c>
      <c r="G808" s="31">
        <f>VLOOKUP(B808, [1]Course!$A$2:$L$950, 8, FALSE)</f>
        <v>4</v>
      </c>
      <c r="H808" s="31">
        <v>3</v>
      </c>
      <c r="I808" s="31">
        <v>1</v>
      </c>
      <c r="K808" s="31" t="s">
        <v>1548</v>
      </c>
      <c r="L808" s="31" t="str">
        <f>VLOOKUP(B808, [1]Course!$A$1:$O$933, 14, FALSE)</f>
        <v>I9</v>
      </c>
      <c r="M808" s="31">
        <v>1</v>
      </c>
    </row>
    <row r="809" spans="1:13" ht="15.75" customHeight="1" x14ac:dyDescent="0.2">
      <c r="A809" s="31">
        <v>812</v>
      </c>
      <c r="B809" s="31">
        <v>74</v>
      </c>
      <c r="C809" s="31">
        <v>1</v>
      </c>
      <c r="D809" s="31" t="s">
        <v>76</v>
      </c>
      <c r="E809" s="31" t="str">
        <f t="shared" si="12"/>
        <v>501AS03PT</v>
      </c>
      <c r="F809" s="155" t="s">
        <v>246</v>
      </c>
      <c r="G809" s="31">
        <f>VLOOKUP(B809, [1]Course!$A$2:$L$950, 8, FALSE)</f>
        <v>5</v>
      </c>
      <c r="H809" s="31">
        <v>3</v>
      </c>
      <c r="I809" s="31">
        <v>1</v>
      </c>
      <c r="K809" s="31" t="s">
        <v>1548</v>
      </c>
      <c r="L809" s="31" t="str">
        <f>VLOOKUP(B809, [1]Course!$A$1:$O$933, 14, FALSE)</f>
        <v>AS</v>
      </c>
      <c r="M809" s="31">
        <v>1</v>
      </c>
    </row>
    <row r="810" spans="1:13" ht="15.75" customHeight="1" x14ac:dyDescent="0.2">
      <c r="A810" s="31">
        <v>813</v>
      </c>
      <c r="B810" s="31">
        <v>74</v>
      </c>
      <c r="C810" s="31">
        <v>2</v>
      </c>
      <c r="D810" s="31" t="s">
        <v>76</v>
      </c>
      <c r="E810" s="31" t="str">
        <f t="shared" si="12"/>
        <v>502AS03PT</v>
      </c>
      <c r="F810" s="155" t="s">
        <v>246</v>
      </c>
      <c r="G810" s="31">
        <f>VLOOKUP(B810, [1]Course!$A$2:$L$950, 8, FALSE)</f>
        <v>5</v>
      </c>
      <c r="H810" s="31">
        <v>3</v>
      </c>
      <c r="I810" s="31">
        <v>1</v>
      </c>
      <c r="K810" s="31" t="s">
        <v>1548</v>
      </c>
      <c r="L810" s="31" t="str">
        <f>VLOOKUP(B810, [1]Course!$A$1:$O$933, 14, FALSE)</f>
        <v>AS</v>
      </c>
      <c r="M810" s="31">
        <v>1</v>
      </c>
    </row>
    <row r="811" spans="1:13" ht="15.75" customHeight="1" x14ac:dyDescent="0.2">
      <c r="A811" s="31">
        <v>814</v>
      </c>
      <c r="B811" s="31">
        <v>74</v>
      </c>
      <c r="C811" s="31">
        <v>3</v>
      </c>
      <c r="D811" s="31" t="s">
        <v>76</v>
      </c>
      <c r="E811" s="31" t="str">
        <f t="shared" si="12"/>
        <v>503AS03PT</v>
      </c>
      <c r="F811" s="155" t="s">
        <v>246</v>
      </c>
      <c r="G811" s="31">
        <f>VLOOKUP(B811, [1]Course!$A$2:$L$950, 8, FALSE)</f>
        <v>5</v>
      </c>
      <c r="H811" s="31">
        <v>3</v>
      </c>
      <c r="I811" s="31">
        <v>1</v>
      </c>
      <c r="K811" s="31" t="s">
        <v>1548</v>
      </c>
      <c r="L811" s="31" t="str">
        <f>VLOOKUP(B811, [1]Course!$A$1:$O$933, 14, FALSE)</f>
        <v>AS</v>
      </c>
      <c r="M811" s="31">
        <v>1</v>
      </c>
    </row>
    <row r="812" spans="1:13" ht="15.75" customHeight="1" x14ac:dyDescent="0.2">
      <c r="A812" s="31">
        <v>815</v>
      </c>
      <c r="B812" s="31">
        <v>74</v>
      </c>
      <c r="C812" s="31">
        <v>4</v>
      </c>
      <c r="D812" s="31" t="s">
        <v>76</v>
      </c>
      <c r="E812" s="31" t="str">
        <f t="shared" si="12"/>
        <v>504AS03PT</v>
      </c>
      <c r="F812" s="155" t="s">
        <v>246</v>
      </c>
      <c r="G812" s="31">
        <f>VLOOKUP(B812, [1]Course!$A$2:$L$950, 8, FALSE)</f>
        <v>5</v>
      </c>
      <c r="H812" s="31">
        <v>3</v>
      </c>
      <c r="I812" s="31">
        <v>1</v>
      </c>
      <c r="K812" s="31" t="s">
        <v>1548</v>
      </c>
      <c r="L812" s="31" t="str">
        <f>VLOOKUP(B812, [1]Course!$A$1:$O$933, 14, FALSE)</f>
        <v>AS</v>
      </c>
      <c r="M812" s="31">
        <v>1</v>
      </c>
    </row>
    <row r="813" spans="1:13" ht="15.75" customHeight="1" x14ac:dyDescent="0.2">
      <c r="A813" s="31">
        <v>816</v>
      </c>
      <c r="B813" s="31">
        <v>74</v>
      </c>
      <c r="C813" s="31">
        <v>5</v>
      </c>
      <c r="D813" s="31" t="s">
        <v>76</v>
      </c>
      <c r="E813" s="31" t="str">
        <f t="shared" si="12"/>
        <v>505AS03PT</v>
      </c>
      <c r="F813" s="155" t="s">
        <v>246</v>
      </c>
      <c r="G813" s="31">
        <f>VLOOKUP(B813, [1]Course!$A$2:$L$950, 8, FALSE)</f>
        <v>5</v>
      </c>
      <c r="H813" s="31">
        <v>3</v>
      </c>
      <c r="I813" s="31">
        <v>1</v>
      </c>
      <c r="K813" s="31" t="s">
        <v>1548</v>
      </c>
      <c r="L813" s="31" t="str">
        <f>VLOOKUP(B813, [1]Course!$A$1:$O$933, 14, FALSE)</f>
        <v>AS</v>
      </c>
      <c r="M813" s="31">
        <v>1</v>
      </c>
    </row>
    <row r="814" spans="1:13" ht="15.75" hidden="1" customHeight="1" x14ac:dyDescent="0.2">
      <c r="A814" s="31">
        <v>817</v>
      </c>
      <c r="B814" s="31">
        <v>75</v>
      </c>
      <c r="C814" s="31">
        <v>97</v>
      </c>
      <c r="D814" s="31" t="s">
        <v>243</v>
      </c>
      <c r="E814" s="31" t="str">
        <f t="shared" si="12"/>
        <v>1297BI03PT</v>
      </c>
      <c r="F814" s="31" t="str">
        <f>VLOOKUP(B814,[1]Course!$A$2:$R$329,2,FALSE)</f>
        <v>Science 9</v>
      </c>
      <c r="G814" s="31">
        <f>VLOOKUP(B814, [1]Course!$A$2:$L$950, 8, FALSE)</f>
        <v>12</v>
      </c>
      <c r="H814" s="31">
        <v>3</v>
      </c>
      <c r="I814" s="31">
        <v>1</v>
      </c>
      <c r="K814" s="31" t="s">
        <v>1548</v>
      </c>
      <c r="L814" s="31" t="str">
        <f>VLOOKUP(B814, [1]Course!$A$1:$O$933, 14, FALSE)</f>
        <v>BI</v>
      </c>
      <c r="M814" s="31">
        <v>1</v>
      </c>
    </row>
    <row r="815" spans="1:13" ht="15.75" hidden="1" customHeight="1" x14ac:dyDescent="0.2">
      <c r="A815" s="31">
        <v>818</v>
      </c>
      <c r="B815" s="31">
        <v>75</v>
      </c>
      <c r="C815" s="31">
        <v>98</v>
      </c>
      <c r="D815" s="31" t="s">
        <v>243</v>
      </c>
      <c r="E815" s="31" t="str">
        <f t="shared" si="12"/>
        <v>1298BI03PT</v>
      </c>
      <c r="F815" s="31" t="str">
        <f>VLOOKUP(B815,[1]Course!$A$2:$R$329,2,FALSE)</f>
        <v>Science 9</v>
      </c>
      <c r="G815" s="31">
        <f>VLOOKUP(B815, [1]Course!$A$2:$L$950, 8, FALSE)</f>
        <v>12</v>
      </c>
      <c r="H815" s="31">
        <v>3</v>
      </c>
      <c r="I815" s="31">
        <v>1</v>
      </c>
      <c r="K815" s="31" t="s">
        <v>1548</v>
      </c>
      <c r="L815" s="31" t="str">
        <f>VLOOKUP(B815, [1]Course!$A$1:$O$933, 14, FALSE)</f>
        <v>BI</v>
      </c>
      <c r="M815" s="31">
        <v>1</v>
      </c>
    </row>
    <row r="816" spans="1:13" ht="15.75" hidden="1" customHeight="1" x14ac:dyDescent="0.2">
      <c r="A816" s="31">
        <v>819</v>
      </c>
      <c r="B816" s="31">
        <v>75</v>
      </c>
      <c r="C816" s="31">
        <v>99</v>
      </c>
      <c r="D816" s="31" t="s">
        <v>243</v>
      </c>
      <c r="E816" s="31" t="str">
        <f t="shared" si="12"/>
        <v>1299BI03PT</v>
      </c>
      <c r="F816" s="31" t="str">
        <f>VLOOKUP(B816,[1]Course!$A$2:$R$329,2,FALSE)</f>
        <v>Science 9</v>
      </c>
      <c r="G816" s="31">
        <f>VLOOKUP(B816, [1]Course!$A$2:$L$950, 8, FALSE)</f>
        <v>12</v>
      </c>
      <c r="H816" s="31">
        <v>3</v>
      </c>
      <c r="I816" s="31">
        <v>1</v>
      </c>
      <c r="K816" s="31" t="s">
        <v>1548</v>
      </c>
      <c r="L816" s="31" t="str">
        <f>VLOOKUP(B816, [1]Course!$A$1:$O$933, 14, FALSE)</f>
        <v>BI</v>
      </c>
      <c r="M816" s="31">
        <v>1</v>
      </c>
    </row>
    <row r="817" spans="1:13" ht="15.75" hidden="1" customHeight="1" x14ac:dyDescent="0.2">
      <c r="A817" s="31">
        <v>820</v>
      </c>
      <c r="B817" s="31">
        <v>75</v>
      </c>
      <c r="C817" s="31">
        <v>100</v>
      </c>
      <c r="D817" s="31" t="s">
        <v>243</v>
      </c>
      <c r="E817" s="31" t="str">
        <f t="shared" si="12"/>
        <v>1200BI03PT</v>
      </c>
      <c r="F817" s="31" t="str">
        <f>VLOOKUP(B817,[1]Course!$A$2:$R$329,2,FALSE)</f>
        <v>Science 9</v>
      </c>
      <c r="G817" s="31">
        <f>VLOOKUP(B817, [1]Course!$A$2:$L$950, 8, FALSE)</f>
        <v>12</v>
      </c>
      <c r="H817" s="31">
        <v>3</v>
      </c>
      <c r="I817" s="31">
        <v>1</v>
      </c>
      <c r="K817" s="31" t="s">
        <v>1548</v>
      </c>
      <c r="L817" s="31" t="str">
        <f>VLOOKUP(B817, [1]Course!$A$1:$O$933, 14, FALSE)</f>
        <v>BI</v>
      </c>
      <c r="M817" s="31">
        <v>1</v>
      </c>
    </row>
    <row r="818" spans="1:13" ht="15.75" hidden="1" customHeight="1" x14ac:dyDescent="0.2">
      <c r="A818" s="31">
        <v>821</v>
      </c>
      <c r="B818" s="31">
        <v>75</v>
      </c>
      <c r="C818" s="31">
        <v>101</v>
      </c>
      <c r="D818" s="31" t="s">
        <v>243</v>
      </c>
      <c r="E818" s="31" t="str">
        <f t="shared" si="12"/>
        <v>1201BI03PT</v>
      </c>
      <c r="F818" s="31" t="str">
        <f>VLOOKUP(B818,[1]Course!$A$2:$R$329,2,FALSE)</f>
        <v>Science 9</v>
      </c>
      <c r="G818" s="31">
        <f>VLOOKUP(B818, [1]Course!$A$2:$L$950, 8, FALSE)</f>
        <v>12</v>
      </c>
      <c r="H818" s="31">
        <v>3</v>
      </c>
      <c r="I818" s="31">
        <v>1</v>
      </c>
      <c r="K818" s="31" t="s">
        <v>1548</v>
      </c>
      <c r="L818" s="31" t="str">
        <f>VLOOKUP(B818, [1]Course!$A$1:$O$933, 14, FALSE)</f>
        <v>BI</v>
      </c>
      <c r="M818" s="31">
        <v>1</v>
      </c>
    </row>
    <row r="819" spans="1:13" ht="15.75" hidden="1" customHeight="1" x14ac:dyDescent="0.2">
      <c r="A819" s="31">
        <v>822</v>
      </c>
      <c r="B819" s="31">
        <v>75</v>
      </c>
      <c r="C819" s="31">
        <v>102</v>
      </c>
      <c r="D819" s="31" t="s">
        <v>243</v>
      </c>
      <c r="E819" s="31" t="str">
        <f t="shared" si="12"/>
        <v>1202BI03PT</v>
      </c>
      <c r="F819" s="31" t="str">
        <f>VLOOKUP(B819,[1]Course!$A$2:$R$329,2,FALSE)</f>
        <v>Science 9</v>
      </c>
      <c r="G819" s="31">
        <f>VLOOKUP(B819, [1]Course!$A$2:$L$950, 8, FALSE)</f>
        <v>12</v>
      </c>
      <c r="H819" s="31">
        <v>3</v>
      </c>
      <c r="I819" s="31">
        <v>1</v>
      </c>
      <c r="K819" s="31" t="s">
        <v>1548</v>
      </c>
      <c r="L819" s="31" t="str">
        <f>VLOOKUP(B819, [1]Course!$A$1:$O$933, 14, FALSE)</f>
        <v>BI</v>
      </c>
      <c r="M819" s="31">
        <v>1</v>
      </c>
    </row>
    <row r="820" spans="1:13" ht="15.75" hidden="1" customHeight="1" x14ac:dyDescent="0.2">
      <c r="A820" s="31">
        <v>823</v>
      </c>
      <c r="B820" s="31">
        <v>75</v>
      </c>
      <c r="C820" s="31">
        <v>103</v>
      </c>
      <c r="D820" s="31" t="s">
        <v>243</v>
      </c>
      <c r="E820" s="31" t="str">
        <f t="shared" si="12"/>
        <v>1203BI03PT</v>
      </c>
      <c r="F820" s="31" t="str">
        <f>VLOOKUP(B820,[1]Course!$A$2:$R$329,2,FALSE)</f>
        <v>Science 9</v>
      </c>
      <c r="G820" s="31">
        <f>VLOOKUP(B820, [1]Course!$A$2:$L$950, 8, FALSE)</f>
        <v>12</v>
      </c>
      <c r="H820" s="31">
        <v>3</v>
      </c>
      <c r="I820" s="31">
        <v>1</v>
      </c>
      <c r="K820" s="31" t="s">
        <v>1548</v>
      </c>
      <c r="L820" s="31" t="str">
        <f>VLOOKUP(B820, [1]Course!$A$1:$O$933, 14, FALSE)</f>
        <v>BI</v>
      </c>
      <c r="M820" s="31">
        <v>1</v>
      </c>
    </row>
    <row r="821" spans="1:13" ht="15.75" hidden="1" customHeight="1" x14ac:dyDescent="0.2">
      <c r="A821" s="31">
        <v>824</v>
      </c>
      <c r="B821" s="31">
        <v>75</v>
      </c>
      <c r="C821" s="31">
        <v>104</v>
      </c>
      <c r="D821" s="31" t="s">
        <v>243</v>
      </c>
      <c r="E821" s="31" t="str">
        <f t="shared" si="12"/>
        <v>1204BI03PT</v>
      </c>
      <c r="F821" s="31" t="str">
        <f>VLOOKUP(B821,[1]Course!$A$2:$R$329,2,FALSE)</f>
        <v>Science 9</v>
      </c>
      <c r="G821" s="31">
        <f>VLOOKUP(B821, [1]Course!$A$2:$L$950, 8, FALSE)</f>
        <v>12</v>
      </c>
      <c r="H821" s="31">
        <v>3</v>
      </c>
      <c r="I821" s="31">
        <v>1</v>
      </c>
      <c r="K821" s="31" t="s">
        <v>1548</v>
      </c>
      <c r="L821" s="31" t="str">
        <f>VLOOKUP(B821, [1]Course!$A$1:$O$933, 14, FALSE)</f>
        <v>BI</v>
      </c>
      <c r="M821" s="31">
        <v>1</v>
      </c>
    </row>
    <row r="822" spans="1:13" ht="15.75" hidden="1" customHeight="1" x14ac:dyDescent="0.2">
      <c r="A822" s="31">
        <v>825</v>
      </c>
      <c r="B822" s="31">
        <v>75</v>
      </c>
      <c r="C822" s="31">
        <v>105</v>
      </c>
      <c r="D822" s="31" t="s">
        <v>243</v>
      </c>
      <c r="E822" s="31" t="str">
        <f t="shared" si="12"/>
        <v>1205BI03PT</v>
      </c>
      <c r="F822" s="31" t="str">
        <f>VLOOKUP(B822,[1]Course!$A$2:$R$329,2,FALSE)</f>
        <v>Science 9</v>
      </c>
      <c r="G822" s="31">
        <f>VLOOKUP(B822, [1]Course!$A$2:$L$950, 8, FALSE)</f>
        <v>12</v>
      </c>
      <c r="H822" s="31">
        <v>3</v>
      </c>
      <c r="I822" s="31">
        <v>1</v>
      </c>
      <c r="K822" s="31" t="s">
        <v>1548</v>
      </c>
      <c r="L822" s="31" t="str">
        <f>VLOOKUP(B822, [1]Course!$A$1:$O$933, 14, FALSE)</f>
        <v>BI</v>
      </c>
      <c r="M822" s="31">
        <v>1</v>
      </c>
    </row>
    <row r="823" spans="1:13" ht="15.75" hidden="1" customHeight="1" x14ac:dyDescent="0.2">
      <c r="A823" s="31">
        <v>826</v>
      </c>
      <c r="B823" s="31">
        <v>75</v>
      </c>
      <c r="C823" s="31">
        <v>106</v>
      </c>
      <c r="D823" s="31" t="s">
        <v>243</v>
      </c>
      <c r="E823" s="31" t="str">
        <f t="shared" si="12"/>
        <v>1206BI03PT</v>
      </c>
      <c r="F823" s="31" t="str">
        <f>VLOOKUP(B823,[1]Course!$A$2:$R$329,2,FALSE)</f>
        <v>Science 9</v>
      </c>
      <c r="G823" s="31">
        <f>VLOOKUP(B823, [1]Course!$A$2:$L$950, 8, FALSE)</f>
        <v>12</v>
      </c>
      <c r="H823" s="31">
        <v>3</v>
      </c>
      <c r="I823" s="31">
        <v>1</v>
      </c>
      <c r="K823" s="31" t="s">
        <v>1548</v>
      </c>
      <c r="L823" s="31" t="str">
        <f>VLOOKUP(B823, [1]Course!$A$1:$O$933, 14, FALSE)</f>
        <v>BI</v>
      </c>
      <c r="M823" s="31">
        <v>1</v>
      </c>
    </row>
    <row r="824" spans="1:13" ht="15.75" hidden="1" customHeight="1" x14ac:dyDescent="0.2">
      <c r="A824" s="31">
        <v>827</v>
      </c>
      <c r="B824" s="31">
        <v>75</v>
      </c>
      <c r="C824" s="31">
        <v>107</v>
      </c>
      <c r="D824" s="31" t="s">
        <v>243</v>
      </c>
      <c r="E824" s="31" t="str">
        <f t="shared" si="12"/>
        <v>1207BI03PT</v>
      </c>
      <c r="F824" s="31" t="str">
        <f>VLOOKUP(B824,[1]Course!$A$2:$R$329,2,FALSE)</f>
        <v>Science 9</v>
      </c>
      <c r="G824" s="31">
        <f>VLOOKUP(B824, [1]Course!$A$2:$L$950, 8, FALSE)</f>
        <v>12</v>
      </c>
      <c r="H824" s="31">
        <v>3</v>
      </c>
      <c r="I824" s="31">
        <v>1</v>
      </c>
      <c r="K824" s="31" t="s">
        <v>1548</v>
      </c>
      <c r="L824" s="31" t="str">
        <f>VLOOKUP(B824, [1]Course!$A$1:$O$933, 14, FALSE)</f>
        <v>BI</v>
      </c>
      <c r="M824" s="31">
        <v>1</v>
      </c>
    </row>
    <row r="825" spans="1:13" ht="15.75" hidden="1" customHeight="1" x14ac:dyDescent="0.2">
      <c r="A825" s="31">
        <v>828</v>
      </c>
      <c r="B825" s="31">
        <v>75</v>
      </c>
      <c r="C825" s="31">
        <v>108</v>
      </c>
      <c r="D825" s="31" t="s">
        <v>243</v>
      </c>
      <c r="E825" s="31" t="str">
        <f t="shared" si="12"/>
        <v>1208BI03PT</v>
      </c>
      <c r="F825" s="31" t="str">
        <f>VLOOKUP(B825,[1]Course!$A$2:$R$329,2,FALSE)</f>
        <v>Science 9</v>
      </c>
      <c r="G825" s="31">
        <f>VLOOKUP(B825, [1]Course!$A$2:$L$950, 8, FALSE)</f>
        <v>12</v>
      </c>
      <c r="H825" s="31">
        <v>3</v>
      </c>
      <c r="I825" s="31">
        <v>1</v>
      </c>
      <c r="K825" s="31" t="s">
        <v>1548</v>
      </c>
      <c r="L825" s="31" t="str">
        <f>VLOOKUP(B825, [1]Course!$A$1:$O$933, 14, FALSE)</f>
        <v>BI</v>
      </c>
      <c r="M825" s="31">
        <v>1</v>
      </c>
    </row>
    <row r="826" spans="1:13" ht="15.75" hidden="1" customHeight="1" x14ac:dyDescent="0.2">
      <c r="A826" s="31">
        <v>829</v>
      </c>
      <c r="B826" s="31">
        <v>76</v>
      </c>
      <c r="C826" s="31">
        <v>1</v>
      </c>
      <c r="D826" s="31" t="s">
        <v>240</v>
      </c>
      <c r="E826" s="31" t="str">
        <f t="shared" si="12"/>
        <v>601HE03PT</v>
      </c>
      <c r="F826" s="31">
        <f>VLOOKUP(B826,[1]Course!$A$2:$R$329,2,FALSE)</f>
        <v>0</v>
      </c>
      <c r="G826" s="31">
        <f>VLOOKUP(B826, [1]Course!$A$2:$L$950, 8, FALSE)</f>
        <v>6</v>
      </c>
      <c r="H826" s="31">
        <v>3</v>
      </c>
      <c r="I826" s="31">
        <v>1</v>
      </c>
      <c r="K826" s="31" t="s">
        <v>1548</v>
      </c>
      <c r="L826" s="31" t="str">
        <f>VLOOKUP(B826, [1]Course!$A$1:$O$933, 14, FALSE)</f>
        <v>HE</v>
      </c>
      <c r="M826" s="31">
        <v>1</v>
      </c>
    </row>
    <row r="827" spans="1:13" ht="15.75" hidden="1" customHeight="1" x14ac:dyDescent="0.2">
      <c r="A827" s="31">
        <v>830</v>
      </c>
      <c r="B827" s="31">
        <v>76</v>
      </c>
      <c r="C827" s="31">
        <v>2</v>
      </c>
      <c r="D827" s="31" t="s">
        <v>240</v>
      </c>
      <c r="E827" s="31" t="str">
        <f t="shared" si="12"/>
        <v>602HE03PT</v>
      </c>
      <c r="F827" s="31">
        <f>VLOOKUP(B827,[1]Course!$A$2:$R$329,2,FALSE)</f>
        <v>0</v>
      </c>
      <c r="G827" s="31">
        <f>VLOOKUP(B827, [1]Course!$A$2:$L$950, 8, FALSE)</f>
        <v>6</v>
      </c>
      <c r="H827" s="31">
        <v>3</v>
      </c>
      <c r="I827" s="31">
        <v>1</v>
      </c>
      <c r="K827" s="31" t="s">
        <v>1548</v>
      </c>
      <c r="L827" s="31" t="str">
        <f>VLOOKUP(B827, [1]Course!$A$1:$O$933, 14, FALSE)</f>
        <v>HE</v>
      </c>
      <c r="M827" s="31">
        <v>1</v>
      </c>
    </row>
    <row r="828" spans="1:13" ht="15.75" hidden="1" customHeight="1" x14ac:dyDescent="0.2">
      <c r="A828" s="31">
        <v>831</v>
      </c>
      <c r="B828" s="31">
        <v>76</v>
      </c>
      <c r="C828" s="31">
        <v>3</v>
      </c>
      <c r="D828" s="31" t="s">
        <v>240</v>
      </c>
      <c r="E828" s="31" t="str">
        <f t="shared" si="12"/>
        <v>603HE03PT</v>
      </c>
      <c r="F828" s="31">
        <f>VLOOKUP(B828,[1]Course!$A$2:$R$329,2,FALSE)</f>
        <v>0</v>
      </c>
      <c r="G828" s="31">
        <f>VLOOKUP(B828, [1]Course!$A$2:$L$950, 8, FALSE)</f>
        <v>6</v>
      </c>
      <c r="H828" s="31">
        <v>3</v>
      </c>
      <c r="I828" s="31">
        <v>1</v>
      </c>
      <c r="K828" s="31" t="s">
        <v>1548</v>
      </c>
      <c r="L828" s="31" t="str">
        <f>VLOOKUP(B828, [1]Course!$A$1:$O$933, 14, FALSE)</f>
        <v>HE</v>
      </c>
      <c r="M828" s="31">
        <v>1</v>
      </c>
    </row>
    <row r="829" spans="1:13" ht="15.75" hidden="1" customHeight="1" x14ac:dyDescent="0.2">
      <c r="A829" s="31">
        <v>832</v>
      </c>
      <c r="B829" s="31">
        <v>76</v>
      </c>
      <c r="C829" s="31">
        <v>4</v>
      </c>
      <c r="D829" s="31" t="s">
        <v>240</v>
      </c>
      <c r="E829" s="31" t="str">
        <f t="shared" si="12"/>
        <v>604HE03PT</v>
      </c>
      <c r="F829" s="31">
        <f>VLOOKUP(B829,[1]Course!$A$2:$R$329,2,FALSE)</f>
        <v>0</v>
      </c>
      <c r="G829" s="31">
        <f>VLOOKUP(B829, [1]Course!$A$2:$L$950, 8, FALSE)</f>
        <v>6</v>
      </c>
      <c r="H829" s="31">
        <v>3</v>
      </c>
      <c r="I829" s="31">
        <v>1</v>
      </c>
      <c r="K829" s="31" t="s">
        <v>1548</v>
      </c>
      <c r="L829" s="31" t="str">
        <f>VLOOKUP(B829, [1]Course!$A$1:$O$933, 14, FALSE)</f>
        <v>HE</v>
      </c>
      <c r="M829" s="31">
        <v>1</v>
      </c>
    </row>
    <row r="830" spans="1:13" ht="15.75" hidden="1" customHeight="1" x14ac:dyDescent="0.2">
      <c r="A830" s="31">
        <v>833</v>
      </c>
      <c r="B830" s="31">
        <v>76</v>
      </c>
      <c r="C830" s="31">
        <v>5</v>
      </c>
      <c r="D830" s="31" t="s">
        <v>240</v>
      </c>
      <c r="E830" s="31" t="str">
        <f t="shared" si="12"/>
        <v>605HE03PT</v>
      </c>
      <c r="F830" s="31">
        <f>VLOOKUP(B830,[1]Course!$A$2:$R$329,2,FALSE)</f>
        <v>0</v>
      </c>
      <c r="G830" s="31">
        <f>VLOOKUP(B830, [1]Course!$A$2:$L$950, 8, FALSE)</f>
        <v>6</v>
      </c>
      <c r="H830" s="31">
        <v>3</v>
      </c>
      <c r="I830" s="31">
        <v>1</v>
      </c>
      <c r="K830" s="31" t="s">
        <v>1548</v>
      </c>
      <c r="L830" s="31" t="str">
        <f>VLOOKUP(B830, [1]Course!$A$1:$O$933, 14, FALSE)</f>
        <v>HE</v>
      </c>
      <c r="M830" s="31">
        <v>1</v>
      </c>
    </row>
    <row r="831" spans="1:13" ht="15.75" hidden="1" customHeight="1" x14ac:dyDescent="0.2">
      <c r="A831" s="31">
        <v>834</v>
      </c>
      <c r="B831" s="31">
        <v>76</v>
      </c>
      <c r="C831" s="31">
        <v>6</v>
      </c>
      <c r="D831" s="31" t="s">
        <v>240</v>
      </c>
      <c r="E831" s="31" t="str">
        <f t="shared" si="12"/>
        <v>606HE03PT</v>
      </c>
      <c r="F831" s="31">
        <f>VLOOKUP(B831,[1]Course!$A$2:$R$329,2,FALSE)</f>
        <v>0</v>
      </c>
      <c r="G831" s="31">
        <f>VLOOKUP(B831, [1]Course!$A$2:$L$950, 8, FALSE)</f>
        <v>6</v>
      </c>
      <c r="H831" s="31">
        <v>3</v>
      </c>
      <c r="I831" s="31">
        <v>1</v>
      </c>
      <c r="K831" s="31" t="s">
        <v>1548</v>
      </c>
      <c r="L831" s="31" t="str">
        <f>VLOOKUP(B831, [1]Course!$A$1:$O$933, 14, FALSE)</f>
        <v>HE</v>
      </c>
      <c r="M831" s="31">
        <v>1</v>
      </c>
    </row>
    <row r="832" spans="1:13" ht="15.75" hidden="1" customHeight="1" x14ac:dyDescent="0.2">
      <c r="A832" s="31">
        <v>835</v>
      </c>
      <c r="B832" s="31">
        <v>77</v>
      </c>
      <c r="C832" s="31">
        <v>1</v>
      </c>
      <c r="D832" s="31" t="s">
        <v>238</v>
      </c>
      <c r="E832" s="31" t="str">
        <f t="shared" si="12"/>
        <v>601NS03PT</v>
      </c>
      <c r="F832" s="31">
        <f>VLOOKUP(B832,[1]Course!$A$2:$R$329,2,FALSE)</f>
        <v>0</v>
      </c>
      <c r="G832" s="31">
        <f>VLOOKUP(B832, [1]Course!$A$2:$L$950, 8, FALSE)</f>
        <v>6</v>
      </c>
      <c r="H832" s="31">
        <v>3</v>
      </c>
      <c r="I832" s="31">
        <v>1</v>
      </c>
      <c r="K832" s="31" t="s">
        <v>1548</v>
      </c>
      <c r="L832" s="31" t="str">
        <f>VLOOKUP(B832, [1]Course!$A$1:$O$933, 14, FALSE)</f>
        <v>NS</v>
      </c>
      <c r="M832" s="31">
        <v>1</v>
      </c>
    </row>
    <row r="833" spans="1:13" ht="15.75" hidden="1" customHeight="1" x14ac:dyDescent="0.2">
      <c r="A833" s="31">
        <v>836</v>
      </c>
      <c r="B833" s="31">
        <v>77</v>
      </c>
      <c r="C833" s="31">
        <v>2</v>
      </c>
      <c r="D833" s="31" t="s">
        <v>238</v>
      </c>
      <c r="E833" s="31" t="str">
        <f t="shared" si="12"/>
        <v>602NS03PT</v>
      </c>
      <c r="F833" s="31">
        <f>VLOOKUP(B833,[1]Course!$A$2:$R$329,2,FALSE)</f>
        <v>0</v>
      </c>
      <c r="G833" s="31">
        <f>VLOOKUP(B833, [1]Course!$A$2:$L$950, 8, FALSE)</f>
        <v>6</v>
      </c>
      <c r="H833" s="31">
        <v>3</v>
      </c>
      <c r="I833" s="31">
        <v>1</v>
      </c>
      <c r="K833" s="31" t="s">
        <v>1548</v>
      </c>
      <c r="L833" s="31" t="str">
        <f>VLOOKUP(B833, [1]Course!$A$1:$O$933, 14, FALSE)</f>
        <v>NS</v>
      </c>
      <c r="M833" s="31">
        <v>1</v>
      </c>
    </row>
    <row r="834" spans="1:13" ht="15.75" hidden="1" customHeight="1" x14ac:dyDescent="0.2">
      <c r="A834" s="31">
        <v>837</v>
      </c>
      <c r="B834" s="31">
        <v>77</v>
      </c>
      <c r="C834" s="31">
        <v>3</v>
      </c>
      <c r="D834" s="31" t="s">
        <v>238</v>
      </c>
      <c r="E834" s="31" t="str">
        <f t="shared" si="12"/>
        <v>603NS03PT</v>
      </c>
      <c r="F834" s="31">
        <f>VLOOKUP(B834,[1]Course!$A$2:$R$329,2,FALSE)</f>
        <v>0</v>
      </c>
      <c r="G834" s="31">
        <f>VLOOKUP(B834, [1]Course!$A$2:$L$950, 8, FALSE)</f>
        <v>6</v>
      </c>
      <c r="H834" s="31">
        <v>3</v>
      </c>
      <c r="I834" s="31">
        <v>1</v>
      </c>
      <c r="K834" s="31" t="s">
        <v>1548</v>
      </c>
      <c r="L834" s="31" t="str">
        <f>VLOOKUP(B834, [1]Course!$A$1:$O$933, 14, FALSE)</f>
        <v>NS</v>
      </c>
      <c r="M834" s="31">
        <v>1</v>
      </c>
    </row>
    <row r="835" spans="1:13" ht="15.75" hidden="1" customHeight="1" x14ac:dyDescent="0.2">
      <c r="A835" s="31">
        <v>838</v>
      </c>
      <c r="B835" s="31">
        <v>77</v>
      </c>
      <c r="C835" s="31">
        <v>4</v>
      </c>
      <c r="D835" s="31" t="s">
        <v>238</v>
      </c>
      <c r="E835" s="31" t="str">
        <f t="shared" ref="E835:E898" si="13">UPPER(LEFT(G835,2)) &amp; RIGHT("0" &amp; C835, 2) &amp; D835 &amp; RIGHT("0" &amp; H835, 2) &amp; K835</f>
        <v>604NS03PT</v>
      </c>
      <c r="F835" s="31">
        <f>VLOOKUP(B835,[1]Course!$A$2:$R$329,2,FALSE)</f>
        <v>0</v>
      </c>
      <c r="G835" s="31">
        <f>VLOOKUP(B835, [1]Course!$A$2:$L$950, 8, FALSE)</f>
        <v>6</v>
      </c>
      <c r="H835" s="31">
        <v>3</v>
      </c>
      <c r="I835" s="31">
        <v>1</v>
      </c>
      <c r="K835" s="31" t="s">
        <v>1548</v>
      </c>
      <c r="L835" s="31" t="str">
        <f>VLOOKUP(B835, [1]Course!$A$1:$O$933, 14, FALSE)</f>
        <v>NS</v>
      </c>
      <c r="M835" s="31">
        <v>1</v>
      </c>
    </row>
    <row r="836" spans="1:13" ht="15.75" hidden="1" customHeight="1" x14ac:dyDescent="0.2">
      <c r="A836" s="31">
        <v>839</v>
      </c>
      <c r="B836" s="31">
        <v>77</v>
      </c>
      <c r="C836" s="31">
        <v>5</v>
      </c>
      <c r="D836" s="31" t="s">
        <v>238</v>
      </c>
      <c r="E836" s="31" t="str">
        <f t="shared" si="13"/>
        <v>605NS03PT</v>
      </c>
      <c r="F836" s="31">
        <f>VLOOKUP(B836,[1]Course!$A$2:$R$329,2,FALSE)</f>
        <v>0</v>
      </c>
      <c r="G836" s="31">
        <f>VLOOKUP(B836, [1]Course!$A$2:$L$950, 8, FALSE)</f>
        <v>6</v>
      </c>
      <c r="H836" s="31">
        <v>3</v>
      </c>
      <c r="I836" s="31">
        <v>1</v>
      </c>
      <c r="K836" s="31" t="s">
        <v>1548</v>
      </c>
      <c r="L836" s="31" t="str">
        <f>VLOOKUP(B836, [1]Course!$A$1:$O$933, 14, FALSE)</f>
        <v>NS</v>
      </c>
      <c r="M836" s="31">
        <v>1</v>
      </c>
    </row>
    <row r="837" spans="1:13" ht="15.75" hidden="1" customHeight="1" x14ac:dyDescent="0.2">
      <c r="A837" s="31">
        <v>840</v>
      </c>
      <c r="B837" s="31">
        <v>77</v>
      </c>
      <c r="C837" s="31">
        <v>6</v>
      </c>
      <c r="D837" s="31" t="s">
        <v>238</v>
      </c>
      <c r="E837" s="31" t="str">
        <f t="shared" si="13"/>
        <v>606NS03PT</v>
      </c>
      <c r="F837" s="31">
        <f>VLOOKUP(B837,[1]Course!$A$2:$R$329,2,FALSE)</f>
        <v>0</v>
      </c>
      <c r="G837" s="31">
        <f>VLOOKUP(B837, [1]Course!$A$2:$L$950, 8, FALSE)</f>
        <v>6</v>
      </c>
      <c r="H837" s="31">
        <v>3</v>
      </c>
      <c r="I837" s="31">
        <v>1</v>
      </c>
      <c r="K837" s="31" t="s">
        <v>1548</v>
      </c>
      <c r="L837" s="31" t="str">
        <f>VLOOKUP(B837, [1]Course!$A$1:$O$933, 14, FALSE)</f>
        <v>NS</v>
      </c>
      <c r="M837" s="31">
        <v>1</v>
      </c>
    </row>
    <row r="838" spans="1:13" ht="15.75" hidden="1" customHeight="1" x14ac:dyDescent="0.2">
      <c r="A838" s="31">
        <v>841</v>
      </c>
      <c r="B838" s="31">
        <v>78</v>
      </c>
      <c r="C838" s="31">
        <v>1</v>
      </c>
      <c r="D838" s="31" t="s">
        <v>235</v>
      </c>
      <c r="E838" s="31" t="str">
        <f t="shared" si="13"/>
        <v>401SP03PT</v>
      </c>
      <c r="F838" s="31">
        <f>VLOOKUP(B838,[1]Course!$A$2:$R$329,2,FALSE)</f>
        <v>0</v>
      </c>
      <c r="G838" s="31">
        <f>VLOOKUP(B838, [1]Course!$A$2:$L$950, 8, FALSE)</f>
        <v>4</v>
      </c>
      <c r="H838" s="31">
        <v>3</v>
      </c>
      <c r="I838" s="31">
        <v>1</v>
      </c>
      <c r="K838" s="31" t="s">
        <v>1548</v>
      </c>
      <c r="L838" s="31" t="str">
        <f>VLOOKUP(B838, [1]Course!$A$1:$O$933, 14, FALSE)</f>
        <v>SP</v>
      </c>
      <c r="M838" s="31">
        <v>1</v>
      </c>
    </row>
    <row r="839" spans="1:13" ht="15.75" hidden="1" customHeight="1" x14ac:dyDescent="0.2">
      <c r="A839" s="31">
        <v>842</v>
      </c>
      <c r="B839" s="31">
        <v>78</v>
      </c>
      <c r="C839" s="31">
        <v>2</v>
      </c>
      <c r="D839" s="31" t="s">
        <v>235</v>
      </c>
      <c r="E839" s="31" t="str">
        <f t="shared" si="13"/>
        <v>402SP03PT</v>
      </c>
      <c r="F839" s="31">
        <f>VLOOKUP(B839,[1]Course!$A$2:$R$329,2,FALSE)</f>
        <v>0</v>
      </c>
      <c r="G839" s="31">
        <f>VLOOKUP(B839, [1]Course!$A$2:$L$950, 8, FALSE)</f>
        <v>4</v>
      </c>
      <c r="H839" s="31">
        <v>3</v>
      </c>
      <c r="I839" s="31">
        <v>1</v>
      </c>
      <c r="K839" s="31" t="s">
        <v>1548</v>
      </c>
      <c r="L839" s="31" t="str">
        <f>VLOOKUP(B839, [1]Course!$A$1:$O$933, 14, FALSE)</f>
        <v>SP</v>
      </c>
      <c r="M839" s="31">
        <v>1</v>
      </c>
    </row>
    <row r="840" spans="1:13" ht="15.75" hidden="1" customHeight="1" x14ac:dyDescent="0.2">
      <c r="A840" s="31">
        <v>843</v>
      </c>
      <c r="B840" s="31">
        <v>78</v>
      </c>
      <c r="C840" s="31">
        <v>3</v>
      </c>
      <c r="D840" s="31" t="s">
        <v>235</v>
      </c>
      <c r="E840" s="31" t="str">
        <f t="shared" si="13"/>
        <v>403SP03PT</v>
      </c>
      <c r="F840" s="31">
        <f>VLOOKUP(B840,[1]Course!$A$2:$R$329,2,FALSE)</f>
        <v>0</v>
      </c>
      <c r="G840" s="31">
        <f>VLOOKUP(B840, [1]Course!$A$2:$L$950, 8, FALSE)</f>
        <v>4</v>
      </c>
      <c r="H840" s="31">
        <v>3</v>
      </c>
      <c r="I840" s="31">
        <v>1</v>
      </c>
      <c r="K840" s="31" t="s">
        <v>1548</v>
      </c>
      <c r="L840" s="31" t="str">
        <f>VLOOKUP(B840, [1]Course!$A$1:$O$933, 14, FALSE)</f>
        <v>SP</v>
      </c>
      <c r="M840" s="31">
        <v>1</v>
      </c>
    </row>
    <row r="841" spans="1:13" ht="15.75" hidden="1" customHeight="1" x14ac:dyDescent="0.2">
      <c r="A841" s="31">
        <v>844</v>
      </c>
      <c r="B841" s="31">
        <v>78</v>
      </c>
      <c r="C841" s="31">
        <v>4</v>
      </c>
      <c r="D841" s="31" t="s">
        <v>235</v>
      </c>
      <c r="E841" s="31" t="str">
        <f t="shared" si="13"/>
        <v>404SP03PT</v>
      </c>
      <c r="F841" s="31">
        <f>VLOOKUP(B841,[1]Course!$A$2:$R$329,2,FALSE)</f>
        <v>0</v>
      </c>
      <c r="G841" s="31">
        <f>VLOOKUP(B841, [1]Course!$A$2:$L$950, 8, FALSE)</f>
        <v>4</v>
      </c>
      <c r="H841" s="31">
        <v>3</v>
      </c>
      <c r="I841" s="31">
        <v>1</v>
      </c>
      <c r="K841" s="31" t="s">
        <v>1548</v>
      </c>
      <c r="L841" s="31" t="str">
        <f>VLOOKUP(B841, [1]Course!$A$1:$O$933, 14, FALSE)</f>
        <v>SP</v>
      </c>
      <c r="M841" s="31">
        <v>1</v>
      </c>
    </row>
    <row r="842" spans="1:13" ht="15.75" hidden="1" customHeight="1" x14ac:dyDescent="0.2">
      <c r="A842" s="31">
        <v>845</v>
      </c>
      <c r="B842" s="31">
        <v>79</v>
      </c>
      <c r="C842" s="31">
        <v>97</v>
      </c>
      <c r="D842" s="31" t="s">
        <v>82</v>
      </c>
      <c r="E842" s="31" t="str">
        <f t="shared" si="13"/>
        <v>197UK03PT</v>
      </c>
      <c r="F842" s="31">
        <f>VLOOKUP(B842,[1]Course!$A$2:$R$329,2,FALSE)</f>
        <v>0</v>
      </c>
      <c r="G842" s="31">
        <f>VLOOKUP(B842, [1]Course!$A$2:$L$950, 8, FALSE)</f>
        <v>1</v>
      </c>
      <c r="H842" s="31">
        <v>3</v>
      </c>
      <c r="I842" s="31">
        <v>1</v>
      </c>
      <c r="K842" s="31" t="s">
        <v>1548</v>
      </c>
      <c r="L842" s="31" t="str">
        <f>VLOOKUP(B842, [1]Course!$A$1:$O$933, 14, FALSE)</f>
        <v>AC</v>
      </c>
      <c r="M842" s="31">
        <v>1</v>
      </c>
    </row>
    <row r="843" spans="1:13" ht="15.75" hidden="1" customHeight="1" x14ac:dyDescent="0.2">
      <c r="A843" s="31">
        <v>846</v>
      </c>
      <c r="B843" s="31">
        <v>79</v>
      </c>
      <c r="C843" s="31">
        <v>98</v>
      </c>
      <c r="D843" s="31" t="s">
        <v>82</v>
      </c>
      <c r="E843" s="31" t="str">
        <f t="shared" si="13"/>
        <v>198UK03PT</v>
      </c>
      <c r="F843" s="31">
        <f>VLOOKUP(B843,[1]Course!$A$2:$R$329,2,FALSE)</f>
        <v>0</v>
      </c>
      <c r="G843" s="31">
        <f>VLOOKUP(B843, [1]Course!$A$2:$L$950, 8, FALSE)</f>
        <v>1</v>
      </c>
      <c r="H843" s="31">
        <v>3</v>
      </c>
      <c r="I843" s="31">
        <v>1</v>
      </c>
      <c r="K843" s="31" t="s">
        <v>1548</v>
      </c>
      <c r="L843" s="31" t="str">
        <f>VLOOKUP(B843, [1]Course!$A$1:$O$933, 14, FALSE)</f>
        <v>AC</v>
      </c>
      <c r="M843" s="31">
        <v>1</v>
      </c>
    </row>
    <row r="844" spans="1:13" ht="15.75" hidden="1" customHeight="1" x14ac:dyDescent="0.2">
      <c r="A844" s="31">
        <v>847</v>
      </c>
      <c r="B844" s="31">
        <v>79</v>
      </c>
      <c r="C844" s="31">
        <v>99</v>
      </c>
      <c r="D844" s="31" t="s">
        <v>82</v>
      </c>
      <c r="E844" s="31" t="str">
        <f t="shared" si="13"/>
        <v>199UK03PT</v>
      </c>
      <c r="F844" s="31">
        <f>VLOOKUP(B844,[1]Course!$A$2:$R$329,2,FALSE)</f>
        <v>0</v>
      </c>
      <c r="G844" s="31">
        <f>VLOOKUP(B844, [1]Course!$A$2:$L$950, 8, FALSE)</f>
        <v>1</v>
      </c>
      <c r="H844" s="31">
        <v>3</v>
      </c>
      <c r="I844" s="31">
        <v>1</v>
      </c>
      <c r="K844" s="31" t="s">
        <v>1548</v>
      </c>
      <c r="L844" s="31" t="str">
        <f>VLOOKUP(B844, [1]Course!$A$1:$O$933, 14, FALSE)</f>
        <v>AC</v>
      </c>
      <c r="M844" s="31">
        <v>1</v>
      </c>
    </row>
    <row r="845" spans="1:13" ht="15.75" hidden="1" customHeight="1" x14ac:dyDescent="0.2">
      <c r="A845" s="31">
        <v>848</v>
      </c>
      <c r="B845" s="31">
        <v>79</v>
      </c>
      <c r="C845" s="31">
        <v>100</v>
      </c>
      <c r="D845" s="31" t="s">
        <v>82</v>
      </c>
      <c r="E845" s="31" t="str">
        <f t="shared" si="13"/>
        <v>100UK03PT</v>
      </c>
      <c r="F845" s="31">
        <f>VLOOKUP(B845,[1]Course!$A$2:$R$329,2,FALSE)</f>
        <v>0</v>
      </c>
      <c r="G845" s="31">
        <f>VLOOKUP(B845, [1]Course!$A$2:$L$950, 8, FALSE)</f>
        <v>1</v>
      </c>
      <c r="H845" s="31">
        <v>3</v>
      </c>
      <c r="I845" s="31">
        <v>1</v>
      </c>
      <c r="K845" s="31" t="s">
        <v>1548</v>
      </c>
      <c r="L845" s="31" t="str">
        <f>VLOOKUP(B845, [1]Course!$A$1:$O$933, 14, FALSE)</f>
        <v>AC</v>
      </c>
      <c r="M845" s="31">
        <v>1</v>
      </c>
    </row>
    <row r="846" spans="1:13" ht="15.75" hidden="1" customHeight="1" x14ac:dyDescent="0.2">
      <c r="A846" s="31">
        <v>849</v>
      </c>
      <c r="B846" s="31">
        <v>79</v>
      </c>
      <c r="C846" s="31">
        <v>101</v>
      </c>
      <c r="D846" s="31" t="s">
        <v>82</v>
      </c>
      <c r="E846" s="31" t="str">
        <f t="shared" si="13"/>
        <v>101UK03PT</v>
      </c>
      <c r="F846" s="31">
        <f>VLOOKUP(B846,[1]Course!$A$2:$R$329,2,FALSE)</f>
        <v>0</v>
      </c>
      <c r="G846" s="31">
        <f>VLOOKUP(B846, [1]Course!$A$2:$L$950, 8, FALSE)</f>
        <v>1</v>
      </c>
      <c r="H846" s="31">
        <v>3</v>
      </c>
      <c r="I846" s="31">
        <v>1</v>
      </c>
      <c r="K846" s="31" t="s">
        <v>1548</v>
      </c>
      <c r="L846" s="31" t="str">
        <f>VLOOKUP(B846, [1]Course!$A$1:$O$933, 14, FALSE)</f>
        <v>AC</v>
      </c>
      <c r="M846" s="31">
        <v>1</v>
      </c>
    </row>
    <row r="847" spans="1:13" ht="15.75" hidden="1" customHeight="1" x14ac:dyDescent="0.2">
      <c r="A847" s="31">
        <v>850</v>
      </c>
      <c r="B847" s="31">
        <v>79</v>
      </c>
      <c r="C847" s="31">
        <v>102</v>
      </c>
      <c r="D847" s="31" t="s">
        <v>82</v>
      </c>
      <c r="E847" s="31" t="str">
        <f t="shared" si="13"/>
        <v>102UK03PT</v>
      </c>
      <c r="F847" s="31">
        <f>VLOOKUP(B847,[1]Course!$A$2:$R$329,2,FALSE)</f>
        <v>0</v>
      </c>
      <c r="G847" s="31">
        <f>VLOOKUP(B847, [1]Course!$A$2:$L$950, 8, FALSE)</f>
        <v>1</v>
      </c>
      <c r="H847" s="31">
        <v>3</v>
      </c>
      <c r="I847" s="31">
        <v>1</v>
      </c>
      <c r="K847" s="31" t="s">
        <v>1548</v>
      </c>
      <c r="L847" s="31" t="str">
        <f>VLOOKUP(B847, [1]Course!$A$1:$O$933, 14, FALSE)</f>
        <v>AC</v>
      </c>
      <c r="M847" s="31">
        <v>1</v>
      </c>
    </row>
    <row r="848" spans="1:13" ht="15.75" hidden="1" customHeight="1" x14ac:dyDescent="0.2">
      <c r="A848" s="31">
        <v>851</v>
      </c>
      <c r="B848" s="31">
        <v>79</v>
      </c>
      <c r="C848" s="31">
        <v>103</v>
      </c>
      <c r="D848" s="31" t="s">
        <v>82</v>
      </c>
      <c r="E848" s="31" t="str">
        <f t="shared" si="13"/>
        <v>103UK03PT</v>
      </c>
      <c r="F848" s="31">
        <f>VLOOKUP(B848,[1]Course!$A$2:$R$329,2,FALSE)</f>
        <v>0</v>
      </c>
      <c r="G848" s="31">
        <f>VLOOKUP(B848, [1]Course!$A$2:$L$950, 8, FALSE)</f>
        <v>1</v>
      </c>
      <c r="H848" s="31">
        <v>3</v>
      </c>
      <c r="I848" s="31">
        <v>1</v>
      </c>
      <c r="K848" s="31" t="s">
        <v>1548</v>
      </c>
      <c r="L848" s="31" t="str">
        <f>VLOOKUP(B848, [1]Course!$A$1:$O$933, 14, FALSE)</f>
        <v>AC</v>
      </c>
      <c r="M848" s="31">
        <v>1</v>
      </c>
    </row>
    <row r="849" spans="1:13" ht="15.75" hidden="1" customHeight="1" x14ac:dyDescent="0.2">
      <c r="A849" s="31">
        <v>852</v>
      </c>
      <c r="B849" s="31">
        <v>79</v>
      </c>
      <c r="C849" s="31">
        <v>104</v>
      </c>
      <c r="D849" s="31" t="s">
        <v>82</v>
      </c>
      <c r="E849" s="31" t="str">
        <f t="shared" si="13"/>
        <v>104UK03PT</v>
      </c>
      <c r="F849" s="31">
        <f>VLOOKUP(B849,[1]Course!$A$2:$R$329,2,FALSE)</f>
        <v>0</v>
      </c>
      <c r="G849" s="31">
        <f>VLOOKUP(B849, [1]Course!$A$2:$L$950, 8, FALSE)</f>
        <v>1</v>
      </c>
      <c r="H849" s="31">
        <v>3</v>
      </c>
      <c r="I849" s="31">
        <v>1</v>
      </c>
      <c r="K849" s="31" t="s">
        <v>1548</v>
      </c>
      <c r="L849" s="31" t="str">
        <f>VLOOKUP(B849, [1]Course!$A$1:$O$933, 14, FALSE)</f>
        <v>AC</v>
      </c>
      <c r="M849" s="31">
        <v>1</v>
      </c>
    </row>
    <row r="850" spans="1:13" ht="15.75" hidden="1" customHeight="1" x14ac:dyDescent="0.2">
      <c r="A850" s="31">
        <v>853</v>
      </c>
      <c r="B850" s="31">
        <v>79</v>
      </c>
      <c r="C850" s="31">
        <v>105</v>
      </c>
      <c r="D850" s="31" t="s">
        <v>82</v>
      </c>
      <c r="E850" s="31" t="str">
        <f t="shared" si="13"/>
        <v>105UK03PT</v>
      </c>
      <c r="F850" s="31">
        <f>VLOOKUP(B850,[1]Course!$A$2:$R$329,2,FALSE)</f>
        <v>0</v>
      </c>
      <c r="G850" s="31">
        <f>VLOOKUP(B850, [1]Course!$A$2:$L$950, 8, FALSE)</f>
        <v>1</v>
      </c>
      <c r="H850" s="31">
        <v>3</v>
      </c>
      <c r="I850" s="31">
        <v>1</v>
      </c>
      <c r="K850" s="31" t="s">
        <v>1548</v>
      </c>
      <c r="L850" s="31" t="str">
        <f>VLOOKUP(B850, [1]Course!$A$1:$O$933, 14, FALSE)</f>
        <v>AC</v>
      </c>
      <c r="M850" s="31">
        <v>1</v>
      </c>
    </row>
    <row r="851" spans="1:13" ht="15.75" hidden="1" customHeight="1" x14ac:dyDescent="0.2">
      <c r="A851" s="31">
        <v>854</v>
      </c>
      <c r="B851" s="31">
        <v>79</v>
      </c>
      <c r="C851" s="31">
        <v>106</v>
      </c>
      <c r="D851" s="31" t="s">
        <v>82</v>
      </c>
      <c r="E851" s="31" t="str">
        <f t="shared" si="13"/>
        <v>106UK03PT</v>
      </c>
      <c r="F851" s="31">
        <f>VLOOKUP(B851,[1]Course!$A$2:$R$329,2,FALSE)</f>
        <v>0</v>
      </c>
      <c r="G851" s="31">
        <f>VLOOKUP(B851, [1]Course!$A$2:$L$950, 8, FALSE)</f>
        <v>1</v>
      </c>
      <c r="H851" s="31">
        <v>3</v>
      </c>
      <c r="I851" s="31">
        <v>1</v>
      </c>
      <c r="K851" s="31" t="s">
        <v>1548</v>
      </c>
      <c r="L851" s="31" t="str">
        <f>VLOOKUP(B851, [1]Course!$A$1:$O$933, 14, FALSE)</f>
        <v>AC</v>
      </c>
      <c r="M851" s="31">
        <v>1</v>
      </c>
    </row>
    <row r="852" spans="1:13" ht="15.75" hidden="1" customHeight="1" x14ac:dyDescent="0.2">
      <c r="A852" s="31">
        <v>855</v>
      </c>
      <c r="B852" s="31">
        <v>79</v>
      </c>
      <c r="C852" s="31">
        <v>107</v>
      </c>
      <c r="D852" s="31" t="s">
        <v>82</v>
      </c>
      <c r="E852" s="31" t="str">
        <f t="shared" si="13"/>
        <v>107UK03PT</v>
      </c>
      <c r="F852" s="31">
        <f>VLOOKUP(B852,[1]Course!$A$2:$R$329,2,FALSE)</f>
        <v>0</v>
      </c>
      <c r="G852" s="31">
        <f>VLOOKUP(B852, [1]Course!$A$2:$L$950, 8, FALSE)</f>
        <v>1</v>
      </c>
      <c r="H852" s="31">
        <v>3</v>
      </c>
      <c r="I852" s="31">
        <v>1</v>
      </c>
      <c r="K852" s="31" t="s">
        <v>1548</v>
      </c>
      <c r="L852" s="31" t="str">
        <f>VLOOKUP(B852, [1]Course!$A$1:$O$933, 14, FALSE)</f>
        <v>AC</v>
      </c>
      <c r="M852" s="31">
        <v>1</v>
      </c>
    </row>
    <row r="853" spans="1:13" ht="15.75" hidden="1" customHeight="1" x14ac:dyDescent="0.2">
      <c r="A853" s="31">
        <v>856</v>
      </c>
      <c r="B853" s="31">
        <v>79</v>
      </c>
      <c r="C853" s="31">
        <v>108</v>
      </c>
      <c r="D853" s="31" t="s">
        <v>82</v>
      </c>
      <c r="E853" s="31" t="str">
        <f t="shared" si="13"/>
        <v>108UK03PT</v>
      </c>
      <c r="F853" s="31">
        <f>VLOOKUP(B853,[1]Course!$A$2:$R$329,2,FALSE)</f>
        <v>0</v>
      </c>
      <c r="G853" s="31">
        <f>VLOOKUP(B853, [1]Course!$A$2:$L$950, 8, FALSE)</f>
        <v>1</v>
      </c>
      <c r="H853" s="31">
        <v>3</v>
      </c>
      <c r="I853" s="31">
        <v>1</v>
      </c>
      <c r="K853" s="31" t="s">
        <v>1548</v>
      </c>
      <c r="L853" s="31" t="str">
        <f>VLOOKUP(B853, [1]Course!$A$1:$O$933, 14, FALSE)</f>
        <v>AC</v>
      </c>
      <c r="M853" s="31">
        <v>1</v>
      </c>
    </row>
    <row r="854" spans="1:13" ht="15.75" hidden="1" customHeight="1" x14ac:dyDescent="0.2">
      <c r="A854" s="31">
        <v>857</v>
      </c>
      <c r="B854" s="31">
        <v>80</v>
      </c>
      <c r="C854" s="31">
        <v>97</v>
      </c>
      <c r="D854" s="31" t="s">
        <v>231</v>
      </c>
      <c r="E854" s="31" t="str">
        <f t="shared" si="13"/>
        <v>1297WG03PT</v>
      </c>
      <c r="F854" s="31">
        <f>VLOOKUP(B854,[1]Course!$A$2:$R$329,2,FALSE)</f>
        <v>0</v>
      </c>
      <c r="G854" s="31">
        <f>VLOOKUP(B854, [1]Course!$A$2:$L$950, 8, FALSE)</f>
        <v>12</v>
      </c>
      <c r="H854" s="31">
        <v>3</v>
      </c>
      <c r="I854" s="31">
        <v>1</v>
      </c>
      <c r="K854" s="31" t="s">
        <v>1548</v>
      </c>
      <c r="L854" s="31" t="str">
        <f>VLOOKUP(B854, [1]Course!$A$1:$O$933, 14, FALSE)</f>
        <v>WG</v>
      </c>
      <c r="M854" s="31">
        <v>1</v>
      </c>
    </row>
    <row r="855" spans="1:13" ht="15.75" hidden="1" customHeight="1" x14ac:dyDescent="0.2">
      <c r="A855" s="31">
        <v>858</v>
      </c>
      <c r="B855" s="31">
        <v>80</v>
      </c>
      <c r="C855" s="31">
        <v>98</v>
      </c>
      <c r="D855" s="31" t="s">
        <v>231</v>
      </c>
      <c r="E855" s="31" t="str">
        <f t="shared" si="13"/>
        <v>1298WG03PT</v>
      </c>
      <c r="F855" s="31">
        <f>VLOOKUP(B855,[1]Course!$A$2:$R$329,2,FALSE)</f>
        <v>0</v>
      </c>
      <c r="G855" s="31">
        <f>VLOOKUP(B855, [1]Course!$A$2:$L$950, 8, FALSE)</f>
        <v>12</v>
      </c>
      <c r="H855" s="31">
        <v>3</v>
      </c>
      <c r="I855" s="31">
        <v>1</v>
      </c>
      <c r="K855" s="31" t="s">
        <v>1548</v>
      </c>
      <c r="L855" s="31" t="str">
        <f>VLOOKUP(B855, [1]Course!$A$1:$O$933, 14, FALSE)</f>
        <v>WG</v>
      </c>
      <c r="M855" s="31">
        <v>1</v>
      </c>
    </row>
    <row r="856" spans="1:13" ht="15.75" hidden="1" customHeight="1" x14ac:dyDescent="0.2">
      <c r="A856" s="31">
        <v>859</v>
      </c>
      <c r="B856" s="31">
        <v>80</v>
      </c>
      <c r="C856" s="31">
        <v>99</v>
      </c>
      <c r="D856" s="31" t="s">
        <v>231</v>
      </c>
      <c r="E856" s="31" t="str">
        <f t="shared" si="13"/>
        <v>1299WG03PT</v>
      </c>
      <c r="F856" s="31">
        <f>VLOOKUP(B856,[1]Course!$A$2:$R$329,2,FALSE)</f>
        <v>0</v>
      </c>
      <c r="G856" s="31">
        <f>VLOOKUP(B856, [1]Course!$A$2:$L$950, 8, FALSE)</f>
        <v>12</v>
      </c>
      <c r="H856" s="31">
        <v>3</v>
      </c>
      <c r="I856" s="31">
        <v>1</v>
      </c>
      <c r="K856" s="31" t="s">
        <v>1548</v>
      </c>
      <c r="L856" s="31" t="str">
        <f>VLOOKUP(B856, [1]Course!$A$1:$O$933, 14, FALSE)</f>
        <v>WG</v>
      </c>
      <c r="M856" s="31">
        <v>1</v>
      </c>
    </row>
    <row r="857" spans="1:13" ht="15.75" hidden="1" customHeight="1" x14ac:dyDescent="0.2">
      <c r="A857" s="31">
        <v>860</v>
      </c>
      <c r="B857" s="31">
        <v>80</v>
      </c>
      <c r="C857" s="31">
        <v>100</v>
      </c>
      <c r="D857" s="31" t="s">
        <v>231</v>
      </c>
      <c r="E857" s="31" t="str">
        <f t="shared" si="13"/>
        <v>1200WG03PT</v>
      </c>
      <c r="F857" s="31">
        <f>VLOOKUP(B857,[1]Course!$A$2:$R$329,2,FALSE)</f>
        <v>0</v>
      </c>
      <c r="G857" s="31">
        <f>VLOOKUP(B857, [1]Course!$A$2:$L$950, 8, FALSE)</f>
        <v>12</v>
      </c>
      <c r="H857" s="31">
        <v>3</v>
      </c>
      <c r="I857" s="31">
        <v>1</v>
      </c>
      <c r="K857" s="31" t="s">
        <v>1548</v>
      </c>
      <c r="L857" s="31" t="str">
        <f>VLOOKUP(B857, [1]Course!$A$1:$O$933, 14, FALSE)</f>
        <v>WG</v>
      </c>
      <c r="M857" s="31">
        <v>1</v>
      </c>
    </row>
    <row r="858" spans="1:13" ht="15.75" hidden="1" customHeight="1" x14ac:dyDescent="0.2">
      <c r="A858" s="31">
        <v>861</v>
      </c>
      <c r="B858" s="31">
        <v>80</v>
      </c>
      <c r="C858" s="31">
        <v>101</v>
      </c>
      <c r="D858" s="31" t="s">
        <v>231</v>
      </c>
      <c r="E858" s="31" t="str">
        <f t="shared" si="13"/>
        <v>1201WG03PT</v>
      </c>
      <c r="F858" s="31">
        <f>VLOOKUP(B858,[1]Course!$A$2:$R$329,2,FALSE)</f>
        <v>0</v>
      </c>
      <c r="G858" s="31">
        <f>VLOOKUP(B858, [1]Course!$A$2:$L$950, 8, FALSE)</f>
        <v>12</v>
      </c>
      <c r="H858" s="31">
        <v>3</v>
      </c>
      <c r="I858" s="31">
        <v>1</v>
      </c>
      <c r="K858" s="31" t="s">
        <v>1548</v>
      </c>
      <c r="L858" s="31" t="str">
        <f>VLOOKUP(B858, [1]Course!$A$1:$O$933, 14, FALSE)</f>
        <v>WG</v>
      </c>
      <c r="M858" s="31">
        <v>1</v>
      </c>
    </row>
    <row r="859" spans="1:13" ht="15.75" hidden="1" customHeight="1" x14ac:dyDescent="0.2">
      <c r="A859" s="31">
        <v>862</v>
      </c>
      <c r="B859" s="31">
        <v>80</v>
      </c>
      <c r="C859" s="31">
        <v>102</v>
      </c>
      <c r="D859" s="31" t="s">
        <v>231</v>
      </c>
      <c r="E859" s="31" t="str">
        <f t="shared" si="13"/>
        <v>1202WG03PT</v>
      </c>
      <c r="F859" s="31">
        <f>VLOOKUP(B859,[1]Course!$A$2:$R$329,2,FALSE)</f>
        <v>0</v>
      </c>
      <c r="G859" s="31">
        <f>VLOOKUP(B859, [1]Course!$A$2:$L$950, 8, FALSE)</f>
        <v>12</v>
      </c>
      <c r="H859" s="31">
        <v>3</v>
      </c>
      <c r="I859" s="31">
        <v>1</v>
      </c>
      <c r="K859" s="31" t="s">
        <v>1548</v>
      </c>
      <c r="L859" s="31" t="str">
        <f>VLOOKUP(B859, [1]Course!$A$1:$O$933, 14, FALSE)</f>
        <v>WG</v>
      </c>
      <c r="M859" s="31">
        <v>1</v>
      </c>
    </row>
    <row r="860" spans="1:13" ht="15.75" hidden="1" customHeight="1" x14ac:dyDescent="0.2">
      <c r="A860" s="31">
        <v>863</v>
      </c>
      <c r="B860" s="31">
        <v>80</v>
      </c>
      <c r="C860" s="31">
        <v>103</v>
      </c>
      <c r="D860" s="31" t="s">
        <v>231</v>
      </c>
      <c r="E860" s="31" t="str">
        <f t="shared" si="13"/>
        <v>1203WG03PT</v>
      </c>
      <c r="F860" s="31">
        <f>VLOOKUP(B860,[1]Course!$A$2:$R$329,2,FALSE)</f>
        <v>0</v>
      </c>
      <c r="G860" s="31">
        <f>VLOOKUP(B860, [1]Course!$A$2:$L$950, 8, FALSE)</f>
        <v>12</v>
      </c>
      <c r="H860" s="31">
        <v>3</v>
      </c>
      <c r="I860" s="31">
        <v>1</v>
      </c>
      <c r="K860" s="31" t="s">
        <v>1548</v>
      </c>
      <c r="L860" s="31" t="str">
        <f>VLOOKUP(B860, [1]Course!$A$1:$O$933, 14, FALSE)</f>
        <v>WG</v>
      </c>
      <c r="M860" s="31">
        <v>1</v>
      </c>
    </row>
    <row r="861" spans="1:13" ht="15.75" hidden="1" customHeight="1" x14ac:dyDescent="0.2">
      <c r="A861" s="31">
        <v>864</v>
      </c>
      <c r="B861" s="31">
        <v>80</v>
      </c>
      <c r="C861" s="31">
        <v>104</v>
      </c>
      <c r="D861" s="31" t="s">
        <v>231</v>
      </c>
      <c r="E861" s="31" t="str">
        <f t="shared" si="13"/>
        <v>1204WG03PT</v>
      </c>
      <c r="F861" s="31">
        <f>VLOOKUP(B861,[1]Course!$A$2:$R$329,2,FALSE)</f>
        <v>0</v>
      </c>
      <c r="G861" s="31">
        <f>VLOOKUP(B861, [1]Course!$A$2:$L$950, 8, FALSE)</f>
        <v>12</v>
      </c>
      <c r="H861" s="31">
        <v>3</v>
      </c>
      <c r="I861" s="31">
        <v>1</v>
      </c>
      <c r="K861" s="31" t="s">
        <v>1548</v>
      </c>
      <c r="L861" s="31" t="str">
        <f>VLOOKUP(B861, [1]Course!$A$1:$O$933, 14, FALSE)</f>
        <v>WG</v>
      </c>
      <c r="M861" s="31">
        <v>1</v>
      </c>
    </row>
    <row r="862" spans="1:13" ht="15.75" hidden="1" customHeight="1" x14ac:dyDescent="0.2">
      <c r="A862" s="31">
        <v>865</v>
      </c>
      <c r="B862" s="31">
        <v>80</v>
      </c>
      <c r="C862" s="31">
        <v>105</v>
      </c>
      <c r="D862" s="31" t="s">
        <v>231</v>
      </c>
      <c r="E862" s="31" t="str">
        <f t="shared" si="13"/>
        <v>1205WG03PT</v>
      </c>
      <c r="F862" s="31">
        <f>VLOOKUP(B862,[1]Course!$A$2:$R$329,2,FALSE)</f>
        <v>0</v>
      </c>
      <c r="G862" s="31">
        <f>VLOOKUP(B862, [1]Course!$A$2:$L$950, 8, FALSE)</f>
        <v>12</v>
      </c>
      <c r="H862" s="31">
        <v>3</v>
      </c>
      <c r="I862" s="31">
        <v>1</v>
      </c>
      <c r="K862" s="31" t="s">
        <v>1548</v>
      </c>
      <c r="L862" s="31" t="str">
        <f>VLOOKUP(B862, [1]Course!$A$1:$O$933, 14, FALSE)</f>
        <v>WG</v>
      </c>
      <c r="M862" s="31">
        <v>1</v>
      </c>
    </row>
    <row r="863" spans="1:13" ht="15.75" hidden="1" customHeight="1" x14ac:dyDescent="0.2">
      <c r="A863" s="31">
        <v>866</v>
      </c>
      <c r="B863" s="31">
        <v>80</v>
      </c>
      <c r="C863" s="31">
        <v>106</v>
      </c>
      <c r="D863" s="31" t="s">
        <v>231</v>
      </c>
      <c r="E863" s="31" t="str">
        <f t="shared" si="13"/>
        <v>1206WG03PT</v>
      </c>
      <c r="F863" s="31">
        <f>VLOOKUP(B863,[1]Course!$A$2:$R$329,2,FALSE)</f>
        <v>0</v>
      </c>
      <c r="G863" s="31">
        <f>VLOOKUP(B863, [1]Course!$A$2:$L$950, 8, FALSE)</f>
        <v>12</v>
      </c>
      <c r="H863" s="31">
        <v>3</v>
      </c>
      <c r="I863" s="31">
        <v>1</v>
      </c>
      <c r="K863" s="31" t="s">
        <v>1548</v>
      </c>
      <c r="L863" s="31" t="str">
        <f>VLOOKUP(B863, [1]Course!$A$1:$O$933, 14, FALSE)</f>
        <v>WG</v>
      </c>
      <c r="M863" s="31">
        <v>1</v>
      </c>
    </row>
    <row r="864" spans="1:13" ht="15.75" hidden="1" customHeight="1" x14ac:dyDescent="0.2">
      <c r="A864" s="31">
        <v>867</v>
      </c>
      <c r="B864" s="31">
        <v>80</v>
      </c>
      <c r="C864" s="31">
        <v>107</v>
      </c>
      <c r="D864" s="31" t="s">
        <v>231</v>
      </c>
      <c r="E864" s="31" t="str">
        <f t="shared" si="13"/>
        <v>1207WG03PT</v>
      </c>
      <c r="F864" s="31">
        <f>VLOOKUP(B864,[1]Course!$A$2:$R$329,2,FALSE)</f>
        <v>0</v>
      </c>
      <c r="G864" s="31">
        <f>VLOOKUP(B864, [1]Course!$A$2:$L$950, 8, FALSE)</f>
        <v>12</v>
      </c>
      <c r="H864" s="31">
        <v>3</v>
      </c>
      <c r="I864" s="31">
        <v>1</v>
      </c>
      <c r="K864" s="31" t="s">
        <v>1548</v>
      </c>
      <c r="L864" s="31" t="str">
        <f>VLOOKUP(B864, [1]Course!$A$1:$O$933, 14, FALSE)</f>
        <v>WG</v>
      </c>
      <c r="M864" s="31">
        <v>1</v>
      </c>
    </row>
    <row r="865" spans="1:14" ht="15.75" hidden="1" customHeight="1" x14ac:dyDescent="0.2">
      <c r="A865" s="31">
        <v>868</v>
      </c>
      <c r="B865" s="31">
        <v>80</v>
      </c>
      <c r="C865" s="31">
        <v>108</v>
      </c>
      <c r="D865" s="31" t="s">
        <v>231</v>
      </c>
      <c r="E865" s="31" t="str">
        <f t="shared" si="13"/>
        <v>1208WG03PT</v>
      </c>
      <c r="F865" s="31">
        <f>VLOOKUP(B865,[1]Course!$A$2:$R$329,2,FALSE)</f>
        <v>0</v>
      </c>
      <c r="G865" s="31">
        <f>VLOOKUP(B865, [1]Course!$A$2:$L$950, 8, FALSE)</f>
        <v>12</v>
      </c>
      <c r="H865" s="31">
        <v>3</v>
      </c>
      <c r="I865" s="31">
        <v>1</v>
      </c>
      <c r="K865" s="31" t="s">
        <v>1548</v>
      </c>
      <c r="L865" s="31" t="str">
        <f>VLOOKUP(B865, [1]Course!$A$1:$O$933, 14, FALSE)</f>
        <v>WG</v>
      </c>
      <c r="M865" s="31">
        <v>1</v>
      </c>
    </row>
    <row r="866" spans="1:14" ht="15.75" hidden="1" customHeight="1" x14ac:dyDescent="0.2">
      <c r="A866" s="31">
        <v>869</v>
      </c>
      <c r="B866" s="31">
        <v>81</v>
      </c>
      <c r="C866" s="31">
        <v>1</v>
      </c>
      <c r="D866" s="31" t="s">
        <v>1554</v>
      </c>
      <c r="E866" s="31" t="str">
        <f t="shared" si="13"/>
        <v>201APv203PT</v>
      </c>
      <c r="F866" s="31">
        <f>VLOOKUP(B866,[1]Course!$A$2:$R$329,2,FALSE)</f>
        <v>0</v>
      </c>
      <c r="G866" s="31">
        <f>VLOOKUP(B866, [1]Course!$A$2:$L$950, 8, FALSE)</f>
        <v>2</v>
      </c>
      <c r="H866" s="31">
        <v>3</v>
      </c>
      <c r="I866" s="31">
        <v>1</v>
      </c>
      <c r="J866" s="31">
        <v>2022</v>
      </c>
      <c r="K866" s="31" t="s">
        <v>1548</v>
      </c>
      <c r="L866" s="31" t="str">
        <f>VLOOKUP(B866, [1]Course!$A$1:$O$933, 14, FALSE)</f>
        <v>AP</v>
      </c>
      <c r="M866" s="31">
        <v>3</v>
      </c>
      <c r="N866" s="31" t="s">
        <v>1562</v>
      </c>
    </row>
    <row r="867" spans="1:14" ht="15.75" hidden="1" customHeight="1" x14ac:dyDescent="0.2">
      <c r="A867" s="31">
        <v>870</v>
      </c>
      <c r="B867" s="31">
        <v>81</v>
      </c>
      <c r="C867" s="31">
        <v>2</v>
      </c>
      <c r="D867" s="31" t="s">
        <v>1554</v>
      </c>
      <c r="E867" s="31" t="str">
        <f t="shared" si="13"/>
        <v>202APv203PT</v>
      </c>
      <c r="F867" s="31">
        <f>VLOOKUP(B867,[1]Course!$A$2:$R$329,2,FALSE)</f>
        <v>0</v>
      </c>
      <c r="G867" s="31">
        <f>VLOOKUP(B867, [1]Course!$A$2:$L$950, 8, FALSE)</f>
        <v>2</v>
      </c>
      <c r="H867" s="31">
        <v>3</v>
      </c>
      <c r="I867" s="31">
        <v>1</v>
      </c>
      <c r="J867" s="31">
        <v>2022</v>
      </c>
      <c r="K867" s="31" t="s">
        <v>1548</v>
      </c>
      <c r="L867" s="31" t="str">
        <f>VLOOKUP(B867, [1]Course!$A$1:$O$933, 14, FALSE)</f>
        <v>AP</v>
      </c>
      <c r="M867" s="31">
        <v>3</v>
      </c>
      <c r="N867" s="32" t="s">
        <v>1563</v>
      </c>
    </row>
    <row r="868" spans="1:14" ht="15.75" hidden="1" customHeight="1" x14ac:dyDescent="0.2">
      <c r="A868" s="31">
        <v>871</v>
      </c>
      <c r="B868" s="31">
        <v>151</v>
      </c>
      <c r="C868" s="31">
        <v>97</v>
      </c>
      <c r="D868" s="31" t="s">
        <v>62</v>
      </c>
      <c r="E868" s="31" t="str">
        <f t="shared" si="13"/>
        <v>797AP00PT</v>
      </c>
      <c r="F868" s="31" t="s">
        <v>1552</v>
      </c>
      <c r="G868" s="31">
        <v>7</v>
      </c>
      <c r="H868" s="31">
        <v>0</v>
      </c>
      <c r="I868" s="31">
        <v>1</v>
      </c>
      <c r="J868" s="31">
        <v>2019</v>
      </c>
      <c r="K868" s="31" t="s">
        <v>1548</v>
      </c>
      <c r="L868" s="31" t="str">
        <f>VLOOKUP(B868, [1]Course!$A$1:$O$933, 14, FALSE)</f>
        <v>AP</v>
      </c>
      <c r="M868" s="31">
        <v>1</v>
      </c>
      <c r="N868" s="31" t="s">
        <v>1562</v>
      </c>
    </row>
    <row r="869" spans="1:14" ht="15.75" hidden="1" customHeight="1" x14ac:dyDescent="0.2">
      <c r="A869" s="31">
        <v>872</v>
      </c>
      <c r="B869" s="31">
        <v>151</v>
      </c>
      <c r="C869" s="31">
        <v>102</v>
      </c>
      <c r="D869" s="31" t="s">
        <v>62</v>
      </c>
      <c r="E869" s="31" t="str">
        <f t="shared" si="13"/>
        <v>702AP00PT</v>
      </c>
      <c r="F869" s="31" t="s">
        <v>1552</v>
      </c>
      <c r="G869" s="31">
        <v>7</v>
      </c>
      <c r="H869" s="31">
        <v>0</v>
      </c>
      <c r="I869" s="31">
        <v>1</v>
      </c>
      <c r="J869" s="31">
        <v>2019</v>
      </c>
      <c r="K869" s="31" t="s">
        <v>1548</v>
      </c>
      <c r="L869" s="31" t="str">
        <f>VLOOKUP(B869, [1]Course!$A$1:$O$933, 14, FALSE)</f>
        <v>AP</v>
      </c>
      <c r="M869" s="31">
        <v>3</v>
      </c>
    </row>
    <row r="870" spans="1:14" ht="15.75" hidden="1" customHeight="1" x14ac:dyDescent="0.2">
      <c r="A870" s="31">
        <v>873</v>
      </c>
      <c r="B870" s="31">
        <v>152</v>
      </c>
      <c r="C870" s="31">
        <v>98</v>
      </c>
      <c r="D870" s="31" t="s">
        <v>62</v>
      </c>
      <c r="E870" s="31" t="str">
        <f t="shared" si="13"/>
        <v>798AP00PT</v>
      </c>
      <c r="F870" s="31" t="s">
        <v>21</v>
      </c>
      <c r="G870" s="31">
        <v>7</v>
      </c>
      <c r="H870" s="31">
        <v>0</v>
      </c>
      <c r="I870" s="31">
        <v>1</v>
      </c>
      <c r="J870" s="31">
        <v>2019</v>
      </c>
      <c r="K870" s="31" t="s">
        <v>1548</v>
      </c>
      <c r="L870" s="31" t="str">
        <f>VLOOKUP(B870, [1]Course!$A$1:$O$933, 14, FALSE)</f>
        <v>AP</v>
      </c>
      <c r="M870" s="31">
        <v>1</v>
      </c>
      <c r="N870" s="31" t="s">
        <v>1561</v>
      </c>
    </row>
    <row r="871" spans="1:14" ht="15.75" hidden="1" customHeight="1" x14ac:dyDescent="0.2">
      <c r="A871" s="31">
        <v>874</v>
      </c>
      <c r="B871" s="31">
        <v>152</v>
      </c>
      <c r="C871" s="31">
        <v>99</v>
      </c>
      <c r="D871" s="31" t="s">
        <v>62</v>
      </c>
      <c r="E871" s="31" t="str">
        <f t="shared" si="13"/>
        <v>799AP00PT</v>
      </c>
      <c r="F871" s="31" t="s">
        <v>21</v>
      </c>
      <c r="G871" s="31">
        <v>7</v>
      </c>
      <c r="H871" s="31">
        <v>0</v>
      </c>
      <c r="I871" s="31">
        <v>1</v>
      </c>
      <c r="J871" s="31">
        <v>2019</v>
      </c>
      <c r="K871" s="31" t="s">
        <v>1548</v>
      </c>
      <c r="L871" s="31" t="str">
        <f>VLOOKUP(B871, [1]Course!$A$1:$O$933, 14, FALSE)</f>
        <v>AP</v>
      </c>
      <c r="M871" s="31">
        <v>2</v>
      </c>
    </row>
    <row r="872" spans="1:14" ht="15.75" hidden="1" customHeight="1" x14ac:dyDescent="0.2">
      <c r="A872" s="31">
        <v>875</v>
      </c>
      <c r="B872" s="31">
        <v>152</v>
      </c>
      <c r="C872" s="31">
        <v>100</v>
      </c>
      <c r="D872" s="31" t="s">
        <v>62</v>
      </c>
      <c r="E872" s="31" t="str">
        <f t="shared" si="13"/>
        <v>700AP00PT</v>
      </c>
      <c r="F872" s="31" t="s">
        <v>21</v>
      </c>
      <c r="G872" s="31">
        <v>7</v>
      </c>
      <c r="H872" s="31">
        <v>0</v>
      </c>
      <c r="I872" s="31">
        <v>1</v>
      </c>
      <c r="J872" s="31">
        <v>2019</v>
      </c>
      <c r="K872" s="31" t="s">
        <v>1548</v>
      </c>
      <c r="L872" s="31" t="str">
        <f>VLOOKUP(B872, [1]Course!$A$1:$O$933, 14, FALSE)</f>
        <v>AP</v>
      </c>
      <c r="M872" s="31">
        <v>1</v>
      </c>
    </row>
    <row r="873" spans="1:14" ht="15.75" hidden="1" customHeight="1" x14ac:dyDescent="0.2">
      <c r="A873" s="31">
        <v>876</v>
      </c>
      <c r="B873" s="31">
        <v>152</v>
      </c>
      <c r="C873" s="31">
        <v>101</v>
      </c>
      <c r="D873" s="31" t="s">
        <v>62</v>
      </c>
      <c r="E873" s="31" t="str">
        <f t="shared" si="13"/>
        <v>701AP00PT</v>
      </c>
      <c r="F873" s="31" t="s">
        <v>21</v>
      </c>
      <c r="G873" s="31">
        <v>7</v>
      </c>
      <c r="H873" s="31">
        <v>0</v>
      </c>
      <c r="I873" s="31">
        <v>1</v>
      </c>
      <c r="J873" s="31">
        <v>2019</v>
      </c>
      <c r="K873" s="31" t="s">
        <v>1548</v>
      </c>
      <c r="L873" s="31" t="str">
        <f>VLOOKUP(B873, [1]Course!$A$1:$O$933, 14, FALSE)</f>
        <v>AP</v>
      </c>
      <c r="M873" s="31">
        <v>2</v>
      </c>
    </row>
    <row r="874" spans="1:14" ht="15.75" hidden="1" customHeight="1" x14ac:dyDescent="0.2">
      <c r="A874" s="31">
        <v>877</v>
      </c>
      <c r="B874" s="31">
        <v>82</v>
      </c>
      <c r="C874" s="31">
        <v>1</v>
      </c>
      <c r="D874" s="31" t="s">
        <v>226</v>
      </c>
      <c r="E874" s="31" t="str">
        <f t="shared" si="13"/>
        <v>601MI03PT</v>
      </c>
      <c r="F874" s="31">
        <f>VLOOKUP(B874,[1]Course!$A$2:$R$329,2,FALSE)</f>
        <v>0</v>
      </c>
      <c r="G874" s="31">
        <f>VLOOKUP(B874, [1]Course!$A$2:$L$950, 8, FALSE)</f>
        <v>6</v>
      </c>
      <c r="H874" s="31">
        <v>3</v>
      </c>
      <c r="I874" s="31">
        <v>1</v>
      </c>
      <c r="K874" s="31" t="s">
        <v>1548</v>
      </c>
      <c r="L874" s="31" t="str">
        <f>VLOOKUP(B874, [1]Course!$A$1:$O$933, 14, FALSE)</f>
        <v>MI</v>
      </c>
      <c r="M874" s="31">
        <v>1</v>
      </c>
    </row>
    <row r="875" spans="1:14" ht="15.75" hidden="1" customHeight="1" x14ac:dyDescent="0.2">
      <c r="A875" s="31">
        <v>878</v>
      </c>
      <c r="B875" s="31">
        <v>82</v>
      </c>
      <c r="C875" s="31">
        <v>2</v>
      </c>
      <c r="D875" s="31" t="s">
        <v>226</v>
      </c>
      <c r="E875" s="31" t="str">
        <f t="shared" si="13"/>
        <v>602MI03PT</v>
      </c>
      <c r="F875" s="31">
        <f>VLOOKUP(B875,[1]Course!$A$2:$R$329,2,FALSE)</f>
        <v>0</v>
      </c>
      <c r="G875" s="31">
        <f>VLOOKUP(B875, [1]Course!$A$2:$L$950, 8, FALSE)</f>
        <v>6</v>
      </c>
      <c r="H875" s="31">
        <v>3</v>
      </c>
      <c r="I875" s="31">
        <v>1</v>
      </c>
      <c r="K875" s="31" t="s">
        <v>1548</v>
      </c>
      <c r="L875" s="31" t="str">
        <f>VLOOKUP(B875, [1]Course!$A$1:$O$933, 14, FALSE)</f>
        <v>MI</v>
      </c>
      <c r="M875" s="31">
        <v>1</v>
      </c>
    </row>
    <row r="876" spans="1:14" ht="15.75" hidden="1" customHeight="1" x14ac:dyDescent="0.2">
      <c r="A876" s="31">
        <v>879</v>
      </c>
      <c r="B876" s="31">
        <v>82</v>
      </c>
      <c r="C876" s="31">
        <v>3</v>
      </c>
      <c r="D876" s="31" t="s">
        <v>226</v>
      </c>
      <c r="E876" s="31" t="str">
        <f t="shared" si="13"/>
        <v>603MI03PT</v>
      </c>
      <c r="F876" s="31">
        <f>VLOOKUP(B876,[1]Course!$A$2:$R$329,2,FALSE)</f>
        <v>0</v>
      </c>
      <c r="G876" s="31">
        <f>VLOOKUP(B876, [1]Course!$A$2:$L$950, 8, FALSE)</f>
        <v>6</v>
      </c>
      <c r="H876" s="31">
        <v>3</v>
      </c>
      <c r="I876" s="31">
        <v>1</v>
      </c>
      <c r="K876" s="31" t="s">
        <v>1548</v>
      </c>
      <c r="L876" s="31" t="str">
        <f>VLOOKUP(B876, [1]Course!$A$1:$O$933, 14, FALSE)</f>
        <v>MI</v>
      </c>
      <c r="M876" s="31">
        <v>1</v>
      </c>
    </row>
    <row r="877" spans="1:14" ht="15.75" hidden="1" customHeight="1" x14ac:dyDescent="0.2">
      <c r="A877" s="31">
        <v>880</v>
      </c>
      <c r="B877" s="31">
        <v>82</v>
      </c>
      <c r="C877" s="31">
        <v>4</v>
      </c>
      <c r="D877" s="31" t="s">
        <v>226</v>
      </c>
      <c r="E877" s="31" t="str">
        <f t="shared" si="13"/>
        <v>604MI03PT</v>
      </c>
      <c r="F877" s="31">
        <f>VLOOKUP(B877,[1]Course!$A$2:$R$329,2,FALSE)</f>
        <v>0</v>
      </c>
      <c r="G877" s="31">
        <f>VLOOKUP(B877, [1]Course!$A$2:$L$950, 8, FALSE)</f>
        <v>6</v>
      </c>
      <c r="H877" s="31">
        <v>3</v>
      </c>
      <c r="I877" s="31">
        <v>1</v>
      </c>
      <c r="K877" s="31" t="s">
        <v>1548</v>
      </c>
      <c r="L877" s="31" t="str">
        <f>VLOOKUP(B877, [1]Course!$A$1:$O$933, 14, FALSE)</f>
        <v>MI</v>
      </c>
      <c r="M877" s="31">
        <v>1</v>
      </c>
    </row>
    <row r="878" spans="1:14" ht="15.75" hidden="1" customHeight="1" x14ac:dyDescent="0.2">
      <c r="A878" s="31">
        <v>881</v>
      </c>
      <c r="B878" s="31">
        <v>82</v>
      </c>
      <c r="C878" s="31">
        <v>5</v>
      </c>
      <c r="D878" s="31" t="s">
        <v>226</v>
      </c>
      <c r="E878" s="31" t="str">
        <f t="shared" si="13"/>
        <v>605MI03PT</v>
      </c>
      <c r="F878" s="31">
        <f>VLOOKUP(B878,[1]Course!$A$2:$R$329,2,FALSE)</f>
        <v>0</v>
      </c>
      <c r="G878" s="31">
        <f>VLOOKUP(B878, [1]Course!$A$2:$L$950, 8, FALSE)</f>
        <v>6</v>
      </c>
      <c r="H878" s="31">
        <v>3</v>
      </c>
      <c r="I878" s="31">
        <v>1</v>
      </c>
      <c r="K878" s="31" t="s">
        <v>1548</v>
      </c>
      <c r="L878" s="31" t="str">
        <f>VLOOKUP(B878, [1]Course!$A$1:$O$933, 14, FALSE)</f>
        <v>MI</v>
      </c>
      <c r="M878" s="31">
        <v>1</v>
      </c>
    </row>
    <row r="879" spans="1:14" ht="15.75" hidden="1" customHeight="1" x14ac:dyDescent="0.2">
      <c r="A879" s="31">
        <v>882</v>
      </c>
      <c r="B879" s="31">
        <v>82</v>
      </c>
      <c r="C879" s="31">
        <v>6</v>
      </c>
      <c r="D879" s="31" t="s">
        <v>226</v>
      </c>
      <c r="E879" s="31" t="str">
        <f t="shared" si="13"/>
        <v>606MI03PT</v>
      </c>
      <c r="F879" s="31">
        <f>VLOOKUP(B879,[1]Course!$A$2:$R$329,2,FALSE)</f>
        <v>0</v>
      </c>
      <c r="G879" s="31">
        <f>VLOOKUP(B879, [1]Course!$A$2:$L$950, 8, FALSE)</f>
        <v>6</v>
      </c>
      <c r="H879" s="31">
        <v>3</v>
      </c>
      <c r="I879" s="31">
        <v>1</v>
      </c>
      <c r="K879" s="31" t="s">
        <v>1548</v>
      </c>
      <c r="L879" s="31" t="str">
        <f>VLOOKUP(B879, [1]Course!$A$1:$O$933, 14, FALSE)</f>
        <v>MI</v>
      </c>
      <c r="M879" s="31">
        <v>1</v>
      </c>
    </row>
    <row r="880" spans="1:14" ht="15.75" hidden="1" customHeight="1" x14ac:dyDescent="0.2">
      <c r="A880" s="31">
        <v>883</v>
      </c>
      <c r="B880" s="31">
        <v>83</v>
      </c>
      <c r="C880" s="31">
        <v>1</v>
      </c>
      <c r="D880" s="31" t="s">
        <v>223</v>
      </c>
      <c r="E880" s="31" t="str">
        <f t="shared" si="13"/>
        <v>1201SL03PT</v>
      </c>
      <c r="F880" s="31" t="str">
        <f>VLOOKUP(B880,[1]Course!$A$2:$R$329,2,FALSE)</f>
        <v>Successful Living</v>
      </c>
      <c r="G880" s="31">
        <f>VLOOKUP(B880, [1]Course!$A$2:$L$950, 8, FALSE)</f>
        <v>12</v>
      </c>
      <c r="H880" s="31">
        <v>3</v>
      </c>
      <c r="I880" s="31">
        <v>1</v>
      </c>
      <c r="K880" s="31" t="s">
        <v>1548</v>
      </c>
      <c r="L880" s="31" t="str">
        <f>VLOOKUP(B880, [1]Course!$A$1:$O$933, 14, FALSE)</f>
        <v>SL</v>
      </c>
      <c r="M880" s="31">
        <v>1</v>
      </c>
    </row>
    <row r="881" spans="1:13" ht="15.75" hidden="1" customHeight="1" x14ac:dyDescent="0.2">
      <c r="A881" s="31">
        <v>884</v>
      </c>
      <c r="B881" s="31">
        <v>83</v>
      </c>
      <c r="C881" s="31">
        <v>2</v>
      </c>
      <c r="D881" s="31" t="s">
        <v>223</v>
      </c>
      <c r="E881" s="31" t="str">
        <f t="shared" si="13"/>
        <v>1202SL03PT</v>
      </c>
      <c r="F881" s="31" t="str">
        <f>VLOOKUP(B881,[1]Course!$A$2:$R$329,2,FALSE)</f>
        <v>Successful Living</v>
      </c>
      <c r="G881" s="31">
        <f>VLOOKUP(B881, [1]Course!$A$2:$L$950, 8, FALSE)</f>
        <v>12</v>
      </c>
      <c r="H881" s="31">
        <v>3</v>
      </c>
      <c r="I881" s="31">
        <v>1</v>
      </c>
      <c r="K881" s="31" t="s">
        <v>1548</v>
      </c>
      <c r="L881" s="31" t="str">
        <f>VLOOKUP(B881, [1]Course!$A$1:$O$933, 14, FALSE)</f>
        <v>SL</v>
      </c>
      <c r="M881" s="31">
        <v>1</v>
      </c>
    </row>
    <row r="882" spans="1:13" ht="15.75" hidden="1" customHeight="1" x14ac:dyDescent="0.2">
      <c r="A882" s="31">
        <v>885</v>
      </c>
      <c r="B882" s="31">
        <v>83</v>
      </c>
      <c r="C882" s="31">
        <v>3</v>
      </c>
      <c r="D882" s="31" t="s">
        <v>223</v>
      </c>
      <c r="E882" s="31" t="str">
        <f t="shared" si="13"/>
        <v>1203SL03PT</v>
      </c>
      <c r="F882" s="31" t="str">
        <f>VLOOKUP(B882,[1]Course!$A$2:$R$329,2,FALSE)</f>
        <v>Successful Living</v>
      </c>
      <c r="G882" s="31">
        <f>VLOOKUP(B882, [1]Course!$A$2:$L$950, 8, FALSE)</f>
        <v>12</v>
      </c>
      <c r="H882" s="31">
        <v>3</v>
      </c>
      <c r="I882" s="31">
        <v>1</v>
      </c>
      <c r="K882" s="31" t="s">
        <v>1548</v>
      </c>
      <c r="L882" s="31" t="str">
        <f>VLOOKUP(B882, [1]Course!$A$1:$O$933, 14, FALSE)</f>
        <v>SL</v>
      </c>
      <c r="M882" s="31">
        <v>1</v>
      </c>
    </row>
    <row r="883" spans="1:13" ht="15.75" hidden="1" customHeight="1" x14ac:dyDescent="0.2">
      <c r="A883" s="31">
        <v>886</v>
      </c>
      <c r="B883" s="31">
        <v>83</v>
      </c>
      <c r="C883" s="31">
        <v>4</v>
      </c>
      <c r="D883" s="31" t="s">
        <v>223</v>
      </c>
      <c r="E883" s="31" t="str">
        <f t="shared" si="13"/>
        <v>1204SL03PT</v>
      </c>
      <c r="F883" s="31" t="str">
        <f>VLOOKUP(B883,[1]Course!$A$2:$R$329,2,FALSE)</f>
        <v>Successful Living</v>
      </c>
      <c r="G883" s="31">
        <f>VLOOKUP(B883, [1]Course!$A$2:$L$950, 8, FALSE)</f>
        <v>12</v>
      </c>
      <c r="H883" s="31">
        <v>3</v>
      </c>
      <c r="I883" s="31">
        <v>1</v>
      </c>
      <c r="K883" s="31" t="s">
        <v>1548</v>
      </c>
      <c r="L883" s="31" t="str">
        <f>VLOOKUP(B883, [1]Course!$A$1:$O$933, 14, FALSE)</f>
        <v>SL</v>
      </c>
      <c r="M883" s="31">
        <v>1</v>
      </c>
    </row>
    <row r="884" spans="1:13" ht="15.75" hidden="1" customHeight="1" x14ac:dyDescent="0.2">
      <c r="A884" s="31">
        <v>887</v>
      </c>
      <c r="B884" s="31">
        <v>83</v>
      </c>
      <c r="C884" s="31">
        <v>5</v>
      </c>
      <c r="D884" s="31" t="s">
        <v>223</v>
      </c>
      <c r="E884" s="31" t="str">
        <f t="shared" si="13"/>
        <v>1205SL03PT</v>
      </c>
      <c r="F884" s="31" t="str">
        <f>VLOOKUP(B884,[1]Course!$A$2:$R$329,2,FALSE)</f>
        <v>Successful Living</v>
      </c>
      <c r="G884" s="31">
        <f>VLOOKUP(B884, [1]Course!$A$2:$L$950, 8, FALSE)</f>
        <v>12</v>
      </c>
      <c r="H884" s="31">
        <v>3</v>
      </c>
      <c r="I884" s="31">
        <v>1</v>
      </c>
      <c r="K884" s="31" t="s">
        <v>1548</v>
      </c>
      <c r="L884" s="31" t="str">
        <f>VLOOKUP(B884, [1]Course!$A$1:$O$933, 14, FALSE)</f>
        <v>SL</v>
      </c>
      <c r="M884" s="31">
        <v>1</v>
      </c>
    </row>
    <row r="885" spans="1:13" ht="15.75" hidden="1" customHeight="1" x14ac:dyDescent="0.2">
      <c r="A885" s="31">
        <v>888</v>
      </c>
      <c r="B885" s="31">
        <v>83</v>
      </c>
      <c r="C885" s="31">
        <v>6</v>
      </c>
      <c r="D885" s="31" t="s">
        <v>223</v>
      </c>
      <c r="E885" s="31" t="str">
        <f t="shared" si="13"/>
        <v>1206SL03PT</v>
      </c>
      <c r="F885" s="31" t="str">
        <f>VLOOKUP(B885,[1]Course!$A$2:$R$329,2,FALSE)</f>
        <v>Successful Living</v>
      </c>
      <c r="G885" s="31">
        <f>VLOOKUP(B885, [1]Course!$A$2:$L$950, 8, FALSE)</f>
        <v>12</v>
      </c>
      <c r="H885" s="31">
        <v>3</v>
      </c>
      <c r="I885" s="31">
        <v>1</v>
      </c>
      <c r="K885" s="31" t="s">
        <v>1548</v>
      </c>
      <c r="L885" s="31" t="str">
        <f>VLOOKUP(B885, [1]Course!$A$1:$O$933, 14, FALSE)</f>
        <v>SL</v>
      </c>
      <c r="M885" s="31">
        <v>1</v>
      </c>
    </row>
    <row r="886" spans="1:13" ht="15.75" hidden="1" customHeight="1" x14ac:dyDescent="0.2">
      <c r="A886" s="31">
        <v>889</v>
      </c>
      <c r="B886" s="31">
        <v>83</v>
      </c>
      <c r="C886" s="31">
        <v>7</v>
      </c>
      <c r="D886" s="31" t="s">
        <v>223</v>
      </c>
      <c r="E886" s="31" t="str">
        <f t="shared" si="13"/>
        <v>1207SL03PT</v>
      </c>
      <c r="F886" s="31" t="str">
        <f>VLOOKUP(B886,[1]Course!$A$2:$R$329,2,FALSE)</f>
        <v>Successful Living</v>
      </c>
      <c r="G886" s="31">
        <f>VLOOKUP(B886, [1]Course!$A$2:$L$950, 8, FALSE)</f>
        <v>12</v>
      </c>
      <c r="H886" s="31">
        <v>3</v>
      </c>
      <c r="I886" s="31">
        <v>1</v>
      </c>
      <c r="K886" s="31" t="s">
        <v>1548</v>
      </c>
      <c r="L886" s="31" t="str">
        <f>VLOOKUP(B886, [1]Course!$A$1:$O$933, 14, FALSE)</f>
        <v>SL</v>
      </c>
      <c r="M886" s="31">
        <v>1</v>
      </c>
    </row>
    <row r="887" spans="1:13" ht="15.75" hidden="1" customHeight="1" x14ac:dyDescent="0.2">
      <c r="A887" s="31">
        <v>890</v>
      </c>
      <c r="B887" s="31">
        <v>83</v>
      </c>
      <c r="C887" s="31">
        <v>8</v>
      </c>
      <c r="D887" s="31" t="s">
        <v>223</v>
      </c>
      <c r="E887" s="31" t="str">
        <f t="shared" si="13"/>
        <v>1208SL03PT</v>
      </c>
      <c r="F887" s="31" t="str">
        <f>VLOOKUP(B887,[1]Course!$A$2:$R$329,2,FALSE)</f>
        <v>Successful Living</v>
      </c>
      <c r="G887" s="31">
        <f>VLOOKUP(B887, [1]Course!$A$2:$L$950, 8, FALSE)</f>
        <v>12</v>
      </c>
      <c r="H887" s="31">
        <v>3</v>
      </c>
      <c r="I887" s="31">
        <v>1</v>
      </c>
      <c r="K887" s="31" t="s">
        <v>1548</v>
      </c>
      <c r="L887" s="31" t="str">
        <f>VLOOKUP(B887, [1]Course!$A$1:$O$933, 14, FALSE)</f>
        <v>SL</v>
      </c>
      <c r="M887" s="31">
        <v>1</v>
      </c>
    </row>
    <row r="888" spans="1:13" ht="15.75" hidden="1" customHeight="1" x14ac:dyDescent="0.2">
      <c r="A888" s="31">
        <v>891</v>
      </c>
      <c r="B888" s="31">
        <v>83</v>
      </c>
      <c r="C888" s="31">
        <v>9</v>
      </c>
      <c r="D888" s="31" t="s">
        <v>223</v>
      </c>
      <c r="E888" s="31" t="str">
        <f t="shared" si="13"/>
        <v>1209SL03PT</v>
      </c>
      <c r="F888" s="31" t="str">
        <f>VLOOKUP(B888,[1]Course!$A$2:$R$329,2,FALSE)</f>
        <v>Successful Living</v>
      </c>
      <c r="G888" s="31">
        <f>VLOOKUP(B888, [1]Course!$A$2:$L$950, 8, FALSE)</f>
        <v>12</v>
      </c>
      <c r="H888" s="31">
        <v>3</v>
      </c>
      <c r="I888" s="31">
        <v>1</v>
      </c>
      <c r="K888" s="31" t="s">
        <v>1548</v>
      </c>
      <c r="L888" s="31" t="str">
        <f>VLOOKUP(B888, [1]Course!$A$1:$O$933, 14, FALSE)</f>
        <v>SL</v>
      </c>
      <c r="M888" s="31">
        <v>1</v>
      </c>
    </row>
    <row r="889" spans="1:13" ht="15.75" hidden="1" customHeight="1" x14ac:dyDescent="0.2">
      <c r="A889" s="31">
        <v>892</v>
      </c>
      <c r="B889" s="31">
        <v>83</v>
      </c>
      <c r="C889" s="31">
        <v>10</v>
      </c>
      <c r="D889" s="31" t="s">
        <v>223</v>
      </c>
      <c r="E889" s="31" t="str">
        <f t="shared" si="13"/>
        <v>1210SL03PT</v>
      </c>
      <c r="F889" s="31" t="str">
        <f>VLOOKUP(B889,[1]Course!$A$2:$R$329,2,FALSE)</f>
        <v>Successful Living</v>
      </c>
      <c r="G889" s="31">
        <f>VLOOKUP(B889, [1]Course!$A$2:$L$950, 8, FALSE)</f>
        <v>12</v>
      </c>
      <c r="H889" s="31">
        <v>3</v>
      </c>
      <c r="I889" s="31">
        <v>1</v>
      </c>
      <c r="K889" s="31" t="s">
        <v>1548</v>
      </c>
      <c r="L889" s="31" t="str">
        <f>VLOOKUP(B889, [1]Course!$A$1:$O$933, 14, FALSE)</f>
        <v>SL</v>
      </c>
      <c r="M889" s="31">
        <v>1</v>
      </c>
    </row>
    <row r="890" spans="1:13" ht="15.75" hidden="1" customHeight="1" x14ac:dyDescent="0.2">
      <c r="A890" s="31">
        <v>893</v>
      </c>
      <c r="B890" s="31">
        <v>83</v>
      </c>
      <c r="C890" s="31">
        <v>11</v>
      </c>
      <c r="D890" s="31" t="s">
        <v>223</v>
      </c>
      <c r="E890" s="31" t="str">
        <f t="shared" si="13"/>
        <v>1211SL03PT</v>
      </c>
      <c r="F890" s="31" t="str">
        <f>VLOOKUP(B890,[1]Course!$A$2:$R$329,2,FALSE)</f>
        <v>Successful Living</v>
      </c>
      <c r="G890" s="31">
        <f>VLOOKUP(B890, [1]Course!$A$2:$L$950, 8, FALSE)</f>
        <v>12</v>
      </c>
      <c r="H890" s="31">
        <v>3</v>
      </c>
      <c r="I890" s="31">
        <v>1</v>
      </c>
      <c r="K890" s="31" t="s">
        <v>1548</v>
      </c>
      <c r="L890" s="31" t="str">
        <f>VLOOKUP(B890, [1]Course!$A$1:$O$933, 14, FALSE)</f>
        <v>SL</v>
      </c>
      <c r="M890" s="31">
        <v>1</v>
      </c>
    </row>
    <row r="891" spans="1:13" ht="15.75" hidden="1" customHeight="1" x14ac:dyDescent="0.2">
      <c r="A891" s="31">
        <v>894</v>
      </c>
      <c r="B891" s="31">
        <v>83</v>
      </c>
      <c r="C891" s="31">
        <v>12</v>
      </c>
      <c r="D891" s="31" t="s">
        <v>223</v>
      </c>
      <c r="E891" s="31" t="str">
        <f t="shared" si="13"/>
        <v>1212SL03PT</v>
      </c>
      <c r="F891" s="31" t="str">
        <f>VLOOKUP(B891,[1]Course!$A$2:$R$329,2,FALSE)</f>
        <v>Successful Living</v>
      </c>
      <c r="G891" s="31">
        <f>VLOOKUP(B891, [1]Course!$A$2:$L$950, 8, FALSE)</f>
        <v>12</v>
      </c>
      <c r="H891" s="31">
        <v>3</v>
      </c>
      <c r="I891" s="31">
        <v>1</v>
      </c>
      <c r="K891" s="31" t="s">
        <v>1548</v>
      </c>
      <c r="L891" s="31" t="str">
        <f>VLOOKUP(B891, [1]Course!$A$1:$O$933, 14, FALSE)</f>
        <v>SL</v>
      </c>
      <c r="M891" s="31">
        <v>1</v>
      </c>
    </row>
    <row r="892" spans="1:13" ht="15.75" hidden="1" customHeight="1" x14ac:dyDescent="0.2">
      <c r="A892" s="31">
        <v>895</v>
      </c>
      <c r="B892" s="31">
        <v>85</v>
      </c>
      <c r="C892" s="31">
        <v>1</v>
      </c>
      <c r="D892" s="31" t="s">
        <v>218</v>
      </c>
      <c r="E892" s="31" t="str">
        <f t="shared" si="13"/>
        <v>801ED03PT</v>
      </c>
      <c r="F892" s="31">
        <f>VLOOKUP(B892,[1]Course!$A$2:$R$329,2,FALSE)</f>
        <v>0</v>
      </c>
      <c r="G892" s="31">
        <f>VLOOKUP(B892, [1]Course!$A$2:$L$950, 8, FALSE)</f>
        <v>8</v>
      </c>
      <c r="H892" s="31">
        <v>3</v>
      </c>
      <c r="I892" s="31">
        <v>1</v>
      </c>
      <c r="K892" s="31" t="s">
        <v>1548</v>
      </c>
      <c r="L892" s="31" t="str">
        <f>VLOOKUP(B892, [1]Course!$A$1:$O$933, 14, FALSE)</f>
        <v>ED</v>
      </c>
      <c r="M892" s="31">
        <v>1</v>
      </c>
    </row>
    <row r="893" spans="1:13" ht="15.75" hidden="1" customHeight="1" x14ac:dyDescent="0.2">
      <c r="A893" s="31">
        <v>896</v>
      </c>
      <c r="B893" s="31">
        <v>85</v>
      </c>
      <c r="C893" s="31">
        <v>2</v>
      </c>
      <c r="D893" s="31" t="s">
        <v>218</v>
      </c>
      <c r="E893" s="31" t="str">
        <f t="shared" si="13"/>
        <v>802ED03PT</v>
      </c>
      <c r="F893" s="31">
        <f>VLOOKUP(B893,[1]Course!$A$2:$R$329,2,FALSE)</f>
        <v>0</v>
      </c>
      <c r="G893" s="31">
        <f>VLOOKUP(B893, [1]Course!$A$2:$L$950, 8, FALSE)</f>
        <v>8</v>
      </c>
      <c r="H893" s="31">
        <v>3</v>
      </c>
      <c r="I893" s="31">
        <v>1</v>
      </c>
      <c r="K893" s="31" t="s">
        <v>1548</v>
      </c>
      <c r="L893" s="31" t="str">
        <f>VLOOKUP(B893, [1]Course!$A$1:$O$933, 14, FALSE)</f>
        <v>ED</v>
      </c>
      <c r="M893" s="31">
        <v>1</v>
      </c>
    </row>
    <row r="894" spans="1:13" ht="15.75" hidden="1" customHeight="1" x14ac:dyDescent="0.2">
      <c r="A894" s="31">
        <v>897</v>
      </c>
      <c r="B894" s="31">
        <v>85</v>
      </c>
      <c r="C894" s="31">
        <v>3</v>
      </c>
      <c r="D894" s="31" t="s">
        <v>218</v>
      </c>
      <c r="E894" s="31" t="str">
        <f t="shared" si="13"/>
        <v>803ED03PT</v>
      </c>
      <c r="F894" s="31">
        <f>VLOOKUP(B894,[1]Course!$A$2:$R$329,2,FALSE)</f>
        <v>0</v>
      </c>
      <c r="G894" s="31">
        <f>VLOOKUP(B894, [1]Course!$A$2:$L$950, 8, FALSE)</f>
        <v>8</v>
      </c>
      <c r="H894" s="31">
        <v>3</v>
      </c>
      <c r="I894" s="31">
        <v>1</v>
      </c>
      <c r="K894" s="31" t="s">
        <v>1548</v>
      </c>
      <c r="L894" s="31" t="str">
        <f>VLOOKUP(B894, [1]Course!$A$1:$O$933, 14, FALSE)</f>
        <v>ED</v>
      </c>
      <c r="M894" s="31">
        <v>1</v>
      </c>
    </row>
    <row r="895" spans="1:13" ht="15.75" hidden="1" customHeight="1" x14ac:dyDescent="0.2">
      <c r="A895" s="31">
        <v>898</v>
      </c>
      <c r="B895" s="31">
        <v>85</v>
      </c>
      <c r="C895" s="31">
        <v>4</v>
      </c>
      <c r="D895" s="31" t="s">
        <v>218</v>
      </c>
      <c r="E895" s="31" t="str">
        <f t="shared" si="13"/>
        <v>804ED03PT</v>
      </c>
      <c r="F895" s="31">
        <f>VLOOKUP(B895,[1]Course!$A$2:$R$329,2,FALSE)</f>
        <v>0</v>
      </c>
      <c r="G895" s="31">
        <f>VLOOKUP(B895, [1]Course!$A$2:$L$950, 8, FALSE)</f>
        <v>8</v>
      </c>
      <c r="H895" s="31">
        <v>3</v>
      </c>
      <c r="I895" s="31">
        <v>1</v>
      </c>
      <c r="K895" s="31" t="s">
        <v>1548</v>
      </c>
      <c r="L895" s="31" t="str">
        <f>VLOOKUP(B895, [1]Course!$A$1:$O$933, 14, FALSE)</f>
        <v>ED</v>
      </c>
      <c r="M895" s="31">
        <v>1</v>
      </c>
    </row>
    <row r="896" spans="1:13" ht="15.75" hidden="1" customHeight="1" x14ac:dyDescent="0.2">
      <c r="A896" s="31">
        <v>899</v>
      </c>
      <c r="B896" s="31">
        <v>85</v>
      </c>
      <c r="C896" s="31">
        <v>5</v>
      </c>
      <c r="D896" s="31" t="s">
        <v>218</v>
      </c>
      <c r="E896" s="31" t="str">
        <f t="shared" si="13"/>
        <v>805ED03PT</v>
      </c>
      <c r="F896" s="31">
        <f>VLOOKUP(B896,[1]Course!$A$2:$R$329,2,FALSE)</f>
        <v>0</v>
      </c>
      <c r="G896" s="31">
        <f>VLOOKUP(B896, [1]Course!$A$2:$L$950, 8, FALSE)</f>
        <v>8</v>
      </c>
      <c r="H896" s="31">
        <v>3</v>
      </c>
      <c r="I896" s="31">
        <v>1</v>
      </c>
      <c r="K896" s="31" t="s">
        <v>1548</v>
      </c>
      <c r="L896" s="31" t="str">
        <f>VLOOKUP(B896, [1]Course!$A$1:$O$933, 14, FALSE)</f>
        <v>ED</v>
      </c>
      <c r="M896" s="31">
        <v>1</v>
      </c>
    </row>
    <row r="897" spans="1:13" ht="15.75" hidden="1" customHeight="1" x14ac:dyDescent="0.2">
      <c r="A897" s="31">
        <v>900</v>
      </c>
      <c r="B897" s="31">
        <v>85</v>
      </c>
      <c r="C897" s="31">
        <v>6</v>
      </c>
      <c r="D897" s="31" t="s">
        <v>218</v>
      </c>
      <c r="E897" s="31" t="str">
        <f t="shared" si="13"/>
        <v>806ED03PT</v>
      </c>
      <c r="F897" s="31">
        <f>VLOOKUP(B897,[1]Course!$A$2:$R$329,2,FALSE)</f>
        <v>0</v>
      </c>
      <c r="G897" s="31">
        <f>VLOOKUP(B897, [1]Course!$A$2:$L$950, 8, FALSE)</f>
        <v>8</v>
      </c>
      <c r="H897" s="31">
        <v>3</v>
      </c>
      <c r="I897" s="31">
        <v>1</v>
      </c>
      <c r="K897" s="31" t="s">
        <v>1548</v>
      </c>
      <c r="L897" s="31" t="str">
        <f>VLOOKUP(B897, [1]Course!$A$1:$O$933, 14, FALSE)</f>
        <v>ED</v>
      </c>
      <c r="M897" s="31">
        <v>1</v>
      </c>
    </row>
    <row r="898" spans="1:13" ht="15.75" hidden="1" customHeight="1" x14ac:dyDescent="0.2">
      <c r="A898" s="31">
        <v>901</v>
      </c>
      <c r="B898" s="31">
        <v>85</v>
      </c>
      <c r="C898" s="31">
        <v>7</v>
      </c>
      <c r="D898" s="31" t="s">
        <v>218</v>
      </c>
      <c r="E898" s="31" t="str">
        <f t="shared" si="13"/>
        <v>807ED03PT</v>
      </c>
      <c r="F898" s="31">
        <f>VLOOKUP(B898,[1]Course!$A$2:$R$329,2,FALSE)</f>
        <v>0</v>
      </c>
      <c r="G898" s="31">
        <f>VLOOKUP(B898, [1]Course!$A$2:$L$950, 8, FALSE)</f>
        <v>8</v>
      </c>
      <c r="H898" s="31">
        <v>3</v>
      </c>
      <c r="I898" s="31">
        <v>1</v>
      </c>
      <c r="K898" s="31" t="s">
        <v>1548</v>
      </c>
      <c r="L898" s="31" t="str">
        <f>VLOOKUP(B898, [1]Course!$A$1:$O$933, 14, FALSE)</f>
        <v>ED</v>
      </c>
      <c r="M898" s="31">
        <v>1</v>
      </c>
    </row>
    <row r="899" spans="1:13" ht="15.75" hidden="1" customHeight="1" x14ac:dyDescent="0.2">
      <c r="A899" s="31">
        <v>902</v>
      </c>
      <c r="B899" s="31">
        <v>85</v>
      </c>
      <c r="C899" s="31">
        <v>8</v>
      </c>
      <c r="D899" s="31" t="s">
        <v>218</v>
      </c>
      <c r="E899" s="31" t="str">
        <f t="shared" ref="E899:E962" si="14">UPPER(LEFT(G899,2)) &amp; RIGHT("0" &amp; C899, 2) &amp; D899 &amp; RIGHT("0" &amp; H899, 2) &amp; K899</f>
        <v>808ED03PT</v>
      </c>
      <c r="F899" s="31">
        <f>VLOOKUP(B899,[1]Course!$A$2:$R$329,2,FALSE)</f>
        <v>0</v>
      </c>
      <c r="G899" s="31">
        <f>VLOOKUP(B899, [1]Course!$A$2:$L$950, 8, FALSE)</f>
        <v>8</v>
      </c>
      <c r="H899" s="31">
        <v>3</v>
      </c>
      <c r="I899" s="31">
        <v>1</v>
      </c>
      <c r="K899" s="31" t="s">
        <v>1548</v>
      </c>
      <c r="L899" s="31" t="str">
        <f>VLOOKUP(B899, [1]Course!$A$1:$O$933, 14, FALSE)</f>
        <v>ED</v>
      </c>
      <c r="M899" s="31">
        <v>1</v>
      </c>
    </row>
    <row r="900" spans="1:13" ht="15.75" hidden="1" customHeight="1" x14ac:dyDescent="0.2">
      <c r="A900" s="31">
        <v>903</v>
      </c>
      <c r="B900" s="31">
        <v>86</v>
      </c>
      <c r="C900" s="31">
        <v>109</v>
      </c>
      <c r="D900" s="31" t="s">
        <v>215</v>
      </c>
      <c r="E900" s="31" t="str">
        <f t="shared" si="14"/>
        <v>1209GE03PT</v>
      </c>
      <c r="F900" s="31">
        <f>VLOOKUP(B900,[1]Course!$A$2:$R$329,2,FALSE)</f>
        <v>0</v>
      </c>
      <c r="G900" s="31">
        <f>VLOOKUP(B900, [1]Course!$A$2:$L$950, 8, FALSE)</f>
        <v>12</v>
      </c>
      <c r="H900" s="31">
        <v>3</v>
      </c>
      <c r="I900" s="31">
        <v>1</v>
      </c>
      <c r="K900" s="31" t="s">
        <v>1548</v>
      </c>
      <c r="L900" s="31" t="str">
        <f>VLOOKUP(B900, [1]Course!$A$1:$O$933, 14, FALSE)</f>
        <v>GE</v>
      </c>
      <c r="M900" s="31">
        <v>1</v>
      </c>
    </row>
    <row r="901" spans="1:13" ht="15.75" hidden="1" customHeight="1" x14ac:dyDescent="0.2">
      <c r="A901" s="31">
        <v>904</v>
      </c>
      <c r="B901" s="31">
        <v>86</v>
      </c>
      <c r="C901" s="31">
        <v>110</v>
      </c>
      <c r="D901" s="31" t="s">
        <v>215</v>
      </c>
      <c r="E901" s="31" t="str">
        <f t="shared" si="14"/>
        <v>1210GE03PT</v>
      </c>
      <c r="F901" s="31">
        <f>VLOOKUP(B901,[1]Course!$A$2:$R$329,2,FALSE)</f>
        <v>0</v>
      </c>
      <c r="G901" s="31">
        <f>VLOOKUP(B901, [1]Course!$A$2:$L$950, 8, FALSE)</f>
        <v>12</v>
      </c>
      <c r="H901" s="31">
        <v>3</v>
      </c>
      <c r="I901" s="31">
        <v>1</v>
      </c>
      <c r="K901" s="31" t="s">
        <v>1548</v>
      </c>
      <c r="L901" s="31" t="str">
        <f>VLOOKUP(B901, [1]Course!$A$1:$O$933, 14, FALSE)</f>
        <v>GE</v>
      </c>
      <c r="M901" s="31">
        <v>1</v>
      </c>
    </row>
    <row r="902" spans="1:13" ht="15.75" hidden="1" customHeight="1" x14ac:dyDescent="0.2">
      <c r="A902" s="31">
        <v>905</v>
      </c>
      <c r="B902" s="31">
        <v>86</v>
      </c>
      <c r="C902" s="31">
        <v>111</v>
      </c>
      <c r="D902" s="31" t="s">
        <v>215</v>
      </c>
      <c r="E902" s="31" t="str">
        <f t="shared" si="14"/>
        <v>1211GE03PT</v>
      </c>
      <c r="F902" s="31">
        <f>VLOOKUP(B902,[1]Course!$A$2:$R$329,2,FALSE)</f>
        <v>0</v>
      </c>
      <c r="G902" s="31">
        <f>VLOOKUP(B902, [1]Course!$A$2:$L$950, 8, FALSE)</f>
        <v>12</v>
      </c>
      <c r="H902" s="31">
        <v>3</v>
      </c>
      <c r="I902" s="31">
        <v>1</v>
      </c>
      <c r="K902" s="31" t="s">
        <v>1548</v>
      </c>
      <c r="L902" s="31" t="str">
        <f>VLOOKUP(B902, [1]Course!$A$1:$O$933, 14, FALSE)</f>
        <v>GE</v>
      </c>
      <c r="M902" s="31">
        <v>1</v>
      </c>
    </row>
    <row r="903" spans="1:13" ht="15.75" hidden="1" customHeight="1" x14ac:dyDescent="0.2">
      <c r="A903" s="31">
        <v>906</v>
      </c>
      <c r="B903" s="31">
        <v>86</v>
      </c>
      <c r="C903" s="31">
        <v>112</v>
      </c>
      <c r="D903" s="31" t="s">
        <v>215</v>
      </c>
      <c r="E903" s="31" t="str">
        <f t="shared" si="14"/>
        <v>1212GE03PT</v>
      </c>
      <c r="F903" s="31">
        <f>VLOOKUP(B903,[1]Course!$A$2:$R$329,2,FALSE)</f>
        <v>0</v>
      </c>
      <c r="G903" s="31">
        <f>VLOOKUP(B903, [1]Course!$A$2:$L$950, 8, FALSE)</f>
        <v>12</v>
      </c>
      <c r="H903" s="31">
        <v>3</v>
      </c>
      <c r="I903" s="31">
        <v>1</v>
      </c>
      <c r="K903" s="31" t="s">
        <v>1548</v>
      </c>
      <c r="L903" s="31" t="str">
        <f>VLOOKUP(B903, [1]Course!$A$1:$O$933, 14, FALSE)</f>
        <v>GE</v>
      </c>
      <c r="M903" s="31">
        <v>1</v>
      </c>
    </row>
    <row r="904" spans="1:13" ht="15.75" hidden="1" customHeight="1" x14ac:dyDescent="0.2">
      <c r="A904" s="31">
        <v>907</v>
      </c>
      <c r="B904" s="31">
        <v>86</v>
      </c>
      <c r="C904" s="31">
        <v>113</v>
      </c>
      <c r="D904" s="31" t="s">
        <v>215</v>
      </c>
      <c r="E904" s="31" t="str">
        <f t="shared" si="14"/>
        <v>1213GE03PT</v>
      </c>
      <c r="F904" s="31">
        <f>VLOOKUP(B904,[1]Course!$A$2:$R$329,2,FALSE)</f>
        <v>0</v>
      </c>
      <c r="G904" s="31">
        <f>VLOOKUP(B904, [1]Course!$A$2:$L$950, 8, FALSE)</f>
        <v>12</v>
      </c>
      <c r="H904" s="31">
        <v>3</v>
      </c>
      <c r="I904" s="31">
        <v>1</v>
      </c>
      <c r="K904" s="31" t="s">
        <v>1548</v>
      </c>
      <c r="L904" s="31" t="str">
        <f>VLOOKUP(B904, [1]Course!$A$1:$O$933, 14, FALSE)</f>
        <v>GE</v>
      </c>
      <c r="M904" s="31">
        <v>1</v>
      </c>
    </row>
    <row r="905" spans="1:13" ht="15.75" hidden="1" customHeight="1" x14ac:dyDescent="0.2">
      <c r="A905" s="31">
        <v>908</v>
      </c>
      <c r="B905" s="31">
        <v>86</v>
      </c>
      <c r="C905" s="31">
        <v>114</v>
      </c>
      <c r="D905" s="31" t="s">
        <v>215</v>
      </c>
      <c r="E905" s="31" t="str">
        <f t="shared" si="14"/>
        <v>1214GE03PT</v>
      </c>
      <c r="F905" s="31">
        <f>VLOOKUP(B905,[1]Course!$A$2:$R$329,2,FALSE)</f>
        <v>0</v>
      </c>
      <c r="G905" s="31">
        <f>VLOOKUP(B905, [1]Course!$A$2:$L$950, 8, FALSE)</f>
        <v>12</v>
      </c>
      <c r="H905" s="31">
        <v>3</v>
      </c>
      <c r="I905" s="31">
        <v>1</v>
      </c>
      <c r="K905" s="31" t="s">
        <v>1548</v>
      </c>
      <c r="L905" s="31" t="str">
        <f>VLOOKUP(B905, [1]Course!$A$1:$O$933, 14, FALSE)</f>
        <v>GE</v>
      </c>
      <c r="M905" s="31">
        <v>1</v>
      </c>
    </row>
    <row r="906" spans="1:13" ht="15.75" hidden="1" customHeight="1" x14ac:dyDescent="0.2">
      <c r="A906" s="31">
        <v>909</v>
      </c>
      <c r="B906" s="31">
        <v>86</v>
      </c>
      <c r="C906" s="31">
        <v>115</v>
      </c>
      <c r="D906" s="31" t="s">
        <v>215</v>
      </c>
      <c r="E906" s="31" t="str">
        <f t="shared" si="14"/>
        <v>1215GE03PT</v>
      </c>
      <c r="F906" s="31">
        <f>VLOOKUP(B906,[1]Course!$A$2:$R$329,2,FALSE)</f>
        <v>0</v>
      </c>
      <c r="G906" s="31">
        <f>VLOOKUP(B906, [1]Course!$A$2:$L$950, 8, FALSE)</f>
        <v>12</v>
      </c>
      <c r="H906" s="31">
        <v>3</v>
      </c>
      <c r="I906" s="31">
        <v>1</v>
      </c>
      <c r="K906" s="31" t="s">
        <v>1548</v>
      </c>
      <c r="L906" s="31" t="str">
        <f>VLOOKUP(B906, [1]Course!$A$1:$O$933, 14, FALSE)</f>
        <v>GE</v>
      </c>
      <c r="M906" s="31">
        <v>1</v>
      </c>
    </row>
    <row r="907" spans="1:13" ht="15.75" hidden="1" customHeight="1" x14ac:dyDescent="0.2">
      <c r="A907" s="31">
        <v>910</v>
      </c>
      <c r="B907" s="31">
        <v>86</v>
      </c>
      <c r="C907" s="31">
        <v>116</v>
      </c>
      <c r="D907" s="31" t="s">
        <v>215</v>
      </c>
      <c r="E907" s="31" t="str">
        <f t="shared" si="14"/>
        <v>1216GE03PT</v>
      </c>
      <c r="F907" s="31">
        <f>VLOOKUP(B907,[1]Course!$A$2:$R$329,2,FALSE)</f>
        <v>0</v>
      </c>
      <c r="G907" s="31">
        <f>VLOOKUP(B907, [1]Course!$A$2:$L$950, 8, FALSE)</f>
        <v>12</v>
      </c>
      <c r="H907" s="31">
        <v>3</v>
      </c>
      <c r="I907" s="31">
        <v>1</v>
      </c>
      <c r="K907" s="31" t="s">
        <v>1548</v>
      </c>
      <c r="L907" s="31" t="str">
        <f>VLOOKUP(B907, [1]Course!$A$1:$O$933, 14, FALSE)</f>
        <v>GE</v>
      </c>
      <c r="M907" s="31">
        <v>1</v>
      </c>
    </row>
    <row r="908" spans="1:13" ht="15.75" hidden="1" customHeight="1" x14ac:dyDescent="0.2">
      <c r="A908" s="31">
        <v>911</v>
      </c>
      <c r="B908" s="31">
        <v>86</v>
      </c>
      <c r="C908" s="31">
        <v>117</v>
      </c>
      <c r="D908" s="31" t="s">
        <v>215</v>
      </c>
      <c r="E908" s="31" t="str">
        <f t="shared" si="14"/>
        <v>1217GE03PT</v>
      </c>
      <c r="F908" s="31">
        <f>VLOOKUP(B908,[1]Course!$A$2:$R$329,2,FALSE)</f>
        <v>0</v>
      </c>
      <c r="G908" s="31">
        <f>VLOOKUP(B908, [1]Course!$A$2:$L$950, 8, FALSE)</f>
        <v>12</v>
      </c>
      <c r="H908" s="31">
        <v>3</v>
      </c>
      <c r="I908" s="31">
        <v>1</v>
      </c>
      <c r="K908" s="31" t="s">
        <v>1548</v>
      </c>
      <c r="L908" s="31" t="str">
        <f>VLOOKUP(B908, [1]Course!$A$1:$O$933, 14, FALSE)</f>
        <v>GE</v>
      </c>
      <c r="M908" s="31">
        <v>1</v>
      </c>
    </row>
    <row r="909" spans="1:13" ht="15.75" hidden="1" customHeight="1" x14ac:dyDescent="0.2">
      <c r="A909" s="31">
        <v>912</v>
      </c>
      <c r="B909" s="31">
        <v>86</v>
      </c>
      <c r="C909" s="31">
        <v>118</v>
      </c>
      <c r="D909" s="31" t="s">
        <v>215</v>
      </c>
      <c r="E909" s="31" t="str">
        <f t="shared" si="14"/>
        <v>1218GE03PT</v>
      </c>
      <c r="F909" s="31">
        <f>VLOOKUP(B909,[1]Course!$A$2:$R$329,2,FALSE)</f>
        <v>0</v>
      </c>
      <c r="G909" s="31">
        <f>VLOOKUP(B909, [1]Course!$A$2:$L$950, 8, FALSE)</f>
        <v>12</v>
      </c>
      <c r="H909" s="31">
        <v>3</v>
      </c>
      <c r="I909" s="31">
        <v>1</v>
      </c>
      <c r="K909" s="31" t="s">
        <v>1548</v>
      </c>
      <c r="L909" s="31" t="str">
        <f>VLOOKUP(B909, [1]Course!$A$1:$O$933, 14, FALSE)</f>
        <v>GE</v>
      </c>
      <c r="M909" s="31">
        <v>1</v>
      </c>
    </row>
    <row r="910" spans="1:13" ht="15.75" hidden="1" customHeight="1" x14ac:dyDescent="0.2">
      <c r="A910" s="31">
        <v>913</v>
      </c>
      <c r="B910" s="31">
        <v>86</v>
      </c>
      <c r="C910" s="31">
        <v>119</v>
      </c>
      <c r="D910" s="31" t="s">
        <v>215</v>
      </c>
      <c r="E910" s="31" t="str">
        <f t="shared" si="14"/>
        <v>1219GE03PT</v>
      </c>
      <c r="F910" s="31">
        <f>VLOOKUP(B910,[1]Course!$A$2:$R$329,2,FALSE)</f>
        <v>0</v>
      </c>
      <c r="G910" s="31">
        <f>VLOOKUP(B910, [1]Course!$A$2:$L$950, 8, FALSE)</f>
        <v>12</v>
      </c>
      <c r="H910" s="31">
        <v>3</v>
      </c>
      <c r="I910" s="31">
        <v>1</v>
      </c>
      <c r="K910" s="31" t="s">
        <v>1548</v>
      </c>
      <c r="L910" s="31" t="str">
        <f>VLOOKUP(B910, [1]Course!$A$1:$O$933, 14, FALSE)</f>
        <v>GE</v>
      </c>
      <c r="M910" s="31">
        <v>1</v>
      </c>
    </row>
    <row r="911" spans="1:13" ht="15.75" hidden="1" customHeight="1" x14ac:dyDescent="0.2">
      <c r="A911" s="31">
        <v>914</v>
      </c>
      <c r="B911" s="31">
        <v>86</v>
      </c>
      <c r="C911" s="31">
        <v>120</v>
      </c>
      <c r="D911" s="31" t="s">
        <v>215</v>
      </c>
      <c r="E911" s="31" t="str">
        <f t="shared" si="14"/>
        <v>1220GE03PT</v>
      </c>
      <c r="F911" s="31">
        <f>VLOOKUP(B911,[1]Course!$A$2:$R$329,2,FALSE)</f>
        <v>0</v>
      </c>
      <c r="G911" s="31">
        <f>VLOOKUP(B911, [1]Course!$A$2:$L$950, 8, FALSE)</f>
        <v>12</v>
      </c>
      <c r="H911" s="31">
        <v>3</v>
      </c>
      <c r="I911" s="31">
        <v>1</v>
      </c>
      <c r="K911" s="31" t="s">
        <v>1548</v>
      </c>
      <c r="L911" s="31" t="str">
        <f>VLOOKUP(B911, [1]Course!$A$1:$O$933, 14, FALSE)</f>
        <v>GE</v>
      </c>
      <c r="M911" s="31">
        <v>1</v>
      </c>
    </row>
    <row r="912" spans="1:13" ht="15.75" hidden="1" customHeight="1" x14ac:dyDescent="0.2">
      <c r="A912" s="31">
        <v>915</v>
      </c>
      <c r="B912" s="31">
        <v>87</v>
      </c>
      <c r="C912" s="31">
        <v>109</v>
      </c>
      <c r="D912" s="31" t="s">
        <v>155</v>
      </c>
      <c r="E912" s="31" t="str">
        <f t="shared" si="14"/>
        <v>1209EN03PT</v>
      </c>
      <c r="F912" s="31">
        <f>VLOOKUP(B912,[1]Course!$A$2:$R$329,2,FALSE)</f>
        <v>0</v>
      </c>
      <c r="G912" s="31">
        <f>VLOOKUP(B912, [1]Course!$A$2:$L$950, 8, FALSE)</f>
        <v>12</v>
      </c>
      <c r="H912" s="31">
        <v>3</v>
      </c>
      <c r="I912" s="31">
        <v>1</v>
      </c>
      <c r="K912" s="31" t="s">
        <v>1548</v>
      </c>
      <c r="L912" s="31" t="str">
        <f>VLOOKUP(B912, [1]Course!$A$1:$O$933, 14, FALSE)</f>
        <v>EN</v>
      </c>
      <c r="M912" s="31">
        <v>1</v>
      </c>
    </row>
    <row r="913" spans="1:13" ht="15.75" hidden="1" customHeight="1" x14ac:dyDescent="0.2">
      <c r="A913" s="31">
        <v>916</v>
      </c>
      <c r="B913" s="31">
        <v>87</v>
      </c>
      <c r="C913" s="31">
        <v>110</v>
      </c>
      <c r="D913" s="31" t="s">
        <v>155</v>
      </c>
      <c r="E913" s="31" t="str">
        <f t="shared" si="14"/>
        <v>1210EN03PT</v>
      </c>
      <c r="F913" s="31">
        <f>VLOOKUP(B913,[1]Course!$A$2:$R$329,2,FALSE)</f>
        <v>0</v>
      </c>
      <c r="G913" s="31">
        <f>VLOOKUP(B913, [1]Course!$A$2:$L$950, 8, FALSE)</f>
        <v>12</v>
      </c>
      <c r="H913" s="31">
        <v>3</v>
      </c>
      <c r="I913" s="31">
        <v>1</v>
      </c>
      <c r="K913" s="31" t="s">
        <v>1548</v>
      </c>
      <c r="L913" s="31" t="str">
        <f>VLOOKUP(B913, [1]Course!$A$1:$O$933, 14, FALSE)</f>
        <v>EN</v>
      </c>
      <c r="M913" s="31">
        <v>1</v>
      </c>
    </row>
    <row r="914" spans="1:13" ht="15.75" hidden="1" customHeight="1" x14ac:dyDescent="0.2">
      <c r="A914" s="31">
        <v>917</v>
      </c>
      <c r="B914" s="31">
        <v>87</v>
      </c>
      <c r="C914" s="31">
        <v>111</v>
      </c>
      <c r="D914" s="31" t="s">
        <v>155</v>
      </c>
      <c r="E914" s="31" t="str">
        <f t="shared" si="14"/>
        <v>1211EN03PT</v>
      </c>
      <c r="F914" s="31">
        <f>VLOOKUP(B914,[1]Course!$A$2:$R$329,2,FALSE)</f>
        <v>0</v>
      </c>
      <c r="G914" s="31">
        <f>VLOOKUP(B914, [1]Course!$A$2:$L$950, 8, FALSE)</f>
        <v>12</v>
      </c>
      <c r="H914" s="31">
        <v>3</v>
      </c>
      <c r="I914" s="31">
        <v>1</v>
      </c>
      <c r="K914" s="31" t="s">
        <v>1548</v>
      </c>
      <c r="L914" s="31" t="str">
        <f>VLOOKUP(B914, [1]Course!$A$1:$O$933, 14, FALSE)</f>
        <v>EN</v>
      </c>
      <c r="M914" s="31">
        <v>1</v>
      </c>
    </row>
    <row r="915" spans="1:13" ht="15.75" hidden="1" customHeight="1" x14ac:dyDescent="0.2">
      <c r="A915" s="31">
        <v>918</v>
      </c>
      <c r="B915" s="31">
        <v>87</v>
      </c>
      <c r="C915" s="31">
        <v>112</v>
      </c>
      <c r="D915" s="31" t="s">
        <v>155</v>
      </c>
      <c r="E915" s="31" t="str">
        <f t="shared" si="14"/>
        <v>1212EN03PT</v>
      </c>
      <c r="F915" s="31">
        <f>VLOOKUP(B915,[1]Course!$A$2:$R$329,2,FALSE)</f>
        <v>0</v>
      </c>
      <c r="G915" s="31">
        <f>VLOOKUP(B915, [1]Course!$A$2:$L$950, 8, FALSE)</f>
        <v>12</v>
      </c>
      <c r="H915" s="31">
        <v>3</v>
      </c>
      <c r="I915" s="31">
        <v>1</v>
      </c>
      <c r="K915" s="31" t="s">
        <v>1548</v>
      </c>
      <c r="L915" s="31" t="str">
        <f>VLOOKUP(B915, [1]Course!$A$1:$O$933, 14, FALSE)</f>
        <v>EN</v>
      </c>
      <c r="M915" s="31">
        <v>1</v>
      </c>
    </row>
    <row r="916" spans="1:13" ht="15.75" hidden="1" customHeight="1" x14ac:dyDescent="0.2">
      <c r="A916" s="31">
        <v>919</v>
      </c>
      <c r="B916" s="31">
        <v>87</v>
      </c>
      <c r="C916" s="31">
        <v>113</v>
      </c>
      <c r="D916" s="31" t="s">
        <v>155</v>
      </c>
      <c r="E916" s="31" t="str">
        <f t="shared" si="14"/>
        <v>1213EN03PT</v>
      </c>
      <c r="F916" s="31">
        <f>VLOOKUP(B916,[1]Course!$A$2:$R$329,2,FALSE)</f>
        <v>0</v>
      </c>
      <c r="G916" s="31">
        <f>VLOOKUP(B916, [1]Course!$A$2:$L$950, 8, FALSE)</f>
        <v>12</v>
      </c>
      <c r="H916" s="31">
        <v>3</v>
      </c>
      <c r="I916" s="31">
        <v>1</v>
      </c>
      <c r="K916" s="31" t="s">
        <v>1548</v>
      </c>
      <c r="L916" s="31" t="str">
        <f>VLOOKUP(B916, [1]Course!$A$1:$O$933, 14, FALSE)</f>
        <v>EN</v>
      </c>
      <c r="M916" s="31">
        <v>1</v>
      </c>
    </row>
    <row r="917" spans="1:13" ht="15.75" hidden="1" customHeight="1" x14ac:dyDescent="0.2">
      <c r="A917" s="31">
        <v>920</v>
      </c>
      <c r="B917" s="31">
        <v>87</v>
      </c>
      <c r="C917" s="31">
        <v>114</v>
      </c>
      <c r="D917" s="31" t="s">
        <v>155</v>
      </c>
      <c r="E917" s="31" t="str">
        <f t="shared" si="14"/>
        <v>1214EN03PT</v>
      </c>
      <c r="F917" s="31">
        <f>VLOOKUP(B917,[1]Course!$A$2:$R$329,2,FALSE)</f>
        <v>0</v>
      </c>
      <c r="G917" s="31">
        <f>VLOOKUP(B917, [1]Course!$A$2:$L$950, 8, FALSE)</f>
        <v>12</v>
      </c>
      <c r="H917" s="31">
        <v>3</v>
      </c>
      <c r="I917" s="31">
        <v>1</v>
      </c>
      <c r="K917" s="31" t="s">
        <v>1548</v>
      </c>
      <c r="L917" s="31" t="str">
        <f>VLOOKUP(B917, [1]Course!$A$1:$O$933, 14, FALSE)</f>
        <v>EN</v>
      </c>
      <c r="M917" s="31">
        <v>1</v>
      </c>
    </row>
    <row r="918" spans="1:13" ht="15.75" hidden="1" customHeight="1" x14ac:dyDescent="0.2">
      <c r="A918" s="31">
        <v>921</v>
      </c>
      <c r="B918" s="31">
        <v>87</v>
      </c>
      <c r="C918" s="31">
        <v>115</v>
      </c>
      <c r="D918" s="31" t="s">
        <v>155</v>
      </c>
      <c r="E918" s="31" t="str">
        <f t="shared" si="14"/>
        <v>1215EN03PT</v>
      </c>
      <c r="F918" s="31">
        <f>VLOOKUP(B918,[1]Course!$A$2:$R$329,2,FALSE)</f>
        <v>0</v>
      </c>
      <c r="G918" s="31">
        <f>VLOOKUP(B918, [1]Course!$A$2:$L$950, 8, FALSE)</f>
        <v>12</v>
      </c>
      <c r="H918" s="31">
        <v>3</v>
      </c>
      <c r="I918" s="31">
        <v>1</v>
      </c>
      <c r="K918" s="31" t="s">
        <v>1548</v>
      </c>
      <c r="L918" s="31" t="str">
        <f>VLOOKUP(B918, [1]Course!$A$1:$O$933, 14, FALSE)</f>
        <v>EN</v>
      </c>
      <c r="M918" s="31">
        <v>1</v>
      </c>
    </row>
    <row r="919" spans="1:13" ht="15.75" hidden="1" customHeight="1" x14ac:dyDescent="0.2">
      <c r="A919" s="31">
        <v>922</v>
      </c>
      <c r="B919" s="31">
        <v>87</v>
      </c>
      <c r="C919" s="31">
        <v>116</v>
      </c>
      <c r="D919" s="31" t="s">
        <v>155</v>
      </c>
      <c r="E919" s="31" t="str">
        <f t="shared" si="14"/>
        <v>1216EN03PT</v>
      </c>
      <c r="F919" s="31">
        <f>VLOOKUP(B919,[1]Course!$A$2:$R$329,2,FALSE)</f>
        <v>0</v>
      </c>
      <c r="G919" s="31">
        <f>VLOOKUP(B919, [1]Course!$A$2:$L$950, 8, FALSE)</f>
        <v>12</v>
      </c>
      <c r="H919" s="31">
        <v>3</v>
      </c>
      <c r="I919" s="31">
        <v>1</v>
      </c>
      <c r="K919" s="31" t="s">
        <v>1548</v>
      </c>
      <c r="L919" s="31" t="str">
        <f>VLOOKUP(B919, [1]Course!$A$1:$O$933, 14, FALSE)</f>
        <v>EN</v>
      </c>
      <c r="M919" s="31">
        <v>1</v>
      </c>
    </row>
    <row r="920" spans="1:13" ht="15.75" hidden="1" customHeight="1" x14ac:dyDescent="0.2">
      <c r="A920" s="31">
        <v>923</v>
      </c>
      <c r="B920" s="31">
        <v>87</v>
      </c>
      <c r="C920" s="31">
        <v>117</v>
      </c>
      <c r="D920" s="31" t="s">
        <v>155</v>
      </c>
      <c r="E920" s="31" t="str">
        <f t="shared" si="14"/>
        <v>1217EN03PT</v>
      </c>
      <c r="F920" s="31">
        <f>VLOOKUP(B920,[1]Course!$A$2:$R$329,2,FALSE)</f>
        <v>0</v>
      </c>
      <c r="G920" s="31">
        <f>VLOOKUP(B920, [1]Course!$A$2:$L$950, 8, FALSE)</f>
        <v>12</v>
      </c>
      <c r="H920" s="31">
        <v>3</v>
      </c>
      <c r="I920" s="31">
        <v>1</v>
      </c>
      <c r="K920" s="31" t="s">
        <v>1548</v>
      </c>
      <c r="L920" s="31" t="str">
        <f>VLOOKUP(B920, [1]Course!$A$1:$O$933, 14, FALSE)</f>
        <v>EN</v>
      </c>
      <c r="M920" s="31">
        <v>1</v>
      </c>
    </row>
    <row r="921" spans="1:13" ht="15.75" hidden="1" customHeight="1" x14ac:dyDescent="0.2">
      <c r="A921" s="31">
        <v>924</v>
      </c>
      <c r="B921" s="31">
        <v>87</v>
      </c>
      <c r="C921" s="31">
        <v>118</v>
      </c>
      <c r="D921" s="31" t="s">
        <v>155</v>
      </c>
      <c r="E921" s="31" t="str">
        <f t="shared" si="14"/>
        <v>1218EN03PT</v>
      </c>
      <c r="F921" s="31">
        <f>VLOOKUP(B921,[1]Course!$A$2:$R$329,2,FALSE)</f>
        <v>0</v>
      </c>
      <c r="G921" s="31">
        <f>VLOOKUP(B921, [1]Course!$A$2:$L$950, 8, FALSE)</f>
        <v>12</v>
      </c>
      <c r="H921" s="31">
        <v>3</v>
      </c>
      <c r="I921" s="31">
        <v>1</v>
      </c>
      <c r="K921" s="31" t="s">
        <v>1548</v>
      </c>
      <c r="L921" s="31" t="str">
        <f>VLOOKUP(B921, [1]Course!$A$1:$O$933, 14, FALSE)</f>
        <v>EN</v>
      </c>
      <c r="M921" s="31">
        <v>1</v>
      </c>
    </row>
    <row r="922" spans="1:13" ht="15.75" hidden="1" customHeight="1" x14ac:dyDescent="0.2">
      <c r="A922" s="31">
        <v>925</v>
      </c>
      <c r="B922" s="31">
        <v>87</v>
      </c>
      <c r="C922" s="31">
        <v>119</v>
      </c>
      <c r="D922" s="31" t="s">
        <v>155</v>
      </c>
      <c r="E922" s="31" t="str">
        <f t="shared" si="14"/>
        <v>1219EN03PT</v>
      </c>
      <c r="F922" s="31">
        <f>VLOOKUP(B922,[1]Course!$A$2:$R$329,2,FALSE)</f>
        <v>0</v>
      </c>
      <c r="G922" s="31">
        <f>VLOOKUP(B922, [1]Course!$A$2:$L$950, 8, FALSE)</f>
        <v>12</v>
      </c>
      <c r="H922" s="31">
        <v>3</v>
      </c>
      <c r="I922" s="31">
        <v>1</v>
      </c>
      <c r="K922" s="31" t="s">
        <v>1548</v>
      </c>
      <c r="L922" s="31" t="str">
        <f>VLOOKUP(B922, [1]Course!$A$1:$O$933, 14, FALSE)</f>
        <v>EN</v>
      </c>
      <c r="M922" s="31">
        <v>1</v>
      </c>
    </row>
    <row r="923" spans="1:13" ht="15.75" hidden="1" customHeight="1" x14ac:dyDescent="0.2">
      <c r="A923" s="31">
        <v>926</v>
      </c>
      <c r="B923" s="31">
        <v>87</v>
      </c>
      <c r="C923" s="31">
        <v>120</v>
      </c>
      <c r="D923" s="31" t="s">
        <v>155</v>
      </c>
      <c r="E923" s="31" t="str">
        <f t="shared" si="14"/>
        <v>1220EN03PT</v>
      </c>
      <c r="F923" s="31">
        <f>VLOOKUP(B923,[1]Course!$A$2:$R$329,2,FALSE)</f>
        <v>0</v>
      </c>
      <c r="G923" s="31">
        <f>VLOOKUP(B923, [1]Course!$A$2:$L$950, 8, FALSE)</f>
        <v>12</v>
      </c>
      <c r="H923" s="31">
        <v>3</v>
      </c>
      <c r="I923" s="31">
        <v>1</v>
      </c>
      <c r="K923" s="31" t="s">
        <v>1548</v>
      </c>
      <c r="L923" s="31" t="str">
        <f>VLOOKUP(B923, [1]Course!$A$1:$O$933, 14, FALSE)</f>
        <v>EN</v>
      </c>
      <c r="M923" s="31">
        <v>1</v>
      </c>
    </row>
    <row r="924" spans="1:13" ht="15.75" hidden="1" customHeight="1" x14ac:dyDescent="0.2">
      <c r="A924" s="31">
        <v>927</v>
      </c>
      <c r="B924" s="31">
        <v>88</v>
      </c>
      <c r="C924" s="31">
        <v>3</v>
      </c>
      <c r="D924" s="31" t="s">
        <v>45</v>
      </c>
      <c r="E924" s="31" t="str">
        <f t="shared" si="14"/>
        <v>303RS03PT</v>
      </c>
      <c r="F924" s="31">
        <f>VLOOKUP(B924,[1]Course!$A$2:$R$329,2,FALSE)</f>
        <v>0</v>
      </c>
      <c r="G924" s="31">
        <f>VLOOKUP(B924, [1]Course!$A$2:$L$950, 8, FALSE)</f>
        <v>3</v>
      </c>
      <c r="H924" s="31">
        <v>3</v>
      </c>
      <c r="I924" s="31">
        <v>1</v>
      </c>
      <c r="K924" s="31" t="s">
        <v>1548</v>
      </c>
      <c r="L924" s="31" t="str">
        <f>VLOOKUP(B924, [1]Course!$A$1:$O$933, 14, FALSE)</f>
        <v>RS</v>
      </c>
      <c r="M924" s="31">
        <v>1</v>
      </c>
    </row>
    <row r="925" spans="1:13" ht="15.75" hidden="1" customHeight="1" x14ac:dyDescent="0.2">
      <c r="A925" s="31">
        <v>928</v>
      </c>
      <c r="B925" s="31">
        <v>88</v>
      </c>
      <c r="C925" s="31">
        <v>4</v>
      </c>
      <c r="D925" s="31" t="s">
        <v>45</v>
      </c>
      <c r="E925" s="31" t="str">
        <f t="shared" si="14"/>
        <v>304RS03PT</v>
      </c>
      <c r="F925" s="31">
        <f>VLOOKUP(B925,[1]Course!$A$2:$R$329,2,FALSE)</f>
        <v>0</v>
      </c>
      <c r="G925" s="31">
        <f>VLOOKUP(B925, [1]Course!$A$2:$L$950, 8, FALSE)</f>
        <v>3</v>
      </c>
      <c r="H925" s="31">
        <v>3</v>
      </c>
      <c r="I925" s="31">
        <v>1</v>
      </c>
      <c r="K925" s="31" t="s">
        <v>1548</v>
      </c>
      <c r="L925" s="31" t="str">
        <f>VLOOKUP(B925, [1]Course!$A$1:$O$933, 14, FALSE)</f>
        <v>RS</v>
      </c>
      <c r="M925" s="31">
        <v>1</v>
      </c>
    </row>
    <row r="926" spans="1:13" ht="15.75" hidden="1" customHeight="1" x14ac:dyDescent="0.2">
      <c r="A926" s="31">
        <v>929</v>
      </c>
      <c r="B926" s="31">
        <v>88</v>
      </c>
      <c r="C926" s="31">
        <v>5</v>
      </c>
      <c r="D926" s="31" t="s">
        <v>45</v>
      </c>
      <c r="E926" s="31" t="str">
        <f t="shared" si="14"/>
        <v>305RS03PT</v>
      </c>
      <c r="F926" s="31">
        <f>VLOOKUP(B926,[1]Course!$A$2:$R$329,2,FALSE)</f>
        <v>0</v>
      </c>
      <c r="G926" s="31">
        <f>VLOOKUP(B926, [1]Course!$A$2:$L$950, 8, FALSE)</f>
        <v>3</v>
      </c>
      <c r="H926" s="31">
        <v>3</v>
      </c>
      <c r="I926" s="31">
        <v>1</v>
      </c>
      <c r="K926" s="31" t="s">
        <v>1548</v>
      </c>
      <c r="L926" s="31" t="str">
        <f>VLOOKUP(B926, [1]Course!$A$1:$O$933, 14, FALSE)</f>
        <v>RS</v>
      </c>
      <c r="M926" s="31">
        <v>1</v>
      </c>
    </row>
    <row r="927" spans="1:13" ht="15.75" hidden="1" customHeight="1" x14ac:dyDescent="0.2">
      <c r="A927" s="31">
        <v>930</v>
      </c>
      <c r="B927" s="31">
        <v>90</v>
      </c>
      <c r="C927" s="31">
        <v>109</v>
      </c>
      <c r="D927" s="31" t="s">
        <v>207</v>
      </c>
      <c r="E927" s="31" t="str">
        <f t="shared" si="14"/>
        <v>1209PS03PT</v>
      </c>
      <c r="F927" s="31" t="str">
        <f>VLOOKUP(B927,[1]Course!$A$2:$R$329,2,FALSE)</f>
        <v>Science 10</v>
      </c>
      <c r="G927" s="31">
        <f>VLOOKUP(B927, [1]Course!$A$2:$L$950, 8, FALSE)</f>
        <v>12</v>
      </c>
      <c r="H927" s="31">
        <v>3</v>
      </c>
      <c r="I927" s="31">
        <v>1</v>
      </c>
      <c r="K927" s="31" t="s">
        <v>1548</v>
      </c>
      <c r="L927" s="31" t="str">
        <f>VLOOKUP(B927, [1]Course!$A$1:$O$933, 14, FALSE)</f>
        <v>PS</v>
      </c>
      <c r="M927" s="31">
        <v>1</v>
      </c>
    </row>
    <row r="928" spans="1:13" ht="15.75" hidden="1" customHeight="1" x14ac:dyDescent="0.2">
      <c r="A928" s="31">
        <v>931</v>
      </c>
      <c r="B928" s="31">
        <v>90</v>
      </c>
      <c r="C928" s="31">
        <v>110</v>
      </c>
      <c r="D928" s="31" t="s">
        <v>207</v>
      </c>
      <c r="E928" s="31" t="str">
        <f t="shared" si="14"/>
        <v>1210PS03PT</v>
      </c>
      <c r="F928" s="31" t="str">
        <f>VLOOKUP(B928,[1]Course!$A$2:$R$329,2,FALSE)</f>
        <v>Science 10</v>
      </c>
      <c r="G928" s="31">
        <f>VLOOKUP(B928, [1]Course!$A$2:$L$950, 8, FALSE)</f>
        <v>12</v>
      </c>
      <c r="H928" s="31">
        <v>3</v>
      </c>
      <c r="I928" s="31">
        <v>1</v>
      </c>
      <c r="K928" s="31" t="s">
        <v>1548</v>
      </c>
      <c r="L928" s="31" t="str">
        <f>VLOOKUP(B928, [1]Course!$A$1:$O$933, 14, FALSE)</f>
        <v>PS</v>
      </c>
      <c r="M928" s="31">
        <v>1</v>
      </c>
    </row>
    <row r="929" spans="1:13" ht="15.75" hidden="1" customHeight="1" x14ac:dyDescent="0.2">
      <c r="A929" s="31">
        <v>932</v>
      </c>
      <c r="B929" s="31">
        <v>90</v>
      </c>
      <c r="C929" s="31">
        <v>111</v>
      </c>
      <c r="D929" s="31" t="s">
        <v>207</v>
      </c>
      <c r="E929" s="31" t="str">
        <f t="shared" si="14"/>
        <v>1211PS03PT</v>
      </c>
      <c r="F929" s="31" t="str">
        <f>VLOOKUP(B929,[1]Course!$A$2:$R$329,2,FALSE)</f>
        <v>Science 10</v>
      </c>
      <c r="G929" s="31">
        <f>VLOOKUP(B929, [1]Course!$A$2:$L$950, 8, FALSE)</f>
        <v>12</v>
      </c>
      <c r="H929" s="31">
        <v>3</v>
      </c>
      <c r="I929" s="31">
        <v>1</v>
      </c>
      <c r="K929" s="31" t="s">
        <v>1548</v>
      </c>
      <c r="L929" s="31" t="str">
        <f>VLOOKUP(B929, [1]Course!$A$1:$O$933, 14, FALSE)</f>
        <v>PS</v>
      </c>
      <c r="M929" s="31">
        <v>1</v>
      </c>
    </row>
    <row r="930" spans="1:13" ht="15.75" hidden="1" customHeight="1" x14ac:dyDescent="0.2">
      <c r="A930" s="31">
        <v>933</v>
      </c>
      <c r="B930" s="31">
        <v>90</v>
      </c>
      <c r="C930" s="31">
        <v>112</v>
      </c>
      <c r="D930" s="31" t="s">
        <v>207</v>
      </c>
      <c r="E930" s="31" t="str">
        <f t="shared" si="14"/>
        <v>1212PS03PT</v>
      </c>
      <c r="F930" s="31" t="str">
        <f>VLOOKUP(B930,[1]Course!$A$2:$R$329,2,FALSE)</f>
        <v>Science 10</v>
      </c>
      <c r="G930" s="31">
        <f>VLOOKUP(B930, [1]Course!$A$2:$L$950, 8, FALSE)</f>
        <v>12</v>
      </c>
      <c r="H930" s="31">
        <v>3</v>
      </c>
      <c r="I930" s="31">
        <v>1</v>
      </c>
      <c r="K930" s="31" t="s">
        <v>1548</v>
      </c>
      <c r="L930" s="31" t="str">
        <f>VLOOKUP(B930, [1]Course!$A$1:$O$933, 14, FALSE)</f>
        <v>PS</v>
      </c>
      <c r="M930" s="31">
        <v>1</v>
      </c>
    </row>
    <row r="931" spans="1:13" ht="15.75" hidden="1" customHeight="1" x14ac:dyDescent="0.2">
      <c r="A931" s="31">
        <v>934</v>
      </c>
      <c r="B931" s="31">
        <v>90</v>
      </c>
      <c r="C931" s="31">
        <v>113</v>
      </c>
      <c r="D931" s="31" t="s">
        <v>207</v>
      </c>
      <c r="E931" s="31" t="str">
        <f t="shared" si="14"/>
        <v>1213PS03PT</v>
      </c>
      <c r="F931" s="31" t="str">
        <f>VLOOKUP(B931,[1]Course!$A$2:$R$329,2,FALSE)</f>
        <v>Science 10</v>
      </c>
      <c r="G931" s="31">
        <f>VLOOKUP(B931, [1]Course!$A$2:$L$950, 8, FALSE)</f>
        <v>12</v>
      </c>
      <c r="H931" s="31">
        <v>3</v>
      </c>
      <c r="I931" s="31">
        <v>1</v>
      </c>
      <c r="K931" s="31" t="s">
        <v>1548</v>
      </c>
      <c r="L931" s="31" t="str">
        <f>VLOOKUP(B931, [1]Course!$A$1:$O$933, 14, FALSE)</f>
        <v>PS</v>
      </c>
      <c r="M931" s="31">
        <v>1</v>
      </c>
    </row>
    <row r="932" spans="1:13" ht="15.75" hidden="1" customHeight="1" x14ac:dyDescent="0.2">
      <c r="A932" s="31">
        <v>935</v>
      </c>
      <c r="B932" s="31">
        <v>90</v>
      </c>
      <c r="C932" s="31">
        <v>114</v>
      </c>
      <c r="D932" s="31" t="s">
        <v>207</v>
      </c>
      <c r="E932" s="31" t="str">
        <f t="shared" si="14"/>
        <v>1214PS03PT</v>
      </c>
      <c r="F932" s="31" t="str">
        <f>VLOOKUP(B932,[1]Course!$A$2:$R$329,2,FALSE)</f>
        <v>Science 10</v>
      </c>
      <c r="G932" s="31">
        <f>VLOOKUP(B932, [1]Course!$A$2:$L$950, 8, FALSE)</f>
        <v>12</v>
      </c>
      <c r="H932" s="31">
        <v>3</v>
      </c>
      <c r="I932" s="31">
        <v>1</v>
      </c>
      <c r="K932" s="31" t="s">
        <v>1548</v>
      </c>
      <c r="L932" s="31" t="str">
        <f>VLOOKUP(B932, [1]Course!$A$1:$O$933, 14, FALSE)</f>
        <v>PS</v>
      </c>
      <c r="M932" s="31">
        <v>1</v>
      </c>
    </row>
    <row r="933" spans="1:13" ht="15.75" hidden="1" customHeight="1" x14ac:dyDescent="0.2">
      <c r="A933" s="31">
        <v>936</v>
      </c>
      <c r="B933" s="31">
        <v>90</v>
      </c>
      <c r="C933" s="31">
        <v>115</v>
      </c>
      <c r="D933" s="31" t="s">
        <v>207</v>
      </c>
      <c r="E933" s="31" t="str">
        <f t="shared" si="14"/>
        <v>1215PS03PT</v>
      </c>
      <c r="F933" s="31" t="str">
        <f>VLOOKUP(B933,[1]Course!$A$2:$R$329,2,FALSE)</f>
        <v>Science 10</v>
      </c>
      <c r="G933" s="31">
        <f>VLOOKUP(B933, [1]Course!$A$2:$L$950, 8, FALSE)</f>
        <v>12</v>
      </c>
      <c r="H933" s="31">
        <v>3</v>
      </c>
      <c r="I933" s="31">
        <v>1</v>
      </c>
      <c r="K933" s="31" t="s">
        <v>1548</v>
      </c>
      <c r="L933" s="31" t="str">
        <f>VLOOKUP(B933, [1]Course!$A$1:$O$933, 14, FALSE)</f>
        <v>PS</v>
      </c>
      <c r="M933" s="31">
        <v>1</v>
      </c>
    </row>
    <row r="934" spans="1:13" ht="15.75" hidden="1" customHeight="1" x14ac:dyDescent="0.2">
      <c r="A934" s="31">
        <v>937</v>
      </c>
      <c r="B934" s="31">
        <v>90</v>
      </c>
      <c r="C934" s="31">
        <v>116</v>
      </c>
      <c r="D934" s="31" t="s">
        <v>207</v>
      </c>
      <c r="E934" s="31" t="str">
        <f t="shared" si="14"/>
        <v>1216PS03PT</v>
      </c>
      <c r="F934" s="31" t="str">
        <f>VLOOKUP(B934,[1]Course!$A$2:$R$329,2,FALSE)</f>
        <v>Science 10</v>
      </c>
      <c r="G934" s="31">
        <f>VLOOKUP(B934, [1]Course!$A$2:$L$950, 8, FALSE)</f>
        <v>12</v>
      </c>
      <c r="H934" s="31">
        <v>3</v>
      </c>
      <c r="I934" s="31">
        <v>1</v>
      </c>
      <c r="K934" s="31" t="s">
        <v>1548</v>
      </c>
      <c r="L934" s="31" t="str">
        <f>VLOOKUP(B934, [1]Course!$A$1:$O$933, 14, FALSE)</f>
        <v>PS</v>
      </c>
      <c r="M934" s="31">
        <v>1</v>
      </c>
    </row>
    <row r="935" spans="1:13" ht="15.75" hidden="1" customHeight="1" x14ac:dyDescent="0.2">
      <c r="A935" s="31">
        <v>938</v>
      </c>
      <c r="B935" s="31">
        <v>90</v>
      </c>
      <c r="C935" s="31">
        <v>117</v>
      </c>
      <c r="D935" s="31" t="s">
        <v>207</v>
      </c>
      <c r="E935" s="31" t="str">
        <f t="shared" si="14"/>
        <v>1217PS03PT</v>
      </c>
      <c r="F935" s="31" t="str">
        <f>VLOOKUP(B935,[1]Course!$A$2:$R$329,2,FALSE)</f>
        <v>Science 10</v>
      </c>
      <c r="G935" s="31">
        <f>VLOOKUP(B935, [1]Course!$A$2:$L$950, 8, FALSE)</f>
        <v>12</v>
      </c>
      <c r="H935" s="31">
        <v>3</v>
      </c>
      <c r="I935" s="31">
        <v>1</v>
      </c>
      <c r="K935" s="31" t="s">
        <v>1548</v>
      </c>
      <c r="L935" s="31" t="str">
        <f>VLOOKUP(B935, [1]Course!$A$1:$O$933, 14, FALSE)</f>
        <v>PS</v>
      </c>
      <c r="M935" s="31">
        <v>1</v>
      </c>
    </row>
    <row r="936" spans="1:13" ht="15.75" hidden="1" customHeight="1" x14ac:dyDescent="0.2">
      <c r="A936" s="31">
        <v>939</v>
      </c>
      <c r="B936" s="31">
        <v>90</v>
      </c>
      <c r="C936" s="31">
        <v>118</v>
      </c>
      <c r="D936" s="31" t="s">
        <v>207</v>
      </c>
      <c r="E936" s="31" t="str">
        <f t="shared" si="14"/>
        <v>1218PS03PT</v>
      </c>
      <c r="F936" s="31" t="str">
        <f>VLOOKUP(B936,[1]Course!$A$2:$R$329,2,FALSE)</f>
        <v>Science 10</v>
      </c>
      <c r="G936" s="31">
        <f>VLOOKUP(B936, [1]Course!$A$2:$L$950, 8, FALSE)</f>
        <v>12</v>
      </c>
      <c r="H936" s="31">
        <v>3</v>
      </c>
      <c r="I936" s="31">
        <v>1</v>
      </c>
      <c r="K936" s="31" t="s">
        <v>1548</v>
      </c>
      <c r="L936" s="31" t="str">
        <f>VLOOKUP(B936, [1]Course!$A$1:$O$933, 14, FALSE)</f>
        <v>PS</v>
      </c>
      <c r="M936" s="31">
        <v>1</v>
      </c>
    </row>
    <row r="937" spans="1:13" ht="15.75" hidden="1" customHeight="1" x14ac:dyDescent="0.2">
      <c r="A937" s="31">
        <v>940</v>
      </c>
      <c r="B937" s="31">
        <v>90</v>
      </c>
      <c r="C937" s="31">
        <v>119</v>
      </c>
      <c r="D937" s="31" t="s">
        <v>207</v>
      </c>
      <c r="E937" s="31" t="str">
        <f t="shared" si="14"/>
        <v>1219PS03PT</v>
      </c>
      <c r="F937" s="31" t="str">
        <f>VLOOKUP(B937,[1]Course!$A$2:$R$329,2,FALSE)</f>
        <v>Science 10</v>
      </c>
      <c r="G937" s="31">
        <f>VLOOKUP(B937, [1]Course!$A$2:$L$950, 8, FALSE)</f>
        <v>12</v>
      </c>
      <c r="H937" s="31">
        <v>3</v>
      </c>
      <c r="I937" s="31">
        <v>1</v>
      </c>
      <c r="K937" s="31" t="s">
        <v>1548</v>
      </c>
      <c r="L937" s="31" t="str">
        <f>VLOOKUP(B937, [1]Course!$A$1:$O$933, 14, FALSE)</f>
        <v>PS</v>
      </c>
      <c r="M937" s="31">
        <v>1</v>
      </c>
    </row>
    <row r="938" spans="1:13" ht="15.75" hidden="1" customHeight="1" x14ac:dyDescent="0.2">
      <c r="A938" s="31">
        <v>941</v>
      </c>
      <c r="B938" s="31">
        <v>90</v>
      </c>
      <c r="C938" s="31">
        <v>120</v>
      </c>
      <c r="D938" s="31" t="s">
        <v>207</v>
      </c>
      <c r="E938" s="31" t="str">
        <f t="shared" si="14"/>
        <v>1220PS03PT</v>
      </c>
      <c r="F938" s="31" t="str">
        <f>VLOOKUP(B938,[1]Course!$A$2:$R$329,2,FALSE)</f>
        <v>Science 10</v>
      </c>
      <c r="G938" s="31">
        <f>VLOOKUP(B938, [1]Course!$A$2:$L$950, 8, FALSE)</f>
        <v>12</v>
      </c>
      <c r="H938" s="31">
        <v>3</v>
      </c>
      <c r="I938" s="31">
        <v>1</v>
      </c>
      <c r="K938" s="31" t="s">
        <v>1548</v>
      </c>
      <c r="L938" s="31" t="str">
        <f>VLOOKUP(B938, [1]Course!$A$1:$O$933, 14, FALSE)</f>
        <v>PS</v>
      </c>
      <c r="M938" s="31">
        <v>1</v>
      </c>
    </row>
    <row r="939" spans="1:13" ht="15.75" hidden="1" customHeight="1" x14ac:dyDescent="0.2">
      <c r="A939" s="31">
        <v>942</v>
      </c>
      <c r="B939" s="31">
        <v>91</v>
      </c>
      <c r="C939" s="31">
        <v>1</v>
      </c>
      <c r="D939" s="31" t="s">
        <v>129</v>
      </c>
      <c r="E939" s="31" t="str">
        <f t="shared" si="14"/>
        <v>1001HC03PT</v>
      </c>
      <c r="F939" s="31" t="str">
        <f>VLOOKUP(B939,[1]Course!$A$2:$R$329,2,FALSE)</f>
        <v>History of Civilisation I</v>
      </c>
      <c r="G939" s="31">
        <f>VLOOKUP(B939, [1]Course!$A$2:$L$950, 8, FALSE)</f>
        <v>10</v>
      </c>
      <c r="H939" s="31">
        <v>3</v>
      </c>
      <c r="I939" s="31">
        <v>1</v>
      </c>
      <c r="K939" s="31" t="s">
        <v>1548</v>
      </c>
      <c r="L939" s="31" t="str">
        <f>VLOOKUP(B939, [1]Course!$A$1:$O$933, 14, FALSE)</f>
        <v>HC</v>
      </c>
      <c r="M939" s="31">
        <v>1</v>
      </c>
    </row>
    <row r="940" spans="1:13" ht="15.75" hidden="1" customHeight="1" x14ac:dyDescent="0.2">
      <c r="A940" s="31">
        <v>943</v>
      </c>
      <c r="B940" s="31">
        <v>91</v>
      </c>
      <c r="C940" s="31">
        <v>2</v>
      </c>
      <c r="D940" s="31" t="s">
        <v>129</v>
      </c>
      <c r="E940" s="31" t="str">
        <f t="shared" si="14"/>
        <v>1002HC03PT</v>
      </c>
      <c r="F940" s="31" t="str">
        <f>VLOOKUP(B940,[1]Course!$A$2:$R$329,2,FALSE)</f>
        <v>History of Civilisation I</v>
      </c>
      <c r="G940" s="31">
        <f>VLOOKUP(B940, [1]Course!$A$2:$L$950, 8, FALSE)</f>
        <v>10</v>
      </c>
      <c r="H940" s="31">
        <v>3</v>
      </c>
      <c r="I940" s="31">
        <v>1</v>
      </c>
      <c r="K940" s="31" t="s">
        <v>1548</v>
      </c>
      <c r="L940" s="31" t="str">
        <f>VLOOKUP(B940, [1]Course!$A$1:$O$933, 14, FALSE)</f>
        <v>HC</v>
      </c>
      <c r="M940" s="31">
        <v>1</v>
      </c>
    </row>
    <row r="941" spans="1:13" ht="15.75" hidden="1" customHeight="1" x14ac:dyDescent="0.2">
      <c r="A941" s="31">
        <v>944</v>
      </c>
      <c r="B941" s="31">
        <v>91</v>
      </c>
      <c r="C941" s="31">
        <v>3</v>
      </c>
      <c r="D941" s="31" t="s">
        <v>129</v>
      </c>
      <c r="E941" s="31" t="str">
        <f t="shared" si="14"/>
        <v>1003HC03PT</v>
      </c>
      <c r="F941" s="31" t="str">
        <f>VLOOKUP(B941,[1]Course!$A$2:$R$329,2,FALSE)</f>
        <v>History of Civilisation I</v>
      </c>
      <c r="G941" s="31">
        <f>VLOOKUP(B941, [1]Course!$A$2:$L$950, 8, FALSE)</f>
        <v>10</v>
      </c>
      <c r="H941" s="31">
        <v>3</v>
      </c>
      <c r="I941" s="31">
        <v>1</v>
      </c>
      <c r="K941" s="31" t="s">
        <v>1548</v>
      </c>
      <c r="L941" s="31" t="str">
        <f>VLOOKUP(B941, [1]Course!$A$1:$O$933, 14, FALSE)</f>
        <v>HC</v>
      </c>
      <c r="M941" s="31">
        <v>1</v>
      </c>
    </row>
    <row r="942" spans="1:13" ht="15.75" hidden="1" customHeight="1" x14ac:dyDescent="0.2">
      <c r="A942" s="31">
        <v>945</v>
      </c>
      <c r="B942" s="31">
        <v>91</v>
      </c>
      <c r="C942" s="31">
        <v>4</v>
      </c>
      <c r="D942" s="31" t="s">
        <v>129</v>
      </c>
      <c r="E942" s="31" t="str">
        <f t="shared" si="14"/>
        <v>1004HC03PT</v>
      </c>
      <c r="F942" s="31" t="str">
        <f>VLOOKUP(B942,[1]Course!$A$2:$R$329,2,FALSE)</f>
        <v>History of Civilisation I</v>
      </c>
      <c r="G942" s="31">
        <f>VLOOKUP(B942, [1]Course!$A$2:$L$950, 8, FALSE)</f>
        <v>10</v>
      </c>
      <c r="H942" s="31">
        <v>3</v>
      </c>
      <c r="I942" s="31">
        <v>1</v>
      </c>
      <c r="K942" s="31" t="s">
        <v>1548</v>
      </c>
      <c r="L942" s="31" t="str">
        <f>VLOOKUP(B942, [1]Course!$A$1:$O$933, 14, FALSE)</f>
        <v>HC</v>
      </c>
      <c r="M942" s="31">
        <v>1</v>
      </c>
    </row>
    <row r="943" spans="1:13" ht="15.75" hidden="1" customHeight="1" x14ac:dyDescent="0.2">
      <c r="A943" s="31">
        <v>946</v>
      </c>
      <c r="B943" s="31">
        <v>91</v>
      </c>
      <c r="C943" s="31">
        <v>5</v>
      </c>
      <c r="D943" s="31" t="s">
        <v>129</v>
      </c>
      <c r="E943" s="31" t="str">
        <f t="shared" si="14"/>
        <v>1005HC03PT</v>
      </c>
      <c r="F943" s="31" t="str">
        <f>VLOOKUP(B943,[1]Course!$A$2:$R$329,2,FALSE)</f>
        <v>History of Civilisation I</v>
      </c>
      <c r="G943" s="31">
        <f>VLOOKUP(B943, [1]Course!$A$2:$L$950, 8, FALSE)</f>
        <v>10</v>
      </c>
      <c r="H943" s="31">
        <v>3</v>
      </c>
      <c r="I943" s="31">
        <v>1</v>
      </c>
      <c r="K943" s="31" t="s">
        <v>1548</v>
      </c>
      <c r="L943" s="31" t="str">
        <f>VLOOKUP(B943, [1]Course!$A$1:$O$933, 14, FALSE)</f>
        <v>HC</v>
      </c>
      <c r="M943" s="31">
        <v>2</v>
      </c>
    </row>
    <row r="944" spans="1:13" ht="15.75" hidden="1" customHeight="1" x14ac:dyDescent="0.2">
      <c r="A944" s="31">
        <v>947</v>
      </c>
      <c r="B944" s="31">
        <v>91</v>
      </c>
      <c r="C944" s="31">
        <v>6</v>
      </c>
      <c r="D944" s="31" t="s">
        <v>129</v>
      </c>
      <c r="E944" s="31" t="str">
        <f t="shared" si="14"/>
        <v>1006HC03PT</v>
      </c>
      <c r="F944" s="31" t="str">
        <f>VLOOKUP(B944,[1]Course!$A$2:$R$329,2,FALSE)</f>
        <v>History of Civilisation I</v>
      </c>
      <c r="G944" s="31">
        <f>VLOOKUP(B944, [1]Course!$A$2:$L$950, 8, FALSE)</f>
        <v>10</v>
      </c>
      <c r="H944" s="31">
        <v>3</v>
      </c>
      <c r="I944" s="31">
        <v>1</v>
      </c>
      <c r="K944" s="31" t="s">
        <v>1548</v>
      </c>
      <c r="L944" s="31" t="str">
        <f>VLOOKUP(B944, [1]Course!$A$1:$O$933, 14, FALSE)</f>
        <v>HC</v>
      </c>
      <c r="M944" s="31">
        <v>1</v>
      </c>
    </row>
    <row r="945" spans="1:14" ht="15.75" hidden="1" customHeight="1" x14ac:dyDescent="0.2">
      <c r="A945" s="31">
        <v>948</v>
      </c>
      <c r="B945" s="31">
        <v>91</v>
      </c>
      <c r="C945" s="31">
        <v>7</v>
      </c>
      <c r="D945" s="31" t="s">
        <v>129</v>
      </c>
      <c r="E945" s="31" t="str">
        <f t="shared" si="14"/>
        <v>1007HC03PT</v>
      </c>
      <c r="F945" s="31" t="str">
        <f>VLOOKUP(B945,[1]Course!$A$2:$R$329,2,FALSE)</f>
        <v>History of Civilisation I</v>
      </c>
      <c r="G945" s="31">
        <f>VLOOKUP(B945, [1]Course!$A$2:$L$950, 8, FALSE)</f>
        <v>10</v>
      </c>
      <c r="H945" s="31">
        <v>3</v>
      </c>
      <c r="I945" s="31">
        <v>1</v>
      </c>
      <c r="K945" s="31" t="s">
        <v>1548</v>
      </c>
      <c r="L945" s="31" t="str">
        <f>VLOOKUP(B945, [1]Course!$A$1:$O$933, 14, FALSE)</f>
        <v>HC</v>
      </c>
      <c r="M945" s="31">
        <v>1</v>
      </c>
    </row>
    <row r="946" spans="1:14" ht="15.75" hidden="1" customHeight="1" x14ac:dyDescent="0.2">
      <c r="A946" s="31">
        <v>949</v>
      </c>
      <c r="B946" s="31">
        <v>91</v>
      </c>
      <c r="C946" s="31">
        <v>8</v>
      </c>
      <c r="D946" s="31" t="s">
        <v>129</v>
      </c>
      <c r="E946" s="31" t="str">
        <f t="shared" si="14"/>
        <v>1008HC03PT</v>
      </c>
      <c r="F946" s="31" t="str">
        <f>VLOOKUP(B946,[1]Course!$A$2:$R$329,2,FALSE)</f>
        <v>History of Civilisation I</v>
      </c>
      <c r="G946" s="31">
        <f>VLOOKUP(B946, [1]Course!$A$2:$L$950, 8, FALSE)</f>
        <v>10</v>
      </c>
      <c r="H946" s="31">
        <v>3</v>
      </c>
      <c r="I946" s="31">
        <v>1</v>
      </c>
      <c r="K946" s="31" t="s">
        <v>1548</v>
      </c>
      <c r="L946" s="31" t="str">
        <f>VLOOKUP(B946, [1]Course!$A$1:$O$933, 14, FALSE)</f>
        <v>HC</v>
      </c>
      <c r="M946" s="31">
        <v>1</v>
      </c>
    </row>
    <row r="947" spans="1:14" ht="15.75" hidden="1" customHeight="1" x14ac:dyDescent="0.2">
      <c r="A947" s="31">
        <v>950</v>
      </c>
      <c r="B947" s="31">
        <v>91</v>
      </c>
      <c r="C947" s="31">
        <v>9</v>
      </c>
      <c r="D947" s="31" t="s">
        <v>129</v>
      </c>
      <c r="E947" s="31" t="str">
        <f t="shared" si="14"/>
        <v>1009HC03PT</v>
      </c>
      <c r="F947" s="31" t="str">
        <f>VLOOKUP(B947,[1]Course!$A$2:$R$329,2,FALSE)</f>
        <v>History of Civilisation I</v>
      </c>
      <c r="G947" s="31">
        <f>VLOOKUP(B947, [1]Course!$A$2:$L$950, 8, FALSE)</f>
        <v>10</v>
      </c>
      <c r="H947" s="31">
        <v>3</v>
      </c>
      <c r="I947" s="31">
        <v>1</v>
      </c>
      <c r="K947" s="31" t="s">
        <v>1548</v>
      </c>
      <c r="L947" s="31" t="str">
        <f>VLOOKUP(B947, [1]Course!$A$1:$O$933, 14, FALSE)</f>
        <v>HC</v>
      </c>
      <c r="M947" s="31">
        <v>1</v>
      </c>
    </row>
    <row r="948" spans="1:14" ht="15.75" hidden="1" customHeight="1" x14ac:dyDescent="0.2">
      <c r="A948" s="31">
        <v>951</v>
      </c>
      <c r="B948" s="31">
        <v>91</v>
      </c>
      <c r="C948" s="31">
        <v>10</v>
      </c>
      <c r="D948" s="31" t="s">
        <v>129</v>
      </c>
      <c r="E948" s="31" t="str">
        <f t="shared" si="14"/>
        <v>1010HC03PT</v>
      </c>
      <c r="F948" s="31" t="str">
        <f>VLOOKUP(B948,[1]Course!$A$2:$R$329,2,FALSE)</f>
        <v>History of Civilisation I</v>
      </c>
      <c r="G948" s="31">
        <f>VLOOKUP(B948, [1]Course!$A$2:$L$950, 8, FALSE)</f>
        <v>10</v>
      </c>
      <c r="H948" s="31">
        <v>3</v>
      </c>
      <c r="I948" s="31">
        <v>1</v>
      </c>
      <c r="K948" s="31" t="s">
        <v>1548</v>
      </c>
      <c r="L948" s="31" t="str">
        <f>VLOOKUP(B948, [1]Course!$A$1:$O$933, 14, FALSE)</f>
        <v>HC</v>
      </c>
      <c r="M948" s="31">
        <v>2</v>
      </c>
    </row>
    <row r="949" spans="1:14" ht="15.75" hidden="1" customHeight="1" x14ac:dyDescent="0.2">
      <c r="A949" s="31">
        <v>952</v>
      </c>
      <c r="B949" s="31">
        <v>92</v>
      </c>
      <c r="C949" s="32">
        <v>7</v>
      </c>
      <c r="D949" s="32" t="s">
        <v>1554</v>
      </c>
      <c r="E949" s="32" t="str">
        <f t="shared" si="14"/>
        <v>407APv203PT</v>
      </c>
      <c r="F949" s="31">
        <f>VLOOKUP(B949,[1]Course!$A$2:$R$329,2,FALSE)</f>
        <v>0</v>
      </c>
      <c r="G949" s="31">
        <f>VLOOKUP(B949, [1]Course!$A$2:$L$950, 8, FALSE)</f>
        <v>4</v>
      </c>
      <c r="H949" s="31">
        <v>3</v>
      </c>
      <c r="I949" s="31">
        <v>1</v>
      </c>
      <c r="J949" s="31">
        <v>2022</v>
      </c>
      <c r="K949" s="31" t="s">
        <v>1548</v>
      </c>
      <c r="L949" s="31" t="str">
        <f>VLOOKUP(B949, [1]Course!$A$1:$O$933, 14, FALSE)</f>
        <v>AP</v>
      </c>
      <c r="M949" s="31">
        <v>1</v>
      </c>
    </row>
    <row r="950" spans="1:14" ht="15.75" hidden="1" customHeight="1" x14ac:dyDescent="0.2">
      <c r="A950" s="31">
        <v>953</v>
      </c>
      <c r="B950" s="31">
        <v>92</v>
      </c>
      <c r="C950" s="32">
        <v>8</v>
      </c>
      <c r="D950" s="32" t="s">
        <v>1554</v>
      </c>
      <c r="E950" s="32" t="str">
        <f t="shared" si="14"/>
        <v>408APv203PT</v>
      </c>
      <c r="F950" s="31">
        <f>VLOOKUP(B950,[1]Course!$A$2:$R$329,2,FALSE)</f>
        <v>0</v>
      </c>
      <c r="G950" s="31">
        <f>VLOOKUP(B950, [1]Course!$A$2:$L$950, 8, FALSE)</f>
        <v>4</v>
      </c>
      <c r="H950" s="31">
        <v>3</v>
      </c>
      <c r="I950" s="31">
        <v>1</v>
      </c>
      <c r="J950" s="31">
        <v>2022</v>
      </c>
      <c r="K950" s="31" t="s">
        <v>1548</v>
      </c>
      <c r="L950" s="31" t="str">
        <f>VLOOKUP(B950, [1]Course!$A$1:$O$933, 14, FALSE)</f>
        <v>AP</v>
      </c>
      <c r="M950" s="31">
        <v>2</v>
      </c>
    </row>
    <row r="951" spans="1:14" ht="15.75" hidden="1" customHeight="1" x14ac:dyDescent="0.2">
      <c r="A951" s="31">
        <v>954</v>
      </c>
      <c r="B951" s="31">
        <v>93</v>
      </c>
      <c r="C951" s="31">
        <v>1</v>
      </c>
      <c r="D951" s="31" t="s">
        <v>122</v>
      </c>
      <c r="E951" s="31" t="str">
        <f t="shared" si="14"/>
        <v>501CC03PT</v>
      </c>
      <c r="F951" s="31">
        <f>VLOOKUP(B951,[1]Course!$A$2:$R$329,2,FALSE)</f>
        <v>0</v>
      </c>
      <c r="G951" s="31">
        <f>VLOOKUP(B951, [1]Course!$A$2:$L$950, 8, FALSE)</f>
        <v>5</v>
      </c>
      <c r="H951" s="31">
        <v>3</v>
      </c>
      <c r="I951" s="31">
        <v>1</v>
      </c>
      <c r="K951" s="31" t="s">
        <v>1548</v>
      </c>
      <c r="L951" s="31" t="str">
        <f>VLOOKUP(B951, [1]Course!$A$1:$O$933, 14, FALSE)</f>
        <v>CC</v>
      </c>
      <c r="M951" s="31">
        <v>1</v>
      </c>
    </row>
    <row r="952" spans="1:14" ht="15.75" hidden="1" customHeight="1" x14ac:dyDescent="0.2">
      <c r="A952" s="31">
        <v>955</v>
      </c>
      <c r="B952" s="31">
        <v>93</v>
      </c>
      <c r="C952" s="31">
        <v>2</v>
      </c>
      <c r="D952" s="31" t="s">
        <v>122</v>
      </c>
      <c r="E952" s="31" t="str">
        <f t="shared" si="14"/>
        <v>502CC03PT</v>
      </c>
      <c r="F952" s="31">
        <f>VLOOKUP(B952,[1]Course!$A$2:$R$329,2,FALSE)</f>
        <v>0</v>
      </c>
      <c r="G952" s="31">
        <f>VLOOKUP(B952, [1]Course!$A$2:$L$950, 8, FALSE)</f>
        <v>5</v>
      </c>
      <c r="H952" s="31">
        <v>3</v>
      </c>
      <c r="I952" s="31">
        <v>1</v>
      </c>
      <c r="K952" s="31" t="s">
        <v>1548</v>
      </c>
      <c r="L952" s="31" t="str">
        <f>VLOOKUP(B952, [1]Course!$A$1:$O$933, 14, FALSE)</f>
        <v>CC</v>
      </c>
      <c r="M952" s="31">
        <v>1</v>
      </c>
    </row>
    <row r="953" spans="1:14" ht="15.75" hidden="1" customHeight="1" x14ac:dyDescent="0.2">
      <c r="A953" s="31">
        <v>956</v>
      </c>
      <c r="B953" s="31">
        <v>93</v>
      </c>
      <c r="C953" s="31">
        <v>3</v>
      </c>
      <c r="D953" s="31" t="s">
        <v>122</v>
      </c>
      <c r="E953" s="31" t="str">
        <f t="shared" si="14"/>
        <v>503CC03PT</v>
      </c>
      <c r="F953" s="31">
        <f>VLOOKUP(B953,[1]Course!$A$2:$R$329,2,FALSE)</f>
        <v>0</v>
      </c>
      <c r="G953" s="31">
        <f>VLOOKUP(B953, [1]Course!$A$2:$L$950, 8, FALSE)</f>
        <v>5</v>
      </c>
      <c r="H953" s="31">
        <v>3</v>
      </c>
      <c r="I953" s="31">
        <v>1</v>
      </c>
      <c r="K953" s="31" t="s">
        <v>1548</v>
      </c>
      <c r="L953" s="31" t="str">
        <f>VLOOKUP(B953, [1]Course!$A$1:$O$933, 14, FALSE)</f>
        <v>CC</v>
      </c>
      <c r="M953" s="31">
        <v>1</v>
      </c>
    </row>
    <row r="954" spans="1:14" ht="15.75" hidden="1" customHeight="1" x14ac:dyDescent="0.2">
      <c r="A954" s="31">
        <v>957</v>
      </c>
      <c r="B954" s="31">
        <v>93</v>
      </c>
      <c r="C954" s="31">
        <v>4</v>
      </c>
      <c r="D954" s="31" t="s">
        <v>122</v>
      </c>
      <c r="E954" s="31" t="str">
        <f t="shared" si="14"/>
        <v>504CC03PT</v>
      </c>
      <c r="F954" s="31">
        <f>VLOOKUP(B954,[1]Course!$A$2:$R$329,2,FALSE)</f>
        <v>0</v>
      </c>
      <c r="G954" s="31">
        <f>VLOOKUP(B954, [1]Course!$A$2:$L$950, 8, FALSE)</f>
        <v>5</v>
      </c>
      <c r="H954" s="31">
        <v>3</v>
      </c>
      <c r="I954" s="31">
        <v>1</v>
      </c>
      <c r="K954" s="31" t="s">
        <v>1548</v>
      </c>
      <c r="L954" s="31" t="str">
        <f>VLOOKUP(B954, [1]Course!$A$1:$O$933, 14, FALSE)</f>
        <v>CC</v>
      </c>
      <c r="M954" s="31">
        <v>1</v>
      </c>
    </row>
    <row r="955" spans="1:14" ht="15.75" hidden="1" customHeight="1" x14ac:dyDescent="0.2">
      <c r="A955" s="31">
        <v>958</v>
      </c>
      <c r="B955" s="31">
        <v>93</v>
      </c>
      <c r="C955" s="31">
        <v>5</v>
      </c>
      <c r="D955" s="31" t="s">
        <v>122</v>
      </c>
      <c r="E955" s="31" t="str">
        <f t="shared" si="14"/>
        <v>505CC03PT</v>
      </c>
      <c r="F955" s="31">
        <f>VLOOKUP(B955,[1]Course!$A$2:$R$329,2,FALSE)</f>
        <v>0</v>
      </c>
      <c r="G955" s="31">
        <f>VLOOKUP(B955, [1]Course!$A$2:$L$950, 8, FALSE)</f>
        <v>5</v>
      </c>
      <c r="H955" s="31">
        <v>3</v>
      </c>
      <c r="I955" s="31">
        <v>1</v>
      </c>
      <c r="K955" s="31" t="s">
        <v>1548</v>
      </c>
      <c r="L955" s="31" t="str">
        <f>VLOOKUP(B955, [1]Course!$A$1:$O$933, 14, FALSE)</f>
        <v>CC</v>
      </c>
      <c r="M955" s="32">
        <v>2</v>
      </c>
      <c r="N955" s="31" t="s">
        <v>1560</v>
      </c>
    </row>
    <row r="956" spans="1:14" ht="15.75" hidden="1" customHeight="1" x14ac:dyDescent="0.2">
      <c r="A956" s="31">
        <v>965</v>
      </c>
      <c r="B956" s="31">
        <v>95</v>
      </c>
      <c r="C956" s="31">
        <v>109</v>
      </c>
      <c r="D956" s="31" t="s">
        <v>194</v>
      </c>
      <c r="E956" s="31" t="str">
        <f t="shared" si="14"/>
        <v>1209OT03PT</v>
      </c>
      <c r="F956" s="31" t="str">
        <f>VLOOKUP(B956,[1]Course!$A$2:$R$329,2,FALSE)</f>
        <v>Biblical Studies II</v>
      </c>
      <c r="G956" s="31">
        <f>VLOOKUP(B956, [1]Course!$A$2:$L$950, 8, FALSE)</f>
        <v>12</v>
      </c>
      <c r="H956" s="31">
        <v>3</v>
      </c>
      <c r="I956" s="31">
        <v>1</v>
      </c>
      <c r="K956" s="31" t="s">
        <v>1548</v>
      </c>
      <c r="L956" s="31" t="str">
        <f>VLOOKUP(B956, [1]Course!$A$1:$O$933, 14, FALSE)</f>
        <v>OT</v>
      </c>
      <c r="M956" s="31">
        <v>1</v>
      </c>
    </row>
    <row r="957" spans="1:14" ht="15.75" hidden="1" customHeight="1" x14ac:dyDescent="0.2">
      <c r="A957" s="31">
        <v>966</v>
      </c>
      <c r="B957" s="31">
        <v>95</v>
      </c>
      <c r="C957" s="31">
        <v>110</v>
      </c>
      <c r="D957" s="31" t="s">
        <v>194</v>
      </c>
      <c r="E957" s="31" t="str">
        <f t="shared" si="14"/>
        <v>1210OT03PT</v>
      </c>
      <c r="F957" s="31" t="str">
        <f>VLOOKUP(B957,[1]Course!$A$2:$R$329,2,FALSE)</f>
        <v>Biblical Studies II</v>
      </c>
      <c r="G957" s="31">
        <f>VLOOKUP(B957, [1]Course!$A$2:$L$950, 8, FALSE)</f>
        <v>12</v>
      </c>
      <c r="H957" s="31">
        <v>3</v>
      </c>
      <c r="I957" s="31">
        <v>1</v>
      </c>
      <c r="K957" s="31" t="s">
        <v>1548</v>
      </c>
      <c r="L957" s="31" t="str">
        <f>VLOOKUP(B957, [1]Course!$A$1:$O$933, 14, FALSE)</f>
        <v>OT</v>
      </c>
      <c r="M957" s="31">
        <v>1</v>
      </c>
    </row>
    <row r="958" spans="1:14" ht="15.75" hidden="1" customHeight="1" x14ac:dyDescent="0.2">
      <c r="A958" s="31">
        <v>967</v>
      </c>
      <c r="B958" s="31">
        <v>95</v>
      </c>
      <c r="C958" s="31">
        <v>111</v>
      </c>
      <c r="D958" s="31" t="s">
        <v>194</v>
      </c>
      <c r="E958" s="31" t="str">
        <f t="shared" si="14"/>
        <v>1211OT03PT</v>
      </c>
      <c r="F958" s="31" t="str">
        <f>VLOOKUP(B958,[1]Course!$A$2:$R$329,2,FALSE)</f>
        <v>Biblical Studies II</v>
      </c>
      <c r="G958" s="31">
        <f>VLOOKUP(B958, [1]Course!$A$2:$L$950, 8, FALSE)</f>
        <v>12</v>
      </c>
      <c r="H958" s="31">
        <v>3</v>
      </c>
      <c r="I958" s="31">
        <v>1</v>
      </c>
      <c r="K958" s="31" t="s">
        <v>1548</v>
      </c>
      <c r="L958" s="31" t="str">
        <f>VLOOKUP(B958, [1]Course!$A$1:$O$933, 14, FALSE)</f>
        <v>OT</v>
      </c>
      <c r="M958" s="31">
        <v>1</v>
      </c>
    </row>
    <row r="959" spans="1:14" ht="15.75" hidden="1" customHeight="1" x14ac:dyDescent="0.2">
      <c r="A959" s="31">
        <v>968</v>
      </c>
      <c r="B959" s="31">
        <v>95</v>
      </c>
      <c r="C959" s="31">
        <v>112</v>
      </c>
      <c r="D959" s="31" t="s">
        <v>194</v>
      </c>
      <c r="E959" s="31" t="str">
        <f t="shared" si="14"/>
        <v>1212OT03PT</v>
      </c>
      <c r="F959" s="31" t="str">
        <f>VLOOKUP(B959,[1]Course!$A$2:$R$329,2,FALSE)</f>
        <v>Biblical Studies II</v>
      </c>
      <c r="G959" s="31">
        <f>VLOOKUP(B959, [1]Course!$A$2:$L$950, 8, FALSE)</f>
        <v>12</v>
      </c>
      <c r="H959" s="31">
        <v>3</v>
      </c>
      <c r="I959" s="31">
        <v>1</v>
      </c>
      <c r="K959" s="31" t="s">
        <v>1548</v>
      </c>
      <c r="L959" s="31" t="str">
        <f>VLOOKUP(B959, [1]Course!$A$1:$O$933, 14, FALSE)</f>
        <v>OT</v>
      </c>
      <c r="M959" s="31">
        <v>1</v>
      </c>
    </row>
    <row r="960" spans="1:14" ht="15.75" hidden="1" customHeight="1" x14ac:dyDescent="0.2">
      <c r="A960" s="31">
        <v>969</v>
      </c>
      <c r="B960" s="31">
        <v>95</v>
      </c>
      <c r="C960" s="31">
        <v>113</v>
      </c>
      <c r="D960" s="31" t="s">
        <v>194</v>
      </c>
      <c r="E960" s="31" t="str">
        <f t="shared" si="14"/>
        <v>1213OT03PT</v>
      </c>
      <c r="F960" s="31" t="str">
        <f>VLOOKUP(B960,[1]Course!$A$2:$R$329,2,FALSE)</f>
        <v>Biblical Studies II</v>
      </c>
      <c r="G960" s="31">
        <f>VLOOKUP(B960, [1]Course!$A$2:$L$950, 8, FALSE)</f>
        <v>12</v>
      </c>
      <c r="H960" s="31">
        <v>3</v>
      </c>
      <c r="I960" s="31">
        <v>1</v>
      </c>
      <c r="K960" s="31" t="s">
        <v>1548</v>
      </c>
      <c r="L960" s="31" t="str">
        <f>VLOOKUP(B960, [1]Course!$A$1:$O$933, 14, FALSE)</f>
        <v>OT</v>
      </c>
      <c r="M960" s="31">
        <v>1</v>
      </c>
    </row>
    <row r="961" spans="1:13" ht="15.75" hidden="1" customHeight="1" x14ac:dyDescent="0.2">
      <c r="A961" s="31">
        <v>970</v>
      </c>
      <c r="B961" s="31">
        <v>95</v>
      </c>
      <c r="C961" s="31">
        <v>114</v>
      </c>
      <c r="D961" s="31" t="s">
        <v>194</v>
      </c>
      <c r="E961" s="31" t="str">
        <f t="shared" si="14"/>
        <v>1214OT03PT</v>
      </c>
      <c r="F961" s="31" t="str">
        <f>VLOOKUP(B961,[1]Course!$A$2:$R$329,2,FALSE)</f>
        <v>Biblical Studies II</v>
      </c>
      <c r="G961" s="31">
        <f>VLOOKUP(B961, [1]Course!$A$2:$L$950, 8, FALSE)</f>
        <v>12</v>
      </c>
      <c r="H961" s="31">
        <v>3</v>
      </c>
      <c r="I961" s="31">
        <v>1</v>
      </c>
      <c r="K961" s="31" t="s">
        <v>1548</v>
      </c>
      <c r="L961" s="31" t="str">
        <f>VLOOKUP(B961, [1]Course!$A$1:$O$933, 14, FALSE)</f>
        <v>OT</v>
      </c>
      <c r="M961" s="31">
        <v>1</v>
      </c>
    </row>
    <row r="962" spans="1:13" ht="15.75" hidden="1" customHeight="1" x14ac:dyDescent="0.2">
      <c r="A962" s="31">
        <v>971</v>
      </c>
      <c r="B962" s="31">
        <v>95</v>
      </c>
      <c r="C962" s="31">
        <v>115</v>
      </c>
      <c r="D962" s="31" t="s">
        <v>194</v>
      </c>
      <c r="E962" s="31" t="str">
        <f t="shared" si="14"/>
        <v>1215OT03PT</v>
      </c>
      <c r="F962" s="31" t="str">
        <f>VLOOKUP(B962,[1]Course!$A$2:$R$329,2,FALSE)</f>
        <v>Biblical Studies II</v>
      </c>
      <c r="G962" s="31">
        <f>VLOOKUP(B962, [1]Course!$A$2:$L$950, 8, FALSE)</f>
        <v>12</v>
      </c>
      <c r="H962" s="31">
        <v>3</v>
      </c>
      <c r="I962" s="31">
        <v>1</v>
      </c>
      <c r="K962" s="31" t="s">
        <v>1548</v>
      </c>
      <c r="L962" s="31" t="str">
        <f>VLOOKUP(B962, [1]Course!$A$1:$O$933, 14, FALSE)</f>
        <v>OT</v>
      </c>
      <c r="M962" s="31">
        <v>1</v>
      </c>
    </row>
    <row r="963" spans="1:13" ht="15.75" hidden="1" customHeight="1" x14ac:dyDescent="0.2">
      <c r="A963" s="31">
        <v>972</v>
      </c>
      <c r="B963" s="31">
        <v>95</v>
      </c>
      <c r="C963" s="31">
        <v>116</v>
      </c>
      <c r="D963" s="31" t="s">
        <v>194</v>
      </c>
      <c r="E963" s="31" t="str">
        <f t="shared" ref="E963:E1026" si="15">UPPER(LEFT(G963,2)) &amp; RIGHT("0" &amp; C963, 2) &amp; D963 &amp; RIGHT("0" &amp; H963, 2) &amp; K963</f>
        <v>1216OT03PT</v>
      </c>
      <c r="F963" s="31" t="str">
        <f>VLOOKUP(B963,[1]Course!$A$2:$R$329,2,FALSE)</f>
        <v>Biblical Studies II</v>
      </c>
      <c r="G963" s="31">
        <f>VLOOKUP(B963, [1]Course!$A$2:$L$950, 8, FALSE)</f>
        <v>12</v>
      </c>
      <c r="H963" s="31">
        <v>3</v>
      </c>
      <c r="I963" s="31">
        <v>1</v>
      </c>
      <c r="K963" s="31" t="s">
        <v>1548</v>
      </c>
      <c r="L963" s="31" t="str">
        <f>VLOOKUP(B963, [1]Course!$A$1:$O$933, 14, FALSE)</f>
        <v>OT</v>
      </c>
      <c r="M963" s="31">
        <v>1</v>
      </c>
    </row>
    <row r="964" spans="1:13" ht="15.75" hidden="1" customHeight="1" x14ac:dyDescent="0.2">
      <c r="A964" s="31">
        <v>973</v>
      </c>
      <c r="B964" s="31">
        <v>95</v>
      </c>
      <c r="C964" s="31">
        <v>117</v>
      </c>
      <c r="D964" s="31" t="s">
        <v>194</v>
      </c>
      <c r="E964" s="31" t="str">
        <f t="shared" si="15"/>
        <v>1217OT03PT</v>
      </c>
      <c r="F964" s="31" t="str">
        <f>VLOOKUP(B964,[1]Course!$A$2:$R$329,2,FALSE)</f>
        <v>Biblical Studies II</v>
      </c>
      <c r="G964" s="31">
        <f>VLOOKUP(B964, [1]Course!$A$2:$L$950, 8, FALSE)</f>
        <v>12</v>
      </c>
      <c r="H964" s="31">
        <v>3</v>
      </c>
      <c r="I964" s="31">
        <v>1</v>
      </c>
      <c r="K964" s="31" t="s">
        <v>1548</v>
      </c>
      <c r="L964" s="31" t="str">
        <f>VLOOKUP(B964, [1]Course!$A$1:$O$933, 14, FALSE)</f>
        <v>OT</v>
      </c>
      <c r="M964" s="31">
        <v>1</v>
      </c>
    </row>
    <row r="965" spans="1:13" ht="15.75" hidden="1" customHeight="1" x14ac:dyDescent="0.2">
      <c r="A965" s="31">
        <v>974</v>
      </c>
      <c r="B965" s="31">
        <v>95</v>
      </c>
      <c r="C965" s="31">
        <v>118</v>
      </c>
      <c r="D965" s="31" t="s">
        <v>194</v>
      </c>
      <c r="E965" s="31" t="str">
        <f t="shared" si="15"/>
        <v>1218OT03PT</v>
      </c>
      <c r="F965" s="31" t="str">
        <f>VLOOKUP(B965,[1]Course!$A$2:$R$329,2,FALSE)</f>
        <v>Biblical Studies II</v>
      </c>
      <c r="G965" s="31">
        <f>VLOOKUP(B965, [1]Course!$A$2:$L$950, 8, FALSE)</f>
        <v>12</v>
      </c>
      <c r="H965" s="31">
        <v>3</v>
      </c>
      <c r="I965" s="31">
        <v>1</v>
      </c>
      <c r="K965" s="31" t="s">
        <v>1548</v>
      </c>
      <c r="L965" s="31" t="str">
        <f>VLOOKUP(B965, [1]Course!$A$1:$O$933, 14, FALSE)</f>
        <v>OT</v>
      </c>
      <c r="M965" s="31">
        <v>1</v>
      </c>
    </row>
    <row r="966" spans="1:13" ht="15.75" hidden="1" customHeight="1" x14ac:dyDescent="0.2">
      <c r="A966" s="31">
        <v>975</v>
      </c>
      <c r="B966" s="31">
        <v>95</v>
      </c>
      <c r="C966" s="31">
        <v>119</v>
      </c>
      <c r="D966" s="31" t="s">
        <v>194</v>
      </c>
      <c r="E966" s="31" t="str">
        <f t="shared" si="15"/>
        <v>1219OT03PT</v>
      </c>
      <c r="F966" s="31" t="str">
        <f>VLOOKUP(B966,[1]Course!$A$2:$R$329,2,FALSE)</f>
        <v>Biblical Studies II</v>
      </c>
      <c r="G966" s="31">
        <f>VLOOKUP(B966, [1]Course!$A$2:$L$950, 8, FALSE)</f>
        <v>12</v>
      </c>
      <c r="H966" s="31">
        <v>3</v>
      </c>
      <c r="I966" s="31">
        <v>1</v>
      </c>
      <c r="K966" s="31" t="s">
        <v>1548</v>
      </c>
      <c r="L966" s="31" t="str">
        <f>VLOOKUP(B966, [1]Course!$A$1:$O$933, 14, FALSE)</f>
        <v>OT</v>
      </c>
      <c r="M966" s="31">
        <v>1</v>
      </c>
    </row>
    <row r="967" spans="1:13" ht="15.75" hidden="1" customHeight="1" x14ac:dyDescent="0.2">
      <c r="A967" s="31">
        <v>976</v>
      </c>
      <c r="B967" s="31">
        <v>95</v>
      </c>
      <c r="C967" s="31">
        <v>120</v>
      </c>
      <c r="D967" s="31" t="s">
        <v>194</v>
      </c>
      <c r="E967" s="31" t="str">
        <f t="shared" si="15"/>
        <v>1220OT03PT</v>
      </c>
      <c r="F967" s="31" t="str">
        <f>VLOOKUP(B967,[1]Course!$A$2:$R$329,2,FALSE)</f>
        <v>Biblical Studies II</v>
      </c>
      <c r="G967" s="31">
        <f>VLOOKUP(B967, [1]Course!$A$2:$L$950, 8, FALSE)</f>
        <v>12</v>
      </c>
      <c r="H967" s="31">
        <v>3</v>
      </c>
      <c r="I967" s="31">
        <v>1</v>
      </c>
      <c r="K967" s="31" t="s">
        <v>1548</v>
      </c>
      <c r="L967" s="31" t="str">
        <f>VLOOKUP(B967, [1]Course!$A$1:$O$933, 14, FALSE)</f>
        <v>OT</v>
      </c>
      <c r="M967" s="31">
        <v>1</v>
      </c>
    </row>
    <row r="968" spans="1:13" ht="15.75" hidden="1" customHeight="1" x14ac:dyDescent="0.2">
      <c r="A968" s="31">
        <v>977</v>
      </c>
      <c r="B968" s="31">
        <v>96</v>
      </c>
      <c r="C968" s="31">
        <v>109</v>
      </c>
      <c r="D968" s="31" t="s">
        <v>192</v>
      </c>
      <c r="E968" s="31" t="str">
        <f t="shared" si="15"/>
        <v>609AM03PT</v>
      </c>
      <c r="F968" s="31">
        <f>VLOOKUP(B968,[1]Course!$A$2:$R$329,2,FALSE)</f>
        <v>0</v>
      </c>
      <c r="G968" s="31">
        <f>VLOOKUP(B968, [1]Course!$A$2:$L$950, 8, FALSE)</f>
        <v>6</v>
      </c>
      <c r="H968" s="31">
        <v>3</v>
      </c>
      <c r="I968" s="31">
        <v>1</v>
      </c>
      <c r="K968" s="31" t="s">
        <v>1548</v>
      </c>
      <c r="L968" s="31" t="str">
        <f>VLOOKUP(B968, [1]Course!$A$1:$O$933, 14, FALSE)</f>
        <v>AM</v>
      </c>
      <c r="M968" s="31">
        <v>1</v>
      </c>
    </row>
    <row r="969" spans="1:13" ht="15.75" hidden="1" customHeight="1" x14ac:dyDescent="0.2">
      <c r="A969" s="31">
        <v>978</v>
      </c>
      <c r="B969" s="31">
        <v>96</v>
      </c>
      <c r="C969" s="31">
        <v>110</v>
      </c>
      <c r="D969" s="31" t="s">
        <v>192</v>
      </c>
      <c r="E969" s="31" t="str">
        <f t="shared" si="15"/>
        <v>610AM03PT</v>
      </c>
      <c r="F969" s="31">
        <f>VLOOKUP(B969,[1]Course!$A$2:$R$329,2,FALSE)</f>
        <v>0</v>
      </c>
      <c r="G969" s="31">
        <f>VLOOKUP(B969, [1]Course!$A$2:$L$950, 8, FALSE)</f>
        <v>6</v>
      </c>
      <c r="H969" s="31">
        <v>3</v>
      </c>
      <c r="I969" s="31">
        <v>1</v>
      </c>
      <c r="K969" s="31" t="s">
        <v>1548</v>
      </c>
      <c r="L969" s="31" t="str">
        <f>VLOOKUP(B969, [1]Course!$A$1:$O$933, 14, FALSE)</f>
        <v>AM</v>
      </c>
      <c r="M969" s="31">
        <v>1</v>
      </c>
    </row>
    <row r="970" spans="1:13" ht="15.75" hidden="1" customHeight="1" x14ac:dyDescent="0.2">
      <c r="A970" s="31">
        <v>979</v>
      </c>
      <c r="B970" s="31">
        <v>96</v>
      </c>
      <c r="C970" s="31">
        <v>111</v>
      </c>
      <c r="D970" s="31" t="s">
        <v>192</v>
      </c>
      <c r="E970" s="31" t="str">
        <f t="shared" si="15"/>
        <v>611AM03PT</v>
      </c>
      <c r="F970" s="31">
        <f>VLOOKUP(B970,[1]Course!$A$2:$R$329,2,FALSE)</f>
        <v>0</v>
      </c>
      <c r="G970" s="31">
        <f>VLOOKUP(B970, [1]Course!$A$2:$L$950, 8, FALSE)</f>
        <v>6</v>
      </c>
      <c r="H970" s="31">
        <v>3</v>
      </c>
      <c r="I970" s="31">
        <v>1</v>
      </c>
      <c r="K970" s="31" t="s">
        <v>1548</v>
      </c>
      <c r="L970" s="31" t="str">
        <f>VLOOKUP(B970, [1]Course!$A$1:$O$933, 14, FALSE)</f>
        <v>AM</v>
      </c>
      <c r="M970" s="31">
        <v>1</v>
      </c>
    </row>
    <row r="971" spans="1:13" ht="15.75" hidden="1" customHeight="1" x14ac:dyDescent="0.2">
      <c r="A971" s="31">
        <v>980</v>
      </c>
      <c r="B971" s="31">
        <v>96</v>
      </c>
      <c r="C971" s="31">
        <v>112</v>
      </c>
      <c r="D971" s="31" t="s">
        <v>192</v>
      </c>
      <c r="E971" s="31" t="str">
        <f t="shared" si="15"/>
        <v>612AM03PT</v>
      </c>
      <c r="F971" s="31">
        <f>VLOOKUP(B971,[1]Course!$A$2:$R$329,2,FALSE)</f>
        <v>0</v>
      </c>
      <c r="G971" s="31">
        <f>VLOOKUP(B971, [1]Course!$A$2:$L$950, 8, FALSE)</f>
        <v>6</v>
      </c>
      <c r="H971" s="31">
        <v>3</v>
      </c>
      <c r="I971" s="31">
        <v>1</v>
      </c>
      <c r="K971" s="31" t="s">
        <v>1548</v>
      </c>
      <c r="L971" s="31" t="str">
        <f>VLOOKUP(B971, [1]Course!$A$1:$O$933, 14, FALSE)</f>
        <v>AM</v>
      </c>
      <c r="M971" s="31">
        <v>1</v>
      </c>
    </row>
    <row r="972" spans="1:13" ht="15.75" hidden="1" customHeight="1" x14ac:dyDescent="0.2">
      <c r="A972" s="31">
        <v>981</v>
      </c>
      <c r="B972" s="31">
        <v>96</v>
      </c>
      <c r="C972" s="31">
        <v>113</v>
      </c>
      <c r="D972" s="31" t="s">
        <v>192</v>
      </c>
      <c r="E972" s="31" t="str">
        <f t="shared" si="15"/>
        <v>613AM03PT</v>
      </c>
      <c r="F972" s="31">
        <f>VLOOKUP(B972,[1]Course!$A$2:$R$329,2,FALSE)</f>
        <v>0</v>
      </c>
      <c r="G972" s="31">
        <f>VLOOKUP(B972, [1]Course!$A$2:$L$950, 8, FALSE)</f>
        <v>6</v>
      </c>
      <c r="H972" s="31">
        <v>3</v>
      </c>
      <c r="I972" s="31">
        <v>1</v>
      </c>
      <c r="K972" s="31" t="s">
        <v>1548</v>
      </c>
      <c r="L972" s="31" t="str">
        <f>VLOOKUP(B972, [1]Course!$A$1:$O$933, 14, FALSE)</f>
        <v>AM</v>
      </c>
      <c r="M972" s="31">
        <v>1</v>
      </c>
    </row>
    <row r="973" spans="1:13" ht="15.75" hidden="1" customHeight="1" x14ac:dyDescent="0.2">
      <c r="A973" s="31">
        <v>982</v>
      </c>
      <c r="B973" s="31">
        <v>96</v>
      </c>
      <c r="C973" s="31">
        <v>114</v>
      </c>
      <c r="D973" s="31" t="s">
        <v>192</v>
      </c>
      <c r="E973" s="31" t="str">
        <f t="shared" si="15"/>
        <v>614AM03PT</v>
      </c>
      <c r="F973" s="31">
        <f>VLOOKUP(B973,[1]Course!$A$2:$R$329,2,FALSE)</f>
        <v>0</v>
      </c>
      <c r="G973" s="31">
        <f>VLOOKUP(B973, [1]Course!$A$2:$L$950, 8, FALSE)</f>
        <v>6</v>
      </c>
      <c r="H973" s="31">
        <v>3</v>
      </c>
      <c r="I973" s="31">
        <v>1</v>
      </c>
      <c r="K973" s="31" t="s">
        <v>1548</v>
      </c>
      <c r="L973" s="31" t="str">
        <f>VLOOKUP(B973, [1]Course!$A$1:$O$933, 14, FALSE)</f>
        <v>AM</v>
      </c>
      <c r="M973" s="31">
        <v>1</v>
      </c>
    </row>
    <row r="974" spans="1:13" ht="15.75" hidden="1" customHeight="1" x14ac:dyDescent="0.2">
      <c r="A974" s="31">
        <v>983</v>
      </c>
      <c r="B974" s="31">
        <v>98</v>
      </c>
      <c r="C974" s="31">
        <v>121</v>
      </c>
      <c r="D974" s="31" t="s">
        <v>188</v>
      </c>
      <c r="E974" s="31" t="str">
        <f t="shared" si="15"/>
        <v>1221AL03PT</v>
      </c>
      <c r="F974" s="31">
        <f>VLOOKUP(B974,[1]Course!$A$2:$R$329,2,FALSE)</f>
        <v>0</v>
      </c>
      <c r="G974" s="31">
        <f>VLOOKUP(B974, [1]Course!$A$2:$L$950, 8, FALSE)</f>
        <v>12</v>
      </c>
      <c r="H974" s="31">
        <v>3</v>
      </c>
      <c r="I974" s="31">
        <v>1</v>
      </c>
      <c r="K974" s="31" t="s">
        <v>1548</v>
      </c>
      <c r="L974" s="31" t="str">
        <f>VLOOKUP(B974, [1]Course!$A$1:$O$933, 14, FALSE)</f>
        <v>AL</v>
      </c>
      <c r="M974" s="31">
        <v>1</v>
      </c>
    </row>
    <row r="975" spans="1:13" ht="15.75" hidden="1" customHeight="1" x14ac:dyDescent="0.2">
      <c r="A975" s="31">
        <v>984</v>
      </c>
      <c r="B975" s="31">
        <v>98</v>
      </c>
      <c r="C975" s="31">
        <v>122</v>
      </c>
      <c r="D975" s="31" t="s">
        <v>188</v>
      </c>
      <c r="E975" s="31" t="str">
        <f t="shared" si="15"/>
        <v>1222AL03PT</v>
      </c>
      <c r="F975" s="31">
        <f>VLOOKUP(B975,[1]Course!$A$2:$R$329,2,FALSE)</f>
        <v>0</v>
      </c>
      <c r="G975" s="31">
        <f>VLOOKUP(B975, [1]Course!$A$2:$L$950, 8, FALSE)</f>
        <v>12</v>
      </c>
      <c r="H975" s="31">
        <v>3</v>
      </c>
      <c r="I975" s="31">
        <v>1</v>
      </c>
      <c r="K975" s="31" t="s">
        <v>1548</v>
      </c>
      <c r="L975" s="31" t="str">
        <f>VLOOKUP(B975, [1]Course!$A$1:$O$933, 14, FALSE)</f>
        <v>AL</v>
      </c>
      <c r="M975" s="31">
        <v>1</v>
      </c>
    </row>
    <row r="976" spans="1:13" ht="15.75" hidden="1" customHeight="1" x14ac:dyDescent="0.2">
      <c r="A976" s="31">
        <v>985</v>
      </c>
      <c r="B976" s="31">
        <v>98</v>
      </c>
      <c r="C976" s="31">
        <v>123</v>
      </c>
      <c r="D976" s="31" t="s">
        <v>188</v>
      </c>
      <c r="E976" s="31" t="str">
        <f t="shared" si="15"/>
        <v>1223AL03PT</v>
      </c>
      <c r="F976" s="31">
        <f>VLOOKUP(B976,[1]Course!$A$2:$R$329,2,FALSE)</f>
        <v>0</v>
      </c>
      <c r="G976" s="31">
        <f>VLOOKUP(B976, [1]Course!$A$2:$L$950, 8, FALSE)</f>
        <v>12</v>
      </c>
      <c r="H976" s="31">
        <v>3</v>
      </c>
      <c r="I976" s="31">
        <v>1</v>
      </c>
      <c r="K976" s="31" t="s">
        <v>1548</v>
      </c>
      <c r="L976" s="31" t="str">
        <f>VLOOKUP(B976, [1]Course!$A$1:$O$933, 14, FALSE)</f>
        <v>AL</v>
      </c>
      <c r="M976" s="31">
        <v>1</v>
      </c>
    </row>
    <row r="977" spans="1:13" ht="15.75" hidden="1" customHeight="1" x14ac:dyDescent="0.2">
      <c r="A977" s="31">
        <v>986</v>
      </c>
      <c r="B977" s="31">
        <v>98</v>
      </c>
      <c r="C977" s="31">
        <v>124</v>
      </c>
      <c r="D977" s="31" t="s">
        <v>188</v>
      </c>
      <c r="E977" s="31" t="str">
        <f t="shared" si="15"/>
        <v>1224AL03PT</v>
      </c>
      <c r="F977" s="31">
        <f>VLOOKUP(B977,[1]Course!$A$2:$R$329,2,FALSE)</f>
        <v>0</v>
      </c>
      <c r="G977" s="31">
        <f>VLOOKUP(B977, [1]Course!$A$2:$L$950, 8, FALSE)</f>
        <v>12</v>
      </c>
      <c r="H977" s="31">
        <v>3</v>
      </c>
      <c r="I977" s="31">
        <v>1</v>
      </c>
      <c r="K977" s="31" t="s">
        <v>1548</v>
      </c>
      <c r="L977" s="31" t="str">
        <f>VLOOKUP(B977, [1]Course!$A$1:$O$933, 14, FALSE)</f>
        <v>AL</v>
      </c>
      <c r="M977" s="31">
        <v>1</v>
      </c>
    </row>
    <row r="978" spans="1:13" ht="15.75" hidden="1" customHeight="1" x14ac:dyDescent="0.2">
      <c r="A978" s="31">
        <v>987</v>
      </c>
      <c r="B978" s="31">
        <v>98</v>
      </c>
      <c r="C978" s="31">
        <v>125</v>
      </c>
      <c r="D978" s="31" t="s">
        <v>188</v>
      </c>
      <c r="E978" s="31" t="str">
        <f t="shared" si="15"/>
        <v>1225AL03PT</v>
      </c>
      <c r="F978" s="31">
        <f>VLOOKUP(B978,[1]Course!$A$2:$R$329,2,FALSE)</f>
        <v>0</v>
      </c>
      <c r="G978" s="31">
        <f>VLOOKUP(B978, [1]Course!$A$2:$L$950, 8, FALSE)</f>
        <v>12</v>
      </c>
      <c r="H978" s="31">
        <v>3</v>
      </c>
      <c r="I978" s="31">
        <v>1</v>
      </c>
      <c r="K978" s="31" t="s">
        <v>1548</v>
      </c>
      <c r="L978" s="31" t="str">
        <f>VLOOKUP(B978, [1]Course!$A$1:$O$933, 14, FALSE)</f>
        <v>AL</v>
      </c>
      <c r="M978" s="31">
        <v>1</v>
      </c>
    </row>
    <row r="979" spans="1:13" ht="15.75" hidden="1" customHeight="1" x14ac:dyDescent="0.2">
      <c r="A979" s="31">
        <v>988</v>
      </c>
      <c r="B979" s="31">
        <v>98</v>
      </c>
      <c r="C979" s="31">
        <v>126</v>
      </c>
      <c r="D979" s="31" t="s">
        <v>188</v>
      </c>
      <c r="E979" s="31" t="str">
        <f t="shared" si="15"/>
        <v>1226AL03PT</v>
      </c>
      <c r="F979" s="31">
        <f>VLOOKUP(B979,[1]Course!$A$2:$R$329,2,FALSE)</f>
        <v>0</v>
      </c>
      <c r="G979" s="31">
        <f>VLOOKUP(B979, [1]Course!$A$2:$L$950, 8, FALSE)</f>
        <v>12</v>
      </c>
      <c r="H979" s="31">
        <v>3</v>
      </c>
      <c r="I979" s="31">
        <v>1</v>
      </c>
      <c r="K979" s="31" t="s">
        <v>1548</v>
      </c>
      <c r="L979" s="31" t="str">
        <f>VLOOKUP(B979, [1]Course!$A$1:$O$933, 14, FALSE)</f>
        <v>AL</v>
      </c>
      <c r="M979" s="31">
        <v>1</v>
      </c>
    </row>
    <row r="980" spans="1:13" ht="15.75" hidden="1" customHeight="1" x14ac:dyDescent="0.2">
      <c r="A980" s="31">
        <v>989</v>
      </c>
      <c r="B980" s="31">
        <v>98</v>
      </c>
      <c r="C980" s="31">
        <v>127</v>
      </c>
      <c r="D980" s="31" t="s">
        <v>188</v>
      </c>
      <c r="E980" s="31" t="str">
        <f t="shared" si="15"/>
        <v>1227AL03PT</v>
      </c>
      <c r="F980" s="31">
        <f>VLOOKUP(B980,[1]Course!$A$2:$R$329,2,FALSE)</f>
        <v>0</v>
      </c>
      <c r="G980" s="31">
        <f>VLOOKUP(B980, [1]Course!$A$2:$L$950, 8, FALSE)</f>
        <v>12</v>
      </c>
      <c r="H980" s="31">
        <v>3</v>
      </c>
      <c r="I980" s="31">
        <v>1</v>
      </c>
      <c r="K980" s="31" t="s">
        <v>1548</v>
      </c>
      <c r="L980" s="31" t="str">
        <f>VLOOKUP(B980, [1]Course!$A$1:$O$933, 14, FALSE)</f>
        <v>AL</v>
      </c>
      <c r="M980" s="31">
        <v>1</v>
      </c>
    </row>
    <row r="981" spans="1:13" ht="15.75" hidden="1" customHeight="1" x14ac:dyDescent="0.2">
      <c r="A981" s="31">
        <v>990</v>
      </c>
      <c r="B981" s="31">
        <v>98</v>
      </c>
      <c r="C981" s="31">
        <v>128</v>
      </c>
      <c r="D981" s="31" t="s">
        <v>188</v>
      </c>
      <c r="E981" s="31" t="str">
        <f t="shared" si="15"/>
        <v>1228AL03PT</v>
      </c>
      <c r="F981" s="31">
        <f>VLOOKUP(B981,[1]Course!$A$2:$R$329,2,FALSE)</f>
        <v>0</v>
      </c>
      <c r="G981" s="31">
        <f>VLOOKUP(B981, [1]Course!$A$2:$L$950, 8, FALSE)</f>
        <v>12</v>
      </c>
      <c r="H981" s="31">
        <v>3</v>
      </c>
      <c r="I981" s="31">
        <v>1</v>
      </c>
      <c r="K981" s="31" t="s">
        <v>1548</v>
      </c>
      <c r="L981" s="31" t="str">
        <f>VLOOKUP(B981, [1]Course!$A$1:$O$933, 14, FALSE)</f>
        <v>AL</v>
      </c>
      <c r="M981" s="31">
        <v>1</v>
      </c>
    </row>
    <row r="982" spans="1:13" ht="15.75" hidden="1" customHeight="1" x14ac:dyDescent="0.2">
      <c r="A982" s="31">
        <v>991</v>
      </c>
      <c r="B982" s="31">
        <v>98</v>
      </c>
      <c r="C982" s="31">
        <v>129</v>
      </c>
      <c r="D982" s="31" t="s">
        <v>188</v>
      </c>
      <c r="E982" s="31" t="str">
        <f t="shared" si="15"/>
        <v>1229AL03PT</v>
      </c>
      <c r="F982" s="31">
        <f>VLOOKUP(B982,[1]Course!$A$2:$R$329,2,FALSE)</f>
        <v>0</v>
      </c>
      <c r="G982" s="31">
        <f>VLOOKUP(B982, [1]Course!$A$2:$L$950, 8, FALSE)</f>
        <v>12</v>
      </c>
      <c r="H982" s="31">
        <v>3</v>
      </c>
      <c r="I982" s="31">
        <v>1</v>
      </c>
      <c r="K982" s="31" t="s">
        <v>1548</v>
      </c>
      <c r="L982" s="31" t="str">
        <f>VLOOKUP(B982, [1]Course!$A$1:$O$933, 14, FALSE)</f>
        <v>AL</v>
      </c>
      <c r="M982" s="31">
        <v>1</v>
      </c>
    </row>
    <row r="983" spans="1:13" ht="15.75" hidden="1" customHeight="1" x14ac:dyDescent="0.2">
      <c r="A983" s="31">
        <v>992</v>
      </c>
      <c r="B983" s="31">
        <v>98</v>
      </c>
      <c r="C983" s="31">
        <v>130</v>
      </c>
      <c r="D983" s="31" t="s">
        <v>188</v>
      </c>
      <c r="E983" s="31" t="str">
        <f t="shared" si="15"/>
        <v>1230AL03PT</v>
      </c>
      <c r="F983" s="31">
        <f>VLOOKUP(B983,[1]Course!$A$2:$R$329,2,FALSE)</f>
        <v>0</v>
      </c>
      <c r="G983" s="31">
        <f>VLOOKUP(B983, [1]Course!$A$2:$L$950, 8, FALSE)</f>
        <v>12</v>
      </c>
      <c r="H983" s="31">
        <v>3</v>
      </c>
      <c r="I983" s="31">
        <v>1</v>
      </c>
      <c r="K983" s="31" t="s">
        <v>1548</v>
      </c>
      <c r="L983" s="31" t="str">
        <f>VLOOKUP(B983, [1]Course!$A$1:$O$933, 14, FALSE)</f>
        <v>AL</v>
      </c>
      <c r="M983" s="31">
        <v>1</v>
      </c>
    </row>
    <row r="984" spans="1:13" ht="15.75" hidden="1" customHeight="1" x14ac:dyDescent="0.2">
      <c r="A984" s="31">
        <v>993</v>
      </c>
      <c r="B984" s="31">
        <v>98</v>
      </c>
      <c r="C984" s="31">
        <v>131</v>
      </c>
      <c r="D984" s="31" t="s">
        <v>188</v>
      </c>
      <c r="E984" s="31" t="str">
        <f t="shared" si="15"/>
        <v>1231AL03PT</v>
      </c>
      <c r="F984" s="31">
        <f>VLOOKUP(B984,[1]Course!$A$2:$R$329,2,FALSE)</f>
        <v>0</v>
      </c>
      <c r="G984" s="31">
        <f>VLOOKUP(B984, [1]Course!$A$2:$L$950, 8, FALSE)</f>
        <v>12</v>
      </c>
      <c r="H984" s="31">
        <v>3</v>
      </c>
      <c r="I984" s="31">
        <v>1</v>
      </c>
      <c r="K984" s="31" t="s">
        <v>1548</v>
      </c>
      <c r="L984" s="31" t="str">
        <f>VLOOKUP(B984, [1]Course!$A$1:$O$933, 14, FALSE)</f>
        <v>AL</v>
      </c>
      <c r="M984" s="31">
        <v>1</v>
      </c>
    </row>
    <row r="985" spans="1:13" ht="15.75" hidden="1" customHeight="1" x14ac:dyDescent="0.2">
      <c r="A985" s="31">
        <v>994</v>
      </c>
      <c r="B985" s="31">
        <v>98</v>
      </c>
      <c r="C985" s="31">
        <v>132</v>
      </c>
      <c r="D985" s="31" t="s">
        <v>188</v>
      </c>
      <c r="E985" s="31" t="str">
        <f t="shared" si="15"/>
        <v>1232AL03PT</v>
      </c>
      <c r="F985" s="31">
        <f>VLOOKUP(B985,[1]Course!$A$2:$R$329,2,FALSE)</f>
        <v>0</v>
      </c>
      <c r="G985" s="31">
        <f>VLOOKUP(B985, [1]Course!$A$2:$L$950, 8, FALSE)</f>
        <v>12</v>
      </c>
      <c r="H985" s="31">
        <v>3</v>
      </c>
      <c r="I985" s="31">
        <v>1</v>
      </c>
      <c r="K985" s="31" t="s">
        <v>1548</v>
      </c>
      <c r="L985" s="31" t="str">
        <f>VLOOKUP(B985, [1]Course!$A$1:$O$933, 14, FALSE)</f>
        <v>AL</v>
      </c>
      <c r="M985" s="31">
        <v>1</v>
      </c>
    </row>
    <row r="986" spans="1:13" ht="15.75" hidden="1" customHeight="1" x14ac:dyDescent="0.2">
      <c r="A986" s="31">
        <v>995</v>
      </c>
      <c r="B986" s="31">
        <v>99</v>
      </c>
      <c r="C986" s="31">
        <v>1</v>
      </c>
      <c r="D986" s="31" t="s">
        <v>186</v>
      </c>
      <c r="E986" s="31" t="str">
        <f t="shared" si="15"/>
        <v>501BL03PT</v>
      </c>
      <c r="F986" s="31">
        <f>VLOOKUP(B986,[1]Course!$A$2:$R$329,2,FALSE)</f>
        <v>0</v>
      </c>
      <c r="G986" s="31">
        <f>VLOOKUP(B986, [1]Course!$A$2:$L$950, 8, FALSE)</f>
        <v>5</v>
      </c>
      <c r="H986" s="31">
        <v>3</v>
      </c>
      <c r="I986" s="31">
        <v>1</v>
      </c>
      <c r="K986" s="31" t="s">
        <v>1548</v>
      </c>
      <c r="L986" s="31" t="str">
        <f>VLOOKUP(B986, [1]Course!$A$1:$O$933, 14, FALSE)</f>
        <v>BL</v>
      </c>
      <c r="M986" s="31">
        <v>1</v>
      </c>
    </row>
    <row r="987" spans="1:13" ht="15.75" hidden="1" customHeight="1" x14ac:dyDescent="0.2">
      <c r="A987" s="31">
        <v>996</v>
      </c>
      <c r="B987" s="31">
        <v>99</v>
      </c>
      <c r="C987" s="31">
        <v>2</v>
      </c>
      <c r="D987" s="31" t="s">
        <v>186</v>
      </c>
      <c r="E987" s="31" t="str">
        <f t="shared" si="15"/>
        <v>502BL03PT</v>
      </c>
      <c r="F987" s="31">
        <f>VLOOKUP(B987,[1]Course!$A$2:$R$329,2,FALSE)</f>
        <v>0</v>
      </c>
      <c r="G987" s="31">
        <f>VLOOKUP(B987, [1]Course!$A$2:$L$950, 8, FALSE)</f>
        <v>5</v>
      </c>
      <c r="H987" s="31">
        <v>3</v>
      </c>
      <c r="I987" s="31">
        <v>1</v>
      </c>
      <c r="K987" s="31" t="s">
        <v>1548</v>
      </c>
      <c r="L987" s="31" t="str">
        <f>VLOOKUP(B987, [1]Course!$A$1:$O$933, 14, FALSE)</f>
        <v>BL</v>
      </c>
      <c r="M987" s="31">
        <v>1</v>
      </c>
    </row>
    <row r="988" spans="1:13" ht="15.75" hidden="1" customHeight="1" x14ac:dyDescent="0.2">
      <c r="A988" s="31">
        <v>997</v>
      </c>
      <c r="B988" s="31">
        <v>99</v>
      </c>
      <c r="C988" s="31">
        <v>3</v>
      </c>
      <c r="D988" s="31" t="s">
        <v>186</v>
      </c>
      <c r="E988" s="31" t="str">
        <f t="shared" si="15"/>
        <v>503BL03PT</v>
      </c>
      <c r="F988" s="31">
        <f>VLOOKUP(B988,[1]Course!$A$2:$R$329,2,FALSE)</f>
        <v>0</v>
      </c>
      <c r="G988" s="31">
        <f>VLOOKUP(B988, [1]Course!$A$2:$L$950, 8, FALSE)</f>
        <v>5</v>
      </c>
      <c r="H988" s="31">
        <v>3</v>
      </c>
      <c r="I988" s="31">
        <v>1</v>
      </c>
      <c r="K988" s="31" t="s">
        <v>1548</v>
      </c>
      <c r="L988" s="31" t="str">
        <f>VLOOKUP(B988, [1]Course!$A$1:$O$933, 14, FALSE)</f>
        <v>BL</v>
      </c>
      <c r="M988" s="31">
        <v>1</v>
      </c>
    </row>
    <row r="989" spans="1:13" ht="15.75" hidden="1" customHeight="1" x14ac:dyDescent="0.2">
      <c r="A989" s="31">
        <v>998</v>
      </c>
      <c r="B989" s="31">
        <v>99</v>
      </c>
      <c r="C989" s="31">
        <v>4</v>
      </c>
      <c r="D989" s="31" t="s">
        <v>186</v>
      </c>
      <c r="E989" s="31" t="str">
        <f t="shared" si="15"/>
        <v>504BL03PT</v>
      </c>
      <c r="F989" s="31">
        <f>VLOOKUP(B989,[1]Course!$A$2:$R$329,2,FALSE)</f>
        <v>0</v>
      </c>
      <c r="G989" s="31">
        <f>VLOOKUP(B989, [1]Course!$A$2:$L$950, 8, FALSE)</f>
        <v>5</v>
      </c>
      <c r="H989" s="31">
        <v>3</v>
      </c>
      <c r="I989" s="31">
        <v>1</v>
      </c>
      <c r="K989" s="31" t="s">
        <v>1548</v>
      </c>
      <c r="L989" s="31" t="str">
        <f>VLOOKUP(B989, [1]Course!$A$1:$O$933, 14, FALSE)</f>
        <v>BL</v>
      </c>
      <c r="M989" s="31">
        <v>1</v>
      </c>
    </row>
    <row r="990" spans="1:13" ht="15.75" hidden="1" customHeight="1" x14ac:dyDescent="0.2">
      <c r="A990" s="31">
        <v>999</v>
      </c>
      <c r="B990" s="31">
        <v>99</v>
      </c>
      <c r="C990" s="31">
        <v>5</v>
      </c>
      <c r="D990" s="31" t="s">
        <v>186</v>
      </c>
      <c r="E990" s="31" t="str">
        <f t="shared" si="15"/>
        <v>505BL03PT</v>
      </c>
      <c r="F990" s="31">
        <f>VLOOKUP(B990,[1]Course!$A$2:$R$329,2,FALSE)</f>
        <v>0</v>
      </c>
      <c r="G990" s="31">
        <f>VLOOKUP(B990, [1]Course!$A$2:$L$950, 8, FALSE)</f>
        <v>5</v>
      </c>
      <c r="H990" s="31">
        <v>3</v>
      </c>
      <c r="I990" s="31">
        <v>1</v>
      </c>
      <c r="K990" s="31" t="s">
        <v>1548</v>
      </c>
      <c r="L990" s="31" t="str">
        <f>VLOOKUP(B990, [1]Course!$A$1:$O$933, 14, FALSE)</f>
        <v>BL</v>
      </c>
      <c r="M990" s="31">
        <v>1</v>
      </c>
    </row>
    <row r="991" spans="1:13" ht="15.75" hidden="1" customHeight="1" x14ac:dyDescent="0.2">
      <c r="A991" s="31">
        <v>1000</v>
      </c>
      <c r="B991" s="31">
        <v>101</v>
      </c>
      <c r="C991" s="31">
        <v>121</v>
      </c>
      <c r="D991" s="31" t="s">
        <v>155</v>
      </c>
      <c r="E991" s="31" t="str">
        <f t="shared" si="15"/>
        <v>1221EN03PT</v>
      </c>
      <c r="F991" s="31">
        <f>VLOOKUP(B991,[1]Course!$A$2:$R$329,2,FALSE)</f>
        <v>0</v>
      </c>
      <c r="G991" s="31">
        <f>VLOOKUP(B991, [1]Course!$A$2:$L$950, 8, FALSE)</f>
        <v>12</v>
      </c>
      <c r="H991" s="31">
        <v>3</v>
      </c>
      <c r="I991" s="31">
        <v>1</v>
      </c>
      <c r="K991" s="31" t="s">
        <v>1548</v>
      </c>
      <c r="L991" s="31" t="str">
        <f>VLOOKUP(B991, [1]Course!$A$1:$O$933, 14, FALSE)</f>
        <v>EN</v>
      </c>
      <c r="M991" s="31">
        <v>1</v>
      </c>
    </row>
    <row r="992" spans="1:13" ht="15.75" hidden="1" customHeight="1" x14ac:dyDescent="0.2">
      <c r="A992" s="31">
        <v>1001</v>
      </c>
      <c r="B992" s="31">
        <v>101</v>
      </c>
      <c r="C992" s="31">
        <v>122</v>
      </c>
      <c r="D992" s="31" t="s">
        <v>155</v>
      </c>
      <c r="E992" s="31" t="str">
        <f t="shared" si="15"/>
        <v>1222EN03PT</v>
      </c>
      <c r="F992" s="31">
        <f>VLOOKUP(B992,[1]Course!$A$2:$R$329,2,FALSE)</f>
        <v>0</v>
      </c>
      <c r="G992" s="31">
        <f>VLOOKUP(B992, [1]Course!$A$2:$L$950, 8, FALSE)</f>
        <v>12</v>
      </c>
      <c r="H992" s="31">
        <v>3</v>
      </c>
      <c r="I992" s="31">
        <v>1</v>
      </c>
      <c r="K992" s="31" t="s">
        <v>1548</v>
      </c>
      <c r="L992" s="31" t="str">
        <f>VLOOKUP(B992, [1]Course!$A$1:$O$933, 14, FALSE)</f>
        <v>EN</v>
      </c>
      <c r="M992" s="31">
        <v>1</v>
      </c>
    </row>
    <row r="993" spans="1:13" ht="15.75" hidden="1" customHeight="1" x14ac:dyDescent="0.2">
      <c r="A993" s="31">
        <v>1002</v>
      </c>
      <c r="B993" s="31">
        <v>101</v>
      </c>
      <c r="C993" s="31">
        <v>123</v>
      </c>
      <c r="D993" s="31" t="s">
        <v>155</v>
      </c>
      <c r="E993" s="31" t="str">
        <f t="shared" si="15"/>
        <v>1223EN03PT</v>
      </c>
      <c r="F993" s="31">
        <f>VLOOKUP(B993,[1]Course!$A$2:$R$329,2,FALSE)</f>
        <v>0</v>
      </c>
      <c r="G993" s="31">
        <f>VLOOKUP(B993, [1]Course!$A$2:$L$950, 8, FALSE)</f>
        <v>12</v>
      </c>
      <c r="H993" s="31">
        <v>3</v>
      </c>
      <c r="I993" s="31">
        <v>1</v>
      </c>
      <c r="K993" s="31" t="s">
        <v>1548</v>
      </c>
      <c r="L993" s="31" t="str">
        <f>VLOOKUP(B993, [1]Course!$A$1:$O$933, 14, FALSE)</f>
        <v>EN</v>
      </c>
      <c r="M993" s="31">
        <v>1</v>
      </c>
    </row>
    <row r="994" spans="1:13" ht="15.75" hidden="1" customHeight="1" x14ac:dyDescent="0.2">
      <c r="A994" s="31">
        <v>1003</v>
      </c>
      <c r="B994" s="31">
        <v>101</v>
      </c>
      <c r="C994" s="31">
        <v>124</v>
      </c>
      <c r="D994" s="31" t="s">
        <v>155</v>
      </c>
      <c r="E994" s="31" t="str">
        <f t="shared" si="15"/>
        <v>1224EN03PT</v>
      </c>
      <c r="F994" s="31">
        <f>VLOOKUP(B994,[1]Course!$A$2:$R$329,2,FALSE)</f>
        <v>0</v>
      </c>
      <c r="G994" s="31">
        <f>VLOOKUP(B994, [1]Course!$A$2:$L$950, 8, FALSE)</f>
        <v>12</v>
      </c>
      <c r="H994" s="31">
        <v>3</v>
      </c>
      <c r="I994" s="31">
        <v>1</v>
      </c>
      <c r="K994" s="31" t="s">
        <v>1548</v>
      </c>
      <c r="L994" s="31" t="str">
        <f>VLOOKUP(B994, [1]Course!$A$1:$O$933, 14, FALSE)</f>
        <v>EN</v>
      </c>
      <c r="M994" s="31">
        <v>1</v>
      </c>
    </row>
    <row r="995" spans="1:13" ht="15.75" hidden="1" customHeight="1" x14ac:dyDescent="0.2">
      <c r="A995" s="31">
        <v>1004</v>
      </c>
      <c r="B995" s="31">
        <v>101</v>
      </c>
      <c r="C995" s="31">
        <v>125</v>
      </c>
      <c r="D995" s="31" t="s">
        <v>155</v>
      </c>
      <c r="E995" s="31" t="str">
        <f t="shared" si="15"/>
        <v>1225EN03PT</v>
      </c>
      <c r="F995" s="31">
        <f>VLOOKUP(B995,[1]Course!$A$2:$R$329,2,FALSE)</f>
        <v>0</v>
      </c>
      <c r="G995" s="31">
        <f>VLOOKUP(B995, [1]Course!$A$2:$L$950, 8, FALSE)</f>
        <v>12</v>
      </c>
      <c r="H995" s="31">
        <v>3</v>
      </c>
      <c r="I995" s="31">
        <v>1</v>
      </c>
      <c r="K995" s="31" t="s">
        <v>1548</v>
      </c>
      <c r="L995" s="31" t="str">
        <f>VLOOKUP(B995, [1]Course!$A$1:$O$933, 14, FALSE)</f>
        <v>EN</v>
      </c>
      <c r="M995" s="31">
        <v>1</v>
      </c>
    </row>
    <row r="996" spans="1:13" ht="15.75" hidden="1" customHeight="1" x14ac:dyDescent="0.2">
      <c r="A996" s="31">
        <v>1005</v>
      </c>
      <c r="B996" s="31">
        <v>101</v>
      </c>
      <c r="C996" s="31">
        <v>126</v>
      </c>
      <c r="D996" s="31" t="s">
        <v>155</v>
      </c>
      <c r="E996" s="31" t="str">
        <f t="shared" si="15"/>
        <v>1226EN03PT</v>
      </c>
      <c r="F996" s="31">
        <f>VLOOKUP(B996,[1]Course!$A$2:$R$329,2,FALSE)</f>
        <v>0</v>
      </c>
      <c r="G996" s="31">
        <f>VLOOKUP(B996, [1]Course!$A$2:$L$950, 8, FALSE)</f>
        <v>12</v>
      </c>
      <c r="H996" s="31">
        <v>3</v>
      </c>
      <c r="I996" s="31">
        <v>1</v>
      </c>
      <c r="K996" s="31" t="s">
        <v>1548</v>
      </c>
      <c r="L996" s="31" t="str">
        <f>VLOOKUP(B996, [1]Course!$A$1:$O$933, 14, FALSE)</f>
        <v>EN</v>
      </c>
      <c r="M996" s="31">
        <v>1</v>
      </c>
    </row>
    <row r="997" spans="1:13" ht="15.75" hidden="1" customHeight="1" x14ac:dyDescent="0.2">
      <c r="A997" s="31">
        <v>1006</v>
      </c>
      <c r="B997" s="31">
        <v>101</v>
      </c>
      <c r="C997" s="31">
        <v>127</v>
      </c>
      <c r="D997" s="31" t="s">
        <v>155</v>
      </c>
      <c r="E997" s="31" t="str">
        <f t="shared" si="15"/>
        <v>1227EN03PT</v>
      </c>
      <c r="F997" s="31">
        <f>VLOOKUP(B997,[1]Course!$A$2:$R$329,2,FALSE)</f>
        <v>0</v>
      </c>
      <c r="G997" s="31">
        <f>VLOOKUP(B997, [1]Course!$A$2:$L$950, 8, FALSE)</f>
        <v>12</v>
      </c>
      <c r="H997" s="31">
        <v>3</v>
      </c>
      <c r="I997" s="31">
        <v>1</v>
      </c>
      <c r="K997" s="31" t="s">
        <v>1548</v>
      </c>
      <c r="L997" s="31" t="str">
        <f>VLOOKUP(B997, [1]Course!$A$1:$O$933, 14, FALSE)</f>
        <v>EN</v>
      </c>
      <c r="M997" s="31">
        <v>1</v>
      </c>
    </row>
    <row r="998" spans="1:13" ht="15.75" hidden="1" customHeight="1" x14ac:dyDescent="0.2">
      <c r="A998" s="31">
        <v>1007</v>
      </c>
      <c r="B998" s="31">
        <v>101</v>
      </c>
      <c r="C998" s="31">
        <v>128</v>
      </c>
      <c r="D998" s="31" t="s">
        <v>155</v>
      </c>
      <c r="E998" s="31" t="str">
        <f t="shared" si="15"/>
        <v>1228EN03PT</v>
      </c>
      <c r="F998" s="31">
        <f>VLOOKUP(B998,[1]Course!$A$2:$R$329,2,FALSE)</f>
        <v>0</v>
      </c>
      <c r="G998" s="31">
        <f>VLOOKUP(B998, [1]Course!$A$2:$L$950, 8, FALSE)</f>
        <v>12</v>
      </c>
      <c r="H998" s="31">
        <v>3</v>
      </c>
      <c r="I998" s="31">
        <v>1</v>
      </c>
      <c r="K998" s="31" t="s">
        <v>1548</v>
      </c>
      <c r="L998" s="31" t="str">
        <f>VLOOKUP(B998, [1]Course!$A$1:$O$933, 14, FALSE)</f>
        <v>EN</v>
      </c>
      <c r="M998" s="31">
        <v>1</v>
      </c>
    </row>
    <row r="999" spans="1:13" ht="15.75" hidden="1" customHeight="1" x14ac:dyDescent="0.2">
      <c r="A999" s="31">
        <v>1008</v>
      </c>
      <c r="B999" s="31">
        <v>101</v>
      </c>
      <c r="C999" s="31">
        <v>129</v>
      </c>
      <c r="D999" s="31" t="s">
        <v>155</v>
      </c>
      <c r="E999" s="31" t="str">
        <f t="shared" si="15"/>
        <v>1229EN03PT</v>
      </c>
      <c r="F999" s="31">
        <f>VLOOKUP(B999,[1]Course!$A$2:$R$329,2,FALSE)</f>
        <v>0</v>
      </c>
      <c r="G999" s="31">
        <f>VLOOKUP(B999, [1]Course!$A$2:$L$950, 8, FALSE)</f>
        <v>12</v>
      </c>
      <c r="H999" s="31">
        <v>3</v>
      </c>
      <c r="I999" s="31">
        <v>1</v>
      </c>
      <c r="K999" s="31" t="s">
        <v>1548</v>
      </c>
      <c r="L999" s="31" t="str">
        <f>VLOOKUP(B999, [1]Course!$A$1:$O$933, 14, FALSE)</f>
        <v>EN</v>
      </c>
      <c r="M999" s="31">
        <v>1</v>
      </c>
    </row>
    <row r="1000" spans="1:13" ht="15.75" hidden="1" customHeight="1" x14ac:dyDescent="0.2">
      <c r="A1000" s="31">
        <v>1009</v>
      </c>
      <c r="B1000" s="31">
        <v>101</v>
      </c>
      <c r="C1000" s="31">
        <v>130</v>
      </c>
      <c r="D1000" s="31" t="s">
        <v>155</v>
      </c>
      <c r="E1000" s="31" t="str">
        <f t="shared" si="15"/>
        <v>1230EN03PT</v>
      </c>
      <c r="F1000" s="31">
        <f>VLOOKUP(B1000,[1]Course!$A$2:$R$329,2,FALSE)</f>
        <v>0</v>
      </c>
      <c r="G1000" s="31">
        <f>VLOOKUP(B1000, [1]Course!$A$2:$L$950, 8, FALSE)</f>
        <v>12</v>
      </c>
      <c r="H1000" s="31">
        <v>3</v>
      </c>
      <c r="I1000" s="31">
        <v>1</v>
      </c>
      <c r="K1000" s="31" t="s">
        <v>1548</v>
      </c>
      <c r="L1000" s="31" t="str">
        <f>VLOOKUP(B1000, [1]Course!$A$1:$O$933, 14, FALSE)</f>
        <v>EN</v>
      </c>
      <c r="M1000" s="31">
        <v>1</v>
      </c>
    </row>
    <row r="1001" spans="1:13" ht="15.75" hidden="1" customHeight="1" x14ac:dyDescent="0.2">
      <c r="A1001" s="31">
        <v>1010</v>
      </c>
      <c r="B1001" s="31">
        <v>101</v>
      </c>
      <c r="C1001" s="31">
        <v>131</v>
      </c>
      <c r="D1001" s="31" t="s">
        <v>155</v>
      </c>
      <c r="E1001" s="31" t="str">
        <f t="shared" si="15"/>
        <v>1231EN03PT</v>
      </c>
      <c r="F1001" s="31">
        <f>VLOOKUP(B1001,[1]Course!$A$2:$R$329,2,FALSE)</f>
        <v>0</v>
      </c>
      <c r="G1001" s="31">
        <f>VLOOKUP(B1001, [1]Course!$A$2:$L$950, 8, FALSE)</f>
        <v>12</v>
      </c>
      <c r="H1001" s="31">
        <v>3</v>
      </c>
      <c r="I1001" s="31">
        <v>1</v>
      </c>
      <c r="K1001" s="31" t="s">
        <v>1548</v>
      </c>
      <c r="L1001" s="31" t="str">
        <f>VLOOKUP(B1001, [1]Course!$A$1:$O$933, 14, FALSE)</f>
        <v>EN</v>
      </c>
      <c r="M1001" s="31">
        <v>1</v>
      </c>
    </row>
    <row r="1002" spans="1:13" ht="15.75" hidden="1" customHeight="1" x14ac:dyDescent="0.2">
      <c r="A1002" s="31">
        <v>1011</v>
      </c>
      <c r="B1002" s="31">
        <v>101</v>
      </c>
      <c r="C1002" s="31">
        <v>132</v>
      </c>
      <c r="D1002" s="31" t="s">
        <v>155</v>
      </c>
      <c r="E1002" s="31" t="str">
        <f t="shared" si="15"/>
        <v>1232EN03PT</v>
      </c>
      <c r="F1002" s="31">
        <f>VLOOKUP(B1002,[1]Course!$A$2:$R$329,2,FALSE)</f>
        <v>0</v>
      </c>
      <c r="G1002" s="31">
        <f>VLOOKUP(B1002, [1]Course!$A$2:$L$950, 8, FALSE)</f>
        <v>12</v>
      </c>
      <c r="H1002" s="31">
        <v>3</v>
      </c>
      <c r="I1002" s="31">
        <v>1</v>
      </c>
      <c r="K1002" s="31" t="s">
        <v>1548</v>
      </c>
      <c r="L1002" s="31" t="str">
        <f>VLOOKUP(B1002, [1]Course!$A$1:$O$933, 14, FALSE)</f>
        <v>EN</v>
      </c>
      <c r="M1002" s="31">
        <v>1</v>
      </c>
    </row>
    <row r="1003" spans="1:13" ht="15.75" hidden="1" customHeight="1" x14ac:dyDescent="0.2">
      <c r="A1003" s="31">
        <v>1012</v>
      </c>
      <c r="B1003" s="31">
        <v>102</v>
      </c>
      <c r="C1003" s="31">
        <v>1</v>
      </c>
      <c r="D1003" s="31" t="s">
        <v>178</v>
      </c>
      <c r="E1003" s="31" t="str">
        <f t="shared" si="15"/>
        <v>301I103PT</v>
      </c>
      <c r="F1003" s="31">
        <f>VLOOKUP(B1003,[1]Course!$A$2:$R$329,2,FALSE)</f>
        <v>0</v>
      </c>
      <c r="G1003" s="31">
        <f>VLOOKUP(B1003, [1]Course!$A$2:$L$950, 8, FALSE)</f>
        <v>3</v>
      </c>
      <c r="H1003" s="31">
        <v>3</v>
      </c>
      <c r="I1003" s="31">
        <v>1</v>
      </c>
      <c r="K1003" s="31" t="s">
        <v>1548</v>
      </c>
      <c r="L1003" s="31" t="str">
        <f>VLOOKUP(B1003, [1]Course!$A$1:$O$933, 14, FALSE)</f>
        <v>I1</v>
      </c>
      <c r="M1003" s="31">
        <v>1</v>
      </c>
    </row>
    <row r="1004" spans="1:13" ht="15.75" hidden="1" customHeight="1" x14ac:dyDescent="0.2">
      <c r="A1004" s="31">
        <v>1013</v>
      </c>
      <c r="B1004" s="31">
        <v>102</v>
      </c>
      <c r="C1004" s="31">
        <v>2</v>
      </c>
      <c r="D1004" s="31" t="s">
        <v>178</v>
      </c>
      <c r="E1004" s="31" t="str">
        <f t="shared" si="15"/>
        <v>302I103PT</v>
      </c>
      <c r="F1004" s="31">
        <f>VLOOKUP(B1004,[1]Course!$A$2:$R$329,2,FALSE)</f>
        <v>0</v>
      </c>
      <c r="G1004" s="31">
        <f>VLOOKUP(B1004, [1]Course!$A$2:$L$950, 8, FALSE)</f>
        <v>3</v>
      </c>
      <c r="H1004" s="31">
        <v>3</v>
      </c>
      <c r="I1004" s="31">
        <v>1</v>
      </c>
      <c r="K1004" s="31" t="s">
        <v>1548</v>
      </c>
      <c r="L1004" s="31" t="str">
        <f>VLOOKUP(B1004, [1]Course!$A$1:$O$933, 14, FALSE)</f>
        <v>I1</v>
      </c>
      <c r="M1004" s="31">
        <v>1</v>
      </c>
    </row>
    <row r="1005" spans="1:13" ht="15.75" hidden="1" customHeight="1" x14ac:dyDescent="0.2">
      <c r="A1005" s="31">
        <v>1014</v>
      </c>
      <c r="B1005" s="31">
        <v>102</v>
      </c>
      <c r="C1005" s="31">
        <v>3</v>
      </c>
      <c r="D1005" s="31" t="s">
        <v>178</v>
      </c>
      <c r="E1005" s="31" t="str">
        <f t="shared" si="15"/>
        <v>303I103PT</v>
      </c>
      <c r="F1005" s="31">
        <f>VLOOKUP(B1005,[1]Course!$A$2:$R$329,2,FALSE)</f>
        <v>0</v>
      </c>
      <c r="G1005" s="31">
        <f>VLOOKUP(B1005, [1]Course!$A$2:$L$950, 8, FALSE)</f>
        <v>3</v>
      </c>
      <c r="H1005" s="31">
        <v>3</v>
      </c>
      <c r="I1005" s="31">
        <v>1</v>
      </c>
      <c r="K1005" s="31" t="s">
        <v>1548</v>
      </c>
      <c r="L1005" s="31" t="str">
        <f>VLOOKUP(B1005, [1]Course!$A$1:$O$933, 14, FALSE)</f>
        <v>I1</v>
      </c>
      <c r="M1005" s="31">
        <v>1</v>
      </c>
    </row>
    <row r="1006" spans="1:13" ht="15.75" hidden="1" customHeight="1" x14ac:dyDescent="0.2">
      <c r="A1006" s="31">
        <v>1015</v>
      </c>
      <c r="B1006" s="31">
        <v>103</v>
      </c>
      <c r="C1006" s="31">
        <v>1</v>
      </c>
      <c r="D1006" s="31" t="s">
        <v>178</v>
      </c>
      <c r="E1006" s="31" t="str">
        <f t="shared" si="15"/>
        <v>601I103PT</v>
      </c>
      <c r="F1006" s="31">
        <f>VLOOKUP(B1006,[1]Course!$A$2:$R$329,2,FALSE)</f>
        <v>0</v>
      </c>
      <c r="G1006" s="31">
        <f>VLOOKUP(B1006, [1]Course!$A$2:$L$950, 8, FALSE)</f>
        <v>6</v>
      </c>
      <c r="H1006" s="31">
        <v>3</v>
      </c>
      <c r="I1006" s="31">
        <v>1</v>
      </c>
      <c r="K1006" s="31" t="s">
        <v>1548</v>
      </c>
      <c r="L1006" s="31" t="str">
        <f>VLOOKUP(B1006, [1]Course!$A$1:$O$933, 14, FALSE)</f>
        <v>I1</v>
      </c>
      <c r="M1006" s="31">
        <v>1</v>
      </c>
    </row>
    <row r="1007" spans="1:13" ht="15.75" hidden="1" customHeight="1" x14ac:dyDescent="0.2">
      <c r="A1007" s="31">
        <v>1016</v>
      </c>
      <c r="B1007" s="31">
        <v>103</v>
      </c>
      <c r="C1007" s="31">
        <v>2</v>
      </c>
      <c r="D1007" s="31" t="s">
        <v>178</v>
      </c>
      <c r="E1007" s="31" t="str">
        <f t="shared" si="15"/>
        <v>602I103PT</v>
      </c>
      <c r="F1007" s="31">
        <f>VLOOKUP(B1007,[1]Course!$A$2:$R$329,2,FALSE)</f>
        <v>0</v>
      </c>
      <c r="G1007" s="31">
        <f>VLOOKUP(B1007, [1]Course!$A$2:$L$950, 8, FALSE)</f>
        <v>6</v>
      </c>
      <c r="H1007" s="31">
        <v>3</v>
      </c>
      <c r="I1007" s="31">
        <v>1</v>
      </c>
      <c r="K1007" s="31" t="s">
        <v>1548</v>
      </c>
      <c r="L1007" s="31" t="str">
        <f>VLOOKUP(B1007, [1]Course!$A$1:$O$933, 14, FALSE)</f>
        <v>I1</v>
      </c>
      <c r="M1007" s="31">
        <v>1</v>
      </c>
    </row>
    <row r="1008" spans="1:13" ht="15.75" hidden="1" customHeight="1" x14ac:dyDescent="0.2">
      <c r="A1008" s="31">
        <v>1017</v>
      </c>
      <c r="B1008" s="31">
        <v>103</v>
      </c>
      <c r="C1008" s="31">
        <v>3</v>
      </c>
      <c r="D1008" s="31" t="s">
        <v>178</v>
      </c>
      <c r="E1008" s="31" t="str">
        <f t="shared" si="15"/>
        <v>603I103PT</v>
      </c>
      <c r="F1008" s="31">
        <f>VLOOKUP(B1008,[1]Course!$A$2:$R$329,2,FALSE)</f>
        <v>0</v>
      </c>
      <c r="G1008" s="31">
        <f>VLOOKUP(B1008, [1]Course!$A$2:$L$950, 8, FALSE)</f>
        <v>6</v>
      </c>
      <c r="H1008" s="31">
        <v>3</v>
      </c>
      <c r="I1008" s="31">
        <v>1</v>
      </c>
      <c r="K1008" s="31" t="s">
        <v>1548</v>
      </c>
      <c r="L1008" s="31" t="str">
        <f>VLOOKUP(B1008, [1]Course!$A$1:$O$933, 14, FALSE)</f>
        <v>I1</v>
      </c>
      <c r="M1008" s="31">
        <v>1</v>
      </c>
    </row>
    <row r="1009" spans="1:13" ht="15.75" hidden="1" customHeight="1" x14ac:dyDescent="0.2">
      <c r="A1009" s="31">
        <v>1018</v>
      </c>
      <c r="B1009" s="31">
        <v>103</v>
      </c>
      <c r="C1009" s="31">
        <v>4</v>
      </c>
      <c r="D1009" s="31" t="s">
        <v>178</v>
      </c>
      <c r="E1009" s="31" t="str">
        <f t="shared" si="15"/>
        <v>604I103PT</v>
      </c>
      <c r="F1009" s="31">
        <f>VLOOKUP(B1009,[1]Course!$A$2:$R$329,2,FALSE)</f>
        <v>0</v>
      </c>
      <c r="G1009" s="31">
        <f>VLOOKUP(B1009, [1]Course!$A$2:$L$950, 8, FALSE)</f>
        <v>6</v>
      </c>
      <c r="H1009" s="31">
        <v>3</v>
      </c>
      <c r="I1009" s="31">
        <v>1</v>
      </c>
      <c r="K1009" s="31" t="s">
        <v>1548</v>
      </c>
      <c r="L1009" s="31" t="str">
        <f>VLOOKUP(B1009, [1]Course!$A$1:$O$933, 14, FALSE)</f>
        <v>I1</v>
      </c>
      <c r="M1009" s="31">
        <v>1</v>
      </c>
    </row>
    <row r="1010" spans="1:13" ht="15.75" hidden="1" customHeight="1" x14ac:dyDescent="0.2">
      <c r="A1010" s="31">
        <v>1019</v>
      </c>
      <c r="B1010" s="31">
        <v>103</v>
      </c>
      <c r="C1010" s="31">
        <v>5</v>
      </c>
      <c r="D1010" s="31" t="s">
        <v>178</v>
      </c>
      <c r="E1010" s="31" t="str">
        <f t="shared" si="15"/>
        <v>605I103PT</v>
      </c>
      <c r="F1010" s="31">
        <f>VLOOKUP(B1010,[1]Course!$A$2:$R$329,2,FALSE)</f>
        <v>0</v>
      </c>
      <c r="G1010" s="31">
        <f>VLOOKUP(B1010, [1]Course!$A$2:$L$950, 8, FALSE)</f>
        <v>6</v>
      </c>
      <c r="H1010" s="31">
        <v>3</v>
      </c>
      <c r="I1010" s="31">
        <v>1</v>
      </c>
      <c r="K1010" s="31" t="s">
        <v>1548</v>
      </c>
      <c r="L1010" s="31" t="str">
        <f>VLOOKUP(B1010, [1]Course!$A$1:$O$933, 14, FALSE)</f>
        <v>I1</v>
      </c>
      <c r="M1010" s="31">
        <v>1</v>
      </c>
    </row>
    <row r="1011" spans="1:13" ht="15.75" hidden="1" customHeight="1" x14ac:dyDescent="0.2">
      <c r="A1011" s="31">
        <v>1020</v>
      </c>
      <c r="B1011" s="31">
        <v>103</v>
      </c>
      <c r="C1011" s="31">
        <v>6</v>
      </c>
      <c r="D1011" s="31" t="s">
        <v>178</v>
      </c>
      <c r="E1011" s="31" t="str">
        <f t="shared" si="15"/>
        <v>606I103PT</v>
      </c>
      <c r="F1011" s="31">
        <f>VLOOKUP(B1011,[1]Course!$A$2:$R$329,2,FALSE)</f>
        <v>0</v>
      </c>
      <c r="G1011" s="31">
        <f>VLOOKUP(B1011, [1]Course!$A$2:$L$950, 8, FALSE)</f>
        <v>6</v>
      </c>
      <c r="H1011" s="31">
        <v>3</v>
      </c>
      <c r="I1011" s="31">
        <v>1</v>
      </c>
      <c r="K1011" s="31" t="s">
        <v>1548</v>
      </c>
      <c r="L1011" s="31" t="str">
        <f>VLOOKUP(B1011, [1]Course!$A$1:$O$933, 14, FALSE)</f>
        <v>I1</v>
      </c>
      <c r="M1011" s="31">
        <v>1</v>
      </c>
    </row>
    <row r="1012" spans="1:13" ht="15.75" hidden="1" customHeight="1" x14ac:dyDescent="0.2">
      <c r="A1012" s="31">
        <v>1021</v>
      </c>
      <c r="B1012" s="31">
        <v>104</v>
      </c>
      <c r="C1012" s="31">
        <v>121</v>
      </c>
      <c r="D1012" s="31" t="s">
        <v>72</v>
      </c>
      <c r="E1012" s="31" t="str">
        <f t="shared" si="15"/>
        <v>1221GR03PT</v>
      </c>
      <c r="F1012" s="31">
        <f>VLOOKUP(B1012,[1]Course!$A$2:$R$329,2,FALSE)</f>
        <v>0</v>
      </c>
      <c r="G1012" s="31">
        <f>VLOOKUP(B1012, [1]Course!$A$2:$L$950, 8, FALSE)</f>
        <v>12</v>
      </c>
      <c r="H1012" s="31">
        <v>3</v>
      </c>
      <c r="I1012" s="31">
        <v>1</v>
      </c>
      <c r="K1012" s="31" t="s">
        <v>1548</v>
      </c>
      <c r="L1012" s="31" t="str">
        <f>VLOOKUP(B1012, [1]Course!$A$1:$O$933, 14, FALSE)</f>
        <v>GR</v>
      </c>
      <c r="M1012" s="31">
        <v>1</v>
      </c>
    </row>
    <row r="1013" spans="1:13" ht="15.75" hidden="1" customHeight="1" x14ac:dyDescent="0.2">
      <c r="A1013" s="31">
        <v>1022</v>
      </c>
      <c r="B1013" s="31">
        <v>104</v>
      </c>
      <c r="C1013" s="31">
        <v>122</v>
      </c>
      <c r="D1013" s="31" t="s">
        <v>72</v>
      </c>
      <c r="E1013" s="31" t="str">
        <f t="shared" si="15"/>
        <v>1222GR03PT</v>
      </c>
      <c r="F1013" s="31">
        <f>VLOOKUP(B1013,[1]Course!$A$2:$R$329,2,FALSE)</f>
        <v>0</v>
      </c>
      <c r="G1013" s="31">
        <f>VLOOKUP(B1013, [1]Course!$A$2:$L$950, 8, FALSE)</f>
        <v>12</v>
      </c>
      <c r="H1013" s="31">
        <v>3</v>
      </c>
      <c r="I1013" s="31">
        <v>1</v>
      </c>
      <c r="K1013" s="31" t="s">
        <v>1548</v>
      </c>
      <c r="L1013" s="31" t="str">
        <f>VLOOKUP(B1013, [1]Course!$A$1:$O$933, 14, FALSE)</f>
        <v>GR</v>
      </c>
      <c r="M1013" s="31">
        <v>1</v>
      </c>
    </row>
    <row r="1014" spans="1:13" ht="15.75" hidden="1" customHeight="1" x14ac:dyDescent="0.2">
      <c r="A1014" s="31">
        <v>1023</v>
      </c>
      <c r="B1014" s="31">
        <v>104</v>
      </c>
      <c r="C1014" s="31">
        <v>123</v>
      </c>
      <c r="D1014" s="31" t="s">
        <v>72</v>
      </c>
      <c r="E1014" s="31" t="str">
        <f t="shared" si="15"/>
        <v>1223GR03PT</v>
      </c>
      <c r="F1014" s="31">
        <f>VLOOKUP(B1014,[1]Course!$A$2:$R$329,2,FALSE)</f>
        <v>0</v>
      </c>
      <c r="G1014" s="31">
        <f>VLOOKUP(B1014, [1]Course!$A$2:$L$950, 8, FALSE)</f>
        <v>12</v>
      </c>
      <c r="H1014" s="31">
        <v>3</v>
      </c>
      <c r="I1014" s="31">
        <v>1</v>
      </c>
      <c r="K1014" s="31" t="s">
        <v>1548</v>
      </c>
      <c r="L1014" s="31" t="str">
        <f>VLOOKUP(B1014, [1]Course!$A$1:$O$933, 14, FALSE)</f>
        <v>GR</v>
      </c>
      <c r="M1014" s="31">
        <v>1</v>
      </c>
    </row>
    <row r="1015" spans="1:13" ht="15.75" hidden="1" customHeight="1" x14ac:dyDescent="0.2">
      <c r="A1015" s="31">
        <v>1024</v>
      </c>
      <c r="B1015" s="31">
        <v>104</v>
      </c>
      <c r="C1015" s="31">
        <v>124</v>
      </c>
      <c r="D1015" s="31" t="s">
        <v>72</v>
      </c>
      <c r="E1015" s="31" t="str">
        <f t="shared" si="15"/>
        <v>1224GR03PT</v>
      </c>
      <c r="F1015" s="31">
        <f>VLOOKUP(B1015,[1]Course!$A$2:$R$329,2,FALSE)</f>
        <v>0</v>
      </c>
      <c r="G1015" s="31">
        <f>VLOOKUP(B1015, [1]Course!$A$2:$L$950, 8, FALSE)</f>
        <v>12</v>
      </c>
      <c r="H1015" s="31">
        <v>3</v>
      </c>
      <c r="I1015" s="31">
        <v>1</v>
      </c>
      <c r="K1015" s="31" t="s">
        <v>1548</v>
      </c>
      <c r="L1015" s="31" t="str">
        <f>VLOOKUP(B1015, [1]Course!$A$1:$O$933, 14, FALSE)</f>
        <v>GR</v>
      </c>
      <c r="M1015" s="31">
        <v>1</v>
      </c>
    </row>
    <row r="1016" spans="1:13" ht="15.75" hidden="1" customHeight="1" x14ac:dyDescent="0.2">
      <c r="A1016" s="31">
        <v>1025</v>
      </c>
      <c r="B1016" s="31">
        <v>104</v>
      </c>
      <c r="C1016" s="31">
        <v>125</v>
      </c>
      <c r="D1016" s="31" t="s">
        <v>72</v>
      </c>
      <c r="E1016" s="31" t="str">
        <f t="shared" si="15"/>
        <v>1225GR03PT</v>
      </c>
      <c r="F1016" s="31">
        <f>VLOOKUP(B1016,[1]Course!$A$2:$R$329,2,FALSE)</f>
        <v>0</v>
      </c>
      <c r="G1016" s="31">
        <f>VLOOKUP(B1016, [1]Course!$A$2:$L$950, 8, FALSE)</f>
        <v>12</v>
      </c>
      <c r="H1016" s="31">
        <v>3</v>
      </c>
      <c r="I1016" s="31">
        <v>1</v>
      </c>
      <c r="K1016" s="31" t="s">
        <v>1548</v>
      </c>
      <c r="L1016" s="31" t="str">
        <f>VLOOKUP(B1016, [1]Course!$A$1:$O$933, 14, FALSE)</f>
        <v>GR</v>
      </c>
      <c r="M1016" s="31">
        <v>1</v>
      </c>
    </row>
    <row r="1017" spans="1:13" ht="15.75" hidden="1" customHeight="1" x14ac:dyDescent="0.2">
      <c r="A1017" s="31">
        <v>1026</v>
      </c>
      <c r="B1017" s="31">
        <v>104</v>
      </c>
      <c r="C1017" s="31">
        <v>126</v>
      </c>
      <c r="D1017" s="31" t="s">
        <v>72</v>
      </c>
      <c r="E1017" s="31" t="str">
        <f t="shared" si="15"/>
        <v>1226GR03PT</v>
      </c>
      <c r="F1017" s="31">
        <f>VLOOKUP(B1017,[1]Course!$A$2:$R$329,2,FALSE)</f>
        <v>0</v>
      </c>
      <c r="G1017" s="31">
        <f>VLOOKUP(B1017, [1]Course!$A$2:$L$950, 8, FALSE)</f>
        <v>12</v>
      </c>
      <c r="H1017" s="31">
        <v>3</v>
      </c>
      <c r="I1017" s="31">
        <v>1</v>
      </c>
      <c r="K1017" s="31" t="s">
        <v>1548</v>
      </c>
      <c r="L1017" s="31" t="str">
        <f>VLOOKUP(B1017, [1]Course!$A$1:$O$933, 14, FALSE)</f>
        <v>GR</v>
      </c>
      <c r="M1017" s="31">
        <v>1</v>
      </c>
    </row>
    <row r="1018" spans="1:13" ht="15.75" hidden="1" customHeight="1" x14ac:dyDescent="0.2">
      <c r="A1018" s="31">
        <v>1027</v>
      </c>
      <c r="B1018" s="31">
        <v>104</v>
      </c>
      <c r="C1018" s="31">
        <v>127</v>
      </c>
      <c r="D1018" s="31" t="s">
        <v>72</v>
      </c>
      <c r="E1018" s="31" t="str">
        <f t="shared" si="15"/>
        <v>1227GR03PT</v>
      </c>
      <c r="F1018" s="31">
        <f>VLOOKUP(B1018,[1]Course!$A$2:$R$329,2,FALSE)</f>
        <v>0</v>
      </c>
      <c r="G1018" s="31">
        <f>VLOOKUP(B1018, [1]Course!$A$2:$L$950, 8, FALSE)</f>
        <v>12</v>
      </c>
      <c r="H1018" s="31">
        <v>3</v>
      </c>
      <c r="I1018" s="31">
        <v>1</v>
      </c>
      <c r="K1018" s="31" t="s">
        <v>1548</v>
      </c>
      <c r="L1018" s="31" t="str">
        <f>VLOOKUP(B1018, [1]Course!$A$1:$O$933, 14, FALSE)</f>
        <v>GR</v>
      </c>
      <c r="M1018" s="31">
        <v>1</v>
      </c>
    </row>
    <row r="1019" spans="1:13" ht="15.75" hidden="1" customHeight="1" x14ac:dyDescent="0.2">
      <c r="A1019" s="31">
        <v>1028</v>
      </c>
      <c r="B1019" s="31">
        <v>104</v>
      </c>
      <c r="C1019" s="31">
        <v>128</v>
      </c>
      <c r="D1019" s="31" t="s">
        <v>72</v>
      </c>
      <c r="E1019" s="31" t="str">
        <f t="shared" si="15"/>
        <v>1228GR03PT</v>
      </c>
      <c r="F1019" s="31">
        <f>VLOOKUP(B1019,[1]Course!$A$2:$R$329,2,FALSE)</f>
        <v>0</v>
      </c>
      <c r="G1019" s="31">
        <f>VLOOKUP(B1019, [1]Course!$A$2:$L$950, 8, FALSE)</f>
        <v>12</v>
      </c>
      <c r="H1019" s="31">
        <v>3</v>
      </c>
      <c r="I1019" s="31">
        <v>1</v>
      </c>
      <c r="K1019" s="31" t="s">
        <v>1548</v>
      </c>
      <c r="L1019" s="31" t="str">
        <f>VLOOKUP(B1019, [1]Course!$A$1:$O$933, 14, FALSE)</f>
        <v>GR</v>
      </c>
      <c r="M1019" s="31">
        <v>1</v>
      </c>
    </row>
    <row r="1020" spans="1:13" ht="15.75" hidden="1" customHeight="1" x14ac:dyDescent="0.2">
      <c r="A1020" s="31">
        <v>1029</v>
      </c>
      <c r="B1020" s="31">
        <v>104</v>
      </c>
      <c r="C1020" s="31">
        <v>129</v>
      </c>
      <c r="D1020" s="31" t="s">
        <v>72</v>
      </c>
      <c r="E1020" s="31" t="str">
        <f t="shared" si="15"/>
        <v>1229GR03PT</v>
      </c>
      <c r="F1020" s="31">
        <f>VLOOKUP(B1020,[1]Course!$A$2:$R$329,2,FALSE)</f>
        <v>0</v>
      </c>
      <c r="G1020" s="31">
        <f>VLOOKUP(B1020, [1]Course!$A$2:$L$950, 8, FALSE)</f>
        <v>12</v>
      </c>
      <c r="H1020" s="31">
        <v>3</v>
      </c>
      <c r="I1020" s="31">
        <v>1</v>
      </c>
      <c r="K1020" s="31" t="s">
        <v>1548</v>
      </c>
      <c r="L1020" s="31" t="str">
        <f>VLOOKUP(B1020, [1]Course!$A$1:$O$933, 14, FALSE)</f>
        <v>GR</v>
      </c>
      <c r="M1020" s="31">
        <v>1</v>
      </c>
    </row>
    <row r="1021" spans="1:13" ht="15.75" hidden="1" customHeight="1" x14ac:dyDescent="0.2">
      <c r="A1021" s="31">
        <v>1030</v>
      </c>
      <c r="B1021" s="31">
        <v>104</v>
      </c>
      <c r="C1021" s="31">
        <v>130</v>
      </c>
      <c r="D1021" s="31" t="s">
        <v>72</v>
      </c>
      <c r="E1021" s="31" t="str">
        <f t="shared" si="15"/>
        <v>1230GR03PT</v>
      </c>
      <c r="F1021" s="31">
        <f>VLOOKUP(B1021,[1]Course!$A$2:$R$329,2,FALSE)</f>
        <v>0</v>
      </c>
      <c r="G1021" s="31">
        <f>VLOOKUP(B1021, [1]Course!$A$2:$L$950, 8, FALSE)</f>
        <v>12</v>
      </c>
      <c r="H1021" s="31">
        <v>3</v>
      </c>
      <c r="I1021" s="31">
        <v>1</v>
      </c>
      <c r="K1021" s="31" t="s">
        <v>1548</v>
      </c>
      <c r="L1021" s="31" t="str">
        <f>VLOOKUP(B1021, [1]Course!$A$1:$O$933, 14, FALSE)</f>
        <v>GR</v>
      </c>
      <c r="M1021" s="31">
        <v>1</v>
      </c>
    </row>
    <row r="1022" spans="1:13" ht="15.75" hidden="1" customHeight="1" x14ac:dyDescent="0.2">
      <c r="A1022" s="31">
        <v>1031</v>
      </c>
      <c r="B1022" s="31">
        <v>104</v>
      </c>
      <c r="C1022" s="31">
        <v>131</v>
      </c>
      <c r="D1022" s="31" t="s">
        <v>72</v>
      </c>
      <c r="E1022" s="31" t="str">
        <f t="shared" si="15"/>
        <v>1231GR03PT</v>
      </c>
      <c r="F1022" s="31">
        <f>VLOOKUP(B1022,[1]Course!$A$2:$R$329,2,FALSE)</f>
        <v>0</v>
      </c>
      <c r="G1022" s="31">
        <f>VLOOKUP(B1022, [1]Course!$A$2:$L$950, 8, FALSE)</f>
        <v>12</v>
      </c>
      <c r="H1022" s="31">
        <v>3</v>
      </c>
      <c r="I1022" s="31">
        <v>1</v>
      </c>
      <c r="K1022" s="31" t="s">
        <v>1548</v>
      </c>
      <c r="L1022" s="31" t="str">
        <f>VLOOKUP(B1022, [1]Course!$A$1:$O$933, 14, FALSE)</f>
        <v>GR</v>
      </c>
      <c r="M1022" s="31">
        <v>1</v>
      </c>
    </row>
    <row r="1023" spans="1:13" ht="15.75" hidden="1" customHeight="1" x14ac:dyDescent="0.2">
      <c r="A1023" s="31">
        <v>1032</v>
      </c>
      <c r="B1023" s="31">
        <v>104</v>
      </c>
      <c r="C1023" s="31">
        <v>132</v>
      </c>
      <c r="D1023" s="31" t="s">
        <v>72</v>
      </c>
      <c r="E1023" s="31" t="str">
        <f t="shared" si="15"/>
        <v>1232GR03PT</v>
      </c>
      <c r="F1023" s="31">
        <f>VLOOKUP(B1023,[1]Course!$A$2:$R$329,2,FALSE)</f>
        <v>0</v>
      </c>
      <c r="G1023" s="31">
        <f>VLOOKUP(B1023, [1]Course!$A$2:$L$950, 8, FALSE)</f>
        <v>12</v>
      </c>
      <c r="H1023" s="31">
        <v>3</v>
      </c>
      <c r="I1023" s="31">
        <v>1</v>
      </c>
      <c r="K1023" s="31" t="s">
        <v>1548</v>
      </c>
      <c r="L1023" s="31" t="str">
        <f>VLOOKUP(B1023, [1]Course!$A$1:$O$933, 14, FALSE)</f>
        <v>GR</v>
      </c>
      <c r="M1023" s="31">
        <v>1</v>
      </c>
    </row>
    <row r="1024" spans="1:13" ht="15.75" hidden="1" customHeight="1" x14ac:dyDescent="0.2">
      <c r="A1024" s="31">
        <v>1033</v>
      </c>
      <c r="B1024" s="31">
        <v>105</v>
      </c>
      <c r="C1024" s="31">
        <v>121</v>
      </c>
      <c r="D1024" s="31" t="s">
        <v>174</v>
      </c>
      <c r="E1024" s="31" t="str">
        <f t="shared" si="15"/>
        <v>1221CH03PT</v>
      </c>
      <c r="F1024" s="31" t="str">
        <f>VLOOKUP(B1024,[1]Course!$A$2:$R$329,2,FALSE)</f>
        <v>Science 11</v>
      </c>
      <c r="G1024" s="31">
        <f>VLOOKUP(B1024, [1]Course!$A$2:$L$950, 8, FALSE)</f>
        <v>12</v>
      </c>
      <c r="H1024" s="31">
        <v>3</v>
      </c>
      <c r="I1024" s="31">
        <v>1</v>
      </c>
      <c r="K1024" s="31" t="s">
        <v>1548</v>
      </c>
      <c r="L1024" s="31" t="str">
        <f>VLOOKUP(B1024, [1]Course!$A$1:$O$933, 14, FALSE)</f>
        <v>CH</v>
      </c>
      <c r="M1024" s="31">
        <v>1</v>
      </c>
    </row>
    <row r="1025" spans="1:13" ht="15.75" hidden="1" customHeight="1" x14ac:dyDescent="0.2">
      <c r="A1025" s="31">
        <v>1034</v>
      </c>
      <c r="B1025" s="31">
        <v>105</v>
      </c>
      <c r="C1025" s="31">
        <v>122</v>
      </c>
      <c r="D1025" s="31" t="s">
        <v>174</v>
      </c>
      <c r="E1025" s="31" t="str">
        <f t="shared" si="15"/>
        <v>1222CH03PT</v>
      </c>
      <c r="F1025" s="31" t="str">
        <f>VLOOKUP(B1025,[1]Course!$A$2:$R$329,2,FALSE)</f>
        <v>Science 11</v>
      </c>
      <c r="G1025" s="31">
        <f>VLOOKUP(B1025, [1]Course!$A$2:$L$950, 8, FALSE)</f>
        <v>12</v>
      </c>
      <c r="H1025" s="31">
        <v>3</v>
      </c>
      <c r="I1025" s="31">
        <v>1</v>
      </c>
      <c r="K1025" s="31" t="s">
        <v>1548</v>
      </c>
      <c r="L1025" s="31" t="str">
        <f>VLOOKUP(B1025, [1]Course!$A$1:$O$933, 14, FALSE)</f>
        <v>CH</v>
      </c>
      <c r="M1025" s="31">
        <v>1</v>
      </c>
    </row>
    <row r="1026" spans="1:13" ht="15.75" hidden="1" customHeight="1" x14ac:dyDescent="0.2">
      <c r="A1026" s="31">
        <v>1035</v>
      </c>
      <c r="B1026" s="31">
        <v>105</v>
      </c>
      <c r="C1026" s="31">
        <v>123</v>
      </c>
      <c r="D1026" s="31" t="s">
        <v>174</v>
      </c>
      <c r="E1026" s="31" t="str">
        <f t="shared" si="15"/>
        <v>1223CH03PT</v>
      </c>
      <c r="F1026" s="31" t="str">
        <f>VLOOKUP(B1026,[1]Course!$A$2:$R$329,2,FALSE)</f>
        <v>Science 11</v>
      </c>
      <c r="G1026" s="31">
        <f>VLOOKUP(B1026, [1]Course!$A$2:$L$950, 8, FALSE)</f>
        <v>12</v>
      </c>
      <c r="H1026" s="31">
        <v>3</v>
      </c>
      <c r="I1026" s="31">
        <v>1</v>
      </c>
      <c r="K1026" s="31" t="s">
        <v>1548</v>
      </c>
      <c r="L1026" s="31" t="str">
        <f>VLOOKUP(B1026, [1]Course!$A$1:$O$933, 14, FALSE)</f>
        <v>CH</v>
      </c>
      <c r="M1026" s="31">
        <v>1</v>
      </c>
    </row>
    <row r="1027" spans="1:13" ht="15.75" hidden="1" customHeight="1" x14ac:dyDescent="0.2">
      <c r="A1027" s="31">
        <v>1036</v>
      </c>
      <c r="B1027" s="31">
        <v>105</v>
      </c>
      <c r="C1027" s="31">
        <v>124</v>
      </c>
      <c r="D1027" s="31" t="s">
        <v>174</v>
      </c>
      <c r="E1027" s="31" t="str">
        <f t="shared" ref="E1027:E1090" si="16">UPPER(LEFT(G1027,2)) &amp; RIGHT("0" &amp; C1027, 2) &amp; D1027 &amp; RIGHT("0" &amp; H1027, 2) &amp; K1027</f>
        <v>1224CH03PT</v>
      </c>
      <c r="F1027" s="31" t="str">
        <f>VLOOKUP(B1027,[1]Course!$A$2:$R$329,2,FALSE)</f>
        <v>Science 11</v>
      </c>
      <c r="G1027" s="31">
        <f>VLOOKUP(B1027, [1]Course!$A$2:$L$950, 8, FALSE)</f>
        <v>12</v>
      </c>
      <c r="H1027" s="31">
        <v>3</v>
      </c>
      <c r="I1027" s="31">
        <v>1</v>
      </c>
      <c r="K1027" s="31" t="s">
        <v>1548</v>
      </c>
      <c r="L1027" s="31" t="str">
        <f>VLOOKUP(B1027, [1]Course!$A$1:$O$933, 14, FALSE)</f>
        <v>CH</v>
      </c>
      <c r="M1027" s="31">
        <v>1</v>
      </c>
    </row>
    <row r="1028" spans="1:13" ht="15.75" hidden="1" customHeight="1" x14ac:dyDescent="0.2">
      <c r="A1028" s="31">
        <v>1037</v>
      </c>
      <c r="B1028" s="31">
        <v>105</v>
      </c>
      <c r="C1028" s="31">
        <v>125</v>
      </c>
      <c r="D1028" s="31" t="s">
        <v>174</v>
      </c>
      <c r="E1028" s="31" t="str">
        <f t="shared" si="16"/>
        <v>1225CH03PT</v>
      </c>
      <c r="F1028" s="31" t="str">
        <f>VLOOKUP(B1028,[1]Course!$A$2:$R$329,2,FALSE)</f>
        <v>Science 11</v>
      </c>
      <c r="G1028" s="31">
        <f>VLOOKUP(B1028, [1]Course!$A$2:$L$950, 8, FALSE)</f>
        <v>12</v>
      </c>
      <c r="H1028" s="31">
        <v>3</v>
      </c>
      <c r="I1028" s="31">
        <v>1</v>
      </c>
      <c r="K1028" s="31" t="s">
        <v>1548</v>
      </c>
      <c r="L1028" s="31" t="str">
        <f>VLOOKUP(B1028, [1]Course!$A$1:$O$933, 14, FALSE)</f>
        <v>CH</v>
      </c>
      <c r="M1028" s="31">
        <v>1</v>
      </c>
    </row>
    <row r="1029" spans="1:13" ht="15.75" hidden="1" customHeight="1" x14ac:dyDescent="0.2">
      <c r="A1029" s="31">
        <v>1038</v>
      </c>
      <c r="B1029" s="31">
        <v>105</v>
      </c>
      <c r="C1029" s="31">
        <v>126</v>
      </c>
      <c r="D1029" s="31" t="s">
        <v>174</v>
      </c>
      <c r="E1029" s="31" t="str">
        <f t="shared" si="16"/>
        <v>1226CH03PT</v>
      </c>
      <c r="F1029" s="31" t="str">
        <f>VLOOKUP(B1029,[1]Course!$A$2:$R$329,2,FALSE)</f>
        <v>Science 11</v>
      </c>
      <c r="G1029" s="31">
        <f>VLOOKUP(B1029, [1]Course!$A$2:$L$950, 8, FALSE)</f>
        <v>12</v>
      </c>
      <c r="H1029" s="31">
        <v>3</v>
      </c>
      <c r="I1029" s="31">
        <v>1</v>
      </c>
      <c r="K1029" s="31" t="s">
        <v>1548</v>
      </c>
      <c r="L1029" s="31" t="str">
        <f>VLOOKUP(B1029, [1]Course!$A$1:$O$933, 14, FALSE)</f>
        <v>CH</v>
      </c>
      <c r="M1029" s="31">
        <v>1</v>
      </c>
    </row>
    <row r="1030" spans="1:13" ht="15.75" hidden="1" customHeight="1" x14ac:dyDescent="0.2">
      <c r="A1030" s="31">
        <v>1039</v>
      </c>
      <c r="B1030" s="31">
        <v>105</v>
      </c>
      <c r="C1030" s="31">
        <v>127</v>
      </c>
      <c r="D1030" s="31" t="s">
        <v>174</v>
      </c>
      <c r="E1030" s="31" t="str">
        <f t="shared" si="16"/>
        <v>1227CH03PT</v>
      </c>
      <c r="F1030" s="31" t="str">
        <f>VLOOKUP(B1030,[1]Course!$A$2:$R$329,2,FALSE)</f>
        <v>Science 11</v>
      </c>
      <c r="G1030" s="31">
        <f>VLOOKUP(B1030, [1]Course!$A$2:$L$950, 8, FALSE)</f>
        <v>12</v>
      </c>
      <c r="H1030" s="31">
        <v>3</v>
      </c>
      <c r="I1030" s="31">
        <v>1</v>
      </c>
      <c r="K1030" s="31" t="s">
        <v>1548</v>
      </c>
      <c r="L1030" s="31" t="str">
        <f>VLOOKUP(B1030, [1]Course!$A$1:$O$933, 14, FALSE)</f>
        <v>CH</v>
      </c>
      <c r="M1030" s="31">
        <v>1</v>
      </c>
    </row>
    <row r="1031" spans="1:13" ht="15.75" hidden="1" customHeight="1" x14ac:dyDescent="0.2">
      <c r="A1031" s="31">
        <v>1040</v>
      </c>
      <c r="B1031" s="31">
        <v>105</v>
      </c>
      <c r="C1031" s="31">
        <v>128</v>
      </c>
      <c r="D1031" s="31" t="s">
        <v>174</v>
      </c>
      <c r="E1031" s="31" t="str">
        <f t="shared" si="16"/>
        <v>1228CH03PT</v>
      </c>
      <c r="F1031" s="31" t="str">
        <f>VLOOKUP(B1031,[1]Course!$A$2:$R$329,2,FALSE)</f>
        <v>Science 11</v>
      </c>
      <c r="G1031" s="31">
        <f>VLOOKUP(B1031, [1]Course!$A$2:$L$950, 8, FALSE)</f>
        <v>12</v>
      </c>
      <c r="H1031" s="31">
        <v>3</v>
      </c>
      <c r="I1031" s="31">
        <v>1</v>
      </c>
      <c r="K1031" s="31" t="s">
        <v>1548</v>
      </c>
      <c r="L1031" s="31" t="str">
        <f>VLOOKUP(B1031, [1]Course!$A$1:$O$933, 14, FALSE)</f>
        <v>CH</v>
      </c>
      <c r="M1031" s="31">
        <v>1</v>
      </c>
    </row>
    <row r="1032" spans="1:13" ht="15.75" hidden="1" customHeight="1" x14ac:dyDescent="0.2">
      <c r="A1032" s="31">
        <v>1041</v>
      </c>
      <c r="B1032" s="31">
        <v>105</v>
      </c>
      <c r="C1032" s="31">
        <v>129</v>
      </c>
      <c r="D1032" s="31" t="s">
        <v>174</v>
      </c>
      <c r="E1032" s="31" t="str">
        <f t="shared" si="16"/>
        <v>1229CH03PT</v>
      </c>
      <c r="F1032" s="31" t="str">
        <f>VLOOKUP(B1032,[1]Course!$A$2:$R$329,2,FALSE)</f>
        <v>Science 11</v>
      </c>
      <c r="G1032" s="31">
        <f>VLOOKUP(B1032, [1]Course!$A$2:$L$950, 8, FALSE)</f>
        <v>12</v>
      </c>
      <c r="H1032" s="31">
        <v>3</v>
      </c>
      <c r="I1032" s="31">
        <v>1</v>
      </c>
      <c r="K1032" s="31" t="s">
        <v>1548</v>
      </c>
      <c r="L1032" s="31" t="str">
        <f>VLOOKUP(B1032, [1]Course!$A$1:$O$933, 14, FALSE)</f>
        <v>CH</v>
      </c>
      <c r="M1032" s="31">
        <v>1</v>
      </c>
    </row>
    <row r="1033" spans="1:13" ht="15.75" hidden="1" customHeight="1" x14ac:dyDescent="0.2">
      <c r="A1033" s="31">
        <v>1042</v>
      </c>
      <c r="B1033" s="31">
        <v>105</v>
      </c>
      <c r="C1033" s="31">
        <v>130</v>
      </c>
      <c r="D1033" s="31" t="s">
        <v>174</v>
      </c>
      <c r="E1033" s="31" t="str">
        <f t="shared" si="16"/>
        <v>1230CH03PT</v>
      </c>
      <c r="F1033" s="31" t="str">
        <f>VLOOKUP(B1033,[1]Course!$A$2:$R$329,2,FALSE)</f>
        <v>Science 11</v>
      </c>
      <c r="G1033" s="31">
        <f>VLOOKUP(B1033, [1]Course!$A$2:$L$950, 8, FALSE)</f>
        <v>12</v>
      </c>
      <c r="H1033" s="31">
        <v>3</v>
      </c>
      <c r="I1033" s="31">
        <v>1</v>
      </c>
      <c r="K1033" s="31" t="s">
        <v>1548</v>
      </c>
      <c r="L1033" s="31" t="str">
        <f>VLOOKUP(B1033, [1]Course!$A$1:$O$933, 14, FALSE)</f>
        <v>CH</v>
      </c>
      <c r="M1033" s="31">
        <v>1</v>
      </c>
    </row>
    <row r="1034" spans="1:13" ht="15.75" hidden="1" customHeight="1" x14ac:dyDescent="0.2">
      <c r="A1034" s="31">
        <v>1043</v>
      </c>
      <c r="B1034" s="31">
        <v>105</v>
      </c>
      <c r="C1034" s="31">
        <v>131</v>
      </c>
      <c r="D1034" s="31" t="s">
        <v>174</v>
      </c>
      <c r="E1034" s="31" t="str">
        <f t="shared" si="16"/>
        <v>1231CH03PT</v>
      </c>
      <c r="F1034" s="31" t="str">
        <f>VLOOKUP(B1034,[1]Course!$A$2:$R$329,2,FALSE)</f>
        <v>Science 11</v>
      </c>
      <c r="G1034" s="31">
        <f>VLOOKUP(B1034, [1]Course!$A$2:$L$950, 8, FALSE)</f>
        <v>12</v>
      </c>
      <c r="H1034" s="31">
        <v>3</v>
      </c>
      <c r="I1034" s="31">
        <v>1</v>
      </c>
      <c r="K1034" s="31" t="s">
        <v>1548</v>
      </c>
      <c r="L1034" s="31" t="str">
        <f>VLOOKUP(B1034, [1]Course!$A$1:$O$933, 14, FALSE)</f>
        <v>CH</v>
      </c>
      <c r="M1034" s="31">
        <v>1</v>
      </c>
    </row>
    <row r="1035" spans="1:13" ht="15.75" hidden="1" customHeight="1" x14ac:dyDescent="0.2">
      <c r="A1035" s="31">
        <v>1044</v>
      </c>
      <c r="B1035" s="31">
        <v>105</v>
      </c>
      <c r="C1035" s="31">
        <v>132</v>
      </c>
      <c r="D1035" s="31" t="s">
        <v>174</v>
      </c>
      <c r="E1035" s="31" t="str">
        <f t="shared" si="16"/>
        <v>1232CH03PT</v>
      </c>
      <c r="F1035" s="31" t="str">
        <f>VLOOKUP(B1035,[1]Course!$A$2:$R$329,2,FALSE)</f>
        <v>Science 11</v>
      </c>
      <c r="G1035" s="31">
        <f>VLOOKUP(B1035, [1]Course!$A$2:$L$950, 8, FALSE)</f>
        <v>12</v>
      </c>
      <c r="H1035" s="31">
        <v>3</v>
      </c>
      <c r="I1035" s="31">
        <v>1</v>
      </c>
      <c r="K1035" s="31" t="s">
        <v>1548</v>
      </c>
      <c r="L1035" s="31" t="str">
        <f>VLOOKUP(B1035, [1]Course!$A$1:$O$933, 14, FALSE)</f>
        <v>CH</v>
      </c>
      <c r="M1035" s="31">
        <v>1</v>
      </c>
    </row>
    <row r="1036" spans="1:13" ht="15.75" hidden="1" customHeight="1" x14ac:dyDescent="0.2">
      <c r="A1036" s="31">
        <v>1045</v>
      </c>
      <c r="B1036" s="31">
        <v>106</v>
      </c>
      <c r="C1036" s="31">
        <v>121</v>
      </c>
      <c r="D1036" s="31" t="s">
        <v>40</v>
      </c>
      <c r="E1036" s="31" t="str">
        <f t="shared" si="16"/>
        <v>1221NC03PT</v>
      </c>
      <c r="F1036" s="31" t="str">
        <f>VLOOKUP(B1036,[1]Course!$A$2:$R$329,2,FALSE)</f>
        <v>Basic New Testament Church History</v>
      </c>
      <c r="G1036" s="31">
        <f>VLOOKUP(B1036, [1]Course!$A$2:$L$950, 8, FALSE)</f>
        <v>12</v>
      </c>
      <c r="H1036" s="31">
        <v>3</v>
      </c>
      <c r="I1036" s="31">
        <v>1</v>
      </c>
      <c r="K1036" s="31" t="s">
        <v>1548</v>
      </c>
      <c r="L1036" s="31" t="str">
        <f>VLOOKUP(B1036, [1]Course!$A$1:$O$933, 14, FALSE)</f>
        <v>NC</v>
      </c>
      <c r="M1036" s="31">
        <v>1</v>
      </c>
    </row>
    <row r="1037" spans="1:13" ht="15.75" hidden="1" customHeight="1" x14ac:dyDescent="0.2">
      <c r="A1037" s="31">
        <v>1046</v>
      </c>
      <c r="B1037" s="31">
        <v>106</v>
      </c>
      <c r="C1037" s="31">
        <v>122</v>
      </c>
      <c r="D1037" s="31" t="s">
        <v>40</v>
      </c>
      <c r="E1037" s="31" t="str">
        <f t="shared" si="16"/>
        <v>1222NC03PT</v>
      </c>
      <c r="F1037" s="31" t="str">
        <f>VLOOKUP(B1037,[1]Course!$A$2:$R$329,2,FALSE)</f>
        <v>Basic New Testament Church History</v>
      </c>
      <c r="G1037" s="31">
        <f>VLOOKUP(B1037, [1]Course!$A$2:$L$950, 8, FALSE)</f>
        <v>12</v>
      </c>
      <c r="H1037" s="31">
        <v>3</v>
      </c>
      <c r="I1037" s="31">
        <v>1</v>
      </c>
      <c r="K1037" s="31" t="s">
        <v>1548</v>
      </c>
      <c r="L1037" s="31" t="str">
        <f>VLOOKUP(B1037, [1]Course!$A$1:$O$933, 14, FALSE)</f>
        <v>NC</v>
      </c>
      <c r="M1037" s="31">
        <v>1</v>
      </c>
    </row>
    <row r="1038" spans="1:13" ht="15.75" hidden="1" customHeight="1" x14ac:dyDescent="0.2">
      <c r="A1038" s="31">
        <v>1047</v>
      </c>
      <c r="B1038" s="31">
        <v>106</v>
      </c>
      <c r="C1038" s="31">
        <v>123</v>
      </c>
      <c r="D1038" s="31" t="s">
        <v>40</v>
      </c>
      <c r="E1038" s="31" t="str">
        <f t="shared" si="16"/>
        <v>1223NC03PT</v>
      </c>
      <c r="F1038" s="31" t="str">
        <f>VLOOKUP(B1038,[1]Course!$A$2:$R$329,2,FALSE)</f>
        <v>Basic New Testament Church History</v>
      </c>
      <c r="G1038" s="31">
        <f>VLOOKUP(B1038, [1]Course!$A$2:$L$950, 8, FALSE)</f>
        <v>12</v>
      </c>
      <c r="H1038" s="31">
        <v>3</v>
      </c>
      <c r="I1038" s="31">
        <v>1</v>
      </c>
      <c r="K1038" s="31" t="s">
        <v>1548</v>
      </c>
      <c r="L1038" s="31" t="str">
        <f>VLOOKUP(B1038, [1]Course!$A$1:$O$933, 14, FALSE)</f>
        <v>NC</v>
      </c>
      <c r="M1038" s="31">
        <v>1</v>
      </c>
    </row>
    <row r="1039" spans="1:13" ht="15.75" hidden="1" customHeight="1" x14ac:dyDescent="0.2">
      <c r="A1039" s="31">
        <v>1048</v>
      </c>
      <c r="B1039" s="31">
        <v>106</v>
      </c>
      <c r="C1039" s="31">
        <v>124</v>
      </c>
      <c r="D1039" s="31" t="s">
        <v>40</v>
      </c>
      <c r="E1039" s="31" t="str">
        <f t="shared" si="16"/>
        <v>1224NC03PT</v>
      </c>
      <c r="F1039" s="31" t="str">
        <f>VLOOKUP(B1039,[1]Course!$A$2:$R$329,2,FALSE)</f>
        <v>Basic New Testament Church History</v>
      </c>
      <c r="G1039" s="31">
        <f>VLOOKUP(B1039, [1]Course!$A$2:$L$950, 8, FALSE)</f>
        <v>12</v>
      </c>
      <c r="H1039" s="31">
        <v>3</v>
      </c>
      <c r="I1039" s="31">
        <v>1</v>
      </c>
      <c r="K1039" s="31" t="s">
        <v>1548</v>
      </c>
      <c r="L1039" s="31" t="str">
        <f>VLOOKUP(B1039, [1]Course!$A$1:$O$933, 14, FALSE)</f>
        <v>NC</v>
      </c>
      <c r="M1039" s="31">
        <v>1</v>
      </c>
    </row>
    <row r="1040" spans="1:13" ht="15.75" hidden="1" customHeight="1" x14ac:dyDescent="0.2">
      <c r="A1040" s="31">
        <v>1049</v>
      </c>
      <c r="B1040" s="31">
        <v>106</v>
      </c>
      <c r="C1040" s="31">
        <v>125</v>
      </c>
      <c r="D1040" s="31" t="s">
        <v>40</v>
      </c>
      <c r="E1040" s="31" t="str">
        <f t="shared" si="16"/>
        <v>1225NC03PT</v>
      </c>
      <c r="F1040" s="31" t="str">
        <f>VLOOKUP(B1040,[1]Course!$A$2:$R$329,2,FALSE)</f>
        <v>Basic New Testament Church History</v>
      </c>
      <c r="G1040" s="31">
        <f>VLOOKUP(B1040, [1]Course!$A$2:$L$950, 8, FALSE)</f>
        <v>12</v>
      </c>
      <c r="H1040" s="31">
        <v>3</v>
      </c>
      <c r="I1040" s="31">
        <v>1</v>
      </c>
      <c r="K1040" s="31" t="s">
        <v>1548</v>
      </c>
      <c r="L1040" s="31" t="str">
        <f>VLOOKUP(B1040, [1]Course!$A$1:$O$933, 14, FALSE)</f>
        <v>NC</v>
      </c>
      <c r="M1040" s="31">
        <v>1</v>
      </c>
    </row>
    <row r="1041" spans="1:13" ht="15.75" hidden="1" customHeight="1" x14ac:dyDescent="0.2">
      <c r="A1041" s="31">
        <v>1050</v>
      </c>
      <c r="B1041" s="31">
        <v>106</v>
      </c>
      <c r="C1041" s="31">
        <v>126</v>
      </c>
      <c r="D1041" s="31" t="s">
        <v>40</v>
      </c>
      <c r="E1041" s="31" t="str">
        <f t="shared" si="16"/>
        <v>1226NC03PT</v>
      </c>
      <c r="F1041" s="31" t="str">
        <f>VLOOKUP(B1041,[1]Course!$A$2:$R$329,2,FALSE)</f>
        <v>Basic New Testament Church History</v>
      </c>
      <c r="G1041" s="31">
        <f>VLOOKUP(B1041, [1]Course!$A$2:$L$950, 8, FALSE)</f>
        <v>12</v>
      </c>
      <c r="H1041" s="31">
        <v>3</v>
      </c>
      <c r="I1041" s="31">
        <v>1</v>
      </c>
      <c r="K1041" s="31" t="s">
        <v>1548</v>
      </c>
      <c r="L1041" s="31" t="str">
        <f>VLOOKUP(B1041, [1]Course!$A$1:$O$933, 14, FALSE)</f>
        <v>NC</v>
      </c>
      <c r="M1041" s="31">
        <v>1</v>
      </c>
    </row>
    <row r="1042" spans="1:13" ht="15.75" hidden="1" customHeight="1" x14ac:dyDescent="0.2">
      <c r="A1042" s="31">
        <v>1051</v>
      </c>
      <c r="B1042" s="31">
        <v>106</v>
      </c>
      <c r="C1042" s="31">
        <v>127</v>
      </c>
      <c r="D1042" s="31" t="s">
        <v>40</v>
      </c>
      <c r="E1042" s="31" t="str">
        <f t="shared" si="16"/>
        <v>1227NC03PT</v>
      </c>
      <c r="F1042" s="31" t="str">
        <f>VLOOKUP(B1042,[1]Course!$A$2:$R$329,2,FALSE)</f>
        <v>Basic New Testament Church History</v>
      </c>
      <c r="G1042" s="31">
        <f>VLOOKUP(B1042, [1]Course!$A$2:$L$950, 8, FALSE)</f>
        <v>12</v>
      </c>
      <c r="H1042" s="31">
        <v>3</v>
      </c>
      <c r="I1042" s="31">
        <v>1</v>
      </c>
      <c r="K1042" s="31" t="s">
        <v>1548</v>
      </c>
      <c r="L1042" s="31" t="str">
        <f>VLOOKUP(B1042, [1]Course!$A$1:$O$933, 14, FALSE)</f>
        <v>NC</v>
      </c>
      <c r="M1042" s="31">
        <v>1</v>
      </c>
    </row>
    <row r="1043" spans="1:13" ht="15.75" hidden="1" customHeight="1" x14ac:dyDescent="0.2">
      <c r="A1043" s="31">
        <v>1052</v>
      </c>
      <c r="B1043" s="31">
        <v>106</v>
      </c>
      <c r="C1043" s="31">
        <v>128</v>
      </c>
      <c r="D1043" s="31" t="s">
        <v>40</v>
      </c>
      <c r="E1043" s="31" t="str">
        <f t="shared" si="16"/>
        <v>1228NC03PT</v>
      </c>
      <c r="F1043" s="31" t="str">
        <f>VLOOKUP(B1043,[1]Course!$A$2:$R$329,2,FALSE)</f>
        <v>Basic New Testament Church History</v>
      </c>
      <c r="G1043" s="31">
        <f>VLOOKUP(B1043, [1]Course!$A$2:$L$950, 8, FALSE)</f>
        <v>12</v>
      </c>
      <c r="H1043" s="31">
        <v>3</v>
      </c>
      <c r="I1043" s="31">
        <v>1</v>
      </c>
      <c r="K1043" s="31" t="s">
        <v>1548</v>
      </c>
      <c r="L1043" s="31" t="str">
        <f>VLOOKUP(B1043, [1]Course!$A$1:$O$933, 14, FALSE)</f>
        <v>NC</v>
      </c>
      <c r="M1043" s="31">
        <v>1</v>
      </c>
    </row>
    <row r="1044" spans="1:13" ht="15.75" hidden="1" customHeight="1" x14ac:dyDescent="0.2">
      <c r="A1044" s="31">
        <v>1053</v>
      </c>
      <c r="B1044" s="31">
        <v>106</v>
      </c>
      <c r="C1044" s="31">
        <v>129</v>
      </c>
      <c r="D1044" s="31" t="s">
        <v>40</v>
      </c>
      <c r="E1044" s="31" t="str">
        <f t="shared" si="16"/>
        <v>1229NC03PT</v>
      </c>
      <c r="F1044" s="31" t="str">
        <f>VLOOKUP(B1044,[1]Course!$A$2:$R$329,2,FALSE)</f>
        <v>Basic New Testament Church History</v>
      </c>
      <c r="G1044" s="31">
        <f>VLOOKUP(B1044, [1]Course!$A$2:$L$950, 8, FALSE)</f>
        <v>12</v>
      </c>
      <c r="H1044" s="31">
        <v>3</v>
      </c>
      <c r="I1044" s="31">
        <v>1</v>
      </c>
      <c r="K1044" s="31" t="s">
        <v>1548</v>
      </c>
      <c r="L1044" s="31" t="str">
        <f>VLOOKUP(B1044, [1]Course!$A$1:$O$933, 14, FALSE)</f>
        <v>NC</v>
      </c>
      <c r="M1044" s="31">
        <v>1</v>
      </c>
    </row>
    <row r="1045" spans="1:13" ht="15.75" hidden="1" customHeight="1" x14ac:dyDescent="0.2">
      <c r="A1045" s="31">
        <v>1054</v>
      </c>
      <c r="B1045" s="31">
        <v>106</v>
      </c>
      <c r="C1045" s="31">
        <v>130</v>
      </c>
      <c r="D1045" s="31" t="s">
        <v>40</v>
      </c>
      <c r="E1045" s="31" t="str">
        <f t="shared" si="16"/>
        <v>1230NC03PT</v>
      </c>
      <c r="F1045" s="31" t="str">
        <f>VLOOKUP(B1045,[1]Course!$A$2:$R$329,2,FALSE)</f>
        <v>Basic New Testament Church History</v>
      </c>
      <c r="G1045" s="31">
        <f>VLOOKUP(B1045, [1]Course!$A$2:$L$950, 8, FALSE)</f>
        <v>12</v>
      </c>
      <c r="H1045" s="31">
        <v>3</v>
      </c>
      <c r="I1045" s="31">
        <v>1</v>
      </c>
      <c r="K1045" s="31" t="s">
        <v>1548</v>
      </c>
      <c r="L1045" s="31" t="str">
        <f>VLOOKUP(B1045, [1]Course!$A$1:$O$933, 14, FALSE)</f>
        <v>NC</v>
      </c>
      <c r="M1045" s="31">
        <v>1</v>
      </c>
    </row>
    <row r="1046" spans="1:13" ht="15.75" hidden="1" customHeight="1" x14ac:dyDescent="0.2">
      <c r="A1046" s="31">
        <v>1055</v>
      </c>
      <c r="B1046" s="31">
        <v>106</v>
      </c>
      <c r="C1046" s="31">
        <v>131</v>
      </c>
      <c r="D1046" s="31" t="s">
        <v>40</v>
      </c>
      <c r="E1046" s="31" t="str">
        <f t="shared" si="16"/>
        <v>1231NC03PT</v>
      </c>
      <c r="F1046" s="31" t="str">
        <f>VLOOKUP(B1046,[1]Course!$A$2:$R$329,2,FALSE)</f>
        <v>Basic New Testament Church History</v>
      </c>
      <c r="G1046" s="31">
        <f>VLOOKUP(B1046, [1]Course!$A$2:$L$950, 8, FALSE)</f>
        <v>12</v>
      </c>
      <c r="H1046" s="31">
        <v>3</v>
      </c>
      <c r="I1046" s="31">
        <v>1</v>
      </c>
      <c r="K1046" s="31" t="s">
        <v>1548</v>
      </c>
      <c r="L1046" s="31" t="str">
        <f>VLOOKUP(B1046, [1]Course!$A$1:$O$933, 14, FALSE)</f>
        <v>NC</v>
      </c>
      <c r="M1046" s="31">
        <v>1</v>
      </c>
    </row>
    <row r="1047" spans="1:13" ht="15.75" hidden="1" customHeight="1" x14ac:dyDescent="0.2">
      <c r="A1047" s="31">
        <v>1056</v>
      </c>
      <c r="B1047" s="31">
        <v>106</v>
      </c>
      <c r="C1047" s="31">
        <v>132</v>
      </c>
      <c r="D1047" s="31" t="s">
        <v>40</v>
      </c>
      <c r="E1047" s="31" t="str">
        <f t="shared" si="16"/>
        <v>1232NC03PT</v>
      </c>
      <c r="F1047" s="31" t="str">
        <f>VLOOKUP(B1047,[1]Course!$A$2:$R$329,2,FALSE)</f>
        <v>Basic New Testament Church History</v>
      </c>
      <c r="G1047" s="31">
        <f>VLOOKUP(B1047, [1]Course!$A$2:$L$950, 8, FALSE)</f>
        <v>12</v>
      </c>
      <c r="H1047" s="31">
        <v>3</v>
      </c>
      <c r="I1047" s="31">
        <v>1</v>
      </c>
      <c r="K1047" s="31" t="s">
        <v>1548</v>
      </c>
      <c r="L1047" s="31" t="str">
        <f>VLOOKUP(B1047, [1]Course!$A$1:$O$933, 14, FALSE)</f>
        <v>NC</v>
      </c>
      <c r="M1047" s="31">
        <v>1</v>
      </c>
    </row>
    <row r="1048" spans="1:13" ht="15.75" hidden="1" customHeight="1" x14ac:dyDescent="0.2">
      <c r="A1048" s="31">
        <v>1057</v>
      </c>
      <c r="B1048" s="31">
        <v>107</v>
      </c>
      <c r="C1048" s="31">
        <v>121</v>
      </c>
      <c r="D1048" s="31" t="s">
        <v>170</v>
      </c>
      <c r="E1048" s="31" t="str">
        <f t="shared" si="16"/>
        <v>1221AC03PT</v>
      </c>
      <c r="F1048" s="31">
        <f>VLOOKUP(B1048,[1]Course!$A$2:$R$329,2,FALSE)</f>
        <v>0</v>
      </c>
      <c r="G1048" s="31">
        <f>VLOOKUP(B1048, [1]Course!$A$2:$L$950, 8, FALSE)</f>
        <v>12</v>
      </c>
      <c r="H1048" s="31">
        <v>3</v>
      </c>
      <c r="I1048" s="31">
        <v>1</v>
      </c>
      <c r="K1048" s="31" t="s">
        <v>1548</v>
      </c>
      <c r="L1048" s="31" t="str">
        <f>VLOOKUP(B1048, [1]Course!$A$1:$O$933, 14, FALSE)</f>
        <v>AC</v>
      </c>
      <c r="M1048" s="31">
        <v>1</v>
      </c>
    </row>
    <row r="1049" spans="1:13" ht="15.75" hidden="1" customHeight="1" x14ac:dyDescent="0.2">
      <c r="A1049" s="31">
        <v>1058</v>
      </c>
      <c r="B1049" s="31">
        <v>107</v>
      </c>
      <c r="C1049" s="31">
        <v>122</v>
      </c>
      <c r="D1049" s="31" t="s">
        <v>170</v>
      </c>
      <c r="E1049" s="31" t="str">
        <f t="shared" si="16"/>
        <v>1222AC03PT</v>
      </c>
      <c r="F1049" s="31">
        <f>VLOOKUP(B1049,[1]Course!$A$2:$R$329,2,FALSE)</f>
        <v>0</v>
      </c>
      <c r="G1049" s="31">
        <f>VLOOKUP(B1049, [1]Course!$A$2:$L$950, 8, FALSE)</f>
        <v>12</v>
      </c>
      <c r="H1049" s="31">
        <v>3</v>
      </c>
      <c r="I1049" s="31">
        <v>1</v>
      </c>
      <c r="K1049" s="31" t="s">
        <v>1548</v>
      </c>
      <c r="L1049" s="31" t="str">
        <f>VLOOKUP(B1049, [1]Course!$A$1:$O$933, 14, FALSE)</f>
        <v>AC</v>
      </c>
      <c r="M1049" s="31">
        <v>1</v>
      </c>
    </row>
    <row r="1050" spans="1:13" ht="15.75" hidden="1" customHeight="1" x14ac:dyDescent="0.2">
      <c r="A1050" s="31">
        <v>1059</v>
      </c>
      <c r="B1050" s="31">
        <v>107</v>
      </c>
      <c r="C1050" s="31">
        <v>123</v>
      </c>
      <c r="D1050" s="31" t="s">
        <v>170</v>
      </c>
      <c r="E1050" s="31" t="str">
        <f t="shared" si="16"/>
        <v>1223AC03PT</v>
      </c>
      <c r="F1050" s="31">
        <f>VLOOKUP(B1050,[1]Course!$A$2:$R$329,2,FALSE)</f>
        <v>0</v>
      </c>
      <c r="G1050" s="31">
        <f>VLOOKUP(B1050, [1]Course!$A$2:$L$950, 8, FALSE)</f>
        <v>12</v>
      </c>
      <c r="H1050" s="31">
        <v>3</v>
      </c>
      <c r="I1050" s="31">
        <v>1</v>
      </c>
      <c r="K1050" s="31" t="s">
        <v>1548</v>
      </c>
      <c r="L1050" s="31" t="str">
        <f>VLOOKUP(B1050, [1]Course!$A$1:$O$933, 14, FALSE)</f>
        <v>AC</v>
      </c>
      <c r="M1050" s="31">
        <v>1</v>
      </c>
    </row>
    <row r="1051" spans="1:13" ht="15.75" hidden="1" customHeight="1" x14ac:dyDescent="0.2">
      <c r="A1051" s="31">
        <v>1060</v>
      </c>
      <c r="B1051" s="31">
        <v>107</v>
      </c>
      <c r="C1051" s="31">
        <v>124</v>
      </c>
      <c r="D1051" s="31" t="s">
        <v>170</v>
      </c>
      <c r="E1051" s="31" t="str">
        <f t="shared" si="16"/>
        <v>1224AC03PT</v>
      </c>
      <c r="F1051" s="31">
        <f>VLOOKUP(B1051,[1]Course!$A$2:$R$329,2,FALSE)</f>
        <v>0</v>
      </c>
      <c r="G1051" s="31">
        <f>VLOOKUP(B1051, [1]Course!$A$2:$L$950, 8, FALSE)</f>
        <v>12</v>
      </c>
      <c r="H1051" s="31">
        <v>3</v>
      </c>
      <c r="I1051" s="31">
        <v>1</v>
      </c>
      <c r="K1051" s="31" t="s">
        <v>1548</v>
      </c>
      <c r="L1051" s="31" t="str">
        <f>VLOOKUP(B1051, [1]Course!$A$1:$O$933, 14, FALSE)</f>
        <v>AC</v>
      </c>
      <c r="M1051" s="31">
        <v>1</v>
      </c>
    </row>
    <row r="1052" spans="1:13" ht="15.75" hidden="1" customHeight="1" x14ac:dyDescent="0.2">
      <c r="A1052" s="31">
        <v>1061</v>
      </c>
      <c r="B1052" s="31">
        <v>107</v>
      </c>
      <c r="C1052" s="31">
        <v>125</v>
      </c>
      <c r="D1052" s="31" t="s">
        <v>170</v>
      </c>
      <c r="E1052" s="31" t="str">
        <f t="shared" si="16"/>
        <v>1225AC03PT</v>
      </c>
      <c r="F1052" s="31">
        <f>VLOOKUP(B1052,[1]Course!$A$2:$R$329,2,FALSE)</f>
        <v>0</v>
      </c>
      <c r="G1052" s="31">
        <f>VLOOKUP(B1052, [1]Course!$A$2:$L$950, 8, FALSE)</f>
        <v>12</v>
      </c>
      <c r="H1052" s="31">
        <v>3</v>
      </c>
      <c r="I1052" s="31">
        <v>1</v>
      </c>
      <c r="K1052" s="31" t="s">
        <v>1548</v>
      </c>
      <c r="L1052" s="31" t="str">
        <f>VLOOKUP(B1052, [1]Course!$A$1:$O$933, 14, FALSE)</f>
        <v>AC</v>
      </c>
      <c r="M1052" s="31">
        <v>1</v>
      </c>
    </row>
    <row r="1053" spans="1:13" ht="15.75" hidden="1" customHeight="1" x14ac:dyDescent="0.2">
      <c r="A1053" s="31">
        <v>1062</v>
      </c>
      <c r="B1053" s="31">
        <v>107</v>
      </c>
      <c r="C1053" s="31">
        <v>126</v>
      </c>
      <c r="D1053" s="31" t="s">
        <v>170</v>
      </c>
      <c r="E1053" s="31" t="str">
        <f t="shared" si="16"/>
        <v>1226AC03PT</v>
      </c>
      <c r="F1053" s="31">
        <f>VLOOKUP(B1053,[1]Course!$A$2:$R$329,2,FALSE)</f>
        <v>0</v>
      </c>
      <c r="G1053" s="31">
        <f>VLOOKUP(B1053, [1]Course!$A$2:$L$950, 8, FALSE)</f>
        <v>12</v>
      </c>
      <c r="H1053" s="31">
        <v>3</v>
      </c>
      <c r="I1053" s="31">
        <v>1</v>
      </c>
      <c r="K1053" s="31" t="s">
        <v>1548</v>
      </c>
      <c r="L1053" s="31" t="str">
        <f>VLOOKUP(B1053, [1]Course!$A$1:$O$933, 14, FALSE)</f>
        <v>AC</v>
      </c>
      <c r="M1053" s="31">
        <v>1</v>
      </c>
    </row>
    <row r="1054" spans="1:13" ht="15.75" hidden="1" customHeight="1" x14ac:dyDescent="0.2">
      <c r="A1054" s="31">
        <v>1063</v>
      </c>
      <c r="B1054" s="31">
        <v>107</v>
      </c>
      <c r="C1054" s="31">
        <v>127</v>
      </c>
      <c r="D1054" s="31" t="s">
        <v>170</v>
      </c>
      <c r="E1054" s="31" t="str">
        <f t="shared" si="16"/>
        <v>1227AC03PT</v>
      </c>
      <c r="F1054" s="31">
        <f>VLOOKUP(B1054,[1]Course!$A$2:$R$329,2,FALSE)</f>
        <v>0</v>
      </c>
      <c r="G1054" s="31">
        <f>VLOOKUP(B1054, [1]Course!$A$2:$L$950, 8, FALSE)</f>
        <v>12</v>
      </c>
      <c r="H1054" s="31">
        <v>3</v>
      </c>
      <c r="I1054" s="31">
        <v>1</v>
      </c>
      <c r="K1054" s="31" t="s">
        <v>1548</v>
      </c>
      <c r="L1054" s="31" t="str">
        <f>VLOOKUP(B1054, [1]Course!$A$1:$O$933, 14, FALSE)</f>
        <v>AC</v>
      </c>
      <c r="M1054" s="31">
        <v>1</v>
      </c>
    </row>
    <row r="1055" spans="1:13" ht="15.75" hidden="1" customHeight="1" x14ac:dyDescent="0.2">
      <c r="A1055" s="31">
        <v>1064</v>
      </c>
      <c r="B1055" s="31">
        <v>107</v>
      </c>
      <c r="C1055" s="31">
        <v>128</v>
      </c>
      <c r="D1055" s="31" t="s">
        <v>170</v>
      </c>
      <c r="E1055" s="31" t="str">
        <f t="shared" si="16"/>
        <v>1228AC03PT</v>
      </c>
      <c r="F1055" s="31">
        <f>VLOOKUP(B1055,[1]Course!$A$2:$R$329,2,FALSE)</f>
        <v>0</v>
      </c>
      <c r="G1055" s="31">
        <f>VLOOKUP(B1055, [1]Course!$A$2:$L$950, 8, FALSE)</f>
        <v>12</v>
      </c>
      <c r="H1055" s="31">
        <v>3</v>
      </c>
      <c r="I1055" s="31">
        <v>1</v>
      </c>
      <c r="K1055" s="31" t="s">
        <v>1548</v>
      </c>
      <c r="L1055" s="31" t="str">
        <f>VLOOKUP(B1055, [1]Course!$A$1:$O$933, 14, FALSE)</f>
        <v>AC</v>
      </c>
      <c r="M1055" s="31">
        <v>1</v>
      </c>
    </row>
    <row r="1056" spans="1:13" ht="15.75" hidden="1" customHeight="1" x14ac:dyDescent="0.2">
      <c r="A1056" s="31">
        <v>1065</v>
      </c>
      <c r="B1056" s="31">
        <v>107</v>
      </c>
      <c r="C1056" s="31">
        <v>129</v>
      </c>
      <c r="D1056" s="31" t="s">
        <v>170</v>
      </c>
      <c r="E1056" s="31" t="str">
        <f t="shared" si="16"/>
        <v>1229AC03PT</v>
      </c>
      <c r="F1056" s="31">
        <f>VLOOKUP(B1056,[1]Course!$A$2:$R$329,2,FALSE)</f>
        <v>0</v>
      </c>
      <c r="G1056" s="31">
        <f>VLOOKUP(B1056, [1]Course!$A$2:$L$950, 8, FALSE)</f>
        <v>12</v>
      </c>
      <c r="H1056" s="31">
        <v>3</v>
      </c>
      <c r="I1056" s="31">
        <v>1</v>
      </c>
      <c r="K1056" s="31" t="s">
        <v>1548</v>
      </c>
      <c r="L1056" s="31" t="str">
        <f>VLOOKUP(B1056, [1]Course!$A$1:$O$933, 14, FALSE)</f>
        <v>AC</v>
      </c>
      <c r="M1056" s="31">
        <v>1</v>
      </c>
    </row>
    <row r="1057" spans="1:13" ht="15.75" hidden="1" customHeight="1" x14ac:dyDescent="0.2">
      <c r="A1057" s="31">
        <v>1066</v>
      </c>
      <c r="B1057" s="31">
        <v>107</v>
      </c>
      <c r="C1057" s="31">
        <v>130</v>
      </c>
      <c r="D1057" s="31" t="s">
        <v>170</v>
      </c>
      <c r="E1057" s="31" t="str">
        <f t="shared" si="16"/>
        <v>1230AC03PT</v>
      </c>
      <c r="F1057" s="31">
        <f>VLOOKUP(B1057,[1]Course!$A$2:$R$329,2,FALSE)</f>
        <v>0</v>
      </c>
      <c r="G1057" s="31">
        <f>VLOOKUP(B1057, [1]Course!$A$2:$L$950, 8, FALSE)</f>
        <v>12</v>
      </c>
      <c r="H1057" s="31">
        <v>3</v>
      </c>
      <c r="I1057" s="31">
        <v>1</v>
      </c>
      <c r="K1057" s="31" t="s">
        <v>1548</v>
      </c>
      <c r="L1057" s="31" t="str">
        <f>VLOOKUP(B1057, [1]Course!$A$1:$O$933, 14, FALSE)</f>
        <v>AC</v>
      </c>
      <c r="M1057" s="31">
        <v>1</v>
      </c>
    </row>
    <row r="1058" spans="1:13" ht="15.75" hidden="1" customHeight="1" x14ac:dyDescent="0.2">
      <c r="A1058" s="31">
        <v>1067</v>
      </c>
      <c r="B1058" s="31">
        <v>107</v>
      </c>
      <c r="C1058" s="31">
        <v>131</v>
      </c>
      <c r="D1058" s="31" t="s">
        <v>170</v>
      </c>
      <c r="E1058" s="31" t="str">
        <f t="shared" si="16"/>
        <v>1231AC03PT</v>
      </c>
      <c r="F1058" s="31">
        <f>VLOOKUP(B1058,[1]Course!$A$2:$R$329,2,FALSE)</f>
        <v>0</v>
      </c>
      <c r="G1058" s="31">
        <f>VLOOKUP(B1058, [1]Course!$A$2:$L$950, 8, FALSE)</f>
        <v>12</v>
      </c>
      <c r="H1058" s="31">
        <v>3</v>
      </c>
      <c r="I1058" s="31">
        <v>1</v>
      </c>
      <c r="K1058" s="31" t="s">
        <v>1548</v>
      </c>
      <c r="L1058" s="31" t="str">
        <f>VLOOKUP(B1058, [1]Course!$A$1:$O$933, 14, FALSE)</f>
        <v>AC</v>
      </c>
      <c r="M1058" s="31">
        <v>1</v>
      </c>
    </row>
    <row r="1059" spans="1:13" ht="15.75" hidden="1" customHeight="1" x14ac:dyDescent="0.2">
      <c r="A1059" s="31">
        <v>1068</v>
      </c>
      <c r="B1059" s="31">
        <v>107</v>
      </c>
      <c r="C1059" s="31">
        <v>132</v>
      </c>
      <c r="D1059" s="31" t="s">
        <v>170</v>
      </c>
      <c r="E1059" s="31" t="str">
        <f t="shared" si="16"/>
        <v>1232AC03PT</v>
      </c>
      <c r="F1059" s="31">
        <f>VLOOKUP(B1059,[1]Course!$A$2:$R$329,2,FALSE)</f>
        <v>0</v>
      </c>
      <c r="G1059" s="31">
        <f>VLOOKUP(B1059, [1]Course!$A$2:$L$950, 8, FALSE)</f>
        <v>12</v>
      </c>
      <c r="H1059" s="31">
        <v>3</v>
      </c>
      <c r="I1059" s="31">
        <v>1</v>
      </c>
      <c r="K1059" s="31" t="s">
        <v>1548</v>
      </c>
      <c r="L1059" s="31" t="str">
        <f>VLOOKUP(B1059, [1]Course!$A$1:$O$933, 14, FALSE)</f>
        <v>AC</v>
      </c>
      <c r="M1059" s="31">
        <v>1</v>
      </c>
    </row>
    <row r="1060" spans="1:13" ht="15.75" hidden="1" customHeight="1" x14ac:dyDescent="0.2">
      <c r="A1060" s="31">
        <v>1069</v>
      </c>
      <c r="B1060" s="31">
        <v>108</v>
      </c>
      <c r="C1060" s="31">
        <v>1</v>
      </c>
      <c r="D1060" s="31" t="s">
        <v>165</v>
      </c>
      <c r="E1060" s="31" t="str">
        <f t="shared" si="16"/>
        <v>1001CM03PT</v>
      </c>
      <c r="F1060" s="31" t="str">
        <f>VLOOKUP(B1060,[1]Course!$A$2:$R$329,2,FALSE)</f>
        <v>Basic Mathematics I</v>
      </c>
      <c r="G1060" s="31">
        <f>VLOOKUP(B1060, [1]Course!$A$2:$L$950, 8, FALSE)</f>
        <v>10</v>
      </c>
      <c r="H1060" s="31">
        <v>3</v>
      </c>
      <c r="I1060" s="31">
        <v>1</v>
      </c>
      <c r="K1060" s="31" t="s">
        <v>1548</v>
      </c>
      <c r="L1060" s="31" t="str">
        <f>VLOOKUP(B1060, [1]Course!$A$1:$O$933, 14, FALSE)</f>
        <v>CM</v>
      </c>
      <c r="M1060" s="31">
        <v>1</v>
      </c>
    </row>
    <row r="1061" spans="1:13" ht="15.75" hidden="1" customHeight="1" x14ac:dyDescent="0.2">
      <c r="A1061" s="31">
        <v>1070</v>
      </c>
      <c r="B1061" s="31">
        <v>108</v>
      </c>
      <c r="C1061" s="31">
        <v>2</v>
      </c>
      <c r="D1061" s="31" t="s">
        <v>165</v>
      </c>
      <c r="E1061" s="31" t="str">
        <f t="shared" si="16"/>
        <v>1002CM03PT</v>
      </c>
      <c r="F1061" s="31" t="str">
        <f>VLOOKUP(B1061,[1]Course!$A$2:$R$329,2,FALSE)</f>
        <v>Basic Mathematics I</v>
      </c>
      <c r="G1061" s="31">
        <f>VLOOKUP(B1061, [1]Course!$A$2:$L$950, 8, FALSE)</f>
        <v>10</v>
      </c>
      <c r="H1061" s="31">
        <v>3</v>
      </c>
      <c r="I1061" s="31">
        <v>1</v>
      </c>
      <c r="K1061" s="31" t="s">
        <v>1548</v>
      </c>
      <c r="L1061" s="31" t="str">
        <f>VLOOKUP(B1061, [1]Course!$A$1:$O$933, 14, FALSE)</f>
        <v>CM</v>
      </c>
      <c r="M1061" s="31">
        <v>1</v>
      </c>
    </row>
    <row r="1062" spans="1:13" ht="15.75" hidden="1" customHeight="1" x14ac:dyDescent="0.2">
      <c r="A1062" s="31">
        <v>1071</v>
      </c>
      <c r="B1062" s="31">
        <v>108</v>
      </c>
      <c r="C1062" s="31">
        <v>3</v>
      </c>
      <c r="D1062" s="31" t="s">
        <v>165</v>
      </c>
      <c r="E1062" s="31" t="str">
        <f t="shared" si="16"/>
        <v>1003CM03PT</v>
      </c>
      <c r="F1062" s="31" t="str">
        <f>VLOOKUP(B1062,[1]Course!$A$2:$R$329,2,FALSE)</f>
        <v>Basic Mathematics I</v>
      </c>
      <c r="G1062" s="31">
        <f>VLOOKUP(B1062, [1]Course!$A$2:$L$950, 8, FALSE)</f>
        <v>10</v>
      </c>
      <c r="H1062" s="31">
        <v>3</v>
      </c>
      <c r="I1062" s="31">
        <v>1</v>
      </c>
      <c r="K1062" s="31" t="s">
        <v>1548</v>
      </c>
      <c r="L1062" s="31" t="str">
        <f>VLOOKUP(B1062, [1]Course!$A$1:$O$933, 14, FALSE)</f>
        <v>CM</v>
      </c>
      <c r="M1062" s="31">
        <v>1</v>
      </c>
    </row>
    <row r="1063" spans="1:13" ht="15.75" hidden="1" customHeight="1" x14ac:dyDescent="0.2">
      <c r="A1063" s="31">
        <v>1072</v>
      </c>
      <c r="B1063" s="31">
        <v>108</v>
      </c>
      <c r="C1063" s="31">
        <v>4</v>
      </c>
      <c r="D1063" s="31" t="s">
        <v>165</v>
      </c>
      <c r="E1063" s="31" t="str">
        <f t="shared" si="16"/>
        <v>1004CM03PT</v>
      </c>
      <c r="F1063" s="31" t="str">
        <f>VLOOKUP(B1063,[1]Course!$A$2:$R$329,2,FALSE)</f>
        <v>Basic Mathematics I</v>
      </c>
      <c r="G1063" s="31">
        <f>VLOOKUP(B1063, [1]Course!$A$2:$L$950, 8, FALSE)</f>
        <v>10</v>
      </c>
      <c r="H1063" s="31">
        <v>3</v>
      </c>
      <c r="I1063" s="31">
        <v>1</v>
      </c>
      <c r="K1063" s="31" t="s">
        <v>1548</v>
      </c>
      <c r="L1063" s="31" t="str">
        <f>VLOOKUP(B1063, [1]Course!$A$1:$O$933, 14, FALSE)</f>
        <v>CM</v>
      </c>
      <c r="M1063" s="31">
        <v>1</v>
      </c>
    </row>
    <row r="1064" spans="1:13" ht="15.75" hidden="1" customHeight="1" x14ac:dyDescent="0.2">
      <c r="A1064" s="31">
        <v>1073</v>
      </c>
      <c r="B1064" s="31">
        <v>108</v>
      </c>
      <c r="C1064" s="31">
        <v>5</v>
      </c>
      <c r="D1064" s="31" t="s">
        <v>165</v>
      </c>
      <c r="E1064" s="31" t="str">
        <f t="shared" si="16"/>
        <v>1005CM03PT</v>
      </c>
      <c r="F1064" s="31" t="str">
        <f>VLOOKUP(B1064,[1]Course!$A$2:$R$329,2,FALSE)</f>
        <v>Basic Mathematics I</v>
      </c>
      <c r="G1064" s="31">
        <f>VLOOKUP(B1064, [1]Course!$A$2:$L$950, 8, FALSE)</f>
        <v>10</v>
      </c>
      <c r="H1064" s="31">
        <v>3</v>
      </c>
      <c r="I1064" s="31">
        <v>1</v>
      </c>
      <c r="K1064" s="31" t="s">
        <v>1548</v>
      </c>
      <c r="L1064" s="31" t="str">
        <f>VLOOKUP(B1064, [1]Course!$A$1:$O$933, 14, FALSE)</f>
        <v>CM</v>
      </c>
      <c r="M1064" s="31">
        <v>1</v>
      </c>
    </row>
    <row r="1065" spans="1:13" ht="15.75" hidden="1" customHeight="1" x14ac:dyDescent="0.2">
      <c r="A1065" s="31">
        <v>1074</v>
      </c>
      <c r="B1065" s="31">
        <v>108</v>
      </c>
      <c r="C1065" s="31">
        <v>6</v>
      </c>
      <c r="D1065" s="31" t="s">
        <v>165</v>
      </c>
      <c r="E1065" s="31" t="str">
        <f t="shared" si="16"/>
        <v>1006CM03PT</v>
      </c>
      <c r="F1065" s="31" t="str">
        <f>VLOOKUP(B1065,[1]Course!$A$2:$R$329,2,FALSE)</f>
        <v>Basic Mathematics I</v>
      </c>
      <c r="G1065" s="31">
        <f>VLOOKUP(B1065, [1]Course!$A$2:$L$950, 8, FALSE)</f>
        <v>10</v>
      </c>
      <c r="H1065" s="31">
        <v>3</v>
      </c>
      <c r="I1065" s="31">
        <v>1</v>
      </c>
      <c r="K1065" s="31" t="s">
        <v>1548</v>
      </c>
      <c r="L1065" s="31" t="str">
        <f>VLOOKUP(B1065, [1]Course!$A$1:$O$933, 14, FALSE)</f>
        <v>CM</v>
      </c>
      <c r="M1065" s="31">
        <v>1</v>
      </c>
    </row>
    <row r="1066" spans="1:13" ht="15.75" hidden="1" customHeight="1" x14ac:dyDescent="0.2">
      <c r="A1066" s="31">
        <v>1075</v>
      </c>
      <c r="B1066" s="31">
        <v>108</v>
      </c>
      <c r="C1066" s="31">
        <v>7</v>
      </c>
      <c r="D1066" s="31" t="s">
        <v>165</v>
      </c>
      <c r="E1066" s="31" t="str">
        <f t="shared" si="16"/>
        <v>1007CM03PT</v>
      </c>
      <c r="F1066" s="31" t="str">
        <f>VLOOKUP(B1066,[1]Course!$A$2:$R$329,2,FALSE)</f>
        <v>Basic Mathematics I</v>
      </c>
      <c r="G1066" s="31">
        <f>VLOOKUP(B1066, [1]Course!$A$2:$L$950, 8, FALSE)</f>
        <v>10</v>
      </c>
      <c r="H1066" s="31">
        <v>3</v>
      </c>
      <c r="I1066" s="31">
        <v>1</v>
      </c>
      <c r="K1066" s="31" t="s">
        <v>1548</v>
      </c>
      <c r="L1066" s="31" t="str">
        <f>VLOOKUP(B1066, [1]Course!$A$1:$O$933, 14, FALSE)</f>
        <v>CM</v>
      </c>
      <c r="M1066" s="31">
        <v>1</v>
      </c>
    </row>
    <row r="1067" spans="1:13" ht="15.75" hidden="1" customHeight="1" x14ac:dyDescent="0.2">
      <c r="A1067" s="31">
        <v>1076</v>
      </c>
      <c r="B1067" s="31">
        <v>108</v>
      </c>
      <c r="C1067" s="31">
        <v>8</v>
      </c>
      <c r="D1067" s="31" t="s">
        <v>165</v>
      </c>
      <c r="E1067" s="31" t="str">
        <f t="shared" si="16"/>
        <v>1008CM03PT</v>
      </c>
      <c r="F1067" s="31" t="str">
        <f>VLOOKUP(B1067,[1]Course!$A$2:$R$329,2,FALSE)</f>
        <v>Basic Mathematics I</v>
      </c>
      <c r="G1067" s="31">
        <f>VLOOKUP(B1067, [1]Course!$A$2:$L$950, 8, FALSE)</f>
        <v>10</v>
      </c>
      <c r="H1067" s="31">
        <v>3</v>
      </c>
      <c r="I1067" s="31">
        <v>1</v>
      </c>
      <c r="K1067" s="31" t="s">
        <v>1548</v>
      </c>
      <c r="L1067" s="31" t="str">
        <f>VLOOKUP(B1067, [1]Course!$A$1:$O$933, 14, FALSE)</f>
        <v>CM</v>
      </c>
      <c r="M1067" s="31">
        <v>1</v>
      </c>
    </row>
    <row r="1068" spans="1:13" ht="15.75" hidden="1" customHeight="1" x14ac:dyDescent="0.2">
      <c r="A1068" s="31">
        <v>1077</v>
      </c>
      <c r="B1068" s="31">
        <v>108</v>
      </c>
      <c r="C1068" s="31">
        <v>9</v>
      </c>
      <c r="D1068" s="31" t="s">
        <v>165</v>
      </c>
      <c r="E1068" s="31" t="str">
        <f t="shared" si="16"/>
        <v>1009CM03PT</v>
      </c>
      <c r="F1068" s="31" t="str">
        <f>VLOOKUP(B1068,[1]Course!$A$2:$R$329,2,FALSE)</f>
        <v>Basic Mathematics I</v>
      </c>
      <c r="G1068" s="31">
        <f>VLOOKUP(B1068, [1]Course!$A$2:$L$950, 8, FALSE)</f>
        <v>10</v>
      </c>
      <c r="H1068" s="31">
        <v>3</v>
      </c>
      <c r="I1068" s="31">
        <v>1</v>
      </c>
      <c r="K1068" s="31" t="s">
        <v>1548</v>
      </c>
      <c r="L1068" s="31" t="str">
        <f>VLOOKUP(B1068, [1]Course!$A$1:$O$933, 14, FALSE)</f>
        <v>CM</v>
      </c>
      <c r="M1068" s="31">
        <v>1</v>
      </c>
    </row>
    <row r="1069" spans="1:13" ht="15.75" hidden="1" customHeight="1" x14ac:dyDescent="0.2">
      <c r="A1069" s="31">
        <v>1078</v>
      </c>
      <c r="B1069" s="31">
        <v>108</v>
      </c>
      <c r="C1069" s="31">
        <v>10</v>
      </c>
      <c r="D1069" s="31" t="s">
        <v>165</v>
      </c>
      <c r="E1069" s="31" t="str">
        <f t="shared" si="16"/>
        <v>1010CM03PT</v>
      </c>
      <c r="F1069" s="31" t="str">
        <f>VLOOKUP(B1069,[1]Course!$A$2:$R$329,2,FALSE)</f>
        <v>Basic Mathematics I</v>
      </c>
      <c r="G1069" s="31">
        <f>VLOOKUP(B1069, [1]Course!$A$2:$L$950, 8, FALSE)</f>
        <v>10</v>
      </c>
      <c r="H1069" s="31">
        <v>3</v>
      </c>
      <c r="I1069" s="31">
        <v>1</v>
      </c>
      <c r="K1069" s="31" t="s">
        <v>1548</v>
      </c>
      <c r="L1069" s="31" t="str">
        <f>VLOOKUP(B1069, [1]Course!$A$1:$O$933, 14, FALSE)</f>
        <v>CM</v>
      </c>
      <c r="M1069" s="31">
        <v>1</v>
      </c>
    </row>
    <row r="1070" spans="1:13" ht="15.75" hidden="1" customHeight="1" x14ac:dyDescent="0.2">
      <c r="A1070" s="31">
        <v>1079</v>
      </c>
      <c r="B1070" s="31">
        <v>109</v>
      </c>
      <c r="C1070" s="31">
        <v>11</v>
      </c>
      <c r="D1070" s="31" t="s">
        <v>165</v>
      </c>
      <c r="E1070" s="31" t="str">
        <f t="shared" si="16"/>
        <v>1011CM03PT</v>
      </c>
      <c r="F1070" s="31" t="str">
        <f>VLOOKUP(B1070,[1]Course!$A$2:$R$329,2,FALSE)</f>
        <v>Basic Mathematics II Precalculus</v>
      </c>
      <c r="G1070" s="31">
        <f>VLOOKUP(B1070, [1]Course!$A$2:$L$950, 8, FALSE)</f>
        <v>10</v>
      </c>
      <c r="H1070" s="31">
        <v>3</v>
      </c>
      <c r="I1070" s="31">
        <v>1</v>
      </c>
      <c r="K1070" s="31" t="s">
        <v>1548</v>
      </c>
      <c r="L1070" s="31" t="str">
        <f>VLOOKUP(B1070, [1]Course!$A$1:$O$933, 14, FALSE)</f>
        <v>CM</v>
      </c>
      <c r="M1070" s="31">
        <v>1</v>
      </c>
    </row>
    <row r="1071" spans="1:13" ht="15.75" hidden="1" customHeight="1" x14ac:dyDescent="0.2">
      <c r="A1071" s="31">
        <v>1080</v>
      </c>
      <c r="B1071" s="31">
        <v>109</v>
      </c>
      <c r="C1071" s="31">
        <v>12</v>
      </c>
      <c r="D1071" s="31" t="s">
        <v>165</v>
      </c>
      <c r="E1071" s="31" t="str">
        <f t="shared" si="16"/>
        <v>1012CM03PT</v>
      </c>
      <c r="F1071" s="31" t="str">
        <f>VLOOKUP(B1071,[1]Course!$A$2:$R$329,2,FALSE)</f>
        <v>Basic Mathematics II Precalculus</v>
      </c>
      <c r="G1071" s="31">
        <f>VLOOKUP(B1071, [1]Course!$A$2:$L$950, 8, FALSE)</f>
        <v>10</v>
      </c>
      <c r="H1071" s="31">
        <v>3</v>
      </c>
      <c r="I1071" s="31">
        <v>1</v>
      </c>
      <c r="K1071" s="31" t="s">
        <v>1548</v>
      </c>
      <c r="L1071" s="31" t="str">
        <f>VLOOKUP(B1071, [1]Course!$A$1:$O$933, 14, FALSE)</f>
        <v>CM</v>
      </c>
      <c r="M1071" s="31">
        <v>1</v>
      </c>
    </row>
    <row r="1072" spans="1:13" ht="15.75" hidden="1" customHeight="1" x14ac:dyDescent="0.2">
      <c r="A1072" s="31">
        <v>1081</v>
      </c>
      <c r="B1072" s="31">
        <v>109</v>
      </c>
      <c r="C1072" s="31">
        <v>13</v>
      </c>
      <c r="D1072" s="31" t="s">
        <v>165</v>
      </c>
      <c r="E1072" s="31" t="str">
        <f t="shared" si="16"/>
        <v>1013CM03PT</v>
      </c>
      <c r="F1072" s="31" t="str">
        <f>VLOOKUP(B1072,[1]Course!$A$2:$R$329,2,FALSE)</f>
        <v>Basic Mathematics II Precalculus</v>
      </c>
      <c r="G1072" s="31">
        <f>VLOOKUP(B1072, [1]Course!$A$2:$L$950, 8, FALSE)</f>
        <v>10</v>
      </c>
      <c r="H1072" s="31">
        <v>3</v>
      </c>
      <c r="I1072" s="31">
        <v>1</v>
      </c>
      <c r="K1072" s="31" t="s">
        <v>1548</v>
      </c>
      <c r="L1072" s="31" t="str">
        <f>VLOOKUP(B1072, [1]Course!$A$1:$O$933, 14, FALSE)</f>
        <v>CM</v>
      </c>
      <c r="M1072" s="31">
        <v>1</v>
      </c>
    </row>
    <row r="1073" spans="1:13" ht="15.75" hidden="1" customHeight="1" x14ac:dyDescent="0.2">
      <c r="A1073" s="31">
        <v>1082</v>
      </c>
      <c r="B1073" s="31">
        <v>109</v>
      </c>
      <c r="C1073" s="31">
        <v>14</v>
      </c>
      <c r="D1073" s="31" t="s">
        <v>165</v>
      </c>
      <c r="E1073" s="31" t="str">
        <f t="shared" si="16"/>
        <v>1014CM03PT</v>
      </c>
      <c r="F1073" s="31" t="str">
        <f>VLOOKUP(B1073,[1]Course!$A$2:$R$329,2,FALSE)</f>
        <v>Basic Mathematics II Precalculus</v>
      </c>
      <c r="G1073" s="31">
        <f>VLOOKUP(B1073, [1]Course!$A$2:$L$950, 8, FALSE)</f>
        <v>10</v>
      </c>
      <c r="H1073" s="31">
        <v>3</v>
      </c>
      <c r="I1073" s="31">
        <v>1</v>
      </c>
      <c r="K1073" s="31" t="s">
        <v>1548</v>
      </c>
      <c r="L1073" s="31" t="str">
        <f>VLOOKUP(B1073, [1]Course!$A$1:$O$933, 14, FALSE)</f>
        <v>CM</v>
      </c>
      <c r="M1073" s="31">
        <v>1</v>
      </c>
    </row>
    <row r="1074" spans="1:13" ht="15.75" hidden="1" customHeight="1" x14ac:dyDescent="0.2">
      <c r="A1074" s="31">
        <v>1083</v>
      </c>
      <c r="B1074" s="31">
        <v>109</v>
      </c>
      <c r="C1074" s="31">
        <v>15</v>
      </c>
      <c r="D1074" s="31" t="s">
        <v>165</v>
      </c>
      <c r="E1074" s="31" t="str">
        <f t="shared" si="16"/>
        <v>1015CM03PT</v>
      </c>
      <c r="F1074" s="31" t="str">
        <f>VLOOKUP(B1074,[1]Course!$A$2:$R$329,2,FALSE)</f>
        <v>Basic Mathematics II Precalculus</v>
      </c>
      <c r="G1074" s="31">
        <f>VLOOKUP(B1074, [1]Course!$A$2:$L$950, 8, FALSE)</f>
        <v>10</v>
      </c>
      <c r="H1074" s="31">
        <v>3</v>
      </c>
      <c r="I1074" s="31">
        <v>1</v>
      </c>
      <c r="K1074" s="31" t="s">
        <v>1548</v>
      </c>
      <c r="L1074" s="31" t="str">
        <f>VLOOKUP(B1074, [1]Course!$A$1:$O$933, 14, FALSE)</f>
        <v>CM</v>
      </c>
      <c r="M1074" s="31">
        <v>1</v>
      </c>
    </row>
    <row r="1075" spans="1:13" ht="15.75" hidden="1" customHeight="1" x14ac:dyDescent="0.2">
      <c r="A1075" s="31">
        <v>1084</v>
      </c>
      <c r="B1075" s="31">
        <v>109</v>
      </c>
      <c r="C1075" s="31">
        <v>16</v>
      </c>
      <c r="D1075" s="31" t="s">
        <v>165</v>
      </c>
      <c r="E1075" s="31" t="str">
        <f t="shared" si="16"/>
        <v>1016CM03PT</v>
      </c>
      <c r="F1075" s="31" t="str">
        <f>VLOOKUP(B1075,[1]Course!$A$2:$R$329,2,FALSE)</f>
        <v>Basic Mathematics II Precalculus</v>
      </c>
      <c r="G1075" s="31">
        <f>VLOOKUP(B1075, [1]Course!$A$2:$L$950, 8, FALSE)</f>
        <v>10</v>
      </c>
      <c r="H1075" s="31">
        <v>3</v>
      </c>
      <c r="I1075" s="31">
        <v>1</v>
      </c>
      <c r="K1075" s="31" t="s">
        <v>1548</v>
      </c>
      <c r="L1075" s="31" t="str">
        <f>VLOOKUP(B1075, [1]Course!$A$1:$O$933, 14, FALSE)</f>
        <v>CM</v>
      </c>
      <c r="M1075" s="31">
        <v>1</v>
      </c>
    </row>
    <row r="1076" spans="1:13" ht="15.75" hidden="1" customHeight="1" x14ac:dyDescent="0.2">
      <c r="A1076" s="31">
        <v>1085</v>
      </c>
      <c r="B1076" s="31">
        <v>109</v>
      </c>
      <c r="C1076" s="31">
        <v>17</v>
      </c>
      <c r="D1076" s="31" t="s">
        <v>165</v>
      </c>
      <c r="E1076" s="31" t="str">
        <f t="shared" si="16"/>
        <v>1017CM03PT</v>
      </c>
      <c r="F1076" s="31" t="str">
        <f>VLOOKUP(B1076,[1]Course!$A$2:$R$329,2,FALSE)</f>
        <v>Basic Mathematics II Precalculus</v>
      </c>
      <c r="G1076" s="31">
        <f>VLOOKUP(B1076, [1]Course!$A$2:$L$950, 8, FALSE)</f>
        <v>10</v>
      </c>
      <c r="H1076" s="31">
        <v>3</v>
      </c>
      <c r="I1076" s="31">
        <v>1</v>
      </c>
      <c r="K1076" s="31" t="s">
        <v>1548</v>
      </c>
      <c r="L1076" s="31" t="str">
        <f>VLOOKUP(B1076, [1]Course!$A$1:$O$933, 14, FALSE)</f>
        <v>CM</v>
      </c>
      <c r="M1076" s="31">
        <v>1</v>
      </c>
    </row>
    <row r="1077" spans="1:13" ht="15.75" hidden="1" customHeight="1" x14ac:dyDescent="0.2">
      <c r="A1077" s="31">
        <v>1086</v>
      </c>
      <c r="B1077" s="31">
        <v>109</v>
      </c>
      <c r="C1077" s="31">
        <v>18</v>
      </c>
      <c r="D1077" s="31" t="s">
        <v>165</v>
      </c>
      <c r="E1077" s="31" t="str">
        <f t="shared" si="16"/>
        <v>1018CM03PT</v>
      </c>
      <c r="F1077" s="31" t="str">
        <f>VLOOKUP(B1077,[1]Course!$A$2:$R$329,2,FALSE)</f>
        <v>Basic Mathematics II Precalculus</v>
      </c>
      <c r="G1077" s="31">
        <f>VLOOKUP(B1077, [1]Course!$A$2:$L$950, 8, FALSE)</f>
        <v>10</v>
      </c>
      <c r="H1077" s="31">
        <v>3</v>
      </c>
      <c r="I1077" s="31">
        <v>1</v>
      </c>
      <c r="K1077" s="31" t="s">
        <v>1548</v>
      </c>
      <c r="L1077" s="31" t="str">
        <f>VLOOKUP(B1077, [1]Course!$A$1:$O$933, 14, FALSE)</f>
        <v>CM</v>
      </c>
      <c r="M1077" s="31">
        <v>1</v>
      </c>
    </row>
    <row r="1078" spans="1:13" ht="15.75" hidden="1" customHeight="1" x14ac:dyDescent="0.2">
      <c r="A1078" s="31">
        <v>1087</v>
      </c>
      <c r="B1078" s="31">
        <v>109</v>
      </c>
      <c r="C1078" s="31">
        <v>19</v>
      </c>
      <c r="D1078" s="31" t="s">
        <v>165</v>
      </c>
      <c r="E1078" s="31" t="str">
        <f t="shared" si="16"/>
        <v>1019CM03PT</v>
      </c>
      <c r="F1078" s="31" t="str">
        <f>VLOOKUP(B1078,[1]Course!$A$2:$R$329,2,FALSE)</f>
        <v>Basic Mathematics II Precalculus</v>
      </c>
      <c r="G1078" s="31">
        <f>VLOOKUP(B1078, [1]Course!$A$2:$L$950, 8, FALSE)</f>
        <v>10</v>
      </c>
      <c r="H1078" s="31">
        <v>3</v>
      </c>
      <c r="I1078" s="31">
        <v>1</v>
      </c>
      <c r="K1078" s="31" t="s">
        <v>1548</v>
      </c>
      <c r="L1078" s="31" t="str">
        <f>VLOOKUP(B1078, [1]Course!$A$1:$O$933, 14, FALSE)</f>
        <v>CM</v>
      </c>
      <c r="M1078" s="31">
        <v>1</v>
      </c>
    </row>
    <row r="1079" spans="1:13" ht="15.75" hidden="1" customHeight="1" x14ac:dyDescent="0.2">
      <c r="A1079" s="31">
        <v>1088</v>
      </c>
      <c r="B1079" s="31">
        <v>109</v>
      </c>
      <c r="C1079" s="31">
        <v>20</v>
      </c>
      <c r="D1079" s="31" t="s">
        <v>165</v>
      </c>
      <c r="E1079" s="31" t="str">
        <f t="shared" si="16"/>
        <v>1020CM03PT</v>
      </c>
      <c r="F1079" s="31" t="str">
        <f>VLOOKUP(B1079,[1]Course!$A$2:$R$329,2,FALSE)</f>
        <v>Basic Mathematics II Precalculus</v>
      </c>
      <c r="G1079" s="31">
        <f>VLOOKUP(B1079, [1]Course!$A$2:$L$950, 8, FALSE)</f>
        <v>10</v>
      </c>
      <c r="H1079" s="31">
        <v>3</v>
      </c>
      <c r="I1079" s="31">
        <v>1</v>
      </c>
      <c r="K1079" s="31" t="s">
        <v>1548</v>
      </c>
      <c r="L1079" s="31" t="str">
        <f>VLOOKUP(B1079, [1]Course!$A$1:$O$933, 14, FALSE)</f>
        <v>CM</v>
      </c>
      <c r="M1079" s="31">
        <v>1</v>
      </c>
    </row>
    <row r="1080" spans="1:13" ht="15.75" hidden="1" customHeight="1" x14ac:dyDescent="0.2">
      <c r="A1080" s="31">
        <v>1089</v>
      </c>
      <c r="B1080" s="31">
        <v>110</v>
      </c>
      <c r="C1080" s="31">
        <v>139</v>
      </c>
      <c r="D1080" s="31" t="s">
        <v>163</v>
      </c>
      <c r="E1080" s="31" t="str">
        <f t="shared" si="16"/>
        <v>639HM03PT</v>
      </c>
      <c r="F1080" s="31">
        <f>VLOOKUP(B1080,[1]Course!$A$2:$R$329,2,FALSE)</f>
        <v>0</v>
      </c>
      <c r="G1080" s="31">
        <f>VLOOKUP(B1080, [1]Course!$A$2:$L$950, 8, FALSE)</f>
        <v>6</v>
      </c>
      <c r="H1080" s="31">
        <v>3</v>
      </c>
      <c r="I1080" s="31">
        <v>1</v>
      </c>
      <c r="K1080" s="31" t="s">
        <v>1548</v>
      </c>
      <c r="L1080" s="31" t="str">
        <f>VLOOKUP(B1080, [1]Course!$A$1:$O$933, 14, FALSE)</f>
        <v>HM</v>
      </c>
      <c r="M1080" s="31">
        <v>1</v>
      </c>
    </row>
    <row r="1081" spans="1:13" ht="15.75" hidden="1" customHeight="1" x14ac:dyDescent="0.2">
      <c r="A1081" s="31">
        <v>1090</v>
      </c>
      <c r="B1081" s="31">
        <v>110</v>
      </c>
      <c r="C1081" s="31">
        <v>140</v>
      </c>
      <c r="D1081" s="31" t="s">
        <v>163</v>
      </c>
      <c r="E1081" s="31" t="str">
        <f t="shared" si="16"/>
        <v>640HM03PT</v>
      </c>
      <c r="F1081" s="31">
        <f>VLOOKUP(B1081,[1]Course!$A$2:$R$329,2,FALSE)</f>
        <v>0</v>
      </c>
      <c r="G1081" s="31">
        <f>VLOOKUP(B1081, [1]Course!$A$2:$L$950, 8, FALSE)</f>
        <v>6</v>
      </c>
      <c r="H1081" s="31">
        <v>3</v>
      </c>
      <c r="I1081" s="31">
        <v>1</v>
      </c>
      <c r="K1081" s="31" t="s">
        <v>1548</v>
      </c>
      <c r="L1081" s="31" t="str">
        <f>VLOOKUP(B1081, [1]Course!$A$1:$O$933, 14, FALSE)</f>
        <v>HM</v>
      </c>
      <c r="M1081" s="31">
        <v>1</v>
      </c>
    </row>
    <row r="1082" spans="1:13" ht="15.75" hidden="1" customHeight="1" x14ac:dyDescent="0.2">
      <c r="A1082" s="31">
        <v>1091</v>
      </c>
      <c r="B1082" s="31">
        <v>110</v>
      </c>
      <c r="C1082" s="31">
        <v>141</v>
      </c>
      <c r="D1082" s="31" t="s">
        <v>163</v>
      </c>
      <c r="E1082" s="31" t="str">
        <f t="shared" si="16"/>
        <v>641HM03PT</v>
      </c>
      <c r="F1082" s="31">
        <f>VLOOKUP(B1082,[1]Course!$A$2:$R$329,2,FALSE)</f>
        <v>0</v>
      </c>
      <c r="G1082" s="31">
        <f>VLOOKUP(B1082, [1]Course!$A$2:$L$950, 8, FALSE)</f>
        <v>6</v>
      </c>
      <c r="H1082" s="31">
        <v>3</v>
      </c>
      <c r="I1082" s="31">
        <v>1</v>
      </c>
      <c r="K1082" s="31" t="s">
        <v>1548</v>
      </c>
      <c r="L1082" s="31" t="str">
        <f>VLOOKUP(B1082, [1]Course!$A$1:$O$933, 14, FALSE)</f>
        <v>HM</v>
      </c>
      <c r="M1082" s="31">
        <v>1</v>
      </c>
    </row>
    <row r="1083" spans="1:13" ht="15.75" hidden="1" customHeight="1" x14ac:dyDescent="0.2">
      <c r="A1083" s="31">
        <v>1092</v>
      </c>
      <c r="B1083" s="31">
        <v>110</v>
      </c>
      <c r="C1083" s="31">
        <v>142</v>
      </c>
      <c r="D1083" s="31" t="s">
        <v>163</v>
      </c>
      <c r="E1083" s="31" t="str">
        <f t="shared" si="16"/>
        <v>642HM03PT</v>
      </c>
      <c r="F1083" s="31">
        <f>VLOOKUP(B1083,[1]Course!$A$2:$R$329,2,FALSE)</f>
        <v>0</v>
      </c>
      <c r="G1083" s="31">
        <f>VLOOKUP(B1083, [1]Course!$A$2:$L$950, 8, FALSE)</f>
        <v>6</v>
      </c>
      <c r="H1083" s="31">
        <v>3</v>
      </c>
      <c r="I1083" s="31">
        <v>1</v>
      </c>
      <c r="K1083" s="31" t="s">
        <v>1548</v>
      </c>
      <c r="L1083" s="31" t="str">
        <f>VLOOKUP(B1083, [1]Course!$A$1:$O$933, 14, FALSE)</f>
        <v>HM</v>
      </c>
      <c r="M1083" s="31">
        <v>1</v>
      </c>
    </row>
    <row r="1084" spans="1:13" ht="15.75" hidden="1" customHeight="1" x14ac:dyDescent="0.2">
      <c r="A1084" s="31">
        <v>1093</v>
      </c>
      <c r="B1084" s="31">
        <v>110</v>
      </c>
      <c r="C1084" s="31">
        <v>143</v>
      </c>
      <c r="D1084" s="31" t="s">
        <v>163</v>
      </c>
      <c r="E1084" s="31" t="str">
        <f t="shared" si="16"/>
        <v>643HM03PT</v>
      </c>
      <c r="F1084" s="31">
        <f>VLOOKUP(B1084,[1]Course!$A$2:$R$329,2,FALSE)</f>
        <v>0</v>
      </c>
      <c r="G1084" s="31">
        <f>VLOOKUP(B1084, [1]Course!$A$2:$L$950, 8, FALSE)</f>
        <v>6</v>
      </c>
      <c r="H1084" s="31">
        <v>3</v>
      </c>
      <c r="I1084" s="31">
        <v>1</v>
      </c>
      <c r="K1084" s="31" t="s">
        <v>1548</v>
      </c>
      <c r="L1084" s="31" t="str">
        <f>VLOOKUP(B1084, [1]Course!$A$1:$O$933, 14, FALSE)</f>
        <v>HM</v>
      </c>
      <c r="M1084" s="31">
        <v>1</v>
      </c>
    </row>
    <row r="1085" spans="1:13" ht="15.75" hidden="1" customHeight="1" x14ac:dyDescent="0.2">
      <c r="A1085" s="31">
        <v>1094</v>
      </c>
      <c r="B1085" s="31">
        <v>110</v>
      </c>
      <c r="C1085" s="31">
        <v>144</v>
      </c>
      <c r="D1085" s="31" t="s">
        <v>163</v>
      </c>
      <c r="E1085" s="31" t="str">
        <f t="shared" si="16"/>
        <v>644HM03PT</v>
      </c>
      <c r="F1085" s="31">
        <f>VLOOKUP(B1085,[1]Course!$A$2:$R$329,2,FALSE)</f>
        <v>0</v>
      </c>
      <c r="G1085" s="31">
        <f>VLOOKUP(B1085, [1]Course!$A$2:$L$950, 8, FALSE)</f>
        <v>6</v>
      </c>
      <c r="H1085" s="31">
        <v>3</v>
      </c>
      <c r="I1085" s="31">
        <v>1</v>
      </c>
      <c r="K1085" s="31" t="s">
        <v>1548</v>
      </c>
      <c r="L1085" s="31" t="str">
        <f>VLOOKUP(B1085, [1]Course!$A$1:$O$933, 14, FALSE)</f>
        <v>HM</v>
      </c>
      <c r="M1085" s="31">
        <v>1</v>
      </c>
    </row>
    <row r="1086" spans="1:13" ht="15.75" hidden="1" customHeight="1" x14ac:dyDescent="0.2">
      <c r="A1086" s="31">
        <v>1095</v>
      </c>
      <c r="B1086" s="31">
        <v>111</v>
      </c>
      <c r="C1086" s="31">
        <v>133</v>
      </c>
      <c r="D1086" s="31" t="s">
        <v>160</v>
      </c>
      <c r="E1086" s="31" t="str">
        <f t="shared" si="16"/>
        <v>633TR03PT</v>
      </c>
      <c r="F1086" s="31">
        <f>VLOOKUP(B1086,[1]Course!$A$2:$R$329,2,FALSE)</f>
        <v>0</v>
      </c>
      <c r="G1086" s="31">
        <f>VLOOKUP(B1086, [1]Course!$A$2:$L$950, 8, FALSE)</f>
        <v>6</v>
      </c>
      <c r="H1086" s="31">
        <v>3</v>
      </c>
      <c r="I1086" s="31">
        <v>1</v>
      </c>
      <c r="K1086" s="31" t="s">
        <v>1548</v>
      </c>
      <c r="L1086" s="31" t="str">
        <f>VLOOKUP(B1086, [1]Course!$A$1:$O$933, 14, FALSE)</f>
        <v>TR</v>
      </c>
      <c r="M1086" s="31">
        <v>1</v>
      </c>
    </row>
    <row r="1087" spans="1:13" ht="15.75" hidden="1" customHeight="1" x14ac:dyDescent="0.2">
      <c r="A1087" s="31">
        <v>1096</v>
      </c>
      <c r="B1087" s="31">
        <v>111</v>
      </c>
      <c r="C1087" s="31">
        <v>134</v>
      </c>
      <c r="D1087" s="31" t="s">
        <v>160</v>
      </c>
      <c r="E1087" s="31" t="str">
        <f t="shared" si="16"/>
        <v>634TR03PT</v>
      </c>
      <c r="F1087" s="31">
        <f>VLOOKUP(B1087,[1]Course!$A$2:$R$329,2,FALSE)</f>
        <v>0</v>
      </c>
      <c r="G1087" s="31">
        <f>VLOOKUP(B1087, [1]Course!$A$2:$L$950, 8, FALSE)</f>
        <v>6</v>
      </c>
      <c r="H1087" s="31">
        <v>3</v>
      </c>
      <c r="I1087" s="31">
        <v>1</v>
      </c>
      <c r="K1087" s="31" t="s">
        <v>1548</v>
      </c>
      <c r="L1087" s="31" t="str">
        <f>VLOOKUP(B1087, [1]Course!$A$1:$O$933, 14, FALSE)</f>
        <v>TR</v>
      </c>
      <c r="M1087" s="31">
        <v>1</v>
      </c>
    </row>
    <row r="1088" spans="1:13" ht="15.75" hidden="1" customHeight="1" x14ac:dyDescent="0.2">
      <c r="A1088" s="31">
        <v>1097</v>
      </c>
      <c r="B1088" s="31">
        <v>111</v>
      </c>
      <c r="C1088" s="31">
        <v>135</v>
      </c>
      <c r="D1088" s="31" t="s">
        <v>160</v>
      </c>
      <c r="E1088" s="31" t="str">
        <f t="shared" si="16"/>
        <v>635TR03PT</v>
      </c>
      <c r="F1088" s="31">
        <f>VLOOKUP(B1088,[1]Course!$A$2:$R$329,2,FALSE)</f>
        <v>0</v>
      </c>
      <c r="G1088" s="31">
        <f>VLOOKUP(B1088, [1]Course!$A$2:$L$950, 8, FALSE)</f>
        <v>6</v>
      </c>
      <c r="H1088" s="31">
        <v>3</v>
      </c>
      <c r="I1088" s="31">
        <v>1</v>
      </c>
      <c r="K1088" s="31" t="s">
        <v>1548</v>
      </c>
      <c r="L1088" s="31" t="str">
        <f>VLOOKUP(B1088, [1]Course!$A$1:$O$933, 14, FALSE)</f>
        <v>TR</v>
      </c>
      <c r="M1088" s="31">
        <v>1</v>
      </c>
    </row>
    <row r="1089" spans="1:13" ht="15.75" hidden="1" customHeight="1" x14ac:dyDescent="0.2">
      <c r="A1089" s="31">
        <v>1098</v>
      </c>
      <c r="B1089" s="31">
        <v>111</v>
      </c>
      <c r="C1089" s="31">
        <v>136</v>
      </c>
      <c r="D1089" s="31" t="s">
        <v>160</v>
      </c>
      <c r="E1089" s="31" t="str">
        <f t="shared" si="16"/>
        <v>636TR03PT</v>
      </c>
      <c r="F1089" s="31">
        <f>VLOOKUP(B1089,[1]Course!$A$2:$R$329,2,FALSE)</f>
        <v>0</v>
      </c>
      <c r="G1089" s="31">
        <f>VLOOKUP(B1089, [1]Course!$A$2:$L$950, 8, FALSE)</f>
        <v>6</v>
      </c>
      <c r="H1089" s="31">
        <v>3</v>
      </c>
      <c r="I1089" s="31">
        <v>1</v>
      </c>
      <c r="K1089" s="31" t="s">
        <v>1548</v>
      </c>
      <c r="L1089" s="31" t="str">
        <f>VLOOKUP(B1089, [1]Course!$A$1:$O$933, 14, FALSE)</f>
        <v>TR</v>
      </c>
      <c r="M1089" s="31">
        <v>1</v>
      </c>
    </row>
    <row r="1090" spans="1:13" ht="15.75" hidden="1" customHeight="1" x14ac:dyDescent="0.2">
      <c r="A1090" s="31">
        <v>1099</v>
      </c>
      <c r="B1090" s="31">
        <v>111</v>
      </c>
      <c r="C1090" s="31">
        <v>137</v>
      </c>
      <c r="D1090" s="31" t="s">
        <v>160</v>
      </c>
      <c r="E1090" s="31" t="str">
        <f t="shared" si="16"/>
        <v>637TR03PT</v>
      </c>
      <c r="F1090" s="31">
        <f>VLOOKUP(B1090,[1]Course!$A$2:$R$329,2,FALSE)</f>
        <v>0</v>
      </c>
      <c r="G1090" s="31">
        <f>VLOOKUP(B1090, [1]Course!$A$2:$L$950, 8, FALSE)</f>
        <v>6</v>
      </c>
      <c r="H1090" s="31">
        <v>3</v>
      </c>
      <c r="I1090" s="31">
        <v>1</v>
      </c>
      <c r="K1090" s="31" t="s">
        <v>1548</v>
      </c>
      <c r="L1090" s="31" t="str">
        <f>VLOOKUP(B1090, [1]Course!$A$1:$O$933, 14, FALSE)</f>
        <v>TR</v>
      </c>
      <c r="M1090" s="31">
        <v>1</v>
      </c>
    </row>
    <row r="1091" spans="1:13" ht="15.75" hidden="1" customHeight="1" x14ac:dyDescent="0.2">
      <c r="A1091" s="31">
        <v>1100</v>
      </c>
      <c r="B1091" s="31">
        <v>111</v>
      </c>
      <c r="C1091" s="31">
        <v>138</v>
      </c>
      <c r="D1091" s="31" t="s">
        <v>160</v>
      </c>
      <c r="E1091" s="31" t="str">
        <f t="shared" ref="E1091:E1154" si="17">UPPER(LEFT(G1091,2)) &amp; RIGHT("0" &amp; C1091, 2) &amp; D1091 &amp; RIGHT("0" &amp; H1091, 2) &amp; K1091</f>
        <v>638TR03PT</v>
      </c>
      <c r="F1091" s="31">
        <f>VLOOKUP(B1091,[1]Course!$A$2:$R$329,2,FALSE)</f>
        <v>0</v>
      </c>
      <c r="G1091" s="31">
        <f>VLOOKUP(B1091, [1]Course!$A$2:$L$950, 8, FALSE)</f>
        <v>6</v>
      </c>
      <c r="H1091" s="31">
        <v>3</v>
      </c>
      <c r="I1091" s="31">
        <v>1</v>
      </c>
      <c r="K1091" s="31" t="s">
        <v>1548</v>
      </c>
      <c r="L1091" s="31" t="str">
        <f>VLOOKUP(B1091, [1]Course!$A$1:$O$933, 14, FALSE)</f>
        <v>TR</v>
      </c>
      <c r="M1091" s="31">
        <v>1</v>
      </c>
    </row>
    <row r="1092" spans="1:13" ht="15.75" hidden="1" customHeight="1" x14ac:dyDescent="0.2">
      <c r="A1092" s="31">
        <v>1101</v>
      </c>
      <c r="B1092" s="31">
        <v>112</v>
      </c>
      <c r="C1092" s="31">
        <v>11</v>
      </c>
      <c r="D1092" s="31" t="s">
        <v>112</v>
      </c>
      <c r="E1092" s="31" t="str">
        <f t="shared" si="17"/>
        <v>1011EC03PT</v>
      </c>
      <c r="F1092" s="31">
        <f>VLOOKUP(B1092,[1]Course!$A$2:$R$329,2,FALSE)</f>
        <v>0</v>
      </c>
      <c r="G1092" s="31">
        <f>VLOOKUP(B1092, [1]Course!$A$2:$L$950, 8, FALSE)</f>
        <v>10</v>
      </c>
      <c r="H1092" s="31">
        <v>3</v>
      </c>
      <c r="I1092" s="31">
        <v>1</v>
      </c>
      <c r="K1092" s="31" t="s">
        <v>1548</v>
      </c>
      <c r="L1092" s="31" t="str">
        <f>VLOOKUP(B1092, [1]Course!$A$1:$O$933, 14, FALSE)</f>
        <v>EC</v>
      </c>
      <c r="M1092" s="31">
        <v>1</v>
      </c>
    </row>
    <row r="1093" spans="1:13" ht="15.75" hidden="1" customHeight="1" x14ac:dyDescent="0.2">
      <c r="A1093" s="31">
        <v>1102</v>
      </c>
      <c r="B1093" s="31">
        <v>112</v>
      </c>
      <c r="C1093" s="31">
        <v>12</v>
      </c>
      <c r="D1093" s="31" t="s">
        <v>112</v>
      </c>
      <c r="E1093" s="31" t="str">
        <f t="shared" si="17"/>
        <v>1012EC03PT</v>
      </c>
      <c r="F1093" s="31">
        <f>VLOOKUP(B1093,[1]Course!$A$2:$R$329,2,FALSE)</f>
        <v>0</v>
      </c>
      <c r="G1093" s="31">
        <f>VLOOKUP(B1093, [1]Course!$A$2:$L$950, 8, FALSE)</f>
        <v>10</v>
      </c>
      <c r="H1093" s="31">
        <v>3</v>
      </c>
      <c r="I1093" s="31">
        <v>1</v>
      </c>
      <c r="K1093" s="31" t="s">
        <v>1548</v>
      </c>
      <c r="L1093" s="31" t="str">
        <f>VLOOKUP(B1093, [1]Course!$A$1:$O$933, 14, FALSE)</f>
        <v>EC</v>
      </c>
      <c r="M1093" s="31">
        <v>1</v>
      </c>
    </row>
    <row r="1094" spans="1:13" ht="15.75" hidden="1" customHeight="1" x14ac:dyDescent="0.2">
      <c r="A1094" s="31">
        <v>1103</v>
      </c>
      <c r="B1094" s="31">
        <v>112</v>
      </c>
      <c r="C1094" s="31">
        <v>13</v>
      </c>
      <c r="D1094" s="31" t="s">
        <v>112</v>
      </c>
      <c r="E1094" s="31" t="str">
        <f t="shared" si="17"/>
        <v>1013EC03PT</v>
      </c>
      <c r="F1094" s="31">
        <f>VLOOKUP(B1094,[1]Course!$A$2:$R$329,2,FALSE)</f>
        <v>0</v>
      </c>
      <c r="G1094" s="31">
        <f>VLOOKUP(B1094, [1]Course!$A$2:$L$950, 8, FALSE)</f>
        <v>10</v>
      </c>
      <c r="H1094" s="31">
        <v>3</v>
      </c>
      <c r="I1094" s="31">
        <v>1</v>
      </c>
      <c r="K1094" s="31" t="s">
        <v>1548</v>
      </c>
      <c r="L1094" s="31" t="str">
        <f>VLOOKUP(B1094, [1]Course!$A$1:$O$933, 14, FALSE)</f>
        <v>EC</v>
      </c>
      <c r="M1094" s="31">
        <v>1</v>
      </c>
    </row>
    <row r="1095" spans="1:13" ht="15.75" hidden="1" customHeight="1" x14ac:dyDescent="0.2">
      <c r="A1095" s="31">
        <v>1104</v>
      </c>
      <c r="B1095" s="31">
        <v>112</v>
      </c>
      <c r="C1095" s="31">
        <v>14</v>
      </c>
      <c r="D1095" s="31" t="s">
        <v>112</v>
      </c>
      <c r="E1095" s="31" t="str">
        <f t="shared" si="17"/>
        <v>1014EC03PT</v>
      </c>
      <c r="F1095" s="31">
        <f>VLOOKUP(B1095,[1]Course!$A$2:$R$329,2,FALSE)</f>
        <v>0</v>
      </c>
      <c r="G1095" s="31">
        <f>VLOOKUP(B1095, [1]Course!$A$2:$L$950, 8, FALSE)</f>
        <v>10</v>
      </c>
      <c r="H1095" s="31">
        <v>3</v>
      </c>
      <c r="I1095" s="31">
        <v>1</v>
      </c>
      <c r="K1095" s="31" t="s">
        <v>1548</v>
      </c>
      <c r="L1095" s="31" t="str">
        <f>VLOOKUP(B1095, [1]Course!$A$1:$O$933, 14, FALSE)</f>
        <v>EC</v>
      </c>
      <c r="M1095" s="31">
        <v>1</v>
      </c>
    </row>
    <row r="1096" spans="1:13" ht="15.75" hidden="1" customHeight="1" x14ac:dyDescent="0.2">
      <c r="A1096" s="31">
        <v>1105</v>
      </c>
      <c r="B1096" s="31">
        <v>112</v>
      </c>
      <c r="C1096" s="31">
        <v>15</v>
      </c>
      <c r="D1096" s="31" t="s">
        <v>112</v>
      </c>
      <c r="E1096" s="31" t="str">
        <f t="shared" si="17"/>
        <v>1015EC03PT</v>
      </c>
      <c r="F1096" s="31">
        <f>VLOOKUP(B1096,[1]Course!$A$2:$R$329,2,FALSE)</f>
        <v>0</v>
      </c>
      <c r="G1096" s="31">
        <f>VLOOKUP(B1096, [1]Course!$A$2:$L$950, 8, FALSE)</f>
        <v>10</v>
      </c>
      <c r="H1096" s="31">
        <v>3</v>
      </c>
      <c r="I1096" s="31">
        <v>1</v>
      </c>
      <c r="K1096" s="31" t="s">
        <v>1548</v>
      </c>
      <c r="L1096" s="31" t="str">
        <f>VLOOKUP(B1096, [1]Course!$A$1:$O$933, 14, FALSE)</f>
        <v>EC</v>
      </c>
      <c r="M1096" s="31">
        <v>1</v>
      </c>
    </row>
    <row r="1097" spans="1:13" ht="15.75" hidden="1" customHeight="1" x14ac:dyDescent="0.2">
      <c r="A1097" s="31">
        <v>1106</v>
      </c>
      <c r="B1097" s="31">
        <v>112</v>
      </c>
      <c r="C1097" s="31">
        <v>16</v>
      </c>
      <c r="D1097" s="31" t="s">
        <v>112</v>
      </c>
      <c r="E1097" s="31" t="str">
        <f t="shared" si="17"/>
        <v>1016EC03PT</v>
      </c>
      <c r="F1097" s="31">
        <f>VLOOKUP(B1097,[1]Course!$A$2:$R$329,2,FALSE)</f>
        <v>0</v>
      </c>
      <c r="G1097" s="31">
        <f>VLOOKUP(B1097, [1]Course!$A$2:$L$950, 8, FALSE)</f>
        <v>10</v>
      </c>
      <c r="H1097" s="31">
        <v>3</v>
      </c>
      <c r="I1097" s="31">
        <v>1</v>
      </c>
      <c r="K1097" s="31" t="s">
        <v>1548</v>
      </c>
      <c r="L1097" s="31" t="str">
        <f>VLOOKUP(B1097, [1]Course!$A$1:$O$933, 14, FALSE)</f>
        <v>EC</v>
      </c>
      <c r="M1097" s="31">
        <v>1</v>
      </c>
    </row>
    <row r="1098" spans="1:13" ht="15.75" hidden="1" customHeight="1" x14ac:dyDescent="0.2">
      <c r="A1098" s="31">
        <v>1107</v>
      </c>
      <c r="B1098" s="31">
        <v>112</v>
      </c>
      <c r="C1098" s="31">
        <v>17</v>
      </c>
      <c r="D1098" s="31" t="s">
        <v>112</v>
      </c>
      <c r="E1098" s="31" t="str">
        <f t="shared" si="17"/>
        <v>1017EC03PT</v>
      </c>
      <c r="F1098" s="31">
        <f>VLOOKUP(B1098,[1]Course!$A$2:$R$329,2,FALSE)</f>
        <v>0</v>
      </c>
      <c r="G1098" s="31">
        <f>VLOOKUP(B1098, [1]Course!$A$2:$L$950, 8, FALSE)</f>
        <v>10</v>
      </c>
      <c r="H1098" s="31">
        <v>3</v>
      </c>
      <c r="I1098" s="31">
        <v>1</v>
      </c>
      <c r="K1098" s="31" t="s">
        <v>1548</v>
      </c>
      <c r="L1098" s="31" t="str">
        <f>VLOOKUP(B1098, [1]Course!$A$1:$O$933, 14, FALSE)</f>
        <v>EC</v>
      </c>
      <c r="M1098" s="31">
        <v>1</v>
      </c>
    </row>
    <row r="1099" spans="1:13" ht="15.75" hidden="1" customHeight="1" x14ac:dyDescent="0.2">
      <c r="A1099" s="31">
        <v>1108</v>
      </c>
      <c r="B1099" s="31">
        <v>112</v>
      </c>
      <c r="C1099" s="31">
        <v>18</v>
      </c>
      <c r="D1099" s="31" t="s">
        <v>112</v>
      </c>
      <c r="E1099" s="31" t="str">
        <f t="shared" si="17"/>
        <v>1018EC03PT</v>
      </c>
      <c r="F1099" s="31">
        <f>VLOOKUP(B1099,[1]Course!$A$2:$R$329,2,FALSE)</f>
        <v>0</v>
      </c>
      <c r="G1099" s="31">
        <f>VLOOKUP(B1099, [1]Course!$A$2:$L$950, 8, FALSE)</f>
        <v>10</v>
      </c>
      <c r="H1099" s="31">
        <v>3</v>
      </c>
      <c r="I1099" s="31">
        <v>1</v>
      </c>
      <c r="K1099" s="31" t="s">
        <v>1548</v>
      </c>
      <c r="L1099" s="31" t="str">
        <f>VLOOKUP(B1099, [1]Course!$A$1:$O$933, 14, FALSE)</f>
        <v>EC</v>
      </c>
      <c r="M1099" s="31">
        <v>1</v>
      </c>
    </row>
    <row r="1100" spans="1:13" ht="15.75" hidden="1" customHeight="1" x14ac:dyDescent="0.2">
      <c r="A1100" s="31">
        <v>1109</v>
      </c>
      <c r="B1100" s="31">
        <v>112</v>
      </c>
      <c r="C1100" s="31">
        <v>19</v>
      </c>
      <c r="D1100" s="31" t="s">
        <v>112</v>
      </c>
      <c r="E1100" s="31" t="str">
        <f t="shared" si="17"/>
        <v>1019EC03PT</v>
      </c>
      <c r="F1100" s="31">
        <f>VLOOKUP(B1100,[1]Course!$A$2:$R$329,2,FALSE)</f>
        <v>0</v>
      </c>
      <c r="G1100" s="31">
        <f>VLOOKUP(B1100, [1]Course!$A$2:$L$950, 8, FALSE)</f>
        <v>10</v>
      </c>
      <c r="H1100" s="31">
        <v>3</v>
      </c>
      <c r="I1100" s="31">
        <v>1</v>
      </c>
      <c r="K1100" s="31" t="s">
        <v>1548</v>
      </c>
      <c r="L1100" s="31" t="str">
        <f>VLOOKUP(B1100, [1]Course!$A$1:$O$933, 14, FALSE)</f>
        <v>EC</v>
      </c>
      <c r="M1100" s="31">
        <v>1</v>
      </c>
    </row>
    <row r="1101" spans="1:13" ht="15.75" hidden="1" customHeight="1" x14ac:dyDescent="0.2">
      <c r="A1101" s="31">
        <v>1110</v>
      </c>
      <c r="B1101" s="31">
        <v>112</v>
      </c>
      <c r="C1101" s="31">
        <v>20</v>
      </c>
      <c r="D1101" s="31" t="s">
        <v>112</v>
      </c>
      <c r="E1101" s="31" t="str">
        <f t="shared" si="17"/>
        <v>1020EC03PT</v>
      </c>
      <c r="F1101" s="31">
        <f>VLOOKUP(B1101,[1]Course!$A$2:$R$329,2,FALSE)</f>
        <v>0</v>
      </c>
      <c r="G1101" s="31">
        <f>VLOOKUP(B1101, [1]Course!$A$2:$L$950, 8, FALSE)</f>
        <v>10</v>
      </c>
      <c r="H1101" s="31">
        <v>3</v>
      </c>
      <c r="I1101" s="31">
        <v>1</v>
      </c>
      <c r="K1101" s="31" t="s">
        <v>1548</v>
      </c>
      <c r="L1101" s="31" t="str">
        <f>VLOOKUP(B1101, [1]Course!$A$1:$O$933, 14, FALSE)</f>
        <v>EC</v>
      </c>
      <c r="M1101" s="31">
        <v>1</v>
      </c>
    </row>
    <row r="1102" spans="1:13" ht="15.75" hidden="1" customHeight="1" x14ac:dyDescent="0.2">
      <c r="A1102" s="31">
        <v>1111</v>
      </c>
      <c r="B1102" s="31">
        <v>113</v>
      </c>
      <c r="C1102" s="31">
        <v>133</v>
      </c>
      <c r="D1102" s="31" t="s">
        <v>155</v>
      </c>
      <c r="E1102" s="31" t="str">
        <f t="shared" si="17"/>
        <v>1233EN03PT</v>
      </c>
      <c r="F1102" s="31">
        <f>VLOOKUP(B1102,[1]Course!$A$2:$R$329,2,FALSE)</f>
        <v>0</v>
      </c>
      <c r="G1102" s="31">
        <f>VLOOKUP(B1102, [1]Course!$A$2:$L$950, 8, FALSE)</f>
        <v>12</v>
      </c>
      <c r="H1102" s="31">
        <v>3</v>
      </c>
      <c r="I1102" s="31">
        <v>1</v>
      </c>
      <c r="K1102" s="31" t="s">
        <v>1548</v>
      </c>
      <c r="L1102" s="31" t="str">
        <f>VLOOKUP(B1102, [1]Course!$A$1:$O$933, 14, FALSE)</f>
        <v>EN</v>
      </c>
      <c r="M1102" s="31">
        <v>1</v>
      </c>
    </row>
    <row r="1103" spans="1:13" ht="15.75" hidden="1" customHeight="1" x14ac:dyDescent="0.2">
      <c r="A1103" s="31">
        <v>1112</v>
      </c>
      <c r="B1103" s="31">
        <v>113</v>
      </c>
      <c r="C1103" s="31">
        <v>134</v>
      </c>
      <c r="D1103" s="31" t="s">
        <v>155</v>
      </c>
      <c r="E1103" s="31" t="str">
        <f t="shared" si="17"/>
        <v>1234EN03PT</v>
      </c>
      <c r="F1103" s="31">
        <f>VLOOKUP(B1103,[1]Course!$A$2:$R$329,2,FALSE)</f>
        <v>0</v>
      </c>
      <c r="G1103" s="31">
        <f>VLOOKUP(B1103, [1]Course!$A$2:$L$950, 8, FALSE)</f>
        <v>12</v>
      </c>
      <c r="H1103" s="31">
        <v>3</v>
      </c>
      <c r="I1103" s="31">
        <v>1</v>
      </c>
      <c r="K1103" s="31" t="s">
        <v>1548</v>
      </c>
      <c r="L1103" s="31" t="str">
        <f>VLOOKUP(B1103, [1]Course!$A$1:$O$933, 14, FALSE)</f>
        <v>EN</v>
      </c>
      <c r="M1103" s="31">
        <v>1</v>
      </c>
    </row>
    <row r="1104" spans="1:13" ht="15.75" hidden="1" customHeight="1" x14ac:dyDescent="0.2">
      <c r="A1104" s="31">
        <v>1113</v>
      </c>
      <c r="B1104" s="31">
        <v>113</v>
      </c>
      <c r="C1104" s="31">
        <v>135</v>
      </c>
      <c r="D1104" s="31" t="s">
        <v>155</v>
      </c>
      <c r="E1104" s="31" t="str">
        <f t="shared" si="17"/>
        <v>1235EN03PT</v>
      </c>
      <c r="F1104" s="31">
        <f>VLOOKUP(B1104,[1]Course!$A$2:$R$329,2,FALSE)</f>
        <v>0</v>
      </c>
      <c r="G1104" s="31">
        <f>VLOOKUP(B1104, [1]Course!$A$2:$L$950, 8, FALSE)</f>
        <v>12</v>
      </c>
      <c r="H1104" s="31">
        <v>3</v>
      </c>
      <c r="I1104" s="31">
        <v>1</v>
      </c>
      <c r="K1104" s="31" t="s">
        <v>1548</v>
      </c>
      <c r="L1104" s="31" t="str">
        <f>VLOOKUP(B1104, [1]Course!$A$1:$O$933, 14, FALSE)</f>
        <v>EN</v>
      </c>
      <c r="M1104" s="31">
        <v>1</v>
      </c>
    </row>
    <row r="1105" spans="1:13" ht="15.75" hidden="1" customHeight="1" x14ac:dyDescent="0.2">
      <c r="A1105" s="31">
        <v>1114</v>
      </c>
      <c r="B1105" s="31">
        <v>113</v>
      </c>
      <c r="C1105" s="31">
        <v>136</v>
      </c>
      <c r="D1105" s="31" t="s">
        <v>155</v>
      </c>
      <c r="E1105" s="31" t="str">
        <f t="shared" si="17"/>
        <v>1236EN03PT</v>
      </c>
      <c r="F1105" s="31">
        <f>VLOOKUP(B1105,[1]Course!$A$2:$R$329,2,FALSE)</f>
        <v>0</v>
      </c>
      <c r="G1105" s="31">
        <f>VLOOKUP(B1105, [1]Course!$A$2:$L$950, 8, FALSE)</f>
        <v>12</v>
      </c>
      <c r="H1105" s="31">
        <v>3</v>
      </c>
      <c r="I1105" s="31">
        <v>1</v>
      </c>
      <c r="K1105" s="31" t="s">
        <v>1548</v>
      </c>
      <c r="L1105" s="31" t="str">
        <f>VLOOKUP(B1105, [1]Course!$A$1:$O$933, 14, FALSE)</f>
        <v>EN</v>
      </c>
      <c r="M1105" s="31">
        <v>1</v>
      </c>
    </row>
    <row r="1106" spans="1:13" ht="15.75" hidden="1" customHeight="1" x14ac:dyDescent="0.2">
      <c r="A1106" s="31">
        <v>1115</v>
      </c>
      <c r="B1106" s="31">
        <v>113</v>
      </c>
      <c r="C1106" s="31">
        <v>137</v>
      </c>
      <c r="D1106" s="31" t="s">
        <v>155</v>
      </c>
      <c r="E1106" s="31" t="str">
        <f t="shared" si="17"/>
        <v>1237EN03PT</v>
      </c>
      <c r="F1106" s="31">
        <f>VLOOKUP(B1106,[1]Course!$A$2:$R$329,2,FALSE)</f>
        <v>0</v>
      </c>
      <c r="G1106" s="31">
        <f>VLOOKUP(B1106, [1]Course!$A$2:$L$950, 8, FALSE)</f>
        <v>12</v>
      </c>
      <c r="H1106" s="31">
        <v>3</v>
      </c>
      <c r="I1106" s="31">
        <v>1</v>
      </c>
      <c r="K1106" s="31" t="s">
        <v>1548</v>
      </c>
      <c r="L1106" s="31" t="str">
        <f>VLOOKUP(B1106, [1]Course!$A$1:$O$933, 14, FALSE)</f>
        <v>EN</v>
      </c>
      <c r="M1106" s="31">
        <v>1</v>
      </c>
    </row>
    <row r="1107" spans="1:13" ht="15.75" hidden="1" customHeight="1" x14ac:dyDescent="0.2">
      <c r="A1107" s="31">
        <v>1116</v>
      </c>
      <c r="B1107" s="31">
        <v>113</v>
      </c>
      <c r="C1107" s="31">
        <v>138</v>
      </c>
      <c r="D1107" s="31" t="s">
        <v>155</v>
      </c>
      <c r="E1107" s="31" t="str">
        <f t="shared" si="17"/>
        <v>1238EN03PT</v>
      </c>
      <c r="F1107" s="31">
        <f>VLOOKUP(B1107,[1]Course!$A$2:$R$329,2,FALSE)</f>
        <v>0</v>
      </c>
      <c r="G1107" s="31">
        <f>VLOOKUP(B1107, [1]Course!$A$2:$L$950, 8, FALSE)</f>
        <v>12</v>
      </c>
      <c r="H1107" s="31">
        <v>3</v>
      </c>
      <c r="I1107" s="31">
        <v>1</v>
      </c>
      <c r="K1107" s="31" t="s">
        <v>1548</v>
      </c>
      <c r="L1107" s="31" t="str">
        <f>VLOOKUP(B1107, [1]Course!$A$1:$O$933, 14, FALSE)</f>
        <v>EN</v>
      </c>
      <c r="M1107" s="31">
        <v>1</v>
      </c>
    </row>
    <row r="1108" spans="1:13" ht="15.75" hidden="1" customHeight="1" x14ac:dyDescent="0.2">
      <c r="A1108" s="31">
        <v>1117</v>
      </c>
      <c r="B1108" s="31">
        <v>113</v>
      </c>
      <c r="C1108" s="31">
        <v>139</v>
      </c>
      <c r="D1108" s="31" t="s">
        <v>155</v>
      </c>
      <c r="E1108" s="31" t="str">
        <f t="shared" si="17"/>
        <v>1239EN03PT</v>
      </c>
      <c r="F1108" s="31">
        <f>VLOOKUP(B1108,[1]Course!$A$2:$R$329,2,FALSE)</f>
        <v>0</v>
      </c>
      <c r="G1108" s="31">
        <f>VLOOKUP(B1108, [1]Course!$A$2:$L$950, 8, FALSE)</f>
        <v>12</v>
      </c>
      <c r="H1108" s="31">
        <v>3</v>
      </c>
      <c r="I1108" s="31">
        <v>1</v>
      </c>
      <c r="K1108" s="31" t="s">
        <v>1548</v>
      </c>
      <c r="L1108" s="31" t="str">
        <f>VLOOKUP(B1108, [1]Course!$A$1:$O$933, 14, FALSE)</f>
        <v>EN</v>
      </c>
      <c r="M1108" s="31">
        <v>1</v>
      </c>
    </row>
    <row r="1109" spans="1:13" ht="15.75" hidden="1" customHeight="1" x14ac:dyDescent="0.2">
      <c r="A1109" s="31">
        <v>1118</v>
      </c>
      <c r="B1109" s="31">
        <v>113</v>
      </c>
      <c r="C1109" s="31">
        <v>140</v>
      </c>
      <c r="D1109" s="31" t="s">
        <v>155</v>
      </c>
      <c r="E1109" s="31" t="str">
        <f t="shared" si="17"/>
        <v>1240EN03PT</v>
      </c>
      <c r="F1109" s="31">
        <f>VLOOKUP(B1109,[1]Course!$A$2:$R$329,2,FALSE)</f>
        <v>0</v>
      </c>
      <c r="G1109" s="31">
        <f>VLOOKUP(B1109, [1]Course!$A$2:$L$950, 8, FALSE)</f>
        <v>12</v>
      </c>
      <c r="H1109" s="31">
        <v>3</v>
      </c>
      <c r="I1109" s="31">
        <v>1</v>
      </c>
      <c r="K1109" s="31" t="s">
        <v>1548</v>
      </c>
      <c r="L1109" s="31" t="str">
        <f>VLOOKUP(B1109, [1]Course!$A$1:$O$933, 14, FALSE)</f>
        <v>EN</v>
      </c>
      <c r="M1109" s="31">
        <v>1</v>
      </c>
    </row>
    <row r="1110" spans="1:13" ht="15.75" hidden="1" customHeight="1" x14ac:dyDescent="0.2">
      <c r="A1110" s="31">
        <v>1119</v>
      </c>
      <c r="B1110" s="31">
        <v>113</v>
      </c>
      <c r="C1110" s="31">
        <v>141</v>
      </c>
      <c r="D1110" s="31" t="s">
        <v>155</v>
      </c>
      <c r="E1110" s="31" t="str">
        <f t="shared" si="17"/>
        <v>1241EN03PT</v>
      </c>
      <c r="F1110" s="31">
        <f>VLOOKUP(B1110,[1]Course!$A$2:$R$329,2,FALSE)</f>
        <v>0</v>
      </c>
      <c r="G1110" s="31">
        <f>VLOOKUP(B1110, [1]Course!$A$2:$L$950, 8, FALSE)</f>
        <v>12</v>
      </c>
      <c r="H1110" s="31">
        <v>3</v>
      </c>
      <c r="I1110" s="31">
        <v>1</v>
      </c>
      <c r="K1110" s="31" t="s">
        <v>1548</v>
      </c>
      <c r="L1110" s="31" t="str">
        <f>VLOOKUP(B1110, [1]Course!$A$1:$O$933, 14, FALSE)</f>
        <v>EN</v>
      </c>
      <c r="M1110" s="31">
        <v>1</v>
      </c>
    </row>
    <row r="1111" spans="1:13" ht="15.75" hidden="1" customHeight="1" x14ac:dyDescent="0.2">
      <c r="A1111" s="31">
        <v>1120</v>
      </c>
      <c r="B1111" s="31">
        <v>113</v>
      </c>
      <c r="C1111" s="31">
        <v>142</v>
      </c>
      <c r="D1111" s="31" t="s">
        <v>155</v>
      </c>
      <c r="E1111" s="31" t="str">
        <f t="shared" si="17"/>
        <v>1242EN03PT</v>
      </c>
      <c r="F1111" s="31">
        <f>VLOOKUP(B1111,[1]Course!$A$2:$R$329,2,FALSE)</f>
        <v>0</v>
      </c>
      <c r="G1111" s="31">
        <f>VLOOKUP(B1111, [1]Course!$A$2:$L$950, 8, FALSE)</f>
        <v>12</v>
      </c>
      <c r="H1111" s="31">
        <v>3</v>
      </c>
      <c r="I1111" s="31">
        <v>1</v>
      </c>
      <c r="K1111" s="31" t="s">
        <v>1548</v>
      </c>
      <c r="L1111" s="31" t="str">
        <f>VLOOKUP(B1111, [1]Course!$A$1:$O$933, 14, FALSE)</f>
        <v>EN</v>
      </c>
      <c r="M1111" s="31">
        <v>1</v>
      </c>
    </row>
    <row r="1112" spans="1:13" ht="15.75" hidden="1" customHeight="1" x14ac:dyDescent="0.2">
      <c r="A1112" s="31">
        <v>1121</v>
      </c>
      <c r="B1112" s="31">
        <v>113</v>
      </c>
      <c r="C1112" s="31">
        <v>143</v>
      </c>
      <c r="D1112" s="31" t="s">
        <v>155</v>
      </c>
      <c r="E1112" s="31" t="str">
        <f t="shared" si="17"/>
        <v>1243EN03PT</v>
      </c>
      <c r="F1112" s="31">
        <f>VLOOKUP(B1112,[1]Course!$A$2:$R$329,2,FALSE)</f>
        <v>0</v>
      </c>
      <c r="G1112" s="31">
        <f>VLOOKUP(B1112, [1]Course!$A$2:$L$950, 8, FALSE)</f>
        <v>12</v>
      </c>
      <c r="H1112" s="31">
        <v>3</v>
      </c>
      <c r="I1112" s="31">
        <v>1</v>
      </c>
      <c r="K1112" s="31" t="s">
        <v>1548</v>
      </c>
      <c r="L1112" s="31" t="str">
        <f>VLOOKUP(B1112, [1]Course!$A$1:$O$933, 14, FALSE)</f>
        <v>EN</v>
      </c>
      <c r="M1112" s="31">
        <v>1</v>
      </c>
    </row>
    <row r="1113" spans="1:13" ht="15.75" hidden="1" customHeight="1" x14ac:dyDescent="0.2">
      <c r="A1113" s="31">
        <v>1122</v>
      </c>
      <c r="B1113" s="31">
        <v>113</v>
      </c>
      <c r="C1113" s="31">
        <v>144</v>
      </c>
      <c r="D1113" s="31" t="s">
        <v>155</v>
      </c>
      <c r="E1113" s="31" t="str">
        <f t="shared" si="17"/>
        <v>1244EN03PT</v>
      </c>
      <c r="F1113" s="31">
        <f>VLOOKUP(B1113,[1]Course!$A$2:$R$329,2,FALSE)</f>
        <v>0</v>
      </c>
      <c r="G1113" s="31">
        <f>VLOOKUP(B1113, [1]Course!$A$2:$L$950, 8, FALSE)</f>
        <v>12</v>
      </c>
      <c r="H1113" s="31">
        <v>3</v>
      </c>
      <c r="I1113" s="31">
        <v>1</v>
      </c>
      <c r="K1113" s="31" t="s">
        <v>1548</v>
      </c>
      <c r="L1113" s="31" t="str">
        <f>VLOOKUP(B1113, [1]Course!$A$1:$O$933, 14, FALSE)</f>
        <v>EN</v>
      </c>
      <c r="M1113" s="31">
        <v>1</v>
      </c>
    </row>
    <row r="1114" spans="1:13" ht="15.75" hidden="1" customHeight="1" x14ac:dyDescent="0.2">
      <c r="A1114" s="31">
        <v>1123</v>
      </c>
      <c r="B1114" s="31">
        <v>114</v>
      </c>
      <c r="C1114" s="31">
        <v>11</v>
      </c>
      <c r="D1114" s="31" t="s">
        <v>72</v>
      </c>
      <c r="E1114" s="31" t="str">
        <f t="shared" si="17"/>
        <v>1011GR03PT</v>
      </c>
      <c r="F1114" s="31">
        <f>VLOOKUP(B1114,[1]Course!$A$2:$R$329,2,FALSE)</f>
        <v>0</v>
      </c>
      <c r="G1114" s="31">
        <f>VLOOKUP(B1114, [1]Course!$A$2:$L$950, 8, FALSE)</f>
        <v>10</v>
      </c>
      <c r="H1114" s="31">
        <v>3</v>
      </c>
      <c r="I1114" s="31">
        <v>1</v>
      </c>
      <c r="K1114" s="31" t="s">
        <v>1548</v>
      </c>
      <c r="L1114" s="31" t="str">
        <f>VLOOKUP(B1114, [1]Course!$A$1:$O$933, 14, FALSE)</f>
        <v>GR</v>
      </c>
      <c r="M1114" s="31">
        <v>1</v>
      </c>
    </row>
    <row r="1115" spans="1:13" ht="15.75" hidden="1" customHeight="1" x14ac:dyDescent="0.2">
      <c r="A1115" s="31">
        <v>1124</v>
      </c>
      <c r="B1115" s="31">
        <v>114</v>
      </c>
      <c r="C1115" s="31">
        <v>12</v>
      </c>
      <c r="D1115" s="31" t="s">
        <v>72</v>
      </c>
      <c r="E1115" s="31" t="str">
        <f t="shared" si="17"/>
        <v>1012GR03PT</v>
      </c>
      <c r="F1115" s="31">
        <f>VLOOKUP(B1115,[1]Course!$A$2:$R$329,2,FALSE)</f>
        <v>0</v>
      </c>
      <c r="G1115" s="31">
        <f>VLOOKUP(B1115, [1]Course!$A$2:$L$950, 8, FALSE)</f>
        <v>10</v>
      </c>
      <c r="H1115" s="31">
        <v>3</v>
      </c>
      <c r="I1115" s="31">
        <v>1</v>
      </c>
      <c r="K1115" s="31" t="s">
        <v>1548</v>
      </c>
      <c r="L1115" s="31" t="str">
        <f>VLOOKUP(B1115, [1]Course!$A$1:$O$933, 14, FALSE)</f>
        <v>GR</v>
      </c>
      <c r="M1115" s="31">
        <v>1</v>
      </c>
    </row>
    <row r="1116" spans="1:13" ht="15.75" hidden="1" customHeight="1" x14ac:dyDescent="0.2">
      <c r="A1116" s="31">
        <v>1125</v>
      </c>
      <c r="B1116" s="31">
        <v>114</v>
      </c>
      <c r="C1116" s="31">
        <v>13</v>
      </c>
      <c r="D1116" s="31" t="s">
        <v>72</v>
      </c>
      <c r="E1116" s="31" t="str">
        <f t="shared" si="17"/>
        <v>1013GR03PT</v>
      </c>
      <c r="F1116" s="31">
        <f>VLOOKUP(B1116,[1]Course!$A$2:$R$329,2,FALSE)</f>
        <v>0</v>
      </c>
      <c r="G1116" s="31">
        <f>VLOOKUP(B1116, [1]Course!$A$2:$L$950, 8, FALSE)</f>
        <v>10</v>
      </c>
      <c r="H1116" s="31">
        <v>3</v>
      </c>
      <c r="I1116" s="31">
        <v>1</v>
      </c>
      <c r="K1116" s="31" t="s">
        <v>1548</v>
      </c>
      <c r="L1116" s="31" t="str">
        <f>VLOOKUP(B1116, [1]Course!$A$1:$O$933, 14, FALSE)</f>
        <v>GR</v>
      </c>
      <c r="M1116" s="31">
        <v>1</v>
      </c>
    </row>
    <row r="1117" spans="1:13" ht="15.75" hidden="1" customHeight="1" x14ac:dyDescent="0.2">
      <c r="A1117" s="31">
        <v>1126</v>
      </c>
      <c r="B1117" s="31">
        <v>114</v>
      </c>
      <c r="C1117" s="31">
        <v>14</v>
      </c>
      <c r="D1117" s="31" t="s">
        <v>72</v>
      </c>
      <c r="E1117" s="31" t="str">
        <f t="shared" si="17"/>
        <v>1014GR03PT</v>
      </c>
      <c r="F1117" s="31">
        <f>VLOOKUP(B1117,[1]Course!$A$2:$R$329,2,FALSE)</f>
        <v>0</v>
      </c>
      <c r="G1117" s="31">
        <f>VLOOKUP(B1117, [1]Course!$A$2:$L$950, 8, FALSE)</f>
        <v>10</v>
      </c>
      <c r="H1117" s="31">
        <v>3</v>
      </c>
      <c r="I1117" s="31">
        <v>1</v>
      </c>
      <c r="K1117" s="31" t="s">
        <v>1548</v>
      </c>
      <c r="L1117" s="31" t="str">
        <f>VLOOKUP(B1117, [1]Course!$A$1:$O$933, 14, FALSE)</f>
        <v>GR</v>
      </c>
      <c r="M1117" s="31">
        <v>1</v>
      </c>
    </row>
    <row r="1118" spans="1:13" ht="15.75" hidden="1" customHeight="1" x14ac:dyDescent="0.2">
      <c r="A1118" s="31">
        <v>1127</v>
      </c>
      <c r="B1118" s="31">
        <v>114</v>
      </c>
      <c r="C1118" s="31">
        <v>15</v>
      </c>
      <c r="D1118" s="31" t="s">
        <v>72</v>
      </c>
      <c r="E1118" s="31" t="str">
        <f t="shared" si="17"/>
        <v>1015GR03PT</v>
      </c>
      <c r="F1118" s="31">
        <f>VLOOKUP(B1118,[1]Course!$A$2:$R$329,2,FALSE)</f>
        <v>0</v>
      </c>
      <c r="G1118" s="31">
        <f>VLOOKUP(B1118, [1]Course!$A$2:$L$950, 8, FALSE)</f>
        <v>10</v>
      </c>
      <c r="H1118" s="31">
        <v>3</v>
      </c>
      <c r="I1118" s="31">
        <v>1</v>
      </c>
      <c r="K1118" s="31" t="s">
        <v>1548</v>
      </c>
      <c r="L1118" s="31" t="str">
        <f>VLOOKUP(B1118, [1]Course!$A$1:$O$933, 14, FALSE)</f>
        <v>GR</v>
      </c>
      <c r="M1118" s="31">
        <v>1</v>
      </c>
    </row>
    <row r="1119" spans="1:13" ht="15.75" hidden="1" customHeight="1" x14ac:dyDescent="0.2">
      <c r="A1119" s="31">
        <v>1128</v>
      </c>
      <c r="B1119" s="31">
        <v>114</v>
      </c>
      <c r="C1119" s="31">
        <v>16</v>
      </c>
      <c r="D1119" s="31" t="s">
        <v>72</v>
      </c>
      <c r="E1119" s="31" t="str">
        <f t="shared" si="17"/>
        <v>1016GR03PT</v>
      </c>
      <c r="F1119" s="31">
        <f>VLOOKUP(B1119,[1]Course!$A$2:$R$329,2,FALSE)</f>
        <v>0</v>
      </c>
      <c r="G1119" s="31">
        <f>VLOOKUP(B1119, [1]Course!$A$2:$L$950, 8, FALSE)</f>
        <v>10</v>
      </c>
      <c r="H1119" s="31">
        <v>3</v>
      </c>
      <c r="I1119" s="31">
        <v>1</v>
      </c>
      <c r="K1119" s="31" t="s">
        <v>1548</v>
      </c>
      <c r="L1119" s="31" t="str">
        <f>VLOOKUP(B1119, [1]Course!$A$1:$O$933, 14, FALSE)</f>
        <v>GR</v>
      </c>
      <c r="M1119" s="31">
        <v>1</v>
      </c>
    </row>
    <row r="1120" spans="1:13" ht="15.75" hidden="1" customHeight="1" x14ac:dyDescent="0.2">
      <c r="A1120" s="31">
        <v>1129</v>
      </c>
      <c r="B1120" s="31">
        <v>114</v>
      </c>
      <c r="C1120" s="31">
        <v>17</v>
      </c>
      <c r="D1120" s="31" t="s">
        <v>72</v>
      </c>
      <c r="E1120" s="31" t="str">
        <f t="shared" si="17"/>
        <v>1017GR03PT</v>
      </c>
      <c r="F1120" s="31">
        <f>VLOOKUP(B1120,[1]Course!$A$2:$R$329,2,FALSE)</f>
        <v>0</v>
      </c>
      <c r="G1120" s="31">
        <f>VLOOKUP(B1120, [1]Course!$A$2:$L$950, 8, FALSE)</f>
        <v>10</v>
      </c>
      <c r="H1120" s="31">
        <v>3</v>
      </c>
      <c r="I1120" s="31">
        <v>1</v>
      </c>
      <c r="K1120" s="31" t="s">
        <v>1548</v>
      </c>
      <c r="L1120" s="31" t="str">
        <f>VLOOKUP(B1120, [1]Course!$A$1:$O$933, 14, FALSE)</f>
        <v>GR</v>
      </c>
      <c r="M1120" s="31">
        <v>1</v>
      </c>
    </row>
    <row r="1121" spans="1:13" ht="15.75" hidden="1" customHeight="1" x14ac:dyDescent="0.2">
      <c r="A1121" s="31">
        <v>1130</v>
      </c>
      <c r="B1121" s="31">
        <v>114</v>
      </c>
      <c r="C1121" s="31">
        <v>18</v>
      </c>
      <c r="D1121" s="31" t="s">
        <v>72</v>
      </c>
      <c r="E1121" s="31" t="str">
        <f t="shared" si="17"/>
        <v>1018GR03PT</v>
      </c>
      <c r="F1121" s="31">
        <f>VLOOKUP(B1121,[1]Course!$A$2:$R$329,2,FALSE)</f>
        <v>0</v>
      </c>
      <c r="G1121" s="31">
        <f>VLOOKUP(B1121, [1]Course!$A$2:$L$950, 8, FALSE)</f>
        <v>10</v>
      </c>
      <c r="H1121" s="31">
        <v>3</v>
      </c>
      <c r="I1121" s="31">
        <v>1</v>
      </c>
      <c r="K1121" s="31" t="s">
        <v>1548</v>
      </c>
      <c r="L1121" s="31" t="str">
        <f>VLOOKUP(B1121, [1]Course!$A$1:$O$933, 14, FALSE)</f>
        <v>GR</v>
      </c>
      <c r="M1121" s="31">
        <v>1</v>
      </c>
    </row>
    <row r="1122" spans="1:13" ht="15.75" hidden="1" customHeight="1" x14ac:dyDescent="0.2">
      <c r="A1122" s="31">
        <v>1131</v>
      </c>
      <c r="B1122" s="31">
        <v>114</v>
      </c>
      <c r="C1122" s="31">
        <v>19</v>
      </c>
      <c r="D1122" s="31" t="s">
        <v>72</v>
      </c>
      <c r="E1122" s="31" t="str">
        <f t="shared" si="17"/>
        <v>1019GR03PT</v>
      </c>
      <c r="F1122" s="31">
        <f>VLOOKUP(B1122,[1]Course!$A$2:$R$329,2,FALSE)</f>
        <v>0</v>
      </c>
      <c r="G1122" s="31">
        <f>VLOOKUP(B1122, [1]Course!$A$2:$L$950, 8, FALSE)</f>
        <v>10</v>
      </c>
      <c r="H1122" s="31">
        <v>3</v>
      </c>
      <c r="I1122" s="31">
        <v>1</v>
      </c>
      <c r="K1122" s="31" t="s">
        <v>1548</v>
      </c>
      <c r="L1122" s="31" t="str">
        <f>VLOOKUP(B1122, [1]Course!$A$1:$O$933, 14, FALSE)</f>
        <v>GR</v>
      </c>
      <c r="M1122" s="31">
        <v>1</v>
      </c>
    </row>
    <row r="1123" spans="1:13" ht="15.75" hidden="1" customHeight="1" x14ac:dyDescent="0.2">
      <c r="A1123" s="31">
        <v>1132</v>
      </c>
      <c r="B1123" s="31">
        <v>114</v>
      </c>
      <c r="C1123" s="31">
        <v>20</v>
      </c>
      <c r="D1123" s="31" t="s">
        <v>72</v>
      </c>
      <c r="E1123" s="31" t="str">
        <f t="shared" si="17"/>
        <v>1020GR03PT</v>
      </c>
      <c r="F1123" s="31">
        <f>VLOOKUP(B1123,[1]Course!$A$2:$R$329,2,FALSE)</f>
        <v>0</v>
      </c>
      <c r="G1123" s="31">
        <f>VLOOKUP(B1123, [1]Course!$A$2:$L$950, 8, FALSE)</f>
        <v>10</v>
      </c>
      <c r="H1123" s="31">
        <v>3</v>
      </c>
      <c r="I1123" s="31">
        <v>1</v>
      </c>
      <c r="K1123" s="31" t="s">
        <v>1548</v>
      </c>
      <c r="L1123" s="31" t="str">
        <f>VLOOKUP(B1123, [1]Course!$A$1:$O$933, 14, FALSE)</f>
        <v>GR</v>
      </c>
      <c r="M1123" s="31">
        <v>1</v>
      </c>
    </row>
    <row r="1124" spans="1:13" ht="15.75" hidden="1" customHeight="1" x14ac:dyDescent="0.2">
      <c r="A1124" s="31">
        <v>1133</v>
      </c>
      <c r="B1124" s="31">
        <v>115</v>
      </c>
      <c r="C1124" s="31">
        <v>7</v>
      </c>
      <c r="D1124" s="31" t="s">
        <v>151</v>
      </c>
      <c r="E1124" s="31" t="str">
        <f t="shared" si="17"/>
        <v>207MT03PT</v>
      </c>
      <c r="F1124" s="31">
        <f>VLOOKUP(B1124,[1]Course!$A$2:$R$329,2,FALSE)</f>
        <v>0</v>
      </c>
      <c r="G1124" s="31">
        <f>VLOOKUP(B1124, [1]Course!$A$2:$L$950, 8, FALSE)</f>
        <v>2</v>
      </c>
      <c r="H1124" s="31">
        <v>3</v>
      </c>
      <c r="I1124" s="31">
        <v>1</v>
      </c>
      <c r="K1124" s="31" t="s">
        <v>1548</v>
      </c>
      <c r="L1124" s="31" t="str">
        <f>VLOOKUP(B1124, [1]Course!$A$1:$O$933, 14, FALSE)</f>
        <v>MT</v>
      </c>
      <c r="M1124" s="31">
        <v>1</v>
      </c>
    </row>
    <row r="1125" spans="1:13" ht="15.75" hidden="1" customHeight="1" x14ac:dyDescent="0.2">
      <c r="A1125" s="31">
        <v>1134</v>
      </c>
      <c r="B1125" s="31">
        <v>115</v>
      </c>
      <c r="C1125" s="31">
        <v>8</v>
      </c>
      <c r="D1125" s="31" t="s">
        <v>151</v>
      </c>
      <c r="E1125" s="31" t="str">
        <f t="shared" si="17"/>
        <v>208MT03PT</v>
      </c>
      <c r="F1125" s="31">
        <f>VLOOKUP(B1125,[1]Course!$A$2:$R$329,2,FALSE)</f>
        <v>0</v>
      </c>
      <c r="G1125" s="31">
        <f>VLOOKUP(B1125, [1]Course!$A$2:$L$950, 8, FALSE)</f>
        <v>2</v>
      </c>
      <c r="H1125" s="31">
        <v>3</v>
      </c>
      <c r="I1125" s="31">
        <v>1</v>
      </c>
      <c r="K1125" s="31" t="s">
        <v>1548</v>
      </c>
      <c r="L1125" s="31" t="str">
        <f>VLOOKUP(B1125, [1]Course!$A$1:$O$933, 14, FALSE)</f>
        <v>MT</v>
      </c>
      <c r="M1125" s="31">
        <v>1</v>
      </c>
    </row>
    <row r="1126" spans="1:13" ht="15.75" hidden="1" customHeight="1" x14ac:dyDescent="0.2">
      <c r="A1126" s="31">
        <v>1135</v>
      </c>
      <c r="B1126" s="31">
        <v>116</v>
      </c>
      <c r="C1126" s="31">
        <v>1</v>
      </c>
      <c r="D1126" s="31" t="s">
        <v>148</v>
      </c>
      <c r="E1126" s="31" t="str">
        <f t="shared" si="17"/>
        <v>1001CP03PT</v>
      </c>
      <c r="F1126" s="31" t="str">
        <f>VLOOKUP(B1126,[1]Course!$A$2:$R$329,2,FALSE)</f>
        <v>Basic Intro. to Physical Science</v>
      </c>
      <c r="G1126" s="31">
        <f>VLOOKUP(B1126, [1]Course!$A$2:$L$950, 8, FALSE)</f>
        <v>10</v>
      </c>
      <c r="H1126" s="31">
        <v>3</v>
      </c>
      <c r="I1126" s="31">
        <v>1</v>
      </c>
      <c r="K1126" s="31" t="s">
        <v>1548</v>
      </c>
      <c r="L1126" s="31" t="str">
        <f>VLOOKUP(B1126, [1]Course!$A$1:$O$933, 14, FALSE)</f>
        <v>CP</v>
      </c>
      <c r="M1126" s="31">
        <v>1</v>
      </c>
    </row>
    <row r="1127" spans="1:13" ht="15.75" hidden="1" customHeight="1" x14ac:dyDescent="0.2">
      <c r="A1127" s="31">
        <v>1136</v>
      </c>
      <c r="B1127" s="31">
        <v>116</v>
      </c>
      <c r="C1127" s="31">
        <v>2</v>
      </c>
      <c r="D1127" s="31" t="s">
        <v>148</v>
      </c>
      <c r="E1127" s="31" t="str">
        <f t="shared" si="17"/>
        <v>1002CP03PT</v>
      </c>
      <c r="F1127" s="31" t="str">
        <f>VLOOKUP(B1127,[1]Course!$A$2:$R$329,2,FALSE)</f>
        <v>Basic Intro. to Physical Science</v>
      </c>
      <c r="G1127" s="31">
        <f>VLOOKUP(B1127, [1]Course!$A$2:$L$950, 8, FALSE)</f>
        <v>10</v>
      </c>
      <c r="H1127" s="31">
        <v>3</v>
      </c>
      <c r="I1127" s="31">
        <v>1</v>
      </c>
      <c r="K1127" s="31" t="s">
        <v>1548</v>
      </c>
      <c r="L1127" s="31" t="str">
        <f>VLOOKUP(B1127, [1]Course!$A$1:$O$933, 14, FALSE)</f>
        <v>CP</v>
      </c>
      <c r="M1127" s="31">
        <v>1</v>
      </c>
    </row>
    <row r="1128" spans="1:13" ht="15.75" hidden="1" customHeight="1" x14ac:dyDescent="0.2">
      <c r="A1128" s="31">
        <v>1137</v>
      </c>
      <c r="B1128" s="31">
        <v>116</v>
      </c>
      <c r="C1128" s="31">
        <v>3</v>
      </c>
      <c r="D1128" s="31" t="s">
        <v>148</v>
      </c>
      <c r="E1128" s="31" t="str">
        <f t="shared" si="17"/>
        <v>1003CP03PT</v>
      </c>
      <c r="F1128" s="31" t="str">
        <f>VLOOKUP(B1128,[1]Course!$A$2:$R$329,2,FALSE)</f>
        <v>Basic Intro. to Physical Science</v>
      </c>
      <c r="G1128" s="31">
        <f>VLOOKUP(B1128, [1]Course!$A$2:$L$950, 8, FALSE)</f>
        <v>10</v>
      </c>
      <c r="H1128" s="31">
        <v>3</v>
      </c>
      <c r="I1128" s="31">
        <v>1</v>
      </c>
      <c r="K1128" s="31" t="s">
        <v>1548</v>
      </c>
      <c r="L1128" s="31" t="str">
        <f>VLOOKUP(B1128, [1]Course!$A$1:$O$933, 14, FALSE)</f>
        <v>CP</v>
      </c>
      <c r="M1128" s="31">
        <v>1</v>
      </c>
    </row>
    <row r="1129" spans="1:13" ht="15.75" hidden="1" customHeight="1" x14ac:dyDescent="0.2">
      <c r="A1129" s="31">
        <v>1138</v>
      </c>
      <c r="B1129" s="31">
        <v>116</v>
      </c>
      <c r="C1129" s="31">
        <v>4</v>
      </c>
      <c r="D1129" s="31" t="s">
        <v>148</v>
      </c>
      <c r="E1129" s="31" t="str">
        <f t="shared" si="17"/>
        <v>1004CP03PT</v>
      </c>
      <c r="F1129" s="31" t="str">
        <f>VLOOKUP(B1129,[1]Course!$A$2:$R$329,2,FALSE)</f>
        <v>Basic Intro. to Physical Science</v>
      </c>
      <c r="G1129" s="31">
        <f>VLOOKUP(B1129, [1]Course!$A$2:$L$950, 8, FALSE)</f>
        <v>10</v>
      </c>
      <c r="H1129" s="31">
        <v>3</v>
      </c>
      <c r="I1129" s="31">
        <v>1</v>
      </c>
      <c r="K1129" s="31" t="s">
        <v>1548</v>
      </c>
      <c r="L1129" s="31" t="str">
        <f>VLOOKUP(B1129, [1]Course!$A$1:$O$933, 14, FALSE)</f>
        <v>CP</v>
      </c>
      <c r="M1129" s="31">
        <v>1</v>
      </c>
    </row>
    <row r="1130" spans="1:13" ht="15.75" hidden="1" customHeight="1" x14ac:dyDescent="0.2">
      <c r="A1130" s="31">
        <v>1139</v>
      </c>
      <c r="B1130" s="31">
        <v>116</v>
      </c>
      <c r="C1130" s="31">
        <v>5</v>
      </c>
      <c r="D1130" s="31" t="s">
        <v>148</v>
      </c>
      <c r="E1130" s="31" t="str">
        <f t="shared" si="17"/>
        <v>1005CP03PT</v>
      </c>
      <c r="F1130" s="31" t="str">
        <f>VLOOKUP(B1130,[1]Course!$A$2:$R$329,2,FALSE)</f>
        <v>Basic Intro. to Physical Science</v>
      </c>
      <c r="G1130" s="31">
        <f>VLOOKUP(B1130, [1]Course!$A$2:$L$950, 8, FALSE)</f>
        <v>10</v>
      </c>
      <c r="H1130" s="31">
        <v>3</v>
      </c>
      <c r="I1130" s="31">
        <v>1</v>
      </c>
      <c r="K1130" s="31" t="s">
        <v>1548</v>
      </c>
      <c r="L1130" s="31" t="str">
        <f>VLOOKUP(B1130, [1]Course!$A$1:$O$933, 14, FALSE)</f>
        <v>CP</v>
      </c>
      <c r="M1130" s="31">
        <v>2</v>
      </c>
    </row>
    <row r="1131" spans="1:13" ht="15.75" hidden="1" customHeight="1" x14ac:dyDescent="0.2">
      <c r="A1131" s="31">
        <v>1140</v>
      </c>
      <c r="B1131" s="31">
        <v>116</v>
      </c>
      <c r="C1131" s="31">
        <v>6</v>
      </c>
      <c r="D1131" s="31" t="s">
        <v>148</v>
      </c>
      <c r="E1131" s="31" t="str">
        <f t="shared" si="17"/>
        <v>1006CP03PT</v>
      </c>
      <c r="F1131" s="31" t="str">
        <f>VLOOKUP(B1131,[1]Course!$A$2:$R$329,2,FALSE)</f>
        <v>Basic Intro. to Physical Science</v>
      </c>
      <c r="G1131" s="31">
        <f>VLOOKUP(B1131, [1]Course!$A$2:$L$950, 8, FALSE)</f>
        <v>10</v>
      </c>
      <c r="H1131" s="31">
        <v>3</v>
      </c>
      <c r="I1131" s="31">
        <v>1</v>
      </c>
      <c r="K1131" s="31" t="s">
        <v>1548</v>
      </c>
      <c r="L1131" s="31" t="str">
        <f>VLOOKUP(B1131, [1]Course!$A$1:$O$933, 14, FALSE)</f>
        <v>CP</v>
      </c>
      <c r="M1131" s="31">
        <v>1</v>
      </c>
    </row>
    <row r="1132" spans="1:13" ht="15.75" hidden="1" customHeight="1" x14ac:dyDescent="0.2">
      <c r="A1132" s="31">
        <v>1141</v>
      </c>
      <c r="B1132" s="31">
        <v>116</v>
      </c>
      <c r="C1132" s="31">
        <v>7</v>
      </c>
      <c r="D1132" s="31" t="s">
        <v>148</v>
      </c>
      <c r="E1132" s="31" t="str">
        <f t="shared" si="17"/>
        <v>1007CP03PT</v>
      </c>
      <c r="F1132" s="31" t="str">
        <f>VLOOKUP(B1132,[1]Course!$A$2:$R$329,2,FALSE)</f>
        <v>Basic Intro. to Physical Science</v>
      </c>
      <c r="G1132" s="31">
        <f>VLOOKUP(B1132, [1]Course!$A$2:$L$950, 8, FALSE)</f>
        <v>10</v>
      </c>
      <c r="H1132" s="31">
        <v>3</v>
      </c>
      <c r="I1132" s="31">
        <v>1</v>
      </c>
      <c r="K1132" s="31" t="s">
        <v>1548</v>
      </c>
      <c r="L1132" s="31" t="str">
        <f>VLOOKUP(B1132, [1]Course!$A$1:$O$933, 14, FALSE)</f>
        <v>CP</v>
      </c>
      <c r="M1132" s="31">
        <v>1</v>
      </c>
    </row>
    <row r="1133" spans="1:13" ht="15.75" hidden="1" customHeight="1" x14ac:dyDescent="0.2">
      <c r="A1133" s="31">
        <v>1142</v>
      </c>
      <c r="B1133" s="31">
        <v>116</v>
      </c>
      <c r="C1133" s="31">
        <v>8</v>
      </c>
      <c r="D1133" s="31" t="s">
        <v>148</v>
      </c>
      <c r="E1133" s="31" t="str">
        <f t="shared" si="17"/>
        <v>1008CP03PT</v>
      </c>
      <c r="F1133" s="31" t="str">
        <f>VLOOKUP(B1133,[1]Course!$A$2:$R$329,2,FALSE)</f>
        <v>Basic Intro. to Physical Science</v>
      </c>
      <c r="G1133" s="31">
        <f>VLOOKUP(B1133, [1]Course!$A$2:$L$950, 8, FALSE)</f>
        <v>10</v>
      </c>
      <c r="H1133" s="31">
        <v>3</v>
      </c>
      <c r="I1133" s="31">
        <v>1</v>
      </c>
      <c r="K1133" s="31" t="s">
        <v>1548</v>
      </c>
      <c r="L1133" s="31" t="str">
        <f>VLOOKUP(B1133, [1]Course!$A$1:$O$933, 14, FALSE)</f>
        <v>CP</v>
      </c>
      <c r="M1133" s="31">
        <v>1</v>
      </c>
    </row>
    <row r="1134" spans="1:13" ht="15.75" hidden="1" customHeight="1" x14ac:dyDescent="0.2">
      <c r="A1134" s="31">
        <v>1143</v>
      </c>
      <c r="B1134" s="31">
        <v>116</v>
      </c>
      <c r="C1134" s="31">
        <v>9</v>
      </c>
      <c r="D1134" s="31" t="s">
        <v>148</v>
      </c>
      <c r="E1134" s="31" t="str">
        <f t="shared" si="17"/>
        <v>1009CP03PT</v>
      </c>
      <c r="F1134" s="31" t="str">
        <f>VLOOKUP(B1134,[1]Course!$A$2:$R$329,2,FALSE)</f>
        <v>Basic Intro. to Physical Science</v>
      </c>
      <c r="G1134" s="31">
        <f>VLOOKUP(B1134, [1]Course!$A$2:$L$950, 8, FALSE)</f>
        <v>10</v>
      </c>
      <c r="H1134" s="31">
        <v>3</v>
      </c>
      <c r="I1134" s="31">
        <v>1</v>
      </c>
      <c r="K1134" s="31" t="s">
        <v>1548</v>
      </c>
      <c r="L1134" s="31" t="str">
        <f>VLOOKUP(B1134, [1]Course!$A$1:$O$933, 14, FALSE)</f>
        <v>CP</v>
      </c>
      <c r="M1134" s="31">
        <v>1</v>
      </c>
    </row>
    <row r="1135" spans="1:13" ht="15.75" hidden="1" customHeight="1" x14ac:dyDescent="0.2">
      <c r="A1135" s="31">
        <v>1144</v>
      </c>
      <c r="B1135" s="31">
        <v>116</v>
      </c>
      <c r="C1135" s="31">
        <v>10</v>
      </c>
      <c r="D1135" s="31" t="s">
        <v>148</v>
      </c>
      <c r="E1135" s="31" t="str">
        <f t="shared" si="17"/>
        <v>1010CP03PT</v>
      </c>
      <c r="F1135" s="31" t="str">
        <f>VLOOKUP(B1135,[1]Course!$A$2:$R$329,2,FALSE)</f>
        <v>Basic Intro. to Physical Science</v>
      </c>
      <c r="G1135" s="31">
        <f>VLOOKUP(B1135, [1]Course!$A$2:$L$950, 8, FALSE)</f>
        <v>10</v>
      </c>
      <c r="H1135" s="31">
        <v>3</v>
      </c>
      <c r="I1135" s="31">
        <v>1</v>
      </c>
      <c r="K1135" s="31" t="s">
        <v>1548</v>
      </c>
      <c r="L1135" s="31" t="str">
        <f>VLOOKUP(B1135, [1]Course!$A$1:$O$933, 14, FALSE)</f>
        <v>CP</v>
      </c>
      <c r="M1135" s="31">
        <v>2</v>
      </c>
    </row>
    <row r="1136" spans="1:13" ht="15.75" hidden="1" customHeight="1" x14ac:dyDescent="0.2">
      <c r="A1136" s="31">
        <v>1145</v>
      </c>
      <c r="B1136" s="31">
        <v>117</v>
      </c>
      <c r="C1136" s="31">
        <v>133</v>
      </c>
      <c r="D1136" s="31" t="s">
        <v>145</v>
      </c>
      <c r="E1136" s="31" t="str">
        <f t="shared" si="17"/>
        <v>1233PH03PT</v>
      </c>
      <c r="F1136" s="31" t="str">
        <f>VLOOKUP(B1136,[1]Course!$A$2:$R$329,2,FALSE)</f>
        <v>Science 12</v>
      </c>
      <c r="G1136" s="31">
        <f>VLOOKUP(B1136, [1]Course!$A$2:$L$950, 8, FALSE)</f>
        <v>12</v>
      </c>
      <c r="H1136" s="31">
        <v>3</v>
      </c>
      <c r="I1136" s="31">
        <v>1</v>
      </c>
      <c r="K1136" s="31" t="s">
        <v>1548</v>
      </c>
      <c r="L1136" s="31" t="str">
        <f>VLOOKUP(B1136, [1]Course!$A$1:$O$933, 14, FALSE)</f>
        <v>PH</v>
      </c>
      <c r="M1136" s="31">
        <v>1</v>
      </c>
    </row>
    <row r="1137" spans="1:13" ht="15.75" hidden="1" customHeight="1" x14ac:dyDescent="0.2">
      <c r="A1137" s="31">
        <v>1146</v>
      </c>
      <c r="B1137" s="31">
        <v>117</v>
      </c>
      <c r="C1137" s="31">
        <v>134</v>
      </c>
      <c r="D1137" s="31" t="s">
        <v>145</v>
      </c>
      <c r="E1137" s="31" t="str">
        <f t="shared" si="17"/>
        <v>1234PH03PT</v>
      </c>
      <c r="F1137" s="31" t="str">
        <f>VLOOKUP(B1137,[1]Course!$A$2:$R$329,2,FALSE)</f>
        <v>Science 12</v>
      </c>
      <c r="G1137" s="31">
        <f>VLOOKUP(B1137, [1]Course!$A$2:$L$950, 8, FALSE)</f>
        <v>12</v>
      </c>
      <c r="H1137" s="31">
        <v>3</v>
      </c>
      <c r="I1137" s="31">
        <v>1</v>
      </c>
      <c r="K1137" s="31" t="s">
        <v>1548</v>
      </c>
      <c r="L1137" s="31" t="str">
        <f>VLOOKUP(B1137, [1]Course!$A$1:$O$933, 14, FALSE)</f>
        <v>PH</v>
      </c>
      <c r="M1137" s="31">
        <v>1</v>
      </c>
    </row>
    <row r="1138" spans="1:13" ht="15.75" hidden="1" customHeight="1" x14ac:dyDescent="0.2">
      <c r="A1138" s="31">
        <v>1147</v>
      </c>
      <c r="B1138" s="31">
        <v>117</v>
      </c>
      <c r="C1138" s="31">
        <v>135</v>
      </c>
      <c r="D1138" s="31" t="s">
        <v>145</v>
      </c>
      <c r="E1138" s="31" t="str">
        <f t="shared" si="17"/>
        <v>1235PH03PT</v>
      </c>
      <c r="F1138" s="31" t="str">
        <f>VLOOKUP(B1138,[1]Course!$A$2:$R$329,2,FALSE)</f>
        <v>Science 12</v>
      </c>
      <c r="G1138" s="31">
        <f>VLOOKUP(B1138, [1]Course!$A$2:$L$950, 8, FALSE)</f>
        <v>12</v>
      </c>
      <c r="H1138" s="31">
        <v>3</v>
      </c>
      <c r="I1138" s="31">
        <v>1</v>
      </c>
      <c r="K1138" s="31" t="s">
        <v>1548</v>
      </c>
      <c r="L1138" s="31" t="str">
        <f>VLOOKUP(B1138, [1]Course!$A$1:$O$933, 14, FALSE)</f>
        <v>PH</v>
      </c>
      <c r="M1138" s="31">
        <v>1</v>
      </c>
    </row>
    <row r="1139" spans="1:13" ht="15.75" hidden="1" customHeight="1" x14ac:dyDescent="0.2">
      <c r="A1139" s="31">
        <v>1148</v>
      </c>
      <c r="B1139" s="31">
        <v>117</v>
      </c>
      <c r="C1139" s="31">
        <v>136</v>
      </c>
      <c r="D1139" s="31" t="s">
        <v>145</v>
      </c>
      <c r="E1139" s="31" t="str">
        <f t="shared" si="17"/>
        <v>1236PH03PT</v>
      </c>
      <c r="F1139" s="31" t="str">
        <f>VLOOKUP(B1139,[1]Course!$A$2:$R$329,2,FALSE)</f>
        <v>Science 12</v>
      </c>
      <c r="G1139" s="31">
        <f>VLOOKUP(B1139, [1]Course!$A$2:$L$950, 8, FALSE)</f>
        <v>12</v>
      </c>
      <c r="H1139" s="31">
        <v>3</v>
      </c>
      <c r="I1139" s="31">
        <v>1</v>
      </c>
      <c r="K1139" s="31" t="s">
        <v>1548</v>
      </c>
      <c r="L1139" s="31" t="str">
        <f>VLOOKUP(B1139, [1]Course!$A$1:$O$933, 14, FALSE)</f>
        <v>PH</v>
      </c>
      <c r="M1139" s="31">
        <v>1</v>
      </c>
    </row>
    <row r="1140" spans="1:13" ht="15.75" hidden="1" customHeight="1" x14ac:dyDescent="0.2">
      <c r="A1140" s="31">
        <v>1149</v>
      </c>
      <c r="B1140" s="31">
        <v>117</v>
      </c>
      <c r="C1140" s="31">
        <v>137</v>
      </c>
      <c r="D1140" s="31" t="s">
        <v>145</v>
      </c>
      <c r="E1140" s="31" t="str">
        <f t="shared" si="17"/>
        <v>1237PH03PT</v>
      </c>
      <c r="F1140" s="31" t="str">
        <f>VLOOKUP(B1140,[1]Course!$A$2:$R$329,2,FALSE)</f>
        <v>Science 12</v>
      </c>
      <c r="G1140" s="31">
        <f>VLOOKUP(B1140, [1]Course!$A$2:$L$950, 8, FALSE)</f>
        <v>12</v>
      </c>
      <c r="H1140" s="31">
        <v>3</v>
      </c>
      <c r="I1140" s="31">
        <v>1</v>
      </c>
      <c r="K1140" s="31" t="s">
        <v>1548</v>
      </c>
      <c r="L1140" s="31" t="str">
        <f>VLOOKUP(B1140, [1]Course!$A$1:$O$933, 14, FALSE)</f>
        <v>PH</v>
      </c>
      <c r="M1140" s="31">
        <v>1</v>
      </c>
    </row>
    <row r="1141" spans="1:13" ht="15.75" hidden="1" customHeight="1" x14ac:dyDescent="0.2">
      <c r="A1141" s="31">
        <v>1150</v>
      </c>
      <c r="B1141" s="31">
        <v>117</v>
      </c>
      <c r="C1141" s="31">
        <v>138</v>
      </c>
      <c r="D1141" s="31" t="s">
        <v>145</v>
      </c>
      <c r="E1141" s="31" t="str">
        <f t="shared" si="17"/>
        <v>1238PH03PT</v>
      </c>
      <c r="F1141" s="31" t="str">
        <f>VLOOKUP(B1141,[1]Course!$A$2:$R$329,2,FALSE)</f>
        <v>Science 12</v>
      </c>
      <c r="G1141" s="31">
        <f>VLOOKUP(B1141, [1]Course!$A$2:$L$950, 8, FALSE)</f>
        <v>12</v>
      </c>
      <c r="H1141" s="31">
        <v>3</v>
      </c>
      <c r="I1141" s="31">
        <v>1</v>
      </c>
      <c r="K1141" s="31" t="s">
        <v>1548</v>
      </c>
      <c r="L1141" s="31" t="str">
        <f>VLOOKUP(B1141, [1]Course!$A$1:$O$933, 14, FALSE)</f>
        <v>PH</v>
      </c>
      <c r="M1141" s="31">
        <v>1</v>
      </c>
    </row>
    <row r="1142" spans="1:13" ht="15.75" hidden="1" customHeight="1" x14ac:dyDescent="0.2">
      <c r="A1142" s="31">
        <v>1151</v>
      </c>
      <c r="B1142" s="31">
        <v>117</v>
      </c>
      <c r="C1142" s="31">
        <v>139</v>
      </c>
      <c r="D1142" s="31" t="s">
        <v>145</v>
      </c>
      <c r="E1142" s="31" t="str">
        <f t="shared" si="17"/>
        <v>1239PH03PT</v>
      </c>
      <c r="F1142" s="31" t="str">
        <f>VLOOKUP(B1142,[1]Course!$A$2:$R$329,2,FALSE)</f>
        <v>Science 12</v>
      </c>
      <c r="G1142" s="31">
        <f>VLOOKUP(B1142, [1]Course!$A$2:$L$950, 8, FALSE)</f>
        <v>12</v>
      </c>
      <c r="H1142" s="31">
        <v>3</v>
      </c>
      <c r="I1142" s="31">
        <v>1</v>
      </c>
      <c r="K1142" s="31" t="s">
        <v>1548</v>
      </c>
      <c r="L1142" s="31" t="str">
        <f>VLOOKUP(B1142, [1]Course!$A$1:$O$933, 14, FALSE)</f>
        <v>PH</v>
      </c>
      <c r="M1142" s="31">
        <v>1</v>
      </c>
    </row>
    <row r="1143" spans="1:13" ht="15.75" hidden="1" customHeight="1" x14ac:dyDescent="0.2">
      <c r="A1143" s="31">
        <v>1152</v>
      </c>
      <c r="B1143" s="31">
        <v>117</v>
      </c>
      <c r="C1143" s="31">
        <v>140</v>
      </c>
      <c r="D1143" s="31" t="s">
        <v>145</v>
      </c>
      <c r="E1143" s="31" t="str">
        <f t="shared" si="17"/>
        <v>1240PH03PT</v>
      </c>
      <c r="F1143" s="31" t="str">
        <f>VLOOKUP(B1143,[1]Course!$A$2:$R$329,2,FALSE)</f>
        <v>Science 12</v>
      </c>
      <c r="G1143" s="31">
        <f>VLOOKUP(B1143, [1]Course!$A$2:$L$950, 8, FALSE)</f>
        <v>12</v>
      </c>
      <c r="H1143" s="31">
        <v>3</v>
      </c>
      <c r="I1143" s="31">
        <v>1</v>
      </c>
      <c r="K1143" s="31" t="s">
        <v>1548</v>
      </c>
      <c r="L1143" s="31" t="str">
        <f>VLOOKUP(B1143, [1]Course!$A$1:$O$933, 14, FALSE)</f>
        <v>PH</v>
      </c>
      <c r="M1143" s="31">
        <v>1</v>
      </c>
    </row>
    <row r="1144" spans="1:13" ht="15.75" hidden="1" customHeight="1" x14ac:dyDescent="0.2">
      <c r="A1144" s="31">
        <v>1153</v>
      </c>
      <c r="B1144" s="31">
        <v>117</v>
      </c>
      <c r="C1144" s="31">
        <v>141</v>
      </c>
      <c r="D1144" s="31" t="s">
        <v>145</v>
      </c>
      <c r="E1144" s="31" t="str">
        <f t="shared" si="17"/>
        <v>1241PH03PT</v>
      </c>
      <c r="F1144" s="31" t="str">
        <f>VLOOKUP(B1144,[1]Course!$A$2:$R$329,2,FALSE)</f>
        <v>Science 12</v>
      </c>
      <c r="G1144" s="31">
        <f>VLOOKUP(B1144, [1]Course!$A$2:$L$950, 8, FALSE)</f>
        <v>12</v>
      </c>
      <c r="H1144" s="31">
        <v>3</v>
      </c>
      <c r="I1144" s="31">
        <v>1</v>
      </c>
      <c r="K1144" s="31" t="s">
        <v>1548</v>
      </c>
      <c r="L1144" s="31" t="str">
        <f>VLOOKUP(B1144, [1]Course!$A$1:$O$933, 14, FALSE)</f>
        <v>PH</v>
      </c>
      <c r="M1144" s="31">
        <v>1</v>
      </c>
    </row>
    <row r="1145" spans="1:13" ht="15.75" hidden="1" customHeight="1" x14ac:dyDescent="0.2">
      <c r="A1145" s="31">
        <v>1154</v>
      </c>
      <c r="B1145" s="31">
        <v>117</v>
      </c>
      <c r="C1145" s="31">
        <v>142</v>
      </c>
      <c r="D1145" s="31" t="s">
        <v>145</v>
      </c>
      <c r="E1145" s="31" t="str">
        <f t="shared" si="17"/>
        <v>1242PH03PT</v>
      </c>
      <c r="F1145" s="31" t="str">
        <f>VLOOKUP(B1145,[1]Course!$A$2:$R$329,2,FALSE)</f>
        <v>Science 12</v>
      </c>
      <c r="G1145" s="31">
        <f>VLOOKUP(B1145, [1]Course!$A$2:$L$950, 8, FALSE)</f>
        <v>12</v>
      </c>
      <c r="H1145" s="31">
        <v>3</v>
      </c>
      <c r="I1145" s="31">
        <v>1</v>
      </c>
      <c r="K1145" s="31" t="s">
        <v>1548</v>
      </c>
      <c r="L1145" s="31" t="str">
        <f>VLOOKUP(B1145, [1]Course!$A$1:$O$933, 14, FALSE)</f>
        <v>PH</v>
      </c>
      <c r="M1145" s="31">
        <v>1</v>
      </c>
    </row>
    <row r="1146" spans="1:13" ht="15.75" hidden="1" customHeight="1" x14ac:dyDescent="0.2">
      <c r="A1146" s="31">
        <v>1155</v>
      </c>
      <c r="B1146" s="31">
        <v>117</v>
      </c>
      <c r="C1146" s="31">
        <v>143</v>
      </c>
      <c r="D1146" s="31" t="s">
        <v>145</v>
      </c>
      <c r="E1146" s="31" t="str">
        <f t="shared" si="17"/>
        <v>1243PH03PT</v>
      </c>
      <c r="F1146" s="31" t="str">
        <f>VLOOKUP(B1146,[1]Course!$A$2:$R$329,2,FALSE)</f>
        <v>Science 12</v>
      </c>
      <c r="G1146" s="31">
        <f>VLOOKUP(B1146, [1]Course!$A$2:$L$950, 8, FALSE)</f>
        <v>12</v>
      </c>
      <c r="H1146" s="31">
        <v>3</v>
      </c>
      <c r="I1146" s="31">
        <v>1</v>
      </c>
      <c r="K1146" s="31" t="s">
        <v>1548</v>
      </c>
      <c r="L1146" s="31" t="str">
        <f>VLOOKUP(B1146, [1]Course!$A$1:$O$933, 14, FALSE)</f>
        <v>PH</v>
      </c>
      <c r="M1146" s="31">
        <v>1</v>
      </c>
    </row>
    <row r="1147" spans="1:13" ht="15.75" hidden="1" customHeight="1" x14ac:dyDescent="0.2">
      <c r="A1147" s="31">
        <v>1156</v>
      </c>
      <c r="B1147" s="31">
        <v>117</v>
      </c>
      <c r="C1147" s="31">
        <v>144</v>
      </c>
      <c r="D1147" s="31" t="s">
        <v>145</v>
      </c>
      <c r="E1147" s="31" t="str">
        <f t="shared" si="17"/>
        <v>1244PH03PT</v>
      </c>
      <c r="F1147" s="31" t="str">
        <f>VLOOKUP(B1147,[1]Course!$A$2:$R$329,2,FALSE)</f>
        <v>Science 12</v>
      </c>
      <c r="G1147" s="31">
        <f>VLOOKUP(B1147, [1]Course!$A$2:$L$950, 8, FALSE)</f>
        <v>12</v>
      </c>
      <c r="H1147" s="31">
        <v>3</v>
      </c>
      <c r="I1147" s="31">
        <v>1</v>
      </c>
      <c r="K1147" s="31" t="s">
        <v>1548</v>
      </c>
      <c r="L1147" s="31" t="str">
        <f>VLOOKUP(B1147, [1]Course!$A$1:$O$933, 14, FALSE)</f>
        <v>PH</v>
      </c>
      <c r="M1147" s="31">
        <v>1</v>
      </c>
    </row>
    <row r="1148" spans="1:13" ht="15.75" hidden="1" customHeight="1" x14ac:dyDescent="0.2">
      <c r="A1148" s="31">
        <v>1157</v>
      </c>
      <c r="B1148" s="31">
        <v>118</v>
      </c>
      <c r="C1148" s="31">
        <v>85</v>
      </c>
      <c r="D1148" s="31" t="s">
        <v>140</v>
      </c>
      <c r="E1148" s="31" t="str">
        <f t="shared" si="17"/>
        <v>1285AH03PT</v>
      </c>
      <c r="F1148" s="31">
        <f>VLOOKUP(B1148,[1]Course!$A$2:$R$329,2,FALSE)</f>
        <v>0</v>
      </c>
      <c r="G1148" s="31">
        <f>VLOOKUP(B1148, [1]Course!$A$2:$L$950, 8, FALSE)</f>
        <v>12</v>
      </c>
      <c r="H1148" s="31">
        <v>3</v>
      </c>
      <c r="I1148" s="31">
        <v>1</v>
      </c>
      <c r="K1148" s="31" t="s">
        <v>1548</v>
      </c>
      <c r="L1148" s="31" t="str">
        <f>VLOOKUP(B1148, [1]Course!$A$1:$O$933, 14, FALSE)</f>
        <v>AH</v>
      </c>
      <c r="M1148" s="31">
        <v>1</v>
      </c>
    </row>
    <row r="1149" spans="1:13" ht="15.75" hidden="1" customHeight="1" x14ac:dyDescent="0.2">
      <c r="A1149" s="31">
        <v>1158</v>
      </c>
      <c r="B1149" s="31">
        <v>118</v>
      </c>
      <c r="C1149" s="31">
        <v>86</v>
      </c>
      <c r="D1149" s="31" t="s">
        <v>140</v>
      </c>
      <c r="E1149" s="31" t="str">
        <f t="shared" si="17"/>
        <v>1286AH03PT</v>
      </c>
      <c r="F1149" s="31">
        <f>VLOOKUP(B1149,[1]Course!$A$2:$R$329,2,FALSE)</f>
        <v>0</v>
      </c>
      <c r="G1149" s="31">
        <f>VLOOKUP(B1149, [1]Course!$A$2:$L$950, 8, FALSE)</f>
        <v>12</v>
      </c>
      <c r="H1149" s="31">
        <v>3</v>
      </c>
      <c r="I1149" s="31">
        <v>1</v>
      </c>
      <c r="K1149" s="31" t="s">
        <v>1548</v>
      </c>
      <c r="L1149" s="31" t="str">
        <f>VLOOKUP(B1149, [1]Course!$A$1:$O$933, 14, FALSE)</f>
        <v>AH</v>
      </c>
      <c r="M1149" s="31">
        <v>1</v>
      </c>
    </row>
    <row r="1150" spans="1:13" ht="15.75" hidden="1" customHeight="1" x14ac:dyDescent="0.2">
      <c r="A1150" s="31">
        <v>1159</v>
      </c>
      <c r="B1150" s="31">
        <v>118</v>
      </c>
      <c r="C1150" s="31">
        <v>87</v>
      </c>
      <c r="D1150" s="31" t="s">
        <v>140</v>
      </c>
      <c r="E1150" s="31" t="str">
        <f t="shared" si="17"/>
        <v>1287AH03PT</v>
      </c>
      <c r="F1150" s="31">
        <f>VLOOKUP(B1150,[1]Course!$A$2:$R$329,2,FALSE)</f>
        <v>0</v>
      </c>
      <c r="G1150" s="31">
        <f>VLOOKUP(B1150, [1]Course!$A$2:$L$950, 8, FALSE)</f>
        <v>12</v>
      </c>
      <c r="H1150" s="31">
        <v>3</v>
      </c>
      <c r="I1150" s="31">
        <v>1</v>
      </c>
      <c r="K1150" s="31" t="s">
        <v>1548</v>
      </c>
      <c r="L1150" s="31" t="str">
        <f>VLOOKUP(B1150, [1]Course!$A$1:$O$933, 14, FALSE)</f>
        <v>AH</v>
      </c>
      <c r="M1150" s="31">
        <v>1</v>
      </c>
    </row>
    <row r="1151" spans="1:13" ht="15.75" hidden="1" customHeight="1" x14ac:dyDescent="0.2">
      <c r="A1151" s="31">
        <v>1160</v>
      </c>
      <c r="B1151" s="31">
        <v>118</v>
      </c>
      <c r="C1151" s="31">
        <v>88</v>
      </c>
      <c r="D1151" s="31" t="s">
        <v>140</v>
      </c>
      <c r="E1151" s="31" t="str">
        <f t="shared" si="17"/>
        <v>1288AH03PT</v>
      </c>
      <c r="F1151" s="31">
        <f>VLOOKUP(B1151,[1]Course!$A$2:$R$329,2,FALSE)</f>
        <v>0</v>
      </c>
      <c r="G1151" s="31">
        <f>VLOOKUP(B1151, [1]Course!$A$2:$L$950, 8, FALSE)</f>
        <v>12</v>
      </c>
      <c r="H1151" s="31">
        <v>3</v>
      </c>
      <c r="I1151" s="31">
        <v>1</v>
      </c>
      <c r="K1151" s="31" t="s">
        <v>1548</v>
      </c>
      <c r="L1151" s="31" t="str">
        <f>VLOOKUP(B1151, [1]Course!$A$1:$O$933, 14, FALSE)</f>
        <v>AH</v>
      </c>
      <c r="M1151" s="31">
        <v>1</v>
      </c>
    </row>
    <row r="1152" spans="1:13" ht="15.75" hidden="1" customHeight="1" x14ac:dyDescent="0.2">
      <c r="A1152" s="31">
        <v>1161</v>
      </c>
      <c r="B1152" s="31">
        <v>118</v>
      </c>
      <c r="C1152" s="31">
        <v>89</v>
      </c>
      <c r="D1152" s="31" t="s">
        <v>140</v>
      </c>
      <c r="E1152" s="31" t="str">
        <f t="shared" si="17"/>
        <v>1289AH03PT</v>
      </c>
      <c r="F1152" s="31">
        <f>VLOOKUP(B1152,[1]Course!$A$2:$R$329,2,FALSE)</f>
        <v>0</v>
      </c>
      <c r="G1152" s="31">
        <f>VLOOKUP(B1152, [1]Course!$A$2:$L$950, 8, FALSE)</f>
        <v>12</v>
      </c>
      <c r="H1152" s="31">
        <v>3</v>
      </c>
      <c r="I1152" s="31">
        <v>1</v>
      </c>
      <c r="K1152" s="31" t="s">
        <v>1548</v>
      </c>
      <c r="L1152" s="31" t="str">
        <f>VLOOKUP(B1152, [1]Course!$A$1:$O$933, 14, FALSE)</f>
        <v>AH</v>
      </c>
      <c r="M1152" s="31">
        <v>1</v>
      </c>
    </row>
    <row r="1153" spans="1:13" ht="15.75" hidden="1" customHeight="1" x14ac:dyDescent="0.2">
      <c r="A1153" s="31">
        <v>1162</v>
      </c>
      <c r="B1153" s="31">
        <v>118</v>
      </c>
      <c r="C1153" s="31">
        <v>90</v>
      </c>
      <c r="D1153" s="31" t="s">
        <v>140</v>
      </c>
      <c r="E1153" s="31" t="str">
        <f t="shared" si="17"/>
        <v>1290AH03PT</v>
      </c>
      <c r="F1153" s="31">
        <f>VLOOKUP(B1153,[1]Course!$A$2:$R$329,2,FALSE)</f>
        <v>0</v>
      </c>
      <c r="G1153" s="31">
        <f>VLOOKUP(B1153, [1]Course!$A$2:$L$950, 8, FALSE)</f>
        <v>12</v>
      </c>
      <c r="H1153" s="31">
        <v>3</v>
      </c>
      <c r="I1153" s="31">
        <v>1</v>
      </c>
      <c r="K1153" s="31" t="s">
        <v>1548</v>
      </c>
      <c r="L1153" s="31" t="str">
        <f>VLOOKUP(B1153, [1]Course!$A$1:$O$933, 14, FALSE)</f>
        <v>AH</v>
      </c>
      <c r="M1153" s="31">
        <v>1</v>
      </c>
    </row>
    <row r="1154" spans="1:13" ht="15.75" hidden="1" customHeight="1" x14ac:dyDescent="0.2">
      <c r="A1154" s="31">
        <v>1163</v>
      </c>
      <c r="B1154" s="31">
        <v>118</v>
      </c>
      <c r="C1154" s="31">
        <v>91</v>
      </c>
      <c r="D1154" s="31" t="s">
        <v>140</v>
      </c>
      <c r="E1154" s="31" t="str">
        <f t="shared" si="17"/>
        <v>1291AH03PT</v>
      </c>
      <c r="F1154" s="31">
        <f>VLOOKUP(B1154,[1]Course!$A$2:$R$329,2,FALSE)</f>
        <v>0</v>
      </c>
      <c r="G1154" s="31">
        <f>VLOOKUP(B1154, [1]Course!$A$2:$L$950, 8, FALSE)</f>
        <v>12</v>
      </c>
      <c r="H1154" s="31">
        <v>3</v>
      </c>
      <c r="I1154" s="31">
        <v>1</v>
      </c>
      <c r="K1154" s="31" t="s">
        <v>1548</v>
      </c>
      <c r="L1154" s="31" t="str">
        <f>VLOOKUP(B1154, [1]Course!$A$1:$O$933, 14, FALSE)</f>
        <v>AH</v>
      </c>
      <c r="M1154" s="31">
        <v>1</v>
      </c>
    </row>
    <row r="1155" spans="1:13" ht="15.75" hidden="1" customHeight="1" x14ac:dyDescent="0.2">
      <c r="A1155" s="31">
        <v>1164</v>
      </c>
      <c r="B1155" s="31">
        <v>118</v>
      </c>
      <c r="C1155" s="31">
        <v>92</v>
      </c>
      <c r="D1155" s="31" t="s">
        <v>140</v>
      </c>
      <c r="E1155" s="31" t="str">
        <f t="shared" ref="E1155:E1218" si="18">UPPER(LEFT(G1155,2)) &amp; RIGHT("0" &amp; C1155, 2) &amp; D1155 &amp; RIGHT("0" &amp; H1155, 2) &amp; K1155</f>
        <v>1292AH03PT</v>
      </c>
      <c r="F1155" s="31">
        <f>VLOOKUP(B1155,[1]Course!$A$2:$R$329,2,FALSE)</f>
        <v>0</v>
      </c>
      <c r="G1155" s="31">
        <f>VLOOKUP(B1155, [1]Course!$A$2:$L$950, 8, FALSE)</f>
        <v>12</v>
      </c>
      <c r="H1155" s="31">
        <v>3</v>
      </c>
      <c r="I1155" s="31">
        <v>1</v>
      </c>
      <c r="K1155" s="31" t="s">
        <v>1548</v>
      </c>
      <c r="L1155" s="31" t="str">
        <f>VLOOKUP(B1155, [1]Course!$A$1:$O$933, 14, FALSE)</f>
        <v>AH</v>
      </c>
      <c r="M1155" s="31">
        <v>1</v>
      </c>
    </row>
    <row r="1156" spans="1:13" ht="15.75" hidden="1" customHeight="1" x14ac:dyDescent="0.2">
      <c r="A1156" s="31">
        <v>1165</v>
      </c>
      <c r="B1156" s="31">
        <v>118</v>
      </c>
      <c r="C1156" s="31">
        <v>93</v>
      </c>
      <c r="D1156" s="31" t="s">
        <v>140</v>
      </c>
      <c r="E1156" s="31" t="str">
        <f t="shared" si="18"/>
        <v>1293AH03PT</v>
      </c>
      <c r="F1156" s="31">
        <f>VLOOKUP(B1156,[1]Course!$A$2:$R$329,2,FALSE)</f>
        <v>0</v>
      </c>
      <c r="G1156" s="31">
        <f>VLOOKUP(B1156, [1]Course!$A$2:$L$950, 8, FALSE)</f>
        <v>12</v>
      </c>
      <c r="H1156" s="31">
        <v>3</v>
      </c>
      <c r="I1156" s="31">
        <v>1</v>
      </c>
      <c r="K1156" s="31" t="s">
        <v>1548</v>
      </c>
      <c r="L1156" s="31" t="str">
        <f>VLOOKUP(B1156, [1]Course!$A$1:$O$933, 14, FALSE)</f>
        <v>AH</v>
      </c>
      <c r="M1156" s="31">
        <v>1</v>
      </c>
    </row>
    <row r="1157" spans="1:13" ht="15.75" hidden="1" customHeight="1" x14ac:dyDescent="0.2">
      <c r="A1157" s="31">
        <v>1166</v>
      </c>
      <c r="B1157" s="31">
        <v>118</v>
      </c>
      <c r="C1157" s="31">
        <v>94</v>
      </c>
      <c r="D1157" s="31" t="s">
        <v>140</v>
      </c>
      <c r="E1157" s="31" t="str">
        <f t="shared" si="18"/>
        <v>1294AH03PT</v>
      </c>
      <c r="F1157" s="31">
        <f>VLOOKUP(B1157,[1]Course!$A$2:$R$329,2,FALSE)</f>
        <v>0</v>
      </c>
      <c r="G1157" s="31">
        <f>VLOOKUP(B1157, [1]Course!$A$2:$L$950, 8, FALSE)</f>
        <v>12</v>
      </c>
      <c r="H1157" s="31">
        <v>3</v>
      </c>
      <c r="I1157" s="31">
        <v>1</v>
      </c>
      <c r="K1157" s="31" t="s">
        <v>1548</v>
      </c>
      <c r="L1157" s="31" t="str">
        <f>VLOOKUP(B1157, [1]Course!$A$1:$O$933, 14, FALSE)</f>
        <v>AH</v>
      </c>
      <c r="M1157" s="31">
        <v>1</v>
      </c>
    </row>
    <row r="1158" spans="1:13" ht="15.75" hidden="1" customHeight="1" x14ac:dyDescent="0.2">
      <c r="A1158" s="31">
        <v>1167</v>
      </c>
      <c r="B1158" s="31">
        <v>118</v>
      </c>
      <c r="C1158" s="31">
        <v>95</v>
      </c>
      <c r="D1158" s="31" t="s">
        <v>140</v>
      </c>
      <c r="E1158" s="31" t="str">
        <f t="shared" si="18"/>
        <v>1295AH03PT</v>
      </c>
      <c r="F1158" s="31">
        <f>VLOOKUP(B1158,[1]Course!$A$2:$R$329,2,FALSE)</f>
        <v>0</v>
      </c>
      <c r="G1158" s="31">
        <f>VLOOKUP(B1158, [1]Course!$A$2:$L$950, 8, FALSE)</f>
        <v>12</v>
      </c>
      <c r="H1158" s="31">
        <v>3</v>
      </c>
      <c r="I1158" s="31">
        <v>1</v>
      </c>
      <c r="K1158" s="31" t="s">
        <v>1548</v>
      </c>
      <c r="L1158" s="31" t="str">
        <f>VLOOKUP(B1158, [1]Course!$A$1:$O$933, 14, FALSE)</f>
        <v>AH</v>
      </c>
      <c r="M1158" s="31">
        <v>1</v>
      </c>
    </row>
    <row r="1159" spans="1:13" ht="15.75" hidden="1" customHeight="1" x14ac:dyDescent="0.2">
      <c r="A1159" s="31">
        <v>1168</v>
      </c>
      <c r="B1159" s="31">
        <v>118</v>
      </c>
      <c r="C1159" s="31">
        <v>96</v>
      </c>
      <c r="D1159" s="31" t="s">
        <v>140</v>
      </c>
      <c r="E1159" s="31" t="str">
        <f t="shared" si="18"/>
        <v>1296AH03PT</v>
      </c>
      <c r="F1159" s="31">
        <f>VLOOKUP(B1159,[1]Course!$A$2:$R$329,2,FALSE)</f>
        <v>0</v>
      </c>
      <c r="G1159" s="31">
        <f>VLOOKUP(B1159, [1]Course!$A$2:$L$950, 8, FALSE)</f>
        <v>12</v>
      </c>
      <c r="H1159" s="31">
        <v>3</v>
      </c>
      <c r="I1159" s="31">
        <v>1</v>
      </c>
      <c r="K1159" s="31" t="s">
        <v>1548</v>
      </c>
      <c r="L1159" s="31" t="str">
        <f>VLOOKUP(B1159, [1]Course!$A$1:$O$933, 14, FALSE)</f>
        <v>AH</v>
      </c>
      <c r="M1159" s="31">
        <v>1</v>
      </c>
    </row>
    <row r="1160" spans="1:13" ht="15.75" hidden="1" customHeight="1" x14ac:dyDescent="0.2">
      <c r="A1160" s="31">
        <v>1169</v>
      </c>
      <c r="B1160" s="31">
        <v>164</v>
      </c>
      <c r="C1160" s="31">
        <v>133</v>
      </c>
      <c r="D1160" s="31" t="s">
        <v>136</v>
      </c>
      <c r="E1160" s="31" t="str">
        <f t="shared" si="18"/>
        <v>633CE03PT</v>
      </c>
      <c r="F1160" s="31" t="str">
        <f>VLOOKUP(B1160,[1]Course!$A$2:$R$329,2,FALSE)</f>
        <v>U.S. Civics</v>
      </c>
      <c r="G1160" s="31">
        <f>VLOOKUP(B1160, [1]Course!$A$2:$L$950, 8, FALSE)</f>
        <v>6</v>
      </c>
      <c r="H1160" s="31">
        <v>3</v>
      </c>
      <c r="I1160" s="31">
        <v>1</v>
      </c>
      <c r="K1160" s="31" t="s">
        <v>1548</v>
      </c>
      <c r="L1160" s="31" t="str">
        <f>VLOOKUP(B1160, [1]Course!$A$1:$O$933, 14, FALSE)</f>
        <v>USCI</v>
      </c>
      <c r="M1160" s="31">
        <v>1</v>
      </c>
    </row>
    <row r="1161" spans="1:13" ht="15.75" hidden="1" customHeight="1" x14ac:dyDescent="0.2">
      <c r="A1161" s="31">
        <v>1170</v>
      </c>
      <c r="B1161" s="31">
        <v>164</v>
      </c>
      <c r="C1161" s="31">
        <v>134</v>
      </c>
      <c r="D1161" s="31" t="s">
        <v>136</v>
      </c>
      <c r="E1161" s="31" t="str">
        <f t="shared" si="18"/>
        <v>634CE03PT</v>
      </c>
      <c r="F1161" s="31" t="str">
        <f>VLOOKUP(B1161,[1]Course!$A$2:$R$329,2,FALSE)</f>
        <v>U.S. Civics</v>
      </c>
      <c r="G1161" s="31">
        <f>VLOOKUP(B1161, [1]Course!$A$2:$L$950, 8, FALSE)</f>
        <v>6</v>
      </c>
      <c r="H1161" s="31">
        <v>3</v>
      </c>
      <c r="I1161" s="31">
        <v>1</v>
      </c>
      <c r="K1161" s="31" t="s">
        <v>1548</v>
      </c>
      <c r="L1161" s="31" t="str">
        <f>VLOOKUP(B1161, [1]Course!$A$1:$O$933, 14, FALSE)</f>
        <v>USCI</v>
      </c>
      <c r="M1161" s="31">
        <v>1</v>
      </c>
    </row>
    <row r="1162" spans="1:13" ht="15.75" hidden="1" customHeight="1" x14ac:dyDescent="0.2">
      <c r="A1162" s="31">
        <v>1171</v>
      </c>
      <c r="B1162" s="31">
        <v>164</v>
      </c>
      <c r="C1162" s="31">
        <v>135</v>
      </c>
      <c r="D1162" s="31" t="s">
        <v>136</v>
      </c>
      <c r="E1162" s="31" t="str">
        <f t="shared" si="18"/>
        <v>635CE03PT</v>
      </c>
      <c r="F1162" s="31" t="str">
        <f>VLOOKUP(B1162,[1]Course!$A$2:$R$329,2,FALSE)</f>
        <v>U.S. Civics</v>
      </c>
      <c r="G1162" s="31">
        <f>VLOOKUP(B1162, [1]Course!$A$2:$L$950, 8, FALSE)</f>
        <v>6</v>
      </c>
      <c r="H1162" s="31">
        <v>3</v>
      </c>
      <c r="I1162" s="31">
        <v>1</v>
      </c>
      <c r="K1162" s="31" t="s">
        <v>1548</v>
      </c>
      <c r="L1162" s="31" t="str">
        <f>VLOOKUP(B1162, [1]Course!$A$1:$O$933, 14, FALSE)</f>
        <v>USCI</v>
      </c>
      <c r="M1162" s="31">
        <v>1</v>
      </c>
    </row>
    <row r="1163" spans="1:13" ht="15.75" hidden="1" customHeight="1" x14ac:dyDescent="0.2">
      <c r="A1163" s="31">
        <v>1172</v>
      </c>
      <c r="B1163" s="31">
        <v>164</v>
      </c>
      <c r="C1163" s="31">
        <v>136</v>
      </c>
      <c r="D1163" s="31" t="s">
        <v>136</v>
      </c>
      <c r="E1163" s="31" t="str">
        <f t="shared" si="18"/>
        <v>636CE03PT</v>
      </c>
      <c r="F1163" s="31" t="str">
        <f>VLOOKUP(B1163,[1]Course!$A$2:$R$329,2,FALSE)</f>
        <v>U.S. Civics</v>
      </c>
      <c r="G1163" s="31">
        <f>VLOOKUP(B1163, [1]Course!$A$2:$L$950, 8, FALSE)</f>
        <v>6</v>
      </c>
      <c r="H1163" s="31">
        <v>3</v>
      </c>
      <c r="I1163" s="31">
        <v>1</v>
      </c>
      <c r="K1163" s="31" t="s">
        <v>1548</v>
      </c>
      <c r="L1163" s="31" t="str">
        <f>VLOOKUP(B1163, [1]Course!$A$1:$O$933, 14, FALSE)</f>
        <v>USCI</v>
      </c>
      <c r="M1163" s="31">
        <v>1</v>
      </c>
    </row>
    <row r="1164" spans="1:13" ht="15.75" hidden="1" customHeight="1" x14ac:dyDescent="0.2">
      <c r="A1164" s="31">
        <v>1173</v>
      </c>
      <c r="B1164" s="31">
        <v>164</v>
      </c>
      <c r="C1164" s="31">
        <v>137</v>
      </c>
      <c r="D1164" s="31" t="s">
        <v>136</v>
      </c>
      <c r="E1164" s="31" t="str">
        <f t="shared" si="18"/>
        <v>637CE03PT</v>
      </c>
      <c r="F1164" s="31" t="str">
        <f>VLOOKUP(B1164,[1]Course!$A$2:$R$329,2,FALSE)</f>
        <v>U.S. Civics</v>
      </c>
      <c r="G1164" s="31">
        <f>VLOOKUP(B1164, [1]Course!$A$2:$L$950, 8, FALSE)</f>
        <v>6</v>
      </c>
      <c r="H1164" s="31">
        <v>3</v>
      </c>
      <c r="I1164" s="31">
        <v>1</v>
      </c>
      <c r="K1164" s="31" t="s">
        <v>1548</v>
      </c>
      <c r="L1164" s="31" t="str">
        <f>VLOOKUP(B1164, [1]Course!$A$1:$O$933, 14, FALSE)</f>
        <v>USCI</v>
      </c>
      <c r="M1164" s="31">
        <v>1</v>
      </c>
    </row>
    <row r="1165" spans="1:13" ht="15.75" hidden="1" customHeight="1" x14ac:dyDescent="0.2">
      <c r="A1165" s="31">
        <v>1174</v>
      </c>
      <c r="B1165" s="31">
        <v>164</v>
      </c>
      <c r="C1165" s="31">
        <v>138</v>
      </c>
      <c r="D1165" s="31" t="s">
        <v>136</v>
      </c>
      <c r="E1165" s="31" t="str">
        <f t="shared" si="18"/>
        <v>638CE03PT</v>
      </c>
      <c r="F1165" s="31" t="str">
        <f>VLOOKUP(B1165,[1]Course!$A$2:$R$329,2,FALSE)</f>
        <v>U.S. Civics</v>
      </c>
      <c r="G1165" s="31">
        <f>VLOOKUP(B1165, [1]Course!$A$2:$L$950, 8, FALSE)</f>
        <v>6</v>
      </c>
      <c r="H1165" s="31">
        <v>3</v>
      </c>
      <c r="I1165" s="31">
        <v>1</v>
      </c>
      <c r="K1165" s="31" t="s">
        <v>1548</v>
      </c>
      <c r="L1165" s="31" t="str">
        <f>VLOOKUP(B1165, [1]Course!$A$1:$O$933, 14, FALSE)</f>
        <v>USCI</v>
      </c>
      <c r="M1165" s="31">
        <v>1</v>
      </c>
    </row>
    <row r="1166" spans="1:13" ht="15.75" hidden="1" customHeight="1" x14ac:dyDescent="0.2">
      <c r="A1166" s="31">
        <v>1175</v>
      </c>
      <c r="B1166" s="31">
        <v>165</v>
      </c>
      <c r="C1166" s="31">
        <v>139</v>
      </c>
      <c r="D1166" s="31" t="s">
        <v>136</v>
      </c>
      <c r="E1166" s="31" t="str">
        <f t="shared" si="18"/>
        <v>639CE03PT</v>
      </c>
      <c r="F1166" s="31" t="str">
        <f>VLOOKUP(B1166,[1]Course!$A$2:$R$329,2,FALSE)</f>
        <v>Economics</v>
      </c>
      <c r="G1166" s="31">
        <f>VLOOKUP(B1166, [1]Course!$A$2:$L$950, 8, FALSE)</f>
        <v>6</v>
      </c>
      <c r="H1166" s="31">
        <v>3</v>
      </c>
      <c r="I1166" s="31">
        <v>1</v>
      </c>
      <c r="K1166" s="31" t="s">
        <v>1548</v>
      </c>
      <c r="L1166" s="31" t="str">
        <f>VLOOKUP(B1166, [1]Course!$A$1:$O$933, 14, FALSE)</f>
        <v>ECON</v>
      </c>
      <c r="M1166" s="31">
        <v>1</v>
      </c>
    </row>
    <row r="1167" spans="1:13" ht="15.75" hidden="1" customHeight="1" x14ac:dyDescent="0.2">
      <c r="A1167" s="31">
        <v>1176</v>
      </c>
      <c r="B1167" s="31">
        <v>165</v>
      </c>
      <c r="C1167" s="31">
        <v>140</v>
      </c>
      <c r="D1167" s="31" t="s">
        <v>136</v>
      </c>
      <c r="E1167" s="31" t="str">
        <f t="shared" si="18"/>
        <v>640CE03PT</v>
      </c>
      <c r="F1167" s="31" t="str">
        <f>VLOOKUP(B1167,[1]Course!$A$2:$R$329,2,FALSE)</f>
        <v>Economics</v>
      </c>
      <c r="G1167" s="31">
        <f>VLOOKUP(B1167, [1]Course!$A$2:$L$950, 8, FALSE)</f>
        <v>6</v>
      </c>
      <c r="H1167" s="31">
        <v>3</v>
      </c>
      <c r="I1167" s="31">
        <v>1</v>
      </c>
      <c r="K1167" s="31" t="s">
        <v>1548</v>
      </c>
      <c r="L1167" s="31" t="str">
        <f>VLOOKUP(B1167, [1]Course!$A$1:$O$933, 14, FALSE)</f>
        <v>ECON</v>
      </c>
      <c r="M1167" s="31">
        <v>1</v>
      </c>
    </row>
    <row r="1168" spans="1:13" ht="15.75" hidden="1" customHeight="1" x14ac:dyDescent="0.2">
      <c r="A1168" s="31">
        <v>1177</v>
      </c>
      <c r="B1168" s="31">
        <v>165</v>
      </c>
      <c r="C1168" s="31">
        <v>141</v>
      </c>
      <c r="D1168" s="31" t="s">
        <v>136</v>
      </c>
      <c r="E1168" s="31" t="str">
        <f t="shared" si="18"/>
        <v>641CE03PT</v>
      </c>
      <c r="F1168" s="31" t="str">
        <f>VLOOKUP(B1168,[1]Course!$A$2:$R$329,2,FALSE)</f>
        <v>Economics</v>
      </c>
      <c r="G1168" s="31">
        <f>VLOOKUP(B1168, [1]Course!$A$2:$L$950, 8, FALSE)</f>
        <v>6</v>
      </c>
      <c r="H1168" s="31">
        <v>3</v>
      </c>
      <c r="I1168" s="31">
        <v>1</v>
      </c>
      <c r="K1168" s="31" t="s">
        <v>1548</v>
      </c>
      <c r="L1168" s="31" t="str">
        <f>VLOOKUP(B1168, [1]Course!$A$1:$O$933, 14, FALSE)</f>
        <v>ECON</v>
      </c>
      <c r="M1168" s="31">
        <v>1</v>
      </c>
    </row>
    <row r="1169" spans="1:13" ht="15.75" hidden="1" customHeight="1" x14ac:dyDescent="0.2">
      <c r="A1169" s="31">
        <v>1178</v>
      </c>
      <c r="B1169" s="31">
        <v>165</v>
      </c>
      <c r="C1169" s="31">
        <v>142</v>
      </c>
      <c r="D1169" s="31" t="s">
        <v>136</v>
      </c>
      <c r="E1169" s="31" t="str">
        <f t="shared" si="18"/>
        <v>642CE03PT</v>
      </c>
      <c r="F1169" s="31" t="str">
        <f>VLOOKUP(B1169,[1]Course!$A$2:$R$329,2,FALSE)</f>
        <v>Economics</v>
      </c>
      <c r="G1169" s="31">
        <f>VLOOKUP(B1169, [1]Course!$A$2:$L$950, 8, FALSE)</f>
        <v>6</v>
      </c>
      <c r="H1169" s="31">
        <v>3</v>
      </c>
      <c r="I1169" s="31">
        <v>1</v>
      </c>
      <c r="K1169" s="31" t="s">
        <v>1548</v>
      </c>
      <c r="L1169" s="31" t="str">
        <f>VLOOKUP(B1169, [1]Course!$A$1:$O$933, 14, FALSE)</f>
        <v>ECON</v>
      </c>
      <c r="M1169" s="31">
        <v>1</v>
      </c>
    </row>
    <row r="1170" spans="1:13" ht="15.75" hidden="1" customHeight="1" x14ac:dyDescent="0.2">
      <c r="A1170" s="31">
        <v>1179</v>
      </c>
      <c r="B1170" s="31">
        <v>165</v>
      </c>
      <c r="C1170" s="31">
        <v>143</v>
      </c>
      <c r="D1170" s="31" t="s">
        <v>136</v>
      </c>
      <c r="E1170" s="31" t="str">
        <f t="shared" si="18"/>
        <v>643CE03PT</v>
      </c>
      <c r="F1170" s="31" t="str">
        <f>VLOOKUP(B1170,[1]Course!$A$2:$R$329,2,FALSE)</f>
        <v>Economics</v>
      </c>
      <c r="G1170" s="31">
        <f>VLOOKUP(B1170, [1]Course!$A$2:$L$950, 8, FALSE)</f>
        <v>6</v>
      </c>
      <c r="H1170" s="31">
        <v>3</v>
      </c>
      <c r="I1170" s="31">
        <v>1</v>
      </c>
      <c r="K1170" s="31" t="s">
        <v>1548</v>
      </c>
      <c r="L1170" s="31" t="str">
        <f>VLOOKUP(B1170, [1]Course!$A$1:$O$933, 14, FALSE)</f>
        <v>ECON</v>
      </c>
      <c r="M1170" s="31">
        <v>1</v>
      </c>
    </row>
    <row r="1171" spans="1:13" ht="15.75" hidden="1" customHeight="1" x14ac:dyDescent="0.2">
      <c r="A1171" s="31">
        <v>1180</v>
      </c>
      <c r="B1171" s="31">
        <v>165</v>
      </c>
      <c r="C1171" s="31">
        <v>144</v>
      </c>
      <c r="D1171" s="31" t="s">
        <v>136</v>
      </c>
      <c r="E1171" s="31" t="str">
        <f t="shared" si="18"/>
        <v>644CE03PT</v>
      </c>
      <c r="F1171" s="31" t="str">
        <f>VLOOKUP(B1171,[1]Course!$A$2:$R$329,2,FALSE)</f>
        <v>Economics</v>
      </c>
      <c r="G1171" s="31">
        <f>VLOOKUP(B1171, [1]Course!$A$2:$L$950, 8, FALSE)</f>
        <v>6</v>
      </c>
      <c r="H1171" s="31">
        <v>3</v>
      </c>
      <c r="I1171" s="31">
        <v>1</v>
      </c>
      <c r="K1171" s="31" t="s">
        <v>1548</v>
      </c>
      <c r="L1171" s="31" t="str">
        <f>VLOOKUP(B1171, [1]Course!$A$1:$O$933, 14, FALSE)</f>
        <v>ECON</v>
      </c>
      <c r="M1171" s="31">
        <v>1</v>
      </c>
    </row>
    <row r="1172" spans="1:13" ht="15.75" hidden="1" customHeight="1" x14ac:dyDescent="0.2">
      <c r="A1172" s="31">
        <v>1181</v>
      </c>
      <c r="B1172" s="31">
        <v>120</v>
      </c>
      <c r="C1172" s="31">
        <v>133</v>
      </c>
      <c r="D1172" s="31" t="s">
        <v>133</v>
      </c>
      <c r="E1172" s="31" t="str">
        <f t="shared" si="18"/>
        <v>633CO03PT</v>
      </c>
      <c r="F1172" s="31">
        <f>VLOOKUP(B1172,[1]Course!$A$2:$R$329,2,FALSE)</f>
        <v>0</v>
      </c>
      <c r="G1172" s="31">
        <f>VLOOKUP(B1172, [1]Course!$A$2:$L$950, 8, FALSE)</f>
        <v>6</v>
      </c>
      <c r="H1172" s="31">
        <v>3</v>
      </c>
      <c r="I1172" s="31">
        <v>1</v>
      </c>
      <c r="K1172" s="31" t="s">
        <v>1548</v>
      </c>
      <c r="L1172" s="31" t="str">
        <f>VLOOKUP(B1172, [1]Course!$A$1:$O$933, 14, FALSE)</f>
        <v>CO</v>
      </c>
      <c r="M1172" s="31">
        <v>1</v>
      </c>
    </row>
    <row r="1173" spans="1:13" ht="15.75" hidden="1" customHeight="1" x14ac:dyDescent="0.2">
      <c r="A1173" s="31">
        <v>1182</v>
      </c>
      <c r="B1173" s="31">
        <v>120</v>
      </c>
      <c r="C1173" s="31">
        <v>134</v>
      </c>
      <c r="D1173" s="31" t="s">
        <v>133</v>
      </c>
      <c r="E1173" s="31" t="str">
        <f t="shared" si="18"/>
        <v>634CO03PT</v>
      </c>
      <c r="F1173" s="31">
        <f>VLOOKUP(B1173,[1]Course!$A$2:$R$329,2,FALSE)</f>
        <v>0</v>
      </c>
      <c r="G1173" s="31">
        <f>VLOOKUP(B1173, [1]Course!$A$2:$L$950, 8, FALSE)</f>
        <v>6</v>
      </c>
      <c r="H1173" s="31">
        <v>3</v>
      </c>
      <c r="I1173" s="31">
        <v>1</v>
      </c>
      <c r="K1173" s="31" t="s">
        <v>1548</v>
      </c>
      <c r="L1173" s="31" t="str">
        <f>VLOOKUP(B1173, [1]Course!$A$1:$O$933, 14, FALSE)</f>
        <v>CO</v>
      </c>
      <c r="M1173" s="31">
        <v>1</v>
      </c>
    </row>
    <row r="1174" spans="1:13" ht="15.75" hidden="1" customHeight="1" x14ac:dyDescent="0.2">
      <c r="A1174" s="31">
        <v>1183</v>
      </c>
      <c r="B1174" s="31">
        <v>120</v>
      </c>
      <c r="C1174" s="31">
        <v>135</v>
      </c>
      <c r="D1174" s="31" t="s">
        <v>133</v>
      </c>
      <c r="E1174" s="31" t="str">
        <f t="shared" si="18"/>
        <v>635CO03PT</v>
      </c>
      <c r="F1174" s="31">
        <f>VLOOKUP(B1174,[1]Course!$A$2:$R$329,2,FALSE)</f>
        <v>0</v>
      </c>
      <c r="G1174" s="31">
        <f>VLOOKUP(B1174, [1]Course!$A$2:$L$950, 8, FALSE)</f>
        <v>6</v>
      </c>
      <c r="H1174" s="31">
        <v>3</v>
      </c>
      <c r="I1174" s="31">
        <v>1</v>
      </c>
      <c r="K1174" s="31" t="s">
        <v>1548</v>
      </c>
      <c r="L1174" s="31" t="str">
        <f>VLOOKUP(B1174, [1]Course!$A$1:$O$933, 14, FALSE)</f>
        <v>CO</v>
      </c>
      <c r="M1174" s="31">
        <v>1</v>
      </c>
    </row>
    <row r="1175" spans="1:13" ht="15.75" hidden="1" customHeight="1" x14ac:dyDescent="0.2">
      <c r="A1175" s="31">
        <v>1184</v>
      </c>
      <c r="B1175" s="31">
        <v>120</v>
      </c>
      <c r="C1175" s="31">
        <v>136</v>
      </c>
      <c r="D1175" s="31" t="s">
        <v>133</v>
      </c>
      <c r="E1175" s="31" t="str">
        <f t="shared" si="18"/>
        <v>636CO03PT</v>
      </c>
      <c r="F1175" s="31">
        <f>VLOOKUP(B1175,[1]Course!$A$2:$R$329,2,FALSE)</f>
        <v>0</v>
      </c>
      <c r="G1175" s="31">
        <f>VLOOKUP(B1175, [1]Course!$A$2:$L$950, 8, FALSE)</f>
        <v>6</v>
      </c>
      <c r="H1175" s="31">
        <v>3</v>
      </c>
      <c r="I1175" s="31">
        <v>1</v>
      </c>
      <c r="K1175" s="31" t="s">
        <v>1548</v>
      </c>
      <c r="L1175" s="31" t="str">
        <f>VLOOKUP(B1175, [1]Course!$A$1:$O$933, 14, FALSE)</f>
        <v>CO</v>
      </c>
      <c r="M1175" s="31">
        <v>1</v>
      </c>
    </row>
    <row r="1176" spans="1:13" ht="15.75" hidden="1" customHeight="1" x14ac:dyDescent="0.2">
      <c r="A1176" s="31">
        <v>1185</v>
      </c>
      <c r="B1176" s="31">
        <v>120</v>
      </c>
      <c r="C1176" s="31">
        <v>137</v>
      </c>
      <c r="D1176" s="31" t="s">
        <v>133</v>
      </c>
      <c r="E1176" s="31" t="str">
        <f t="shared" si="18"/>
        <v>637CO03PT</v>
      </c>
      <c r="F1176" s="31">
        <f>VLOOKUP(B1176,[1]Course!$A$2:$R$329,2,FALSE)</f>
        <v>0</v>
      </c>
      <c r="G1176" s="31">
        <f>VLOOKUP(B1176, [1]Course!$A$2:$L$950, 8, FALSE)</f>
        <v>6</v>
      </c>
      <c r="H1176" s="31">
        <v>3</v>
      </c>
      <c r="I1176" s="31">
        <v>1</v>
      </c>
      <c r="K1176" s="31" t="s">
        <v>1548</v>
      </c>
      <c r="L1176" s="31" t="str">
        <f>VLOOKUP(B1176, [1]Course!$A$1:$O$933, 14, FALSE)</f>
        <v>CO</v>
      </c>
      <c r="M1176" s="31">
        <v>1</v>
      </c>
    </row>
    <row r="1177" spans="1:13" ht="15.75" hidden="1" customHeight="1" x14ac:dyDescent="0.2">
      <c r="A1177" s="31">
        <v>1186</v>
      </c>
      <c r="B1177" s="31">
        <v>120</v>
      </c>
      <c r="C1177" s="31">
        <v>138</v>
      </c>
      <c r="D1177" s="31" t="s">
        <v>133</v>
      </c>
      <c r="E1177" s="31" t="str">
        <f t="shared" si="18"/>
        <v>638CO03PT</v>
      </c>
      <c r="F1177" s="31">
        <f>VLOOKUP(B1177,[1]Course!$A$2:$R$329,2,FALSE)</f>
        <v>0</v>
      </c>
      <c r="G1177" s="31">
        <f>VLOOKUP(B1177, [1]Course!$A$2:$L$950, 8, FALSE)</f>
        <v>6</v>
      </c>
      <c r="H1177" s="31">
        <v>3</v>
      </c>
      <c r="I1177" s="31">
        <v>1</v>
      </c>
      <c r="K1177" s="31" t="s">
        <v>1548</v>
      </c>
      <c r="L1177" s="31" t="str">
        <f>VLOOKUP(B1177, [1]Course!$A$1:$O$933, 14, FALSE)</f>
        <v>CO</v>
      </c>
      <c r="M1177" s="31">
        <v>1</v>
      </c>
    </row>
    <row r="1178" spans="1:13" ht="15.75" hidden="1" customHeight="1" x14ac:dyDescent="0.2">
      <c r="A1178" s="31">
        <v>1187</v>
      </c>
      <c r="B1178" s="31">
        <v>121</v>
      </c>
      <c r="C1178" s="31">
        <v>11</v>
      </c>
      <c r="D1178" s="31" t="s">
        <v>129</v>
      </c>
      <c r="E1178" s="31" t="str">
        <f t="shared" si="18"/>
        <v>1011HC03PT</v>
      </c>
      <c r="F1178" s="31" t="str">
        <f>VLOOKUP(B1178,[1]Course!$A$2:$R$329,2,FALSE)</f>
        <v>History of Civilisation II</v>
      </c>
      <c r="G1178" s="31">
        <f>VLOOKUP(B1178, [1]Course!$A$2:$L$950, 8, FALSE)</f>
        <v>10</v>
      </c>
      <c r="H1178" s="31">
        <v>3</v>
      </c>
      <c r="I1178" s="31">
        <v>1</v>
      </c>
      <c r="K1178" s="31" t="s">
        <v>1548</v>
      </c>
      <c r="L1178" s="31" t="str">
        <f>VLOOKUP(B1178, [1]Course!$A$1:$O$933, 14, FALSE)</f>
        <v>HC</v>
      </c>
      <c r="M1178" s="31">
        <v>1</v>
      </c>
    </row>
    <row r="1179" spans="1:13" ht="15.75" hidden="1" customHeight="1" x14ac:dyDescent="0.2">
      <c r="A1179" s="31">
        <v>1188</v>
      </c>
      <c r="B1179" s="31">
        <v>121</v>
      </c>
      <c r="C1179" s="31">
        <v>12</v>
      </c>
      <c r="D1179" s="31" t="s">
        <v>129</v>
      </c>
      <c r="E1179" s="31" t="str">
        <f t="shared" si="18"/>
        <v>1012HC03PT</v>
      </c>
      <c r="F1179" s="31" t="str">
        <f>VLOOKUP(B1179,[1]Course!$A$2:$R$329,2,FALSE)</f>
        <v>History of Civilisation II</v>
      </c>
      <c r="G1179" s="31">
        <f>VLOOKUP(B1179, [1]Course!$A$2:$L$950, 8, FALSE)</f>
        <v>10</v>
      </c>
      <c r="H1179" s="31">
        <v>3</v>
      </c>
      <c r="I1179" s="31">
        <v>1</v>
      </c>
      <c r="K1179" s="31" t="s">
        <v>1548</v>
      </c>
      <c r="L1179" s="31" t="str">
        <f>VLOOKUP(B1179, [1]Course!$A$1:$O$933, 14, FALSE)</f>
        <v>HC</v>
      </c>
      <c r="M1179" s="31">
        <v>1</v>
      </c>
    </row>
    <row r="1180" spans="1:13" ht="15.75" hidden="1" customHeight="1" x14ac:dyDescent="0.2">
      <c r="A1180" s="31">
        <v>1189</v>
      </c>
      <c r="B1180" s="31">
        <v>121</v>
      </c>
      <c r="C1180" s="31">
        <v>13</v>
      </c>
      <c r="D1180" s="31" t="s">
        <v>129</v>
      </c>
      <c r="E1180" s="31" t="str">
        <f t="shared" si="18"/>
        <v>1013HC03PT</v>
      </c>
      <c r="F1180" s="31" t="str">
        <f>VLOOKUP(B1180,[1]Course!$A$2:$R$329,2,FALSE)</f>
        <v>History of Civilisation II</v>
      </c>
      <c r="G1180" s="31">
        <f>VLOOKUP(B1180, [1]Course!$A$2:$L$950, 8, FALSE)</f>
        <v>10</v>
      </c>
      <c r="H1180" s="31">
        <v>3</v>
      </c>
      <c r="I1180" s="31">
        <v>1</v>
      </c>
      <c r="K1180" s="31" t="s">
        <v>1548</v>
      </c>
      <c r="L1180" s="31" t="str">
        <f>VLOOKUP(B1180, [1]Course!$A$1:$O$933, 14, FALSE)</f>
        <v>HC</v>
      </c>
      <c r="M1180" s="31">
        <v>1</v>
      </c>
    </row>
    <row r="1181" spans="1:13" ht="15.75" hidden="1" customHeight="1" x14ac:dyDescent="0.2">
      <c r="A1181" s="31">
        <v>1190</v>
      </c>
      <c r="B1181" s="31">
        <v>121</v>
      </c>
      <c r="C1181" s="31">
        <v>14</v>
      </c>
      <c r="D1181" s="31" t="s">
        <v>129</v>
      </c>
      <c r="E1181" s="31" t="str">
        <f t="shared" si="18"/>
        <v>1014HC03PT</v>
      </c>
      <c r="F1181" s="31" t="str">
        <f>VLOOKUP(B1181,[1]Course!$A$2:$R$329,2,FALSE)</f>
        <v>History of Civilisation II</v>
      </c>
      <c r="G1181" s="31">
        <f>VLOOKUP(B1181, [1]Course!$A$2:$L$950, 8, FALSE)</f>
        <v>10</v>
      </c>
      <c r="H1181" s="31">
        <v>3</v>
      </c>
      <c r="I1181" s="31">
        <v>1</v>
      </c>
      <c r="K1181" s="31" t="s">
        <v>1548</v>
      </c>
      <c r="L1181" s="31" t="str">
        <f>VLOOKUP(B1181, [1]Course!$A$1:$O$933, 14, FALSE)</f>
        <v>HC</v>
      </c>
      <c r="M1181" s="31">
        <v>1</v>
      </c>
    </row>
    <row r="1182" spans="1:13" ht="15.75" hidden="1" customHeight="1" x14ac:dyDescent="0.2">
      <c r="A1182" s="31">
        <v>1191</v>
      </c>
      <c r="B1182" s="31">
        <v>121</v>
      </c>
      <c r="C1182" s="31">
        <v>15</v>
      </c>
      <c r="D1182" s="31" t="s">
        <v>129</v>
      </c>
      <c r="E1182" s="31" t="str">
        <f t="shared" si="18"/>
        <v>1015HC03PT</v>
      </c>
      <c r="F1182" s="31" t="str">
        <f>VLOOKUP(B1182,[1]Course!$A$2:$R$329,2,FALSE)</f>
        <v>History of Civilisation II</v>
      </c>
      <c r="G1182" s="31">
        <f>VLOOKUP(B1182, [1]Course!$A$2:$L$950, 8, FALSE)</f>
        <v>10</v>
      </c>
      <c r="H1182" s="31">
        <v>3</v>
      </c>
      <c r="I1182" s="31">
        <v>1</v>
      </c>
      <c r="K1182" s="31" t="s">
        <v>1548</v>
      </c>
      <c r="L1182" s="31" t="str">
        <f>VLOOKUP(B1182, [1]Course!$A$1:$O$933, 14, FALSE)</f>
        <v>HC</v>
      </c>
      <c r="M1182" s="31">
        <v>2</v>
      </c>
    </row>
    <row r="1183" spans="1:13" ht="15.75" hidden="1" customHeight="1" x14ac:dyDescent="0.2">
      <c r="A1183" s="31">
        <v>1192</v>
      </c>
      <c r="B1183" s="31">
        <v>121</v>
      </c>
      <c r="C1183" s="31">
        <v>16</v>
      </c>
      <c r="D1183" s="31" t="s">
        <v>129</v>
      </c>
      <c r="E1183" s="31" t="str">
        <f t="shared" si="18"/>
        <v>1016HC03PT</v>
      </c>
      <c r="F1183" s="31" t="str">
        <f>VLOOKUP(B1183,[1]Course!$A$2:$R$329,2,FALSE)</f>
        <v>History of Civilisation II</v>
      </c>
      <c r="G1183" s="31">
        <f>VLOOKUP(B1183, [1]Course!$A$2:$L$950, 8, FALSE)</f>
        <v>10</v>
      </c>
      <c r="H1183" s="31">
        <v>3</v>
      </c>
      <c r="I1183" s="31">
        <v>1</v>
      </c>
      <c r="K1183" s="31" t="s">
        <v>1548</v>
      </c>
      <c r="L1183" s="31" t="str">
        <f>VLOOKUP(B1183, [1]Course!$A$1:$O$933, 14, FALSE)</f>
        <v>HC</v>
      </c>
      <c r="M1183" s="31">
        <v>1</v>
      </c>
    </row>
    <row r="1184" spans="1:13" ht="15.75" hidden="1" customHeight="1" x14ac:dyDescent="0.2">
      <c r="A1184" s="31">
        <v>1193</v>
      </c>
      <c r="B1184" s="31">
        <v>121</v>
      </c>
      <c r="C1184" s="31">
        <v>17</v>
      </c>
      <c r="D1184" s="31" t="s">
        <v>129</v>
      </c>
      <c r="E1184" s="31" t="str">
        <f t="shared" si="18"/>
        <v>1017HC03PT</v>
      </c>
      <c r="F1184" s="31" t="str">
        <f>VLOOKUP(B1184,[1]Course!$A$2:$R$329,2,FALSE)</f>
        <v>History of Civilisation II</v>
      </c>
      <c r="G1184" s="31">
        <f>VLOOKUP(B1184, [1]Course!$A$2:$L$950, 8, FALSE)</f>
        <v>10</v>
      </c>
      <c r="H1184" s="31">
        <v>3</v>
      </c>
      <c r="I1184" s="31">
        <v>1</v>
      </c>
      <c r="K1184" s="31" t="s">
        <v>1548</v>
      </c>
      <c r="L1184" s="31" t="str">
        <f>VLOOKUP(B1184, [1]Course!$A$1:$O$933, 14, FALSE)</f>
        <v>HC</v>
      </c>
      <c r="M1184" s="31">
        <v>1</v>
      </c>
    </row>
    <row r="1185" spans="1:14" ht="15.75" hidden="1" customHeight="1" x14ac:dyDescent="0.2">
      <c r="A1185" s="31">
        <v>1194</v>
      </c>
      <c r="B1185" s="31">
        <v>121</v>
      </c>
      <c r="C1185" s="31">
        <v>18</v>
      </c>
      <c r="D1185" s="31" t="s">
        <v>129</v>
      </c>
      <c r="E1185" s="31" t="str">
        <f t="shared" si="18"/>
        <v>1018HC03PT</v>
      </c>
      <c r="F1185" s="31" t="str">
        <f>VLOOKUP(B1185,[1]Course!$A$2:$R$329,2,FALSE)</f>
        <v>History of Civilisation II</v>
      </c>
      <c r="G1185" s="31">
        <f>VLOOKUP(B1185, [1]Course!$A$2:$L$950, 8, FALSE)</f>
        <v>10</v>
      </c>
      <c r="H1185" s="31">
        <v>3</v>
      </c>
      <c r="I1185" s="31">
        <v>1</v>
      </c>
      <c r="K1185" s="31" t="s">
        <v>1548</v>
      </c>
      <c r="L1185" s="31" t="str">
        <f>VLOOKUP(B1185, [1]Course!$A$1:$O$933, 14, FALSE)</f>
        <v>HC</v>
      </c>
      <c r="M1185" s="31">
        <v>1</v>
      </c>
    </row>
    <row r="1186" spans="1:14" ht="15.75" hidden="1" customHeight="1" x14ac:dyDescent="0.2">
      <c r="A1186" s="31">
        <v>1195</v>
      </c>
      <c r="B1186" s="31">
        <v>121</v>
      </c>
      <c r="C1186" s="31">
        <v>19</v>
      </c>
      <c r="D1186" s="31" t="s">
        <v>129</v>
      </c>
      <c r="E1186" s="31" t="str">
        <f t="shared" si="18"/>
        <v>1019HC03PT</v>
      </c>
      <c r="F1186" s="31" t="str">
        <f>VLOOKUP(B1186,[1]Course!$A$2:$R$329,2,FALSE)</f>
        <v>History of Civilisation II</v>
      </c>
      <c r="G1186" s="31">
        <f>VLOOKUP(B1186, [1]Course!$A$2:$L$950, 8, FALSE)</f>
        <v>10</v>
      </c>
      <c r="H1186" s="31">
        <v>3</v>
      </c>
      <c r="I1186" s="31">
        <v>1</v>
      </c>
      <c r="K1186" s="31" t="s">
        <v>1548</v>
      </c>
      <c r="L1186" s="31" t="str">
        <f>VLOOKUP(B1186, [1]Course!$A$1:$O$933, 14, FALSE)</f>
        <v>HC</v>
      </c>
      <c r="M1186" s="31">
        <v>1</v>
      </c>
    </row>
    <row r="1187" spans="1:14" ht="15.75" hidden="1" customHeight="1" x14ac:dyDescent="0.2">
      <c r="A1187" s="31">
        <v>1196</v>
      </c>
      <c r="B1187" s="31">
        <v>121</v>
      </c>
      <c r="C1187" s="31">
        <v>20</v>
      </c>
      <c r="D1187" s="31" t="s">
        <v>129</v>
      </c>
      <c r="E1187" s="31" t="str">
        <f t="shared" si="18"/>
        <v>1020HC03PT</v>
      </c>
      <c r="F1187" s="31" t="str">
        <f>VLOOKUP(B1187,[1]Course!$A$2:$R$329,2,FALSE)</f>
        <v>History of Civilisation II</v>
      </c>
      <c r="G1187" s="31">
        <f>VLOOKUP(B1187, [1]Course!$A$2:$L$950, 8, FALSE)</f>
        <v>10</v>
      </c>
      <c r="H1187" s="31">
        <v>3</v>
      </c>
      <c r="I1187" s="31">
        <v>1</v>
      </c>
      <c r="K1187" s="31" t="s">
        <v>1548</v>
      </c>
      <c r="L1187" s="31" t="str">
        <f>VLOOKUP(B1187, [1]Course!$A$1:$O$933, 14, FALSE)</f>
        <v>HC</v>
      </c>
      <c r="M1187" s="31">
        <v>2</v>
      </c>
    </row>
    <row r="1188" spans="1:14" ht="15.75" hidden="1" customHeight="1" x14ac:dyDescent="0.2">
      <c r="A1188" s="31">
        <v>1197</v>
      </c>
      <c r="B1188" s="31">
        <v>122</v>
      </c>
      <c r="C1188" s="31">
        <v>133</v>
      </c>
      <c r="D1188" s="31" t="s">
        <v>126</v>
      </c>
      <c r="E1188" s="31" t="str">
        <f t="shared" si="18"/>
        <v>433UC03PT</v>
      </c>
      <c r="F1188" s="31">
        <f>VLOOKUP(B1188,[1]Course!$A$2:$R$329,2,FALSE)</f>
        <v>0</v>
      </c>
      <c r="G1188" s="31">
        <f>VLOOKUP(B1188, [1]Course!$A$2:$L$950, 8, FALSE)</f>
        <v>4</v>
      </c>
      <c r="H1188" s="31">
        <v>3</v>
      </c>
      <c r="I1188" s="31">
        <v>1</v>
      </c>
      <c r="K1188" s="31" t="s">
        <v>1548</v>
      </c>
      <c r="L1188" s="31" t="str">
        <f>VLOOKUP(B1188, [1]Course!$A$1:$O$933, 14, FALSE)</f>
        <v>UC</v>
      </c>
      <c r="M1188" s="31">
        <v>1</v>
      </c>
    </row>
    <row r="1189" spans="1:14" ht="15.75" hidden="1" customHeight="1" x14ac:dyDescent="0.2">
      <c r="A1189" s="31">
        <v>1198</v>
      </c>
      <c r="B1189" s="31">
        <v>122</v>
      </c>
      <c r="C1189" s="31">
        <v>134</v>
      </c>
      <c r="D1189" s="31" t="s">
        <v>126</v>
      </c>
      <c r="E1189" s="31" t="str">
        <f t="shared" si="18"/>
        <v>434UC03PT</v>
      </c>
      <c r="F1189" s="31">
        <f>VLOOKUP(B1189,[1]Course!$A$2:$R$329,2,FALSE)</f>
        <v>0</v>
      </c>
      <c r="G1189" s="31">
        <f>VLOOKUP(B1189, [1]Course!$A$2:$L$950, 8, FALSE)</f>
        <v>4</v>
      </c>
      <c r="H1189" s="31">
        <v>3</v>
      </c>
      <c r="I1189" s="31">
        <v>1</v>
      </c>
      <c r="K1189" s="31" t="s">
        <v>1548</v>
      </c>
      <c r="L1189" s="31" t="str">
        <f>VLOOKUP(B1189, [1]Course!$A$1:$O$933, 14, FALSE)</f>
        <v>UC</v>
      </c>
      <c r="M1189" s="31">
        <v>1</v>
      </c>
    </row>
    <row r="1190" spans="1:14" ht="15.75" hidden="1" customHeight="1" x14ac:dyDescent="0.2">
      <c r="A1190" s="31">
        <v>1199</v>
      </c>
      <c r="B1190" s="31">
        <v>122</v>
      </c>
      <c r="C1190" s="31">
        <v>135</v>
      </c>
      <c r="D1190" s="31" t="s">
        <v>126</v>
      </c>
      <c r="E1190" s="31" t="str">
        <f t="shared" si="18"/>
        <v>435UC03PT</v>
      </c>
      <c r="F1190" s="31">
        <f>VLOOKUP(B1190,[1]Course!$A$2:$R$329,2,FALSE)</f>
        <v>0</v>
      </c>
      <c r="G1190" s="31">
        <f>VLOOKUP(B1190, [1]Course!$A$2:$L$950, 8, FALSE)</f>
        <v>4</v>
      </c>
      <c r="H1190" s="31">
        <v>3</v>
      </c>
      <c r="I1190" s="31">
        <v>1</v>
      </c>
      <c r="K1190" s="31" t="s">
        <v>1548</v>
      </c>
      <c r="L1190" s="31" t="str">
        <f>VLOOKUP(B1190, [1]Course!$A$1:$O$933, 14, FALSE)</f>
        <v>UC</v>
      </c>
      <c r="M1190" s="31">
        <v>1</v>
      </c>
    </row>
    <row r="1191" spans="1:14" ht="15.75" hidden="1" customHeight="1" x14ac:dyDescent="0.2">
      <c r="A1191" s="31">
        <v>1200</v>
      </c>
      <c r="B1191" s="31">
        <v>122</v>
      </c>
      <c r="C1191" s="31">
        <v>136</v>
      </c>
      <c r="D1191" s="31" t="s">
        <v>126</v>
      </c>
      <c r="E1191" s="31" t="str">
        <f t="shared" si="18"/>
        <v>436UC03PT</v>
      </c>
      <c r="F1191" s="31">
        <f>VLOOKUP(B1191,[1]Course!$A$2:$R$329,2,FALSE)</f>
        <v>0</v>
      </c>
      <c r="G1191" s="31">
        <f>VLOOKUP(B1191, [1]Course!$A$2:$L$950, 8, FALSE)</f>
        <v>4</v>
      </c>
      <c r="H1191" s="31">
        <v>3</v>
      </c>
      <c r="I1191" s="31">
        <v>1</v>
      </c>
      <c r="K1191" s="31" t="s">
        <v>1548</v>
      </c>
      <c r="L1191" s="31" t="str">
        <f>VLOOKUP(B1191, [1]Course!$A$1:$O$933, 14, FALSE)</f>
        <v>UC</v>
      </c>
      <c r="M1191" s="31">
        <v>1</v>
      </c>
    </row>
    <row r="1192" spans="1:14" ht="15.75" hidden="1" customHeight="1" x14ac:dyDescent="0.2">
      <c r="A1192" s="31">
        <v>1201</v>
      </c>
      <c r="B1192" s="31">
        <v>123</v>
      </c>
      <c r="C1192" s="31">
        <v>6</v>
      </c>
      <c r="D1192" s="31" t="s">
        <v>122</v>
      </c>
      <c r="E1192" s="31" t="str">
        <f t="shared" si="18"/>
        <v>506CC03PT</v>
      </c>
      <c r="F1192" s="31">
        <f>VLOOKUP(B1192,[1]Course!$A$2:$R$329,2,FALSE)</f>
        <v>0</v>
      </c>
      <c r="G1192" s="31">
        <f>VLOOKUP(B1192, [1]Course!$A$2:$L$950, 8, FALSE)</f>
        <v>5</v>
      </c>
      <c r="H1192" s="31">
        <v>3</v>
      </c>
      <c r="I1192" s="31">
        <v>1</v>
      </c>
      <c r="K1192" s="31" t="s">
        <v>1548</v>
      </c>
      <c r="L1192" s="31" t="str">
        <f>VLOOKUP(B1192, [1]Course!$A$1:$O$933, 14, FALSE)</f>
        <v>CC</v>
      </c>
      <c r="M1192" s="31">
        <v>1</v>
      </c>
    </row>
    <row r="1193" spans="1:14" ht="15.75" hidden="1" customHeight="1" x14ac:dyDescent="0.2">
      <c r="A1193" s="31">
        <v>1202</v>
      </c>
      <c r="B1193" s="31">
        <v>123</v>
      </c>
      <c r="C1193" s="31">
        <v>7</v>
      </c>
      <c r="D1193" s="31" t="s">
        <v>122</v>
      </c>
      <c r="E1193" s="31" t="str">
        <f t="shared" si="18"/>
        <v>507CC03PT</v>
      </c>
      <c r="F1193" s="31">
        <f>VLOOKUP(B1193,[1]Course!$A$2:$R$329,2,FALSE)</f>
        <v>0</v>
      </c>
      <c r="G1193" s="31">
        <f>VLOOKUP(B1193, [1]Course!$A$2:$L$950, 8, FALSE)</f>
        <v>5</v>
      </c>
      <c r="H1193" s="31">
        <v>3</v>
      </c>
      <c r="I1193" s="31">
        <v>1</v>
      </c>
      <c r="K1193" s="31" t="s">
        <v>1548</v>
      </c>
      <c r="L1193" s="31" t="str">
        <f>VLOOKUP(B1193, [1]Course!$A$1:$O$933, 14, FALSE)</f>
        <v>CC</v>
      </c>
      <c r="M1193" s="31">
        <v>1</v>
      </c>
    </row>
    <row r="1194" spans="1:14" ht="15.75" hidden="1" customHeight="1" x14ac:dyDescent="0.2">
      <c r="A1194" s="31">
        <v>1203</v>
      </c>
      <c r="B1194" s="31">
        <v>123</v>
      </c>
      <c r="C1194" s="31">
        <v>8</v>
      </c>
      <c r="D1194" s="31" t="s">
        <v>122</v>
      </c>
      <c r="E1194" s="31" t="str">
        <f t="shared" si="18"/>
        <v>508CC03PT</v>
      </c>
      <c r="F1194" s="31">
        <f>VLOOKUP(B1194,[1]Course!$A$2:$R$329,2,FALSE)</f>
        <v>0</v>
      </c>
      <c r="G1194" s="31">
        <f>VLOOKUP(B1194, [1]Course!$A$2:$L$950, 8, FALSE)</f>
        <v>5</v>
      </c>
      <c r="H1194" s="31">
        <v>3</v>
      </c>
      <c r="I1194" s="31">
        <v>1</v>
      </c>
      <c r="K1194" s="31" t="s">
        <v>1548</v>
      </c>
      <c r="L1194" s="31" t="str">
        <f>VLOOKUP(B1194, [1]Course!$A$1:$O$933, 14, FALSE)</f>
        <v>CC</v>
      </c>
      <c r="M1194" s="31">
        <v>1</v>
      </c>
    </row>
    <row r="1195" spans="1:14" ht="15.75" hidden="1" customHeight="1" x14ac:dyDescent="0.2">
      <c r="A1195" s="31">
        <v>1204</v>
      </c>
      <c r="B1195" s="31">
        <v>123</v>
      </c>
      <c r="C1195" s="31">
        <v>9</v>
      </c>
      <c r="D1195" s="31" t="s">
        <v>122</v>
      </c>
      <c r="E1195" s="31" t="str">
        <f t="shared" si="18"/>
        <v>509CC03PT</v>
      </c>
      <c r="F1195" s="31">
        <f>VLOOKUP(B1195,[1]Course!$A$2:$R$329,2,FALSE)</f>
        <v>0</v>
      </c>
      <c r="G1195" s="31">
        <f>VLOOKUP(B1195, [1]Course!$A$2:$L$950, 8, FALSE)</f>
        <v>5</v>
      </c>
      <c r="H1195" s="31">
        <v>3</v>
      </c>
      <c r="I1195" s="31">
        <v>1</v>
      </c>
      <c r="K1195" s="31" t="s">
        <v>1548</v>
      </c>
      <c r="L1195" s="31" t="str">
        <f>VLOOKUP(B1195, [1]Course!$A$1:$O$933, 14, FALSE)</f>
        <v>CC</v>
      </c>
      <c r="M1195" s="31">
        <v>1</v>
      </c>
    </row>
    <row r="1196" spans="1:14" ht="15.75" hidden="1" customHeight="1" x14ac:dyDescent="0.2">
      <c r="A1196" s="31">
        <v>1205</v>
      </c>
      <c r="B1196" s="31">
        <v>123</v>
      </c>
      <c r="C1196" s="31">
        <v>10</v>
      </c>
      <c r="D1196" s="31" t="s">
        <v>122</v>
      </c>
      <c r="E1196" s="31" t="str">
        <f t="shared" si="18"/>
        <v>510CC03PT</v>
      </c>
      <c r="F1196" s="31">
        <f>VLOOKUP(B1196,[1]Course!$A$2:$R$329,2,FALSE)</f>
        <v>0</v>
      </c>
      <c r="G1196" s="31">
        <f>VLOOKUP(B1196, [1]Course!$A$2:$L$950, 8, FALSE)</f>
        <v>5</v>
      </c>
      <c r="H1196" s="31">
        <v>3</v>
      </c>
      <c r="I1196" s="31">
        <v>1</v>
      </c>
      <c r="K1196" s="31" t="s">
        <v>1548</v>
      </c>
      <c r="L1196" s="31" t="str">
        <f>VLOOKUP(B1196, [1]Course!$A$1:$O$933, 14, FALSE)</f>
        <v>CC</v>
      </c>
      <c r="M1196" s="32">
        <v>2</v>
      </c>
      <c r="N1196" s="31" t="s">
        <v>1560</v>
      </c>
    </row>
    <row r="1197" spans="1:14" ht="15.75" hidden="1" customHeight="1" x14ac:dyDescent="0.2">
      <c r="A1197" s="31">
        <v>1206</v>
      </c>
      <c r="B1197" s="31">
        <v>124</v>
      </c>
      <c r="C1197" s="31">
        <v>133</v>
      </c>
      <c r="D1197" s="31" t="s">
        <v>118</v>
      </c>
      <c r="E1197" s="31" t="str">
        <f t="shared" si="18"/>
        <v>633CG03PT</v>
      </c>
      <c r="F1197" s="31" t="str">
        <f>VLOOKUP(B1197,[1]Course!$A$2:$R$329,2,FALSE)</f>
        <v>Basic Christian Growth</v>
      </c>
      <c r="G1197" s="31">
        <f>VLOOKUP(B1197, [1]Course!$A$2:$L$950, 8, FALSE)</f>
        <v>6</v>
      </c>
      <c r="H1197" s="31">
        <v>3</v>
      </c>
      <c r="I1197" s="31">
        <v>1</v>
      </c>
      <c r="K1197" s="31" t="s">
        <v>1548</v>
      </c>
      <c r="L1197" s="31" t="str">
        <f>VLOOKUP(B1197, [1]Course!$A$1:$O$933, 14, FALSE)</f>
        <v>CG</v>
      </c>
      <c r="M1197" s="31">
        <v>1</v>
      </c>
    </row>
    <row r="1198" spans="1:14" ht="15.75" hidden="1" customHeight="1" x14ac:dyDescent="0.2">
      <c r="A1198" s="31">
        <v>1207</v>
      </c>
      <c r="B1198" s="31">
        <v>124</v>
      </c>
      <c r="C1198" s="31">
        <v>134</v>
      </c>
      <c r="D1198" s="31" t="s">
        <v>118</v>
      </c>
      <c r="E1198" s="31" t="str">
        <f t="shared" si="18"/>
        <v>634CG03PT</v>
      </c>
      <c r="F1198" s="31" t="str">
        <f>VLOOKUP(B1198,[1]Course!$A$2:$R$329,2,FALSE)</f>
        <v>Basic Christian Growth</v>
      </c>
      <c r="G1198" s="31">
        <f>VLOOKUP(B1198, [1]Course!$A$2:$L$950, 8, FALSE)</f>
        <v>6</v>
      </c>
      <c r="H1198" s="31">
        <v>3</v>
      </c>
      <c r="I1198" s="31">
        <v>1</v>
      </c>
      <c r="K1198" s="31" t="s">
        <v>1548</v>
      </c>
      <c r="L1198" s="31" t="str">
        <f>VLOOKUP(B1198, [1]Course!$A$1:$O$933, 14, FALSE)</f>
        <v>CG</v>
      </c>
      <c r="M1198" s="31">
        <v>1</v>
      </c>
    </row>
    <row r="1199" spans="1:14" ht="15.75" hidden="1" customHeight="1" x14ac:dyDescent="0.2">
      <c r="A1199" s="31">
        <v>1208</v>
      </c>
      <c r="B1199" s="31">
        <v>124</v>
      </c>
      <c r="C1199" s="31">
        <v>135</v>
      </c>
      <c r="D1199" s="31" t="s">
        <v>118</v>
      </c>
      <c r="E1199" s="31" t="str">
        <f t="shared" si="18"/>
        <v>635CG03PT</v>
      </c>
      <c r="F1199" s="31" t="str">
        <f>VLOOKUP(B1199,[1]Course!$A$2:$R$329,2,FALSE)</f>
        <v>Basic Christian Growth</v>
      </c>
      <c r="G1199" s="31">
        <f>VLOOKUP(B1199, [1]Course!$A$2:$L$950, 8, FALSE)</f>
        <v>6</v>
      </c>
      <c r="H1199" s="31">
        <v>3</v>
      </c>
      <c r="I1199" s="31">
        <v>1</v>
      </c>
      <c r="K1199" s="31" t="s">
        <v>1548</v>
      </c>
      <c r="L1199" s="31" t="str">
        <f>VLOOKUP(B1199, [1]Course!$A$1:$O$933, 14, FALSE)</f>
        <v>CG</v>
      </c>
      <c r="M1199" s="31">
        <v>1</v>
      </c>
    </row>
    <row r="1200" spans="1:14" ht="15.75" hidden="1" customHeight="1" x14ac:dyDescent="0.2">
      <c r="A1200" s="31">
        <v>1209</v>
      </c>
      <c r="B1200" s="31">
        <v>124</v>
      </c>
      <c r="C1200" s="31">
        <v>136</v>
      </c>
      <c r="D1200" s="31" t="s">
        <v>118</v>
      </c>
      <c r="E1200" s="31" t="str">
        <f t="shared" si="18"/>
        <v>636CG03PT</v>
      </c>
      <c r="F1200" s="31" t="str">
        <f>VLOOKUP(B1200,[1]Course!$A$2:$R$329,2,FALSE)</f>
        <v>Basic Christian Growth</v>
      </c>
      <c r="G1200" s="31">
        <f>VLOOKUP(B1200, [1]Course!$A$2:$L$950, 8, FALSE)</f>
        <v>6</v>
      </c>
      <c r="H1200" s="31">
        <v>3</v>
      </c>
      <c r="I1200" s="31">
        <v>1</v>
      </c>
      <c r="K1200" s="31" t="s">
        <v>1548</v>
      </c>
      <c r="L1200" s="31" t="str">
        <f>VLOOKUP(B1200, [1]Course!$A$1:$O$933, 14, FALSE)</f>
        <v>CG</v>
      </c>
      <c r="M1200" s="31">
        <v>1</v>
      </c>
    </row>
    <row r="1201" spans="1:13" ht="15.75" hidden="1" customHeight="1" x14ac:dyDescent="0.2">
      <c r="A1201" s="31">
        <v>1210</v>
      </c>
      <c r="B1201" s="31">
        <v>124</v>
      </c>
      <c r="C1201" s="31">
        <v>137</v>
      </c>
      <c r="D1201" s="31" t="s">
        <v>118</v>
      </c>
      <c r="E1201" s="31" t="str">
        <f t="shared" si="18"/>
        <v>637CG03PT</v>
      </c>
      <c r="F1201" s="31" t="str">
        <f>VLOOKUP(B1201,[1]Course!$A$2:$R$329,2,FALSE)</f>
        <v>Basic Christian Growth</v>
      </c>
      <c r="G1201" s="31">
        <f>VLOOKUP(B1201, [1]Course!$A$2:$L$950, 8, FALSE)</f>
        <v>6</v>
      </c>
      <c r="H1201" s="31">
        <v>3</v>
      </c>
      <c r="I1201" s="31">
        <v>1</v>
      </c>
      <c r="K1201" s="31" t="s">
        <v>1548</v>
      </c>
      <c r="L1201" s="31" t="str">
        <f>VLOOKUP(B1201, [1]Course!$A$1:$O$933, 14, FALSE)</f>
        <v>CG</v>
      </c>
      <c r="M1201" s="31">
        <v>1</v>
      </c>
    </row>
    <row r="1202" spans="1:13" ht="15.75" hidden="1" customHeight="1" x14ac:dyDescent="0.2">
      <c r="A1202" s="31">
        <v>1211</v>
      </c>
      <c r="B1202" s="31">
        <v>124</v>
      </c>
      <c r="C1202" s="31">
        <v>138</v>
      </c>
      <c r="D1202" s="31" t="s">
        <v>118</v>
      </c>
      <c r="E1202" s="31" t="str">
        <f t="shared" si="18"/>
        <v>638CG03PT</v>
      </c>
      <c r="F1202" s="31" t="str">
        <f>VLOOKUP(B1202,[1]Course!$A$2:$R$329,2,FALSE)</f>
        <v>Basic Christian Growth</v>
      </c>
      <c r="G1202" s="31">
        <f>VLOOKUP(B1202, [1]Course!$A$2:$L$950, 8, FALSE)</f>
        <v>6</v>
      </c>
      <c r="H1202" s="31">
        <v>3</v>
      </c>
      <c r="I1202" s="31">
        <v>1</v>
      </c>
      <c r="K1202" s="31" t="s">
        <v>1548</v>
      </c>
      <c r="L1202" s="31" t="str">
        <f>VLOOKUP(B1202, [1]Course!$A$1:$O$933, 14, FALSE)</f>
        <v>CG</v>
      </c>
      <c r="M1202" s="31">
        <v>1</v>
      </c>
    </row>
    <row r="1203" spans="1:13" ht="15.75" hidden="1" customHeight="1" x14ac:dyDescent="0.2">
      <c r="A1203" s="31">
        <v>1212</v>
      </c>
      <c r="B1203" s="31">
        <v>162</v>
      </c>
      <c r="C1203" s="31">
        <v>1</v>
      </c>
      <c r="D1203" s="31" t="s">
        <v>37</v>
      </c>
      <c r="E1203" s="31" t="str">
        <f t="shared" si="18"/>
        <v>1001BC03PT</v>
      </c>
      <c r="F1203" s="31" t="str">
        <f>VLOOKUP(B1203,[1]Course!$A$2:$R$329,2,FALSE)</f>
        <v>Basic Biographies of Christians</v>
      </c>
      <c r="G1203" s="31">
        <f>VLOOKUP(B1203, [1]Course!$A$2:$L$950, 8, FALSE)</f>
        <v>10</v>
      </c>
      <c r="H1203" s="31">
        <v>3</v>
      </c>
      <c r="I1203" s="31">
        <v>1</v>
      </c>
      <c r="K1203" s="31" t="s">
        <v>1548</v>
      </c>
      <c r="L1203" s="31" t="str">
        <f>VLOOKUP(B1203, [1]Course!$A$1:$O$933, 14, FALSE)</f>
        <v>BC</v>
      </c>
      <c r="M1203" s="31">
        <v>1</v>
      </c>
    </row>
    <row r="1204" spans="1:13" ht="15.75" hidden="1" customHeight="1" x14ac:dyDescent="0.2">
      <c r="A1204" s="31">
        <v>1213</v>
      </c>
      <c r="B1204" s="31">
        <v>162</v>
      </c>
      <c r="C1204" s="31">
        <v>2</v>
      </c>
      <c r="D1204" s="31" t="s">
        <v>37</v>
      </c>
      <c r="E1204" s="31" t="str">
        <f t="shared" si="18"/>
        <v>1002BC03PT</v>
      </c>
      <c r="F1204" s="31" t="str">
        <f>VLOOKUP(B1204,[1]Course!$A$2:$R$329,2,FALSE)</f>
        <v>Basic Biographies of Christians</v>
      </c>
      <c r="G1204" s="31">
        <f>VLOOKUP(B1204, [1]Course!$A$2:$L$950, 8, FALSE)</f>
        <v>10</v>
      </c>
      <c r="H1204" s="31">
        <v>3</v>
      </c>
      <c r="I1204" s="31">
        <v>1</v>
      </c>
      <c r="K1204" s="31" t="s">
        <v>1548</v>
      </c>
      <c r="L1204" s="31" t="str">
        <f>VLOOKUP(B1204, [1]Course!$A$1:$O$933, 14, FALSE)</f>
        <v>BC</v>
      </c>
      <c r="M1204" s="31">
        <v>1</v>
      </c>
    </row>
    <row r="1205" spans="1:13" ht="15.75" hidden="1" customHeight="1" x14ac:dyDescent="0.2">
      <c r="A1205" s="31">
        <v>1214</v>
      </c>
      <c r="B1205" s="31">
        <v>162</v>
      </c>
      <c r="C1205" s="31">
        <v>3</v>
      </c>
      <c r="D1205" s="31" t="s">
        <v>37</v>
      </c>
      <c r="E1205" s="31" t="str">
        <f t="shared" si="18"/>
        <v>1003BC03PT</v>
      </c>
      <c r="F1205" s="31" t="str">
        <f>VLOOKUP(B1205,[1]Course!$A$2:$R$329,2,FALSE)</f>
        <v>Basic Biographies of Christians</v>
      </c>
      <c r="G1205" s="31">
        <f>VLOOKUP(B1205, [1]Course!$A$2:$L$950, 8, FALSE)</f>
        <v>10</v>
      </c>
      <c r="H1205" s="31">
        <v>3</v>
      </c>
      <c r="I1205" s="31">
        <v>1</v>
      </c>
      <c r="K1205" s="31" t="s">
        <v>1548</v>
      </c>
      <c r="L1205" s="31" t="str">
        <f>VLOOKUP(B1205, [1]Course!$A$1:$O$933, 14, FALSE)</f>
        <v>BC</v>
      </c>
      <c r="M1205" s="31">
        <v>1</v>
      </c>
    </row>
    <row r="1206" spans="1:13" ht="15.75" hidden="1" customHeight="1" x14ac:dyDescent="0.2">
      <c r="A1206" s="31">
        <v>1215</v>
      </c>
      <c r="B1206" s="31">
        <v>162</v>
      </c>
      <c r="C1206" s="31">
        <v>4</v>
      </c>
      <c r="D1206" s="31" t="s">
        <v>37</v>
      </c>
      <c r="E1206" s="31" t="str">
        <f t="shared" si="18"/>
        <v>1004BC03PT</v>
      </c>
      <c r="F1206" s="31" t="str">
        <f>VLOOKUP(B1206,[1]Course!$A$2:$R$329,2,FALSE)</f>
        <v>Basic Biographies of Christians</v>
      </c>
      <c r="G1206" s="31">
        <f>VLOOKUP(B1206, [1]Course!$A$2:$L$950, 8, FALSE)</f>
        <v>10</v>
      </c>
      <c r="H1206" s="31">
        <v>3</v>
      </c>
      <c r="I1206" s="31">
        <v>1</v>
      </c>
      <c r="K1206" s="31" t="s">
        <v>1548</v>
      </c>
      <c r="L1206" s="31" t="str">
        <f>VLOOKUP(B1206, [1]Course!$A$1:$O$933, 14, FALSE)</f>
        <v>BC</v>
      </c>
      <c r="M1206" s="31">
        <v>1</v>
      </c>
    </row>
    <row r="1207" spans="1:13" ht="15.75" hidden="1" customHeight="1" x14ac:dyDescent="0.2">
      <c r="A1207" s="31">
        <v>1216</v>
      </c>
      <c r="B1207" s="31">
        <v>162</v>
      </c>
      <c r="C1207" s="31">
        <v>5</v>
      </c>
      <c r="D1207" s="31" t="s">
        <v>37</v>
      </c>
      <c r="E1207" s="31" t="str">
        <f t="shared" si="18"/>
        <v>1005BC03PT</v>
      </c>
      <c r="F1207" s="31" t="str">
        <f>VLOOKUP(B1207,[1]Course!$A$2:$R$329,2,FALSE)</f>
        <v>Basic Biographies of Christians</v>
      </c>
      <c r="G1207" s="31">
        <f>VLOOKUP(B1207, [1]Course!$A$2:$L$950, 8, FALSE)</f>
        <v>10</v>
      </c>
      <c r="H1207" s="31">
        <v>3</v>
      </c>
      <c r="I1207" s="31">
        <v>1</v>
      </c>
      <c r="K1207" s="31" t="s">
        <v>1548</v>
      </c>
      <c r="L1207" s="31" t="str">
        <f>VLOOKUP(B1207, [1]Course!$A$1:$O$933, 14, FALSE)</f>
        <v>BC</v>
      </c>
      <c r="M1207" s="31">
        <v>1</v>
      </c>
    </row>
    <row r="1208" spans="1:13" ht="15.75" hidden="1" customHeight="1" x14ac:dyDescent="0.2">
      <c r="A1208" s="31">
        <v>1217</v>
      </c>
      <c r="B1208" s="31">
        <v>162</v>
      </c>
      <c r="C1208" s="31">
        <v>6</v>
      </c>
      <c r="D1208" s="31" t="s">
        <v>37</v>
      </c>
      <c r="E1208" s="31" t="str">
        <f t="shared" si="18"/>
        <v>1006BC03PT</v>
      </c>
      <c r="F1208" s="31" t="str">
        <f>VLOOKUP(B1208,[1]Course!$A$2:$R$329,2,FALSE)</f>
        <v>Basic Biographies of Christians</v>
      </c>
      <c r="G1208" s="31">
        <f>VLOOKUP(B1208, [1]Course!$A$2:$L$950, 8, FALSE)</f>
        <v>10</v>
      </c>
      <c r="H1208" s="31">
        <v>3</v>
      </c>
      <c r="I1208" s="31">
        <v>1</v>
      </c>
      <c r="K1208" s="31" t="s">
        <v>1548</v>
      </c>
      <c r="L1208" s="31" t="str">
        <f>VLOOKUP(B1208, [1]Course!$A$1:$O$933, 14, FALSE)</f>
        <v>BC</v>
      </c>
      <c r="M1208" s="31">
        <v>1</v>
      </c>
    </row>
    <row r="1209" spans="1:13" ht="15.75" hidden="1" customHeight="1" x14ac:dyDescent="0.2">
      <c r="A1209" s="31">
        <v>1218</v>
      </c>
      <c r="B1209" s="31">
        <v>162</v>
      </c>
      <c r="C1209" s="31">
        <v>7</v>
      </c>
      <c r="D1209" s="31" t="s">
        <v>37</v>
      </c>
      <c r="E1209" s="31" t="str">
        <f t="shared" si="18"/>
        <v>1007BC03PT</v>
      </c>
      <c r="F1209" s="31" t="str">
        <f>VLOOKUP(B1209,[1]Course!$A$2:$R$329,2,FALSE)</f>
        <v>Basic Biographies of Christians</v>
      </c>
      <c r="G1209" s="31">
        <f>VLOOKUP(B1209, [1]Course!$A$2:$L$950, 8, FALSE)</f>
        <v>10</v>
      </c>
      <c r="H1209" s="31">
        <v>3</v>
      </c>
      <c r="I1209" s="31">
        <v>1</v>
      </c>
      <c r="K1209" s="31" t="s">
        <v>1548</v>
      </c>
      <c r="L1209" s="31" t="str">
        <f>VLOOKUP(B1209, [1]Course!$A$1:$O$933, 14, FALSE)</f>
        <v>BC</v>
      </c>
      <c r="M1209" s="31">
        <v>1</v>
      </c>
    </row>
    <row r="1210" spans="1:13" ht="15.75" hidden="1" customHeight="1" x14ac:dyDescent="0.2">
      <c r="A1210" s="31">
        <v>1219</v>
      </c>
      <c r="B1210" s="31">
        <v>162</v>
      </c>
      <c r="C1210" s="31">
        <v>8</v>
      </c>
      <c r="D1210" s="31" t="s">
        <v>37</v>
      </c>
      <c r="E1210" s="31" t="str">
        <f t="shared" si="18"/>
        <v>1008BC03PT</v>
      </c>
      <c r="F1210" s="31" t="str">
        <f>VLOOKUP(B1210,[1]Course!$A$2:$R$329,2,FALSE)</f>
        <v>Basic Biographies of Christians</v>
      </c>
      <c r="G1210" s="31">
        <f>VLOOKUP(B1210, [1]Course!$A$2:$L$950, 8, FALSE)</f>
        <v>10</v>
      </c>
      <c r="H1210" s="31">
        <v>3</v>
      </c>
      <c r="I1210" s="31">
        <v>1</v>
      </c>
      <c r="K1210" s="31" t="s">
        <v>1548</v>
      </c>
      <c r="L1210" s="31" t="str">
        <f>VLOOKUP(B1210, [1]Course!$A$1:$O$933, 14, FALSE)</f>
        <v>BC</v>
      </c>
      <c r="M1210" s="31">
        <v>1</v>
      </c>
    </row>
    <row r="1211" spans="1:13" ht="15.75" hidden="1" customHeight="1" x14ac:dyDescent="0.2">
      <c r="A1211" s="31">
        <v>1220</v>
      </c>
      <c r="B1211" s="31">
        <v>162</v>
      </c>
      <c r="C1211" s="31">
        <v>9</v>
      </c>
      <c r="D1211" s="31" t="s">
        <v>37</v>
      </c>
      <c r="E1211" s="31" t="str">
        <f t="shared" si="18"/>
        <v>1009BC03PT</v>
      </c>
      <c r="F1211" s="31" t="str">
        <f>VLOOKUP(B1211,[1]Course!$A$2:$R$329,2,FALSE)</f>
        <v>Basic Biographies of Christians</v>
      </c>
      <c r="G1211" s="31">
        <f>VLOOKUP(B1211, [1]Course!$A$2:$L$950, 8, FALSE)</f>
        <v>10</v>
      </c>
      <c r="H1211" s="31">
        <v>3</v>
      </c>
      <c r="I1211" s="31">
        <v>1</v>
      </c>
      <c r="K1211" s="31" t="s">
        <v>1548</v>
      </c>
      <c r="L1211" s="31" t="str">
        <f>VLOOKUP(B1211, [1]Course!$A$1:$O$933, 14, FALSE)</f>
        <v>BC</v>
      </c>
      <c r="M1211" s="31">
        <v>1</v>
      </c>
    </row>
    <row r="1212" spans="1:13" ht="15.75" hidden="1" customHeight="1" x14ac:dyDescent="0.2">
      <c r="A1212" s="31">
        <v>1221</v>
      </c>
      <c r="B1212" s="31">
        <v>162</v>
      </c>
      <c r="C1212" s="31">
        <v>10</v>
      </c>
      <c r="D1212" s="31" t="s">
        <v>37</v>
      </c>
      <c r="E1212" s="31" t="str">
        <f t="shared" si="18"/>
        <v>1010BC03PT</v>
      </c>
      <c r="F1212" s="31" t="str">
        <f>VLOOKUP(B1212,[1]Course!$A$2:$R$329,2,FALSE)</f>
        <v>Basic Biographies of Christians</v>
      </c>
      <c r="G1212" s="31">
        <f>VLOOKUP(B1212, [1]Course!$A$2:$L$950, 8, FALSE)</f>
        <v>10</v>
      </c>
      <c r="H1212" s="31">
        <v>3</v>
      </c>
      <c r="I1212" s="31">
        <v>1</v>
      </c>
      <c r="K1212" s="31" t="s">
        <v>1548</v>
      </c>
      <c r="L1212" s="31" t="str">
        <f>VLOOKUP(B1212, [1]Course!$A$1:$O$933, 14, FALSE)</f>
        <v>BC</v>
      </c>
      <c r="M1212" s="31">
        <v>1</v>
      </c>
    </row>
    <row r="1213" spans="1:13" ht="15.75" hidden="1" customHeight="1" x14ac:dyDescent="0.2">
      <c r="A1213" s="31">
        <v>1224</v>
      </c>
      <c r="B1213" s="31">
        <v>127</v>
      </c>
      <c r="C1213" s="31">
        <v>1</v>
      </c>
      <c r="D1213" s="31" t="s">
        <v>112</v>
      </c>
      <c r="E1213" s="31" t="str">
        <f t="shared" si="18"/>
        <v>1001EC03PT</v>
      </c>
      <c r="F1213" s="31">
        <f>VLOOKUP(B1213,[1]Course!$A$2:$R$329,2,FALSE)</f>
        <v>0</v>
      </c>
      <c r="G1213" s="31">
        <f>VLOOKUP(B1213, [1]Course!$A$2:$L$950, 8, FALSE)</f>
        <v>10</v>
      </c>
      <c r="H1213" s="31">
        <v>3</v>
      </c>
      <c r="I1213" s="31">
        <v>1</v>
      </c>
      <c r="K1213" s="31" t="s">
        <v>1548</v>
      </c>
      <c r="L1213" s="31" t="str">
        <f>VLOOKUP(B1213, [1]Course!$A$1:$O$933, 14, FALSE)</f>
        <v>EC</v>
      </c>
      <c r="M1213" s="31">
        <v>1</v>
      </c>
    </row>
    <row r="1214" spans="1:13" ht="15.75" hidden="1" customHeight="1" x14ac:dyDescent="0.2">
      <c r="A1214" s="31">
        <v>1225</v>
      </c>
      <c r="B1214" s="31">
        <v>127</v>
      </c>
      <c r="C1214" s="31">
        <v>2</v>
      </c>
      <c r="D1214" s="31" t="s">
        <v>112</v>
      </c>
      <c r="E1214" s="31" t="str">
        <f t="shared" si="18"/>
        <v>1002EC03PT</v>
      </c>
      <c r="F1214" s="31">
        <f>VLOOKUP(B1214,[1]Course!$A$2:$R$329,2,FALSE)</f>
        <v>0</v>
      </c>
      <c r="G1214" s="31">
        <f>VLOOKUP(B1214, [1]Course!$A$2:$L$950, 8, FALSE)</f>
        <v>10</v>
      </c>
      <c r="H1214" s="31">
        <v>3</v>
      </c>
      <c r="I1214" s="31">
        <v>1</v>
      </c>
      <c r="K1214" s="31" t="s">
        <v>1548</v>
      </c>
      <c r="L1214" s="31" t="str">
        <f>VLOOKUP(B1214, [1]Course!$A$1:$O$933, 14, FALSE)</f>
        <v>EC</v>
      </c>
      <c r="M1214" s="31">
        <v>1</v>
      </c>
    </row>
    <row r="1215" spans="1:13" ht="15.75" hidden="1" customHeight="1" x14ac:dyDescent="0.2">
      <c r="A1215" s="31">
        <v>1226</v>
      </c>
      <c r="B1215" s="31">
        <v>127</v>
      </c>
      <c r="C1215" s="31">
        <v>3</v>
      </c>
      <c r="D1215" s="31" t="s">
        <v>112</v>
      </c>
      <c r="E1215" s="31" t="str">
        <f t="shared" si="18"/>
        <v>1003EC03PT</v>
      </c>
      <c r="F1215" s="31">
        <f>VLOOKUP(B1215,[1]Course!$A$2:$R$329,2,FALSE)</f>
        <v>0</v>
      </c>
      <c r="G1215" s="31">
        <f>VLOOKUP(B1215, [1]Course!$A$2:$L$950, 8, FALSE)</f>
        <v>10</v>
      </c>
      <c r="H1215" s="31">
        <v>3</v>
      </c>
      <c r="I1215" s="31">
        <v>1</v>
      </c>
      <c r="K1215" s="31" t="s">
        <v>1548</v>
      </c>
      <c r="L1215" s="31" t="str">
        <f>VLOOKUP(B1215, [1]Course!$A$1:$O$933, 14, FALSE)</f>
        <v>EC</v>
      </c>
      <c r="M1215" s="31">
        <v>1</v>
      </c>
    </row>
    <row r="1216" spans="1:13" ht="15.75" hidden="1" customHeight="1" x14ac:dyDescent="0.2">
      <c r="A1216" s="31">
        <v>1227</v>
      </c>
      <c r="B1216" s="31">
        <v>127</v>
      </c>
      <c r="C1216" s="31">
        <v>4</v>
      </c>
      <c r="D1216" s="31" t="s">
        <v>112</v>
      </c>
      <c r="E1216" s="31" t="str">
        <f t="shared" si="18"/>
        <v>1004EC03PT</v>
      </c>
      <c r="F1216" s="31">
        <f>VLOOKUP(B1216,[1]Course!$A$2:$R$329,2,FALSE)</f>
        <v>0</v>
      </c>
      <c r="G1216" s="31">
        <f>VLOOKUP(B1216, [1]Course!$A$2:$L$950, 8, FALSE)</f>
        <v>10</v>
      </c>
      <c r="H1216" s="31">
        <v>3</v>
      </c>
      <c r="I1216" s="31">
        <v>1</v>
      </c>
      <c r="K1216" s="31" t="s">
        <v>1548</v>
      </c>
      <c r="L1216" s="31" t="str">
        <f>VLOOKUP(B1216, [1]Course!$A$1:$O$933, 14, FALSE)</f>
        <v>EC</v>
      </c>
      <c r="M1216" s="31">
        <v>1</v>
      </c>
    </row>
    <row r="1217" spans="1:13" ht="15.75" hidden="1" customHeight="1" x14ac:dyDescent="0.2">
      <c r="A1217" s="31">
        <v>1228</v>
      </c>
      <c r="B1217" s="31">
        <v>127</v>
      </c>
      <c r="C1217" s="31">
        <v>5</v>
      </c>
      <c r="D1217" s="31" t="s">
        <v>112</v>
      </c>
      <c r="E1217" s="31" t="str">
        <f t="shared" si="18"/>
        <v>1005EC03PT</v>
      </c>
      <c r="F1217" s="31">
        <f>VLOOKUP(B1217,[1]Course!$A$2:$R$329,2,FALSE)</f>
        <v>0</v>
      </c>
      <c r="G1217" s="31">
        <f>VLOOKUP(B1217, [1]Course!$A$2:$L$950, 8, FALSE)</f>
        <v>10</v>
      </c>
      <c r="H1217" s="31">
        <v>3</v>
      </c>
      <c r="I1217" s="31">
        <v>1</v>
      </c>
      <c r="K1217" s="31" t="s">
        <v>1548</v>
      </c>
      <c r="L1217" s="31" t="str">
        <f>VLOOKUP(B1217, [1]Course!$A$1:$O$933, 14, FALSE)</f>
        <v>EC</v>
      </c>
      <c r="M1217" s="31">
        <v>1</v>
      </c>
    </row>
    <row r="1218" spans="1:13" ht="15.75" hidden="1" customHeight="1" x14ac:dyDescent="0.2">
      <c r="A1218" s="31">
        <v>1229</v>
      </c>
      <c r="B1218" s="31">
        <v>127</v>
      </c>
      <c r="C1218" s="31">
        <v>6</v>
      </c>
      <c r="D1218" s="31" t="s">
        <v>112</v>
      </c>
      <c r="E1218" s="31" t="str">
        <f t="shared" si="18"/>
        <v>1006EC03PT</v>
      </c>
      <c r="F1218" s="31">
        <f>VLOOKUP(B1218,[1]Course!$A$2:$R$329,2,FALSE)</f>
        <v>0</v>
      </c>
      <c r="G1218" s="31">
        <f>VLOOKUP(B1218, [1]Course!$A$2:$L$950, 8, FALSE)</f>
        <v>10</v>
      </c>
      <c r="H1218" s="31">
        <v>3</v>
      </c>
      <c r="I1218" s="31">
        <v>1</v>
      </c>
      <c r="K1218" s="31" t="s">
        <v>1548</v>
      </c>
      <c r="L1218" s="31" t="str">
        <f>VLOOKUP(B1218, [1]Course!$A$1:$O$933, 14, FALSE)</f>
        <v>EC</v>
      </c>
      <c r="M1218" s="31">
        <v>1</v>
      </c>
    </row>
    <row r="1219" spans="1:13" ht="15.75" hidden="1" customHeight="1" x14ac:dyDescent="0.2">
      <c r="A1219" s="31">
        <v>1230</v>
      </c>
      <c r="B1219" s="31">
        <v>127</v>
      </c>
      <c r="C1219" s="31">
        <v>7</v>
      </c>
      <c r="D1219" s="31" t="s">
        <v>112</v>
      </c>
      <c r="E1219" s="31" t="str">
        <f t="shared" ref="E1219:E1282" si="19">UPPER(LEFT(G1219,2)) &amp; RIGHT("0" &amp; C1219, 2) &amp; D1219 &amp; RIGHT("0" &amp; H1219, 2) &amp; K1219</f>
        <v>1007EC03PT</v>
      </c>
      <c r="F1219" s="31">
        <f>VLOOKUP(B1219,[1]Course!$A$2:$R$329,2,FALSE)</f>
        <v>0</v>
      </c>
      <c r="G1219" s="31">
        <f>VLOOKUP(B1219, [1]Course!$A$2:$L$950, 8, FALSE)</f>
        <v>10</v>
      </c>
      <c r="H1219" s="31">
        <v>3</v>
      </c>
      <c r="I1219" s="31">
        <v>1</v>
      </c>
      <c r="K1219" s="31" t="s">
        <v>1548</v>
      </c>
      <c r="L1219" s="31" t="str">
        <f>VLOOKUP(B1219, [1]Course!$A$1:$O$933, 14, FALSE)</f>
        <v>EC</v>
      </c>
      <c r="M1219" s="31">
        <v>1</v>
      </c>
    </row>
    <row r="1220" spans="1:13" ht="15.75" hidden="1" customHeight="1" x14ac:dyDescent="0.2">
      <c r="A1220" s="31">
        <v>1231</v>
      </c>
      <c r="B1220" s="31">
        <v>127</v>
      </c>
      <c r="C1220" s="31">
        <v>8</v>
      </c>
      <c r="D1220" s="31" t="s">
        <v>112</v>
      </c>
      <c r="E1220" s="31" t="str">
        <f t="shared" si="19"/>
        <v>1008EC03PT</v>
      </c>
      <c r="F1220" s="31">
        <f>VLOOKUP(B1220,[1]Course!$A$2:$R$329,2,FALSE)</f>
        <v>0</v>
      </c>
      <c r="G1220" s="31">
        <f>VLOOKUP(B1220, [1]Course!$A$2:$L$950, 8, FALSE)</f>
        <v>10</v>
      </c>
      <c r="H1220" s="31">
        <v>3</v>
      </c>
      <c r="I1220" s="31">
        <v>1</v>
      </c>
      <c r="K1220" s="31" t="s">
        <v>1548</v>
      </c>
      <c r="L1220" s="31" t="str">
        <f>VLOOKUP(B1220, [1]Course!$A$1:$O$933, 14, FALSE)</f>
        <v>EC</v>
      </c>
      <c r="M1220" s="31">
        <v>1</v>
      </c>
    </row>
    <row r="1221" spans="1:13" ht="15.75" hidden="1" customHeight="1" x14ac:dyDescent="0.2">
      <c r="A1221" s="31">
        <v>1232</v>
      </c>
      <c r="B1221" s="31">
        <v>127</v>
      </c>
      <c r="C1221" s="31">
        <v>9</v>
      </c>
      <c r="D1221" s="31" t="s">
        <v>112</v>
      </c>
      <c r="E1221" s="31" t="str">
        <f t="shared" si="19"/>
        <v>1009EC03PT</v>
      </c>
      <c r="F1221" s="31">
        <f>VLOOKUP(B1221,[1]Course!$A$2:$R$329,2,FALSE)</f>
        <v>0</v>
      </c>
      <c r="G1221" s="31">
        <f>VLOOKUP(B1221, [1]Course!$A$2:$L$950, 8, FALSE)</f>
        <v>10</v>
      </c>
      <c r="H1221" s="31">
        <v>3</v>
      </c>
      <c r="I1221" s="31">
        <v>1</v>
      </c>
      <c r="K1221" s="31" t="s">
        <v>1548</v>
      </c>
      <c r="L1221" s="31" t="str">
        <f>VLOOKUP(B1221, [1]Course!$A$1:$O$933, 14, FALSE)</f>
        <v>EC</v>
      </c>
      <c r="M1221" s="31">
        <v>1</v>
      </c>
    </row>
    <row r="1222" spans="1:13" ht="15.75" hidden="1" customHeight="1" x14ac:dyDescent="0.2">
      <c r="A1222" s="31">
        <v>1233</v>
      </c>
      <c r="B1222" s="31">
        <v>127</v>
      </c>
      <c r="C1222" s="31">
        <v>10</v>
      </c>
      <c r="D1222" s="31" t="s">
        <v>112</v>
      </c>
      <c r="E1222" s="31" t="str">
        <f t="shared" si="19"/>
        <v>1010EC03PT</v>
      </c>
      <c r="F1222" s="31">
        <f>VLOOKUP(B1222,[1]Course!$A$2:$R$329,2,FALSE)</f>
        <v>0</v>
      </c>
      <c r="G1222" s="31">
        <f>VLOOKUP(B1222, [1]Course!$A$2:$L$950, 8, FALSE)</f>
        <v>10</v>
      </c>
      <c r="H1222" s="31">
        <v>3</v>
      </c>
      <c r="I1222" s="31">
        <v>1</v>
      </c>
      <c r="K1222" s="31" t="s">
        <v>1548</v>
      </c>
      <c r="L1222" s="31" t="str">
        <f>VLOOKUP(B1222, [1]Course!$A$1:$O$933, 14, FALSE)</f>
        <v>EC</v>
      </c>
      <c r="M1222" s="31">
        <v>1</v>
      </c>
    </row>
    <row r="1223" spans="1:13" ht="15.75" hidden="1" customHeight="1" x14ac:dyDescent="0.2">
      <c r="A1223" s="31">
        <v>1234</v>
      </c>
      <c r="B1223" s="31">
        <v>130</v>
      </c>
      <c r="C1223" s="31">
        <v>1</v>
      </c>
      <c r="D1223" s="31" t="s">
        <v>108</v>
      </c>
      <c r="E1223" s="31" t="str">
        <f t="shared" si="19"/>
        <v>1601BA03PT</v>
      </c>
      <c r="F1223" s="31">
        <f>VLOOKUP(B1223,[1]Course!$A$2:$R$329,2,FALSE)</f>
        <v>0</v>
      </c>
      <c r="G1223" s="31">
        <f>VLOOKUP(B1223, [1]Course!$A$2:$L$950, 8, FALSE)</f>
        <v>16</v>
      </c>
      <c r="H1223" s="31">
        <v>3</v>
      </c>
      <c r="I1223" s="31">
        <v>1</v>
      </c>
      <c r="K1223" s="31" t="s">
        <v>1548</v>
      </c>
      <c r="L1223" s="31" t="str">
        <f>VLOOKUP(B1223, [1]Course!$A$1:$O$933, 14, FALSE)</f>
        <v>BA</v>
      </c>
      <c r="M1223" s="31">
        <v>1</v>
      </c>
    </row>
    <row r="1224" spans="1:13" ht="15.75" hidden="1" customHeight="1" x14ac:dyDescent="0.2">
      <c r="A1224" s="31">
        <v>1235</v>
      </c>
      <c r="B1224" s="31">
        <v>130</v>
      </c>
      <c r="C1224" s="31">
        <v>2</v>
      </c>
      <c r="D1224" s="31" t="s">
        <v>108</v>
      </c>
      <c r="E1224" s="31" t="str">
        <f t="shared" si="19"/>
        <v>1602BA03PT</v>
      </c>
      <c r="F1224" s="31">
        <f>VLOOKUP(B1224,[1]Course!$A$2:$R$329,2,FALSE)</f>
        <v>0</v>
      </c>
      <c r="G1224" s="31">
        <f>VLOOKUP(B1224, [1]Course!$A$2:$L$950, 8, FALSE)</f>
        <v>16</v>
      </c>
      <c r="H1224" s="31">
        <v>3</v>
      </c>
      <c r="I1224" s="31">
        <v>1</v>
      </c>
      <c r="K1224" s="31" t="s">
        <v>1548</v>
      </c>
      <c r="L1224" s="31" t="str">
        <f>VLOOKUP(B1224, [1]Course!$A$1:$O$933, 14, FALSE)</f>
        <v>BA</v>
      </c>
      <c r="M1224" s="31">
        <v>1</v>
      </c>
    </row>
    <row r="1225" spans="1:13" ht="15.75" hidden="1" customHeight="1" x14ac:dyDescent="0.2">
      <c r="A1225" s="31">
        <v>1236</v>
      </c>
      <c r="B1225" s="31">
        <v>130</v>
      </c>
      <c r="C1225" s="31">
        <v>3</v>
      </c>
      <c r="D1225" s="31" t="s">
        <v>108</v>
      </c>
      <c r="E1225" s="31" t="str">
        <f t="shared" si="19"/>
        <v>1603BA03PT</v>
      </c>
      <c r="F1225" s="31">
        <f>VLOOKUP(B1225,[1]Course!$A$2:$R$329,2,FALSE)</f>
        <v>0</v>
      </c>
      <c r="G1225" s="31">
        <f>VLOOKUP(B1225, [1]Course!$A$2:$L$950, 8, FALSE)</f>
        <v>16</v>
      </c>
      <c r="H1225" s="31">
        <v>3</v>
      </c>
      <c r="I1225" s="31">
        <v>1</v>
      </c>
      <c r="K1225" s="31" t="s">
        <v>1548</v>
      </c>
      <c r="L1225" s="31" t="str">
        <f>VLOOKUP(B1225, [1]Course!$A$1:$O$933, 14, FALSE)</f>
        <v>BA</v>
      </c>
      <c r="M1225" s="31">
        <v>1</v>
      </c>
    </row>
    <row r="1226" spans="1:13" ht="15.75" hidden="1" customHeight="1" x14ac:dyDescent="0.2">
      <c r="A1226" s="31">
        <v>1237</v>
      </c>
      <c r="B1226" s="31">
        <v>130</v>
      </c>
      <c r="C1226" s="31">
        <v>4</v>
      </c>
      <c r="D1226" s="31" t="s">
        <v>108</v>
      </c>
      <c r="E1226" s="31" t="str">
        <f t="shared" si="19"/>
        <v>1604BA03PT</v>
      </c>
      <c r="F1226" s="31">
        <f>VLOOKUP(B1226,[1]Course!$A$2:$R$329,2,FALSE)</f>
        <v>0</v>
      </c>
      <c r="G1226" s="31">
        <f>VLOOKUP(B1226, [1]Course!$A$2:$L$950, 8, FALSE)</f>
        <v>16</v>
      </c>
      <c r="H1226" s="31">
        <v>3</v>
      </c>
      <c r="I1226" s="31">
        <v>1</v>
      </c>
      <c r="K1226" s="31" t="s">
        <v>1548</v>
      </c>
      <c r="L1226" s="31" t="str">
        <f>VLOOKUP(B1226, [1]Course!$A$1:$O$933, 14, FALSE)</f>
        <v>BA</v>
      </c>
      <c r="M1226" s="31">
        <v>1</v>
      </c>
    </row>
    <row r="1227" spans="1:13" ht="15.75" hidden="1" customHeight="1" x14ac:dyDescent="0.2">
      <c r="A1227" s="31">
        <v>1238</v>
      </c>
      <c r="B1227" s="31">
        <v>130</v>
      </c>
      <c r="C1227" s="31">
        <v>5</v>
      </c>
      <c r="D1227" s="31" t="s">
        <v>108</v>
      </c>
      <c r="E1227" s="31" t="str">
        <f t="shared" si="19"/>
        <v>1605BA03PT</v>
      </c>
      <c r="F1227" s="31">
        <f>VLOOKUP(B1227,[1]Course!$A$2:$R$329,2,FALSE)</f>
        <v>0</v>
      </c>
      <c r="G1227" s="31">
        <f>VLOOKUP(B1227, [1]Course!$A$2:$L$950, 8, FALSE)</f>
        <v>16</v>
      </c>
      <c r="H1227" s="31">
        <v>3</v>
      </c>
      <c r="I1227" s="31">
        <v>1</v>
      </c>
      <c r="K1227" s="31" t="s">
        <v>1548</v>
      </c>
      <c r="L1227" s="31" t="str">
        <f>VLOOKUP(B1227, [1]Course!$A$1:$O$933, 14, FALSE)</f>
        <v>BA</v>
      </c>
      <c r="M1227" s="31">
        <v>1</v>
      </c>
    </row>
    <row r="1228" spans="1:13" ht="15.75" hidden="1" customHeight="1" x14ac:dyDescent="0.2">
      <c r="A1228" s="31">
        <v>1239</v>
      </c>
      <c r="B1228" s="31">
        <v>130</v>
      </c>
      <c r="C1228" s="31">
        <v>6</v>
      </c>
      <c r="D1228" s="31" t="s">
        <v>108</v>
      </c>
      <c r="E1228" s="31" t="str">
        <f t="shared" si="19"/>
        <v>1606BA03PT</v>
      </c>
      <c r="F1228" s="31">
        <f>VLOOKUP(B1228,[1]Course!$A$2:$R$329,2,FALSE)</f>
        <v>0</v>
      </c>
      <c r="G1228" s="31">
        <f>VLOOKUP(B1228, [1]Course!$A$2:$L$950, 8, FALSE)</f>
        <v>16</v>
      </c>
      <c r="H1228" s="31">
        <v>3</v>
      </c>
      <c r="I1228" s="31">
        <v>1</v>
      </c>
      <c r="K1228" s="31" t="s">
        <v>1548</v>
      </c>
      <c r="L1228" s="31" t="str">
        <f>VLOOKUP(B1228, [1]Course!$A$1:$O$933, 14, FALSE)</f>
        <v>BA</v>
      </c>
      <c r="M1228" s="31">
        <v>1</v>
      </c>
    </row>
    <row r="1229" spans="1:13" ht="15.75" hidden="1" customHeight="1" x14ac:dyDescent="0.2">
      <c r="A1229" s="31">
        <v>1240</v>
      </c>
      <c r="B1229" s="31">
        <v>130</v>
      </c>
      <c r="C1229" s="31">
        <v>7</v>
      </c>
      <c r="D1229" s="31" t="s">
        <v>108</v>
      </c>
      <c r="E1229" s="31" t="str">
        <f t="shared" si="19"/>
        <v>1607BA03PT</v>
      </c>
      <c r="F1229" s="31">
        <f>VLOOKUP(B1229,[1]Course!$A$2:$R$329,2,FALSE)</f>
        <v>0</v>
      </c>
      <c r="G1229" s="31">
        <f>VLOOKUP(B1229, [1]Course!$A$2:$L$950, 8, FALSE)</f>
        <v>16</v>
      </c>
      <c r="H1229" s="31">
        <v>3</v>
      </c>
      <c r="I1229" s="31">
        <v>1</v>
      </c>
      <c r="K1229" s="31" t="s">
        <v>1548</v>
      </c>
      <c r="L1229" s="31" t="str">
        <f>VLOOKUP(B1229, [1]Course!$A$1:$O$933, 14, FALSE)</f>
        <v>BA</v>
      </c>
      <c r="M1229" s="31">
        <v>1</v>
      </c>
    </row>
    <row r="1230" spans="1:13" ht="15.75" hidden="1" customHeight="1" x14ac:dyDescent="0.2">
      <c r="A1230" s="31">
        <v>1241</v>
      </c>
      <c r="B1230" s="31">
        <v>130</v>
      </c>
      <c r="C1230" s="31">
        <v>8</v>
      </c>
      <c r="D1230" s="31" t="s">
        <v>108</v>
      </c>
      <c r="E1230" s="31" t="str">
        <f t="shared" si="19"/>
        <v>1608BA03PT</v>
      </c>
      <c r="F1230" s="31">
        <f>VLOOKUP(B1230,[1]Course!$A$2:$R$329,2,FALSE)</f>
        <v>0</v>
      </c>
      <c r="G1230" s="31">
        <f>VLOOKUP(B1230, [1]Course!$A$2:$L$950, 8, FALSE)</f>
        <v>16</v>
      </c>
      <c r="H1230" s="31">
        <v>3</v>
      </c>
      <c r="I1230" s="31">
        <v>1</v>
      </c>
      <c r="K1230" s="31" t="s">
        <v>1548</v>
      </c>
      <c r="L1230" s="31" t="str">
        <f>VLOOKUP(B1230, [1]Course!$A$1:$O$933, 14, FALSE)</f>
        <v>BA</v>
      </c>
      <c r="M1230" s="31">
        <v>1</v>
      </c>
    </row>
    <row r="1231" spans="1:13" ht="15.75" hidden="1" customHeight="1" x14ac:dyDescent="0.2">
      <c r="A1231" s="31">
        <v>1242</v>
      </c>
      <c r="B1231" s="31">
        <v>130</v>
      </c>
      <c r="C1231" s="31">
        <v>9</v>
      </c>
      <c r="D1231" s="31" t="s">
        <v>108</v>
      </c>
      <c r="E1231" s="31" t="str">
        <f t="shared" si="19"/>
        <v>1609BA03PT</v>
      </c>
      <c r="F1231" s="31">
        <f>VLOOKUP(B1231,[1]Course!$A$2:$R$329,2,FALSE)</f>
        <v>0</v>
      </c>
      <c r="G1231" s="31">
        <f>VLOOKUP(B1231, [1]Course!$A$2:$L$950, 8, FALSE)</f>
        <v>16</v>
      </c>
      <c r="H1231" s="31">
        <v>3</v>
      </c>
      <c r="I1231" s="31">
        <v>1</v>
      </c>
      <c r="K1231" s="31" t="s">
        <v>1548</v>
      </c>
      <c r="L1231" s="31" t="str">
        <f>VLOOKUP(B1231, [1]Course!$A$1:$O$933, 14, FALSE)</f>
        <v>BA</v>
      </c>
      <c r="M1231" s="31">
        <v>1</v>
      </c>
    </row>
    <row r="1232" spans="1:13" ht="15.75" hidden="1" customHeight="1" x14ac:dyDescent="0.2">
      <c r="A1232" s="31">
        <v>1243</v>
      </c>
      <c r="B1232" s="31">
        <v>130</v>
      </c>
      <c r="C1232" s="31">
        <v>10</v>
      </c>
      <c r="D1232" s="31" t="s">
        <v>108</v>
      </c>
      <c r="E1232" s="31" t="str">
        <f t="shared" si="19"/>
        <v>1610BA03PT</v>
      </c>
      <c r="F1232" s="31">
        <f>VLOOKUP(B1232,[1]Course!$A$2:$R$329,2,FALSE)</f>
        <v>0</v>
      </c>
      <c r="G1232" s="31">
        <f>VLOOKUP(B1232, [1]Course!$A$2:$L$950, 8, FALSE)</f>
        <v>16</v>
      </c>
      <c r="H1232" s="31">
        <v>3</v>
      </c>
      <c r="I1232" s="31">
        <v>1</v>
      </c>
      <c r="K1232" s="31" t="s">
        <v>1548</v>
      </c>
      <c r="L1232" s="31" t="str">
        <f>VLOOKUP(B1232, [1]Course!$A$1:$O$933, 14, FALSE)</f>
        <v>BA</v>
      </c>
      <c r="M1232" s="31">
        <v>1</v>
      </c>
    </row>
    <row r="1233" spans="1:13" ht="15.75" hidden="1" customHeight="1" x14ac:dyDescent="0.2">
      <c r="A1233" s="31">
        <v>1244</v>
      </c>
      <c r="B1233" s="31">
        <v>130</v>
      </c>
      <c r="C1233" s="31">
        <v>11</v>
      </c>
      <c r="D1233" s="31" t="s">
        <v>108</v>
      </c>
      <c r="E1233" s="31" t="str">
        <f t="shared" si="19"/>
        <v>1611BA03PT</v>
      </c>
      <c r="F1233" s="31">
        <f>VLOOKUP(B1233,[1]Course!$A$2:$R$329,2,FALSE)</f>
        <v>0</v>
      </c>
      <c r="G1233" s="31">
        <f>VLOOKUP(B1233, [1]Course!$A$2:$L$950, 8, FALSE)</f>
        <v>16</v>
      </c>
      <c r="H1233" s="31">
        <v>3</v>
      </c>
      <c r="I1233" s="31">
        <v>1</v>
      </c>
      <c r="K1233" s="31" t="s">
        <v>1548</v>
      </c>
      <c r="L1233" s="31" t="str">
        <f>VLOOKUP(B1233, [1]Course!$A$1:$O$933, 14, FALSE)</f>
        <v>BA</v>
      </c>
      <c r="M1233" s="31">
        <v>1</v>
      </c>
    </row>
    <row r="1234" spans="1:13" ht="15.75" hidden="1" customHeight="1" x14ac:dyDescent="0.2">
      <c r="A1234" s="31">
        <v>1245</v>
      </c>
      <c r="B1234" s="31">
        <v>130</v>
      </c>
      <c r="C1234" s="31">
        <v>12</v>
      </c>
      <c r="D1234" s="31" t="s">
        <v>108</v>
      </c>
      <c r="E1234" s="31" t="str">
        <f t="shared" si="19"/>
        <v>1612BA03PT</v>
      </c>
      <c r="F1234" s="31">
        <f>VLOOKUP(B1234,[1]Course!$A$2:$R$329,2,FALSE)</f>
        <v>0</v>
      </c>
      <c r="G1234" s="31">
        <f>VLOOKUP(B1234, [1]Course!$A$2:$L$950, 8, FALSE)</f>
        <v>16</v>
      </c>
      <c r="H1234" s="31">
        <v>3</v>
      </c>
      <c r="I1234" s="31">
        <v>1</v>
      </c>
      <c r="K1234" s="31" t="s">
        <v>1548</v>
      </c>
      <c r="L1234" s="31" t="str">
        <f>VLOOKUP(B1234, [1]Course!$A$1:$O$933, 14, FALSE)</f>
        <v>BA</v>
      </c>
      <c r="M1234" s="31">
        <v>1</v>
      </c>
    </row>
    <row r="1235" spans="1:13" ht="15.75" hidden="1" customHeight="1" x14ac:dyDescent="0.2">
      <c r="A1235" s="31">
        <v>1246</v>
      </c>
      <c r="B1235" s="31">
        <v>130</v>
      </c>
      <c r="C1235" s="31">
        <v>13</v>
      </c>
      <c r="D1235" s="31" t="s">
        <v>108</v>
      </c>
      <c r="E1235" s="31" t="str">
        <f t="shared" si="19"/>
        <v>1613BA03PT</v>
      </c>
      <c r="F1235" s="31">
        <f>VLOOKUP(B1235,[1]Course!$A$2:$R$329,2,FALSE)</f>
        <v>0</v>
      </c>
      <c r="G1235" s="31">
        <f>VLOOKUP(B1235, [1]Course!$A$2:$L$950, 8, FALSE)</f>
        <v>16</v>
      </c>
      <c r="H1235" s="31">
        <v>3</v>
      </c>
      <c r="I1235" s="31">
        <v>1</v>
      </c>
      <c r="K1235" s="31" t="s">
        <v>1548</v>
      </c>
      <c r="L1235" s="31" t="str">
        <f>VLOOKUP(B1235, [1]Course!$A$1:$O$933, 14, FALSE)</f>
        <v>BA</v>
      </c>
      <c r="M1235" s="31">
        <v>1</v>
      </c>
    </row>
    <row r="1236" spans="1:13" ht="15.75" hidden="1" customHeight="1" x14ac:dyDescent="0.2">
      <c r="A1236" s="31">
        <v>1247</v>
      </c>
      <c r="B1236" s="31">
        <v>130</v>
      </c>
      <c r="C1236" s="31">
        <v>14</v>
      </c>
      <c r="D1236" s="31" t="s">
        <v>108</v>
      </c>
      <c r="E1236" s="31" t="str">
        <f t="shared" si="19"/>
        <v>1614BA03PT</v>
      </c>
      <c r="F1236" s="31">
        <f>VLOOKUP(B1236,[1]Course!$A$2:$R$329,2,FALSE)</f>
        <v>0</v>
      </c>
      <c r="G1236" s="31">
        <f>VLOOKUP(B1236, [1]Course!$A$2:$L$950, 8, FALSE)</f>
        <v>16</v>
      </c>
      <c r="H1236" s="31">
        <v>3</v>
      </c>
      <c r="I1236" s="31">
        <v>1</v>
      </c>
      <c r="K1236" s="31" t="s">
        <v>1548</v>
      </c>
      <c r="L1236" s="31" t="str">
        <f>VLOOKUP(B1236, [1]Course!$A$1:$O$933, 14, FALSE)</f>
        <v>BA</v>
      </c>
      <c r="M1236" s="31">
        <v>1</v>
      </c>
    </row>
    <row r="1237" spans="1:13" ht="15.75" hidden="1" customHeight="1" x14ac:dyDescent="0.2">
      <c r="A1237" s="31">
        <v>1248</v>
      </c>
      <c r="B1237" s="31">
        <v>130</v>
      </c>
      <c r="C1237" s="31">
        <v>15</v>
      </c>
      <c r="D1237" s="31" t="s">
        <v>108</v>
      </c>
      <c r="E1237" s="31" t="str">
        <f t="shared" si="19"/>
        <v>1615BA03PT</v>
      </c>
      <c r="F1237" s="31">
        <f>VLOOKUP(B1237,[1]Course!$A$2:$R$329,2,FALSE)</f>
        <v>0</v>
      </c>
      <c r="G1237" s="31">
        <f>VLOOKUP(B1237, [1]Course!$A$2:$L$950, 8, FALSE)</f>
        <v>16</v>
      </c>
      <c r="H1237" s="31">
        <v>3</v>
      </c>
      <c r="I1237" s="31">
        <v>1</v>
      </c>
      <c r="K1237" s="31" t="s">
        <v>1548</v>
      </c>
      <c r="L1237" s="31" t="str">
        <f>VLOOKUP(B1237, [1]Course!$A$1:$O$933, 14, FALSE)</f>
        <v>BA</v>
      </c>
      <c r="M1237" s="31">
        <v>1</v>
      </c>
    </row>
    <row r="1238" spans="1:13" ht="15.75" hidden="1" customHeight="1" x14ac:dyDescent="0.2">
      <c r="A1238" s="31">
        <v>1249</v>
      </c>
      <c r="B1238" s="31">
        <v>130</v>
      </c>
      <c r="C1238" s="31">
        <v>16</v>
      </c>
      <c r="D1238" s="31" t="s">
        <v>108</v>
      </c>
      <c r="E1238" s="31" t="str">
        <f t="shared" si="19"/>
        <v>1616BA03PT</v>
      </c>
      <c r="F1238" s="31">
        <f>VLOOKUP(B1238,[1]Course!$A$2:$R$329,2,FALSE)</f>
        <v>0</v>
      </c>
      <c r="G1238" s="31">
        <f>VLOOKUP(B1238, [1]Course!$A$2:$L$950, 8, FALSE)</f>
        <v>16</v>
      </c>
      <c r="H1238" s="31">
        <v>3</v>
      </c>
      <c r="I1238" s="31">
        <v>1</v>
      </c>
      <c r="K1238" s="31" t="s">
        <v>1548</v>
      </c>
      <c r="L1238" s="31" t="str">
        <f>VLOOKUP(B1238, [1]Course!$A$1:$O$933, 14, FALSE)</f>
        <v>BA</v>
      </c>
      <c r="M1238" s="31">
        <v>1</v>
      </c>
    </row>
    <row r="1239" spans="1:13" ht="15.75" hidden="1" customHeight="1" x14ac:dyDescent="0.2">
      <c r="A1239" s="31">
        <v>1250</v>
      </c>
      <c r="B1239" s="31">
        <v>131</v>
      </c>
      <c r="C1239" s="31">
        <v>133</v>
      </c>
      <c r="D1239" s="31" t="s">
        <v>85</v>
      </c>
      <c r="E1239" s="31" t="str">
        <f t="shared" si="19"/>
        <v>1233LC03PT</v>
      </c>
      <c r="F1239" s="31">
        <f>VLOOKUP(B1239,[1]Course!$A$2:$R$329,2,FALSE)</f>
        <v>0</v>
      </c>
      <c r="G1239" s="31">
        <f>VLOOKUP(B1239, [1]Course!$A$2:$L$950, 8, FALSE)</f>
        <v>12</v>
      </c>
      <c r="H1239" s="31">
        <v>3</v>
      </c>
      <c r="I1239" s="31">
        <v>1</v>
      </c>
      <c r="K1239" s="31" t="s">
        <v>1548</v>
      </c>
      <c r="L1239" s="31" t="str">
        <f>VLOOKUP(B1239, [1]Course!$A$1:$O$933, 14, FALSE)</f>
        <v>LC</v>
      </c>
      <c r="M1239" s="31">
        <v>1</v>
      </c>
    </row>
    <row r="1240" spans="1:13" ht="15.75" hidden="1" customHeight="1" x14ac:dyDescent="0.2">
      <c r="A1240" s="31">
        <v>1251</v>
      </c>
      <c r="B1240" s="31">
        <v>131</v>
      </c>
      <c r="C1240" s="31">
        <v>134</v>
      </c>
      <c r="D1240" s="31" t="s">
        <v>85</v>
      </c>
      <c r="E1240" s="31" t="str">
        <f t="shared" si="19"/>
        <v>1234LC03PT</v>
      </c>
      <c r="F1240" s="31">
        <f>VLOOKUP(B1240,[1]Course!$A$2:$R$329,2,FALSE)</f>
        <v>0</v>
      </c>
      <c r="G1240" s="31">
        <f>VLOOKUP(B1240, [1]Course!$A$2:$L$950, 8, FALSE)</f>
        <v>12</v>
      </c>
      <c r="H1240" s="31">
        <v>3</v>
      </c>
      <c r="I1240" s="31">
        <v>1</v>
      </c>
      <c r="K1240" s="31" t="s">
        <v>1548</v>
      </c>
      <c r="L1240" s="31" t="str">
        <f>VLOOKUP(B1240, [1]Course!$A$1:$O$933, 14, FALSE)</f>
        <v>LC</v>
      </c>
      <c r="M1240" s="31">
        <v>1</v>
      </c>
    </row>
    <row r="1241" spans="1:13" ht="15.75" hidden="1" customHeight="1" x14ac:dyDescent="0.2">
      <c r="A1241" s="31">
        <v>1252</v>
      </c>
      <c r="B1241" s="31">
        <v>131</v>
      </c>
      <c r="C1241" s="31">
        <v>135</v>
      </c>
      <c r="D1241" s="31" t="s">
        <v>85</v>
      </c>
      <c r="E1241" s="31" t="str">
        <f t="shared" si="19"/>
        <v>1235LC03PT</v>
      </c>
      <c r="F1241" s="31">
        <f>VLOOKUP(B1241,[1]Course!$A$2:$R$329,2,FALSE)</f>
        <v>0</v>
      </c>
      <c r="G1241" s="31">
        <f>VLOOKUP(B1241, [1]Course!$A$2:$L$950, 8, FALSE)</f>
        <v>12</v>
      </c>
      <c r="H1241" s="31">
        <v>3</v>
      </c>
      <c r="I1241" s="31">
        <v>1</v>
      </c>
      <c r="K1241" s="31" t="s">
        <v>1548</v>
      </c>
      <c r="L1241" s="31" t="str">
        <f>VLOOKUP(B1241, [1]Course!$A$1:$O$933, 14, FALSE)</f>
        <v>LC</v>
      </c>
      <c r="M1241" s="31">
        <v>1</v>
      </c>
    </row>
    <row r="1242" spans="1:13" ht="15.75" hidden="1" customHeight="1" x14ac:dyDescent="0.2">
      <c r="A1242" s="31">
        <v>1253</v>
      </c>
      <c r="B1242" s="31">
        <v>131</v>
      </c>
      <c r="C1242" s="31">
        <v>136</v>
      </c>
      <c r="D1242" s="31" t="s">
        <v>85</v>
      </c>
      <c r="E1242" s="31" t="str">
        <f t="shared" si="19"/>
        <v>1236LC03PT</v>
      </c>
      <c r="F1242" s="31">
        <f>VLOOKUP(B1242,[1]Course!$A$2:$R$329,2,FALSE)</f>
        <v>0</v>
      </c>
      <c r="G1242" s="31">
        <f>VLOOKUP(B1242, [1]Course!$A$2:$L$950, 8, FALSE)</f>
        <v>12</v>
      </c>
      <c r="H1242" s="31">
        <v>3</v>
      </c>
      <c r="I1242" s="31">
        <v>1</v>
      </c>
      <c r="K1242" s="31" t="s">
        <v>1548</v>
      </c>
      <c r="L1242" s="31" t="str">
        <f>VLOOKUP(B1242, [1]Course!$A$1:$O$933, 14, FALSE)</f>
        <v>LC</v>
      </c>
      <c r="M1242" s="31">
        <v>1</v>
      </c>
    </row>
    <row r="1243" spans="1:13" ht="15.75" hidden="1" customHeight="1" x14ac:dyDescent="0.2">
      <c r="A1243" s="31">
        <v>1254</v>
      </c>
      <c r="B1243" s="31">
        <v>131</v>
      </c>
      <c r="C1243" s="31">
        <v>137</v>
      </c>
      <c r="D1243" s="31" t="s">
        <v>85</v>
      </c>
      <c r="E1243" s="31" t="str">
        <f t="shared" si="19"/>
        <v>1237LC03PT</v>
      </c>
      <c r="F1243" s="31">
        <f>VLOOKUP(B1243,[1]Course!$A$2:$R$329,2,FALSE)</f>
        <v>0</v>
      </c>
      <c r="G1243" s="31">
        <f>VLOOKUP(B1243, [1]Course!$A$2:$L$950, 8, FALSE)</f>
        <v>12</v>
      </c>
      <c r="H1243" s="31">
        <v>3</v>
      </c>
      <c r="I1243" s="31">
        <v>1</v>
      </c>
      <c r="K1243" s="31" t="s">
        <v>1548</v>
      </c>
      <c r="L1243" s="31" t="str">
        <f>VLOOKUP(B1243, [1]Course!$A$1:$O$933, 14, FALSE)</f>
        <v>LC</v>
      </c>
      <c r="M1243" s="31">
        <v>1</v>
      </c>
    </row>
    <row r="1244" spans="1:13" ht="15.75" hidden="1" customHeight="1" x14ac:dyDescent="0.2">
      <c r="A1244" s="31">
        <v>1255</v>
      </c>
      <c r="B1244" s="31">
        <v>131</v>
      </c>
      <c r="C1244" s="31">
        <v>138</v>
      </c>
      <c r="D1244" s="31" t="s">
        <v>85</v>
      </c>
      <c r="E1244" s="31" t="str">
        <f t="shared" si="19"/>
        <v>1238LC03PT</v>
      </c>
      <c r="F1244" s="31">
        <f>VLOOKUP(B1244,[1]Course!$A$2:$R$329,2,FALSE)</f>
        <v>0</v>
      </c>
      <c r="G1244" s="31">
        <f>VLOOKUP(B1244, [1]Course!$A$2:$L$950, 8, FALSE)</f>
        <v>12</v>
      </c>
      <c r="H1244" s="31">
        <v>3</v>
      </c>
      <c r="I1244" s="31">
        <v>1</v>
      </c>
      <c r="K1244" s="31" t="s">
        <v>1548</v>
      </c>
      <c r="L1244" s="31" t="str">
        <f>VLOOKUP(B1244, [1]Course!$A$1:$O$933, 14, FALSE)</f>
        <v>LC</v>
      </c>
      <c r="M1244" s="31">
        <v>1</v>
      </c>
    </row>
    <row r="1245" spans="1:13" ht="15.75" hidden="1" customHeight="1" x14ac:dyDescent="0.2">
      <c r="A1245" s="31">
        <v>1256</v>
      </c>
      <c r="B1245" s="31">
        <v>131</v>
      </c>
      <c r="C1245" s="31">
        <v>139</v>
      </c>
      <c r="D1245" s="31" t="s">
        <v>85</v>
      </c>
      <c r="E1245" s="31" t="str">
        <f t="shared" si="19"/>
        <v>1239LC03PT</v>
      </c>
      <c r="F1245" s="31">
        <f>VLOOKUP(B1245,[1]Course!$A$2:$R$329,2,FALSE)</f>
        <v>0</v>
      </c>
      <c r="G1245" s="31">
        <f>VLOOKUP(B1245, [1]Course!$A$2:$L$950, 8, FALSE)</f>
        <v>12</v>
      </c>
      <c r="H1245" s="31">
        <v>3</v>
      </c>
      <c r="I1245" s="31">
        <v>1</v>
      </c>
      <c r="K1245" s="31" t="s">
        <v>1548</v>
      </c>
      <c r="L1245" s="31" t="str">
        <f>VLOOKUP(B1245, [1]Course!$A$1:$O$933, 14, FALSE)</f>
        <v>LC</v>
      </c>
      <c r="M1245" s="31">
        <v>1</v>
      </c>
    </row>
    <row r="1246" spans="1:13" ht="15.75" hidden="1" customHeight="1" x14ac:dyDescent="0.2">
      <c r="A1246" s="31">
        <v>1257</v>
      </c>
      <c r="B1246" s="31">
        <v>131</v>
      </c>
      <c r="C1246" s="31">
        <v>140</v>
      </c>
      <c r="D1246" s="31" t="s">
        <v>85</v>
      </c>
      <c r="E1246" s="31" t="str">
        <f t="shared" si="19"/>
        <v>1240LC03PT</v>
      </c>
      <c r="F1246" s="31">
        <f>VLOOKUP(B1246,[1]Course!$A$2:$R$329,2,FALSE)</f>
        <v>0</v>
      </c>
      <c r="G1246" s="31">
        <f>VLOOKUP(B1246, [1]Course!$A$2:$L$950, 8, FALSE)</f>
        <v>12</v>
      </c>
      <c r="H1246" s="31">
        <v>3</v>
      </c>
      <c r="I1246" s="31">
        <v>1</v>
      </c>
      <c r="K1246" s="31" t="s">
        <v>1548</v>
      </c>
      <c r="L1246" s="31" t="str">
        <f>VLOOKUP(B1246, [1]Course!$A$1:$O$933, 14, FALSE)</f>
        <v>LC</v>
      </c>
      <c r="M1246" s="31">
        <v>1</v>
      </c>
    </row>
    <row r="1247" spans="1:13" ht="15.75" hidden="1" customHeight="1" x14ac:dyDescent="0.2">
      <c r="A1247" s="31">
        <v>1258</v>
      </c>
      <c r="B1247" s="31">
        <v>131</v>
      </c>
      <c r="C1247" s="31">
        <v>141</v>
      </c>
      <c r="D1247" s="31" t="s">
        <v>85</v>
      </c>
      <c r="E1247" s="31" t="str">
        <f t="shared" si="19"/>
        <v>1241LC03PT</v>
      </c>
      <c r="F1247" s="31">
        <f>VLOOKUP(B1247,[1]Course!$A$2:$R$329,2,FALSE)</f>
        <v>0</v>
      </c>
      <c r="G1247" s="31">
        <f>VLOOKUP(B1247, [1]Course!$A$2:$L$950, 8, FALSE)</f>
        <v>12</v>
      </c>
      <c r="H1247" s="31">
        <v>3</v>
      </c>
      <c r="I1247" s="31">
        <v>1</v>
      </c>
      <c r="K1247" s="31" t="s">
        <v>1548</v>
      </c>
      <c r="L1247" s="31" t="str">
        <f>VLOOKUP(B1247, [1]Course!$A$1:$O$933, 14, FALSE)</f>
        <v>LC</v>
      </c>
      <c r="M1247" s="31">
        <v>1</v>
      </c>
    </row>
    <row r="1248" spans="1:13" ht="15.75" hidden="1" customHeight="1" x14ac:dyDescent="0.2">
      <c r="A1248" s="31">
        <v>1259</v>
      </c>
      <c r="B1248" s="31">
        <v>131</v>
      </c>
      <c r="C1248" s="31">
        <v>142</v>
      </c>
      <c r="D1248" s="31" t="s">
        <v>85</v>
      </c>
      <c r="E1248" s="31" t="str">
        <f t="shared" si="19"/>
        <v>1242LC03PT</v>
      </c>
      <c r="F1248" s="31">
        <f>VLOOKUP(B1248,[1]Course!$A$2:$R$329,2,FALSE)</f>
        <v>0</v>
      </c>
      <c r="G1248" s="31">
        <f>VLOOKUP(B1248, [1]Course!$A$2:$L$950, 8, FALSE)</f>
        <v>12</v>
      </c>
      <c r="H1248" s="31">
        <v>3</v>
      </c>
      <c r="I1248" s="31">
        <v>1</v>
      </c>
      <c r="K1248" s="31" t="s">
        <v>1548</v>
      </c>
      <c r="L1248" s="31" t="str">
        <f>VLOOKUP(B1248, [1]Course!$A$1:$O$933, 14, FALSE)</f>
        <v>LC</v>
      </c>
      <c r="M1248" s="31">
        <v>1</v>
      </c>
    </row>
    <row r="1249" spans="1:14" ht="15.75" hidden="1" customHeight="1" x14ac:dyDescent="0.2">
      <c r="A1249" s="31">
        <v>1260</v>
      </c>
      <c r="B1249" s="31">
        <v>131</v>
      </c>
      <c r="C1249" s="31">
        <v>143</v>
      </c>
      <c r="D1249" s="31" t="s">
        <v>85</v>
      </c>
      <c r="E1249" s="31" t="str">
        <f t="shared" si="19"/>
        <v>1243LC03PT</v>
      </c>
      <c r="F1249" s="31">
        <f>VLOOKUP(B1249,[1]Course!$A$2:$R$329,2,FALSE)</f>
        <v>0</v>
      </c>
      <c r="G1249" s="31">
        <f>VLOOKUP(B1249, [1]Course!$A$2:$L$950, 8, FALSE)</f>
        <v>12</v>
      </c>
      <c r="H1249" s="31">
        <v>3</v>
      </c>
      <c r="I1249" s="31">
        <v>1</v>
      </c>
      <c r="K1249" s="31" t="s">
        <v>1548</v>
      </c>
      <c r="L1249" s="31" t="str">
        <f>VLOOKUP(B1249, [1]Course!$A$1:$O$933, 14, FALSE)</f>
        <v>LC</v>
      </c>
      <c r="M1249" s="31">
        <v>1</v>
      </c>
    </row>
    <row r="1250" spans="1:14" ht="15.75" hidden="1" customHeight="1" x14ac:dyDescent="0.2">
      <c r="A1250" s="31">
        <v>1261</v>
      </c>
      <c r="B1250" s="31">
        <v>131</v>
      </c>
      <c r="C1250" s="31">
        <v>144</v>
      </c>
      <c r="D1250" s="31" t="s">
        <v>85</v>
      </c>
      <c r="E1250" s="31" t="str">
        <f t="shared" si="19"/>
        <v>1244LC03PT</v>
      </c>
      <c r="F1250" s="31">
        <f>VLOOKUP(B1250,[1]Course!$A$2:$R$329,2,FALSE)</f>
        <v>0</v>
      </c>
      <c r="G1250" s="31">
        <f>VLOOKUP(B1250, [1]Course!$A$2:$L$950, 8, FALSE)</f>
        <v>12</v>
      </c>
      <c r="H1250" s="31">
        <v>3</v>
      </c>
      <c r="I1250" s="31">
        <v>1</v>
      </c>
      <c r="K1250" s="31" t="s">
        <v>1548</v>
      </c>
      <c r="L1250" s="31" t="str">
        <f>VLOOKUP(B1250, [1]Course!$A$1:$O$933, 14, FALSE)</f>
        <v>LC</v>
      </c>
      <c r="M1250" s="31">
        <v>1</v>
      </c>
    </row>
    <row r="1251" spans="1:14" ht="15.75" hidden="1" customHeight="1" x14ac:dyDescent="0.2">
      <c r="A1251" s="31">
        <v>1262</v>
      </c>
      <c r="B1251" s="31">
        <v>129</v>
      </c>
      <c r="C1251" s="31">
        <v>1</v>
      </c>
      <c r="D1251" s="31" t="s">
        <v>110</v>
      </c>
      <c r="E1251" s="31" t="str">
        <f t="shared" si="19"/>
        <v>601IB03PT</v>
      </c>
      <c r="F1251" s="31">
        <f>VLOOKUP(B1251,[1]Course!$A$2:$R$329,2,FALSE)</f>
        <v>0</v>
      </c>
      <c r="G1251" s="31">
        <f>VLOOKUP(B1251, [1]Course!$A$2:$L$950, 8, FALSE)</f>
        <v>6</v>
      </c>
      <c r="H1251" s="31">
        <v>3</v>
      </c>
      <c r="I1251" s="31">
        <v>1</v>
      </c>
      <c r="K1251" s="31" t="s">
        <v>1548</v>
      </c>
      <c r="L1251" s="31" t="str">
        <f>VLOOKUP(B1251, [1]Course!$A$1:$O$933, 14, FALSE)</f>
        <v>IB</v>
      </c>
      <c r="M1251" s="31">
        <v>1</v>
      </c>
      <c r="N1251" s="31" t="s">
        <v>1559</v>
      </c>
    </row>
    <row r="1252" spans="1:14" ht="15.75" hidden="1" customHeight="1" x14ac:dyDescent="0.2">
      <c r="A1252" s="31">
        <v>1263</v>
      </c>
      <c r="B1252" s="31">
        <v>129</v>
      </c>
      <c r="C1252" s="31">
        <v>2</v>
      </c>
      <c r="D1252" s="31" t="s">
        <v>110</v>
      </c>
      <c r="E1252" s="31" t="str">
        <f t="shared" si="19"/>
        <v>602IB03PT</v>
      </c>
      <c r="F1252" s="31">
        <f>VLOOKUP(B1252,[1]Course!$A$2:$R$329,2,FALSE)</f>
        <v>0</v>
      </c>
      <c r="G1252" s="31">
        <f>VLOOKUP(B1252, [1]Course!$A$2:$L$950, 8, FALSE)</f>
        <v>6</v>
      </c>
      <c r="H1252" s="31">
        <v>3</v>
      </c>
      <c r="I1252" s="31">
        <v>1</v>
      </c>
      <c r="K1252" s="31" t="s">
        <v>1548</v>
      </c>
      <c r="L1252" s="31" t="str">
        <f>VLOOKUP(B1252, [1]Course!$A$1:$O$933, 14, FALSE)</f>
        <v>IB</v>
      </c>
      <c r="M1252" s="31">
        <v>1</v>
      </c>
      <c r="N1252" s="31" t="s">
        <v>1559</v>
      </c>
    </row>
    <row r="1253" spans="1:14" ht="15.75" hidden="1" customHeight="1" x14ac:dyDescent="0.2">
      <c r="A1253" s="31">
        <v>1264</v>
      </c>
      <c r="B1253" s="31">
        <v>129</v>
      </c>
      <c r="C1253" s="31">
        <v>3</v>
      </c>
      <c r="D1253" s="31" t="s">
        <v>110</v>
      </c>
      <c r="E1253" s="31" t="str">
        <f t="shared" si="19"/>
        <v>603IB03PT</v>
      </c>
      <c r="F1253" s="31">
        <f>VLOOKUP(B1253,[1]Course!$A$2:$R$329,2,FALSE)</f>
        <v>0</v>
      </c>
      <c r="G1253" s="31">
        <f>VLOOKUP(B1253, [1]Course!$A$2:$L$950, 8, FALSE)</f>
        <v>6</v>
      </c>
      <c r="H1253" s="31">
        <v>3</v>
      </c>
      <c r="I1253" s="31">
        <v>1</v>
      </c>
      <c r="K1253" s="31" t="s">
        <v>1548</v>
      </c>
      <c r="L1253" s="31" t="str">
        <f>VLOOKUP(B1253, [1]Course!$A$1:$O$933, 14, FALSE)</f>
        <v>IB</v>
      </c>
      <c r="M1253" s="31">
        <v>1</v>
      </c>
      <c r="N1253" s="31" t="s">
        <v>1559</v>
      </c>
    </row>
    <row r="1254" spans="1:14" ht="15.75" hidden="1" customHeight="1" x14ac:dyDescent="0.2">
      <c r="A1254" s="31">
        <v>1265</v>
      </c>
      <c r="B1254" s="31">
        <v>129</v>
      </c>
      <c r="C1254" s="31">
        <v>4</v>
      </c>
      <c r="D1254" s="31" t="s">
        <v>110</v>
      </c>
      <c r="E1254" s="31" t="str">
        <f t="shared" si="19"/>
        <v>604IB03PT</v>
      </c>
      <c r="F1254" s="31">
        <f>VLOOKUP(B1254,[1]Course!$A$2:$R$329,2,FALSE)</f>
        <v>0</v>
      </c>
      <c r="G1254" s="31">
        <f>VLOOKUP(B1254, [1]Course!$A$2:$L$950, 8, FALSE)</f>
        <v>6</v>
      </c>
      <c r="H1254" s="31">
        <v>3</v>
      </c>
      <c r="I1254" s="31">
        <v>1</v>
      </c>
      <c r="K1254" s="31" t="s">
        <v>1548</v>
      </c>
      <c r="L1254" s="31" t="str">
        <f>VLOOKUP(B1254, [1]Course!$A$1:$O$933, 14, FALSE)</f>
        <v>IB</v>
      </c>
      <c r="M1254" s="31">
        <v>1</v>
      </c>
      <c r="N1254" s="31" t="s">
        <v>1559</v>
      </c>
    </row>
    <row r="1255" spans="1:14" ht="15.75" hidden="1" customHeight="1" x14ac:dyDescent="0.2">
      <c r="A1255" s="31">
        <v>1266</v>
      </c>
      <c r="B1255" s="31">
        <v>129</v>
      </c>
      <c r="C1255" s="31">
        <v>5</v>
      </c>
      <c r="D1255" s="31" t="s">
        <v>110</v>
      </c>
      <c r="E1255" s="31" t="str">
        <f t="shared" si="19"/>
        <v>605IB03PT</v>
      </c>
      <c r="F1255" s="31">
        <f>VLOOKUP(B1255,[1]Course!$A$2:$R$329,2,FALSE)</f>
        <v>0</v>
      </c>
      <c r="G1255" s="31">
        <f>VLOOKUP(B1255, [1]Course!$A$2:$L$950, 8, FALSE)</f>
        <v>6</v>
      </c>
      <c r="H1255" s="31">
        <v>3</v>
      </c>
      <c r="I1255" s="31">
        <v>1</v>
      </c>
      <c r="K1255" s="31" t="s">
        <v>1548</v>
      </c>
      <c r="L1255" s="31" t="str">
        <f>VLOOKUP(B1255, [1]Course!$A$1:$O$933, 14, FALSE)</f>
        <v>IB</v>
      </c>
      <c r="M1255" s="31">
        <v>1</v>
      </c>
      <c r="N1255" s="31" t="s">
        <v>1559</v>
      </c>
    </row>
    <row r="1256" spans="1:14" ht="15.75" hidden="1" customHeight="1" x14ac:dyDescent="0.2">
      <c r="A1256" s="31">
        <v>1267</v>
      </c>
      <c r="B1256" s="31">
        <v>129</v>
      </c>
      <c r="C1256" s="31">
        <v>6</v>
      </c>
      <c r="D1256" s="31" t="s">
        <v>110</v>
      </c>
      <c r="E1256" s="31" t="str">
        <f t="shared" si="19"/>
        <v>606IB03PT</v>
      </c>
      <c r="F1256" s="31">
        <f>VLOOKUP(B1256,[1]Course!$A$2:$R$329,2,FALSE)</f>
        <v>0</v>
      </c>
      <c r="G1256" s="31">
        <f>VLOOKUP(B1256, [1]Course!$A$2:$L$950, 8, FALSE)</f>
        <v>6</v>
      </c>
      <c r="H1256" s="31">
        <v>3</v>
      </c>
      <c r="I1256" s="31">
        <v>1</v>
      </c>
      <c r="K1256" s="31" t="s">
        <v>1548</v>
      </c>
      <c r="L1256" s="31" t="str">
        <f>VLOOKUP(B1256, [1]Course!$A$1:$O$933, 14, FALSE)</f>
        <v>IB</v>
      </c>
      <c r="M1256" s="31">
        <v>1</v>
      </c>
      <c r="N1256" s="31" t="s">
        <v>1559</v>
      </c>
    </row>
    <row r="1257" spans="1:14" ht="15.75" hidden="1" customHeight="1" x14ac:dyDescent="0.2">
      <c r="A1257" s="31">
        <v>1268</v>
      </c>
      <c r="B1257" s="31">
        <v>147</v>
      </c>
      <c r="C1257" s="31">
        <v>49</v>
      </c>
      <c r="D1257" s="31" t="s">
        <v>82</v>
      </c>
      <c r="E1257" s="31" t="str">
        <f t="shared" si="19"/>
        <v>1249UK03PT</v>
      </c>
      <c r="F1257" s="31">
        <f>VLOOKUP(B1257,[1]Course!$A$2:$R$329,2,FALSE)</f>
        <v>0</v>
      </c>
      <c r="G1257" s="31">
        <f>VLOOKUP(B1257, [1]Course!$A$2:$L$950, 8, FALSE)</f>
        <v>12</v>
      </c>
      <c r="H1257" s="31">
        <v>3</v>
      </c>
      <c r="I1257" s="31">
        <v>1</v>
      </c>
      <c r="K1257" s="31" t="s">
        <v>1548</v>
      </c>
      <c r="L1257" s="31" t="str">
        <f>VLOOKUP(B1257, [1]Course!$A$1:$O$933, 14, FALSE)</f>
        <v>UK</v>
      </c>
      <c r="M1257" s="31">
        <v>1</v>
      </c>
    </row>
    <row r="1258" spans="1:14" ht="15.75" hidden="1" customHeight="1" x14ac:dyDescent="0.2">
      <c r="A1258" s="31">
        <v>1269</v>
      </c>
      <c r="B1258" s="31">
        <v>147</v>
      </c>
      <c r="C1258" s="31">
        <v>50</v>
      </c>
      <c r="D1258" s="31" t="s">
        <v>82</v>
      </c>
      <c r="E1258" s="31" t="str">
        <f t="shared" si="19"/>
        <v>1250UK03PT</v>
      </c>
      <c r="F1258" s="31">
        <f>VLOOKUP(B1258,[1]Course!$A$2:$R$329,2,FALSE)</f>
        <v>0</v>
      </c>
      <c r="G1258" s="31">
        <f>VLOOKUP(B1258, [1]Course!$A$2:$L$950, 8, FALSE)</f>
        <v>12</v>
      </c>
      <c r="H1258" s="31">
        <v>3</v>
      </c>
      <c r="I1258" s="31">
        <v>1</v>
      </c>
      <c r="K1258" s="31" t="s">
        <v>1548</v>
      </c>
      <c r="L1258" s="31" t="str">
        <f>VLOOKUP(B1258, [1]Course!$A$1:$O$933, 14, FALSE)</f>
        <v>UK</v>
      </c>
      <c r="M1258" s="31">
        <v>1</v>
      </c>
    </row>
    <row r="1259" spans="1:14" ht="15.75" hidden="1" customHeight="1" x14ac:dyDescent="0.2">
      <c r="A1259" s="31">
        <v>1270</v>
      </c>
      <c r="B1259" s="31">
        <v>147</v>
      </c>
      <c r="C1259" s="31">
        <v>51</v>
      </c>
      <c r="D1259" s="31" t="s">
        <v>82</v>
      </c>
      <c r="E1259" s="31" t="str">
        <f t="shared" si="19"/>
        <v>1251UK03PT</v>
      </c>
      <c r="F1259" s="31">
        <f>VLOOKUP(B1259,[1]Course!$A$2:$R$329,2,FALSE)</f>
        <v>0</v>
      </c>
      <c r="G1259" s="31">
        <f>VLOOKUP(B1259, [1]Course!$A$2:$L$950, 8, FALSE)</f>
        <v>12</v>
      </c>
      <c r="H1259" s="31">
        <v>3</v>
      </c>
      <c r="I1259" s="31">
        <v>1</v>
      </c>
      <c r="K1259" s="31" t="s">
        <v>1548</v>
      </c>
      <c r="L1259" s="31" t="str">
        <f>VLOOKUP(B1259, [1]Course!$A$1:$O$933, 14, FALSE)</f>
        <v>UK</v>
      </c>
      <c r="M1259" s="31">
        <v>1</v>
      </c>
    </row>
    <row r="1260" spans="1:14" ht="15.75" hidden="1" customHeight="1" x14ac:dyDescent="0.2">
      <c r="A1260" s="31">
        <v>1271</v>
      </c>
      <c r="B1260" s="31">
        <v>147</v>
      </c>
      <c r="C1260" s="31">
        <v>52</v>
      </c>
      <c r="D1260" s="31" t="s">
        <v>82</v>
      </c>
      <c r="E1260" s="31" t="str">
        <f t="shared" si="19"/>
        <v>1252UK03PT</v>
      </c>
      <c r="F1260" s="31">
        <f>VLOOKUP(B1260,[1]Course!$A$2:$R$329,2,FALSE)</f>
        <v>0</v>
      </c>
      <c r="G1260" s="31">
        <f>VLOOKUP(B1260, [1]Course!$A$2:$L$950, 8, FALSE)</f>
        <v>12</v>
      </c>
      <c r="H1260" s="31">
        <v>3</v>
      </c>
      <c r="I1260" s="31">
        <v>1</v>
      </c>
      <c r="K1260" s="31" t="s">
        <v>1548</v>
      </c>
      <c r="L1260" s="31" t="str">
        <f>VLOOKUP(B1260, [1]Course!$A$1:$O$933, 14, FALSE)</f>
        <v>UK</v>
      </c>
      <c r="M1260" s="31">
        <v>1</v>
      </c>
    </row>
    <row r="1261" spans="1:14" ht="15.75" hidden="1" customHeight="1" x14ac:dyDescent="0.2">
      <c r="A1261" s="31">
        <v>1272</v>
      </c>
      <c r="B1261" s="31">
        <v>147</v>
      </c>
      <c r="C1261" s="31">
        <v>53</v>
      </c>
      <c r="D1261" s="31" t="s">
        <v>82</v>
      </c>
      <c r="E1261" s="31" t="str">
        <f t="shared" si="19"/>
        <v>1253UK03PT</v>
      </c>
      <c r="F1261" s="31">
        <f>VLOOKUP(B1261,[1]Course!$A$2:$R$329,2,FALSE)</f>
        <v>0</v>
      </c>
      <c r="G1261" s="31">
        <f>VLOOKUP(B1261, [1]Course!$A$2:$L$950, 8, FALSE)</f>
        <v>12</v>
      </c>
      <c r="H1261" s="31">
        <v>3</v>
      </c>
      <c r="I1261" s="31">
        <v>1</v>
      </c>
      <c r="K1261" s="31" t="s">
        <v>1548</v>
      </c>
      <c r="L1261" s="31" t="str">
        <f>VLOOKUP(B1261, [1]Course!$A$1:$O$933, 14, FALSE)</f>
        <v>UK</v>
      </c>
      <c r="M1261" s="31">
        <v>1</v>
      </c>
    </row>
    <row r="1262" spans="1:14" ht="15.75" hidden="1" customHeight="1" x14ac:dyDescent="0.2">
      <c r="A1262" s="31">
        <v>1273</v>
      </c>
      <c r="B1262" s="31">
        <v>147</v>
      </c>
      <c r="C1262" s="31">
        <v>54</v>
      </c>
      <c r="D1262" s="31" t="s">
        <v>82</v>
      </c>
      <c r="E1262" s="31" t="str">
        <f t="shared" si="19"/>
        <v>1254UK03PT</v>
      </c>
      <c r="F1262" s="31">
        <f>VLOOKUP(B1262,[1]Course!$A$2:$R$329,2,FALSE)</f>
        <v>0</v>
      </c>
      <c r="G1262" s="31">
        <f>VLOOKUP(B1262, [1]Course!$A$2:$L$950, 8, FALSE)</f>
        <v>12</v>
      </c>
      <c r="H1262" s="31">
        <v>3</v>
      </c>
      <c r="I1262" s="31">
        <v>1</v>
      </c>
      <c r="K1262" s="31" t="s">
        <v>1548</v>
      </c>
      <c r="L1262" s="31" t="str">
        <f>VLOOKUP(B1262, [1]Course!$A$1:$O$933, 14, FALSE)</f>
        <v>UK</v>
      </c>
      <c r="M1262" s="31">
        <v>1</v>
      </c>
    </row>
    <row r="1263" spans="1:14" ht="15.75" hidden="1" customHeight="1" x14ac:dyDescent="0.2">
      <c r="A1263" s="31">
        <v>1274</v>
      </c>
      <c r="B1263" s="31">
        <v>147</v>
      </c>
      <c r="C1263" s="31">
        <v>55</v>
      </c>
      <c r="D1263" s="31" t="s">
        <v>82</v>
      </c>
      <c r="E1263" s="31" t="str">
        <f t="shared" si="19"/>
        <v>1255UK03PT</v>
      </c>
      <c r="F1263" s="31">
        <f>VLOOKUP(B1263,[1]Course!$A$2:$R$329,2,FALSE)</f>
        <v>0</v>
      </c>
      <c r="G1263" s="31">
        <f>VLOOKUP(B1263, [1]Course!$A$2:$L$950, 8, FALSE)</f>
        <v>12</v>
      </c>
      <c r="H1263" s="31">
        <v>3</v>
      </c>
      <c r="I1263" s="31">
        <v>1</v>
      </c>
      <c r="K1263" s="31" t="s">
        <v>1548</v>
      </c>
      <c r="L1263" s="31" t="str">
        <f>VLOOKUP(B1263, [1]Course!$A$1:$O$933, 14, FALSE)</f>
        <v>UK</v>
      </c>
      <c r="M1263" s="31">
        <v>1</v>
      </c>
    </row>
    <row r="1264" spans="1:14" ht="15.75" hidden="1" customHeight="1" x14ac:dyDescent="0.2">
      <c r="A1264" s="31">
        <v>1275</v>
      </c>
      <c r="B1264" s="31">
        <v>147</v>
      </c>
      <c r="C1264" s="31">
        <v>56</v>
      </c>
      <c r="D1264" s="31" t="s">
        <v>82</v>
      </c>
      <c r="E1264" s="31" t="str">
        <f t="shared" si="19"/>
        <v>1256UK03PT</v>
      </c>
      <c r="F1264" s="31">
        <f>VLOOKUP(B1264,[1]Course!$A$2:$R$329,2,FALSE)</f>
        <v>0</v>
      </c>
      <c r="G1264" s="31">
        <f>VLOOKUP(B1264, [1]Course!$A$2:$L$950, 8, FALSE)</f>
        <v>12</v>
      </c>
      <c r="H1264" s="31">
        <v>3</v>
      </c>
      <c r="I1264" s="31">
        <v>1</v>
      </c>
      <c r="K1264" s="31" t="s">
        <v>1548</v>
      </c>
      <c r="L1264" s="31" t="str">
        <f>VLOOKUP(B1264, [1]Course!$A$1:$O$933, 14, FALSE)</f>
        <v>UK</v>
      </c>
      <c r="M1264" s="31">
        <v>1</v>
      </c>
    </row>
    <row r="1265" spans="1:13" ht="15.75" hidden="1" customHeight="1" x14ac:dyDescent="0.2">
      <c r="A1265" s="31">
        <v>1276</v>
      </c>
      <c r="B1265" s="31">
        <v>147</v>
      </c>
      <c r="C1265" s="31">
        <v>57</v>
      </c>
      <c r="D1265" s="31" t="s">
        <v>82</v>
      </c>
      <c r="E1265" s="31" t="str">
        <f t="shared" si="19"/>
        <v>1257UK03PT</v>
      </c>
      <c r="F1265" s="31">
        <f>VLOOKUP(B1265,[1]Course!$A$2:$R$329,2,FALSE)</f>
        <v>0</v>
      </c>
      <c r="G1265" s="31">
        <f>VLOOKUP(B1265, [1]Course!$A$2:$L$950, 8, FALSE)</f>
        <v>12</v>
      </c>
      <c r="H1265" s="31">
        <v>3</v>
      </c>
      <c r="I1265" s="31">
        <v>1</v>
      </c>
      <c r="K1265" s="31" t="s">
        <v>1548</v>
      </c>
      <c r="L1265" s="31" t="str">
        <f>VLOOKUP(B1265, [1]Course!$A$1:$O$933, 14, FALSE)</f>
        <v>UK</v>
      </c>
      <c r="M1265" s="31">
        <v>1</v>
      </c>
    </row>
    <row r="1266" spans="1:13" ht="15.75" hidden="1" customHeight="1" x14ac:dyDescent="0.2">
      <c r="A1266" s="31">
        <v>1277</v>
      </c>
      <c r="B1266" s="31">
        <v>147</v>
      </c>
      <c r="C1266" s="31">
        <v>58</v>
      </c>
      <c r="D1266" s="31" t="s">
        <v>82</v>
      </c>
      <c r="E1266" s="31" t="str">
        <f t="shared" si="19"/>
        <v>1258UK03PT</v>
      </c>
      <c r="F1266" s="31">
        <f>VLOOKUP(B1266,[1]Course!$A$2:$R$329,2,FALSE)</f>
        <v>0</v>
      </c>
      <c r="G1266" s="31">
        <f>VLOOKUP(B1266, [1]Course!$A$2:$L$950, 8, FALSE)</f>
        <v>12</v>
      </c>
      <c r="H1266" s="31">
        <v>3</v>
      </c>
      <c r="I1266" s="31">
        <v>1</v>
      </c>
      <c r="K1266" s="31" t="s">
        <v>1548</v>
      </c>
      <c r="L1266" s="31" t="str">
        <f>VLOOKUP(B1266, [1]Course!$A$1:$O$933, 14, FALSE)</f>
        <v>UK</v>
      </c>
      <c r="M1266" s="31">
        <v>1</v>
      </c>
    </row>
    <row r="1267" spans="1:13" ht="15.75" hidden="1" customHeight="1" x14ac:dyDescent="0.2">
      <c r="A1267" s="31">
        <v>1278</v>
      </c>
      <c r="B1267" s="31">
        <v>147</v>
      </c>
      <c r="C1267" s="31">
        <v>59</v>
      </c>
      <c r="D1267" s="31" t="s">
        <v>82</v>
      </c>
      <c r="E1267" s="31" t="str">
        <f t="shared" si="19"/>
        <v>1259UK03PT</v>
      </c>
      <c r="F1267" s="31">
        <f>VLOOKUP(B1267,[1]Course!$A$2:$R$329,2,FALSE)</f>
        <v>0</v>
      </c>
      <c r="G1267" s="31">
        <f>VLOOKUP(B1267, [1]Course!$A$2:$L$950, 8, FALSE)</f>
        <v>12</v>
      </c>
      <c r="H1267" s="31">
        <v>3</v>
      </c>
      <c r="I1267" s="31">
        <v>1</v>
      </c>
      <c r="K1267" s="31" t="s">
        <v>1548</v>
      </c>
      <c r="L1267" s="31" t="str">
        <f>VLOOKUP(B1267, [1]Course!$A$1:$O$933, 14, FALSE)</f>
        <v>UK</v>
      </c>
      <c r="M1267" s="31">
        <v>1</v>
      </c>
    </row>
    <row r="1268" spans="1:13" ht="15.75" hidden="1" customHeight="1" x14ac:dyDescent="0.2">
      <c r="A1268" s="31">
        <v>1279</v>
      </c>
      <c r="B1268" s="31">
        <v>147</v>
      </c>
      <c r="C1268" s="31">
        <v>60</v>
      </c>
      <c r="D1268" s="31" t="s">
        <v>82</v>
      </c>
      <c r="E1268" s="31" t="str">
        <f t="shared" si="19"/>
        <v>1260UK03PT</v>
      </c>
      <c r="F1268" s="31">
        <f>VLOOKUP(B1268,[1]Course!$A$2:$R$329,2,FALSE)</f>
        <v>0</v>
      </c>
      <c r="G1268" s="31">
        <f>VLOOKUP(B1268, [1]Course!$A$2:$L$950, 8, FALSE)</f>
        <v>12</v>
      </c>
      <c r="H1268" s="31">
        <v>3</v>
      </c>
      <c r="I1268" s="31">
        <v>1</v>
      </c>
      <c r="K1268" s="31" t="s">
        <v>1548</v>
      </c>
      <c r="L1268" s="31" t="str">
        <f>VLOOKUP(B1268, [1]Course!$A$1:$O$933, 14, FALSE)</f>
        <v>UK</v>
      </c>
      <c r="M1268" s="31">
        <v>1</v>
      </c>
    </row>
    <row r="1269" spans="1:13" ht="15.75" hidden="1" customHeight="1" x14ac:dyDescent="0.2">
      <c r="A1269" s="31">
        <v>1280</v>
      </c>
      <c r="B1269" s="31">
        <v>148</v>
      </c>
      <c r="C1269" s="31">
        <v>109</v>
      </c>
      <c r="D1269" s="31" t="s">
        <v>1558</v>
      </c>
      <c r="E1269" s="31" t="str">
        <f t="shared" si="19"/>
        <v>1209US03PT</v>
      </c>
      <c r="F1269" s="31">
        <f>VLOOKUP(B1269,[1]Course!$A$2:$R$329,2,FALSE)</f>
        <v>0</v>
      </c>
      <c r="G1269" s="31">
        <f>VLOOKUP(B1269, [1]Course!$A$2:$L$950, 8, FALSE)</f>
        <v>12</v>
      </c>
      <c r="H1269" s="31">
        <v>3</v>
      </c>
      <c r="I1269" s="31">
        <v>1</v>
      </c>
      <c r="K1269" s="31" t="s">
        <v>1548</v>
      </c>
      <c r="L1269" s="31" t="str">
        <f>VLOOKUP(B1269, [1]Course!$A$1:$O$933, 14, FALSE)</f>
        <v>UH</v>
      </c>
      <c r="M1269" s="31">
        <v>1</v>
      </c>
    </row>
    <row r="1270" spans="1:13" ht="15.75" hidden="1" customHeight="1" x14ac:dyDescent="0.2">
      <c r="A1270" s="31">
        <v>1281</v>
      </c>
      <c r="B1270" s="31">
        <v>148</v>
      </c>
      <c r="C1270" s="31">
        <v>110</v>
      </c>
      <c r="D1270" s="31" t="s">
        <v>1558</v>
      </c>
      <c r="E1270" s="31" t="str">
        <f t="shared" si="19"/>
        <v>1210US03PT</v>
      </c>
      <c r="F1270" s="31">
        <f>VLOOKUP(B1270,[1]Course!$A$2:$R$329,2,FALSE)</f>
        <v>0</v>
      </c>
      <c r="G1270" s="31">
        <f>VLOOKUP(B1270, [1]Course!$A$2:$L$950, 8, FALSE)</f>
        <v>12</v>
      </c>
      <c r="H1270" s="31">
        <v>3</v>
      </c>
      <c r="I1270" s="31">
        <v>1</v>
      </c>
      <c r="K1270" s="31" t="s">
        <v>1548</v>
      </c>
      <c r="L1270" s="31" t="str">
        <f>VLOOKUP(B1270, [1]Course!$A$1:$O$933, 14, FALSE)</f>
        <v>UH</v>
      </c>
      <c r="M1270" s="31">
        <v>1</v>
      </c>
    </row>
    <row r="1271" spans="1:13" ht="15.75" hidden="1" customHeight="1" x14ac:dyDescent="0.2">
      <c r="A1271" s="31">
        <v>1282</v>
      </c>
      <c r="B1271" s="31">
        <v>148</v>
      </c>
      <c r="C1271" s="31">
        <v>111</v>
      </c>
      <c r="D1271" s="31" t="s">
        <v>1558</v>
      </c>
      <c r="E1271" s="31" t="str">
        <f t="shared" si="19"/>
        <v>1211US03PT</v>
      </c>
      <c r="F1271" s="31">
        <f>VLOOKUP(B1271,[1]Course!$A$2:$R$329,2,FALSE)</f>
        <v>0</v>
      </c>
      <c r="G1271" s="31">
        <f>VLOOKUP(B1271, [1]Course!$A$2:$L$950, 8, FALSE)</f>
        <v>12</v>
      </c>
      <c r="H1271" s="31">
        <v>3</v>
      </c>
      <c r="I1271" s="31">
        <v>1</v>
      </c>
      <c r="K1271" s="31" t="s">
        <v>1548</v>
      </c>
      <c r="L1271" s="31" t="str">
        <f>VLOOKUP(B1271, [1]Course!$A$1:$O$933, 14, FALSE)</f>
        <v>UH</v>
      </c>
      <c r="M1271" s="31">
        <v>1</v>
      </c>
    </row>
    <row r="1272" spans="1:13" ht="15.75" hidden="1" customHeight="1" x14ac:dyDescent="0.2">
      <c r="A1272" s="31">
        <v>1283</v>
      </c>
      <c r="B1272" s="31">
        <v>148</v>
      </c>
      <c r="C1272" s="31">
        <v>112</v>
      </c>
      <c r="D1272" s="31" t="s">
        <v>1558</v>
      </c>
      <c r="E1272" s="31" t="str">
        <f t="shared" si="19"/>
        <v>1212US03PT</v>
      </c>
      <c r="F1272" s="31">
        <f>VLOOKUP(B1272,[1]Course!$A$2:$R$329,2,FALSE)</f>
        <v>0</v>
      </c>
      <c r="G1272" s="31">
        <f>VLOOKUP(B1272, [1]Course!$A$2:$L$950, 8, FALSE)</f>
        <v>12</v>
      </c>
      <c r="H1272" s="31">
        <v>3</v>
      </c>
      <c r="I1272" s="31">
        <v>1</v>
      </c>
      <c r="K1272" s="31" t="s">
        <v>1548</v>
      </c>
      <c r="L1272" s="31" t="str">
        <f>VLOOKUP(B1272, [1]Course!$A$1:$O$933, 14, FALSE)</f>
        <v>UH</v>
      </c>
      <c r="M1272" s="31">
        <v>1</v>
      </c>
    </row>
    <row r="1273" spans="1:13" ht="15.75" hidden="1" customHeight="1" x14ac:dyDescent="0.2">
      <c r="A1273" s="31">
        <v>1284</v>
      </c>
      <c r="B1273" s="31">
        <v>148</v>
      </c>
      <c r="C1273" s="31">
        <v>113</v>
      </c>
      <c r="D1273" s="31" t="s">
        <v>1558</v>
      </c>
      <c r="E1273" s="31" t="str">
        <f t="shared" si="19"/>
        <v>1213US03PT</v>
      </c>
      <c r="F1273" s="31">
        <f>VLOOKUP(B1273,[1]Course!$A$2:$R$329,2,FALSE)</f>
        <v>0</v>
      </c>
      <c r="G1273" s="31">
        <f>VLOOKUP(B1273, [1]Course!$A$2:$L$950, 8, FALSE)</f>
        <v>12</v>
      </c>
      <c r="H1273" s="31">
        <v>3</v>
      </c>
      <c r="I1273" s="31">
        <v>1</v>
      </c>
      <c r="K1273" s="31" t="s">
        <v>1548</v>
      </c>
      <c r="L1273" s="31" t="str">
        <f>VLOOKUP(B1273, [1]Course!$A$1:$O$933, 14, FALSE)</f>
        <v>UH</v>
      </c>
      <c r="M1273" s="31">
        <v>1</v>
      </c>
    </row>
    <row r="1274" spans="1:13" ht="15.75" hidden="1" customHeight="1" x14ac:dyDescent="0.2">
      <c r="A1274" s="31">
        <v>1285</v>
      </c>
      <c r="B1274" s="31">
        <v>148</v>
      </c>
      <c r="C1274" s="31">
        <v>114</v>
      </c>
      <c r="D1274" s="31" t="s">
        <v>1558</v>
      </c>
      <c r="E1274" s="31" t="str">
        <f t="shared" si="19"/>
        <v>1214US03PT</v>
      </c>
      <c r="F1274" s="31">
        <f>VLOOKUP(B1274,[1]Course!$A$2:$R$329,2,FALSE)</f>
        <v>0</v>
      </c>
      <c r="G1274" s="31">
        <f>VLOOKUP(B1274, [1]Course!$A$2:$L$950, 8, FALSE)</f>
        <v>12</v>
      </c>
      <c r="H1274" s="31">
        <v>3</v>
      </c>
      <c r="I1274" s="31">
        <v>1</v>
      </c>
      <c r="K1274" s="31" t="s">
        <v>1548</v>
      </c>
      <c r="L1274" s="31" t="str">
        <f>VLOOKUP(B1274, [1]Course!$A$1:$O$933, 14, FALSE)</f>
        <v>UH</v>
      </c>
      <c r="M1274" s="31">
        <v>1</v>
      </c>
    </row>
    <row r="1275" spans="1:13" ht="15.75" hidden="1" customHeight="1" x14ac:dyDescent="0.2">
      <c r="A1275" s="31">
        <v>1286</v>
      </c>
      <c r="B1275" s="31">
        <v>148</v>
      </c>
      <c r="C1275" s="31">
        <v>115</v>
      </c>
      <c r="D1275" s="31" t="s">
        <v>1558</v>
      </c>
      <c r="E1275" s="31" t="str">
        <f t="shared" si="19"/>
        <v>1215US03PT</v>
      </c>
      <c r="F1275" s="31">
        <f>VLOOKUP(B1275,[1]Course!$A$2:$R$329,2,FALSE)</f>
        <v>0</v>
      </c>
      <c r="G1275" s="31">
        <f>VLOOKUP(B1275, [1]Course!$A$2:$L$950, 8, FALSE)</f>
        <v>12</v>
      </c>
      <c r="H1275" s="31">
        <v>3</v>
      </c>
      <c r="I1275" s="31">
        <v>1</v>
      </c>
      <c r="K1275" s="31" t="s">
        <v>1548</v>
      </c>
      <c r="L1275" s="31" t="str">
        <f>VLOOKUP(B1275, [1]Course!$A$1:$O$933, 14, FALSE)</f>
        <v>UH</v>
      </c>
      <c r="M1275" s="31">
        <v>1</v>
      </c>
    </row>
    <row r="1276" spans="1:13" ht="15.75" hidden="1" customHeight="1" x14ac:dyDescent="0.2">
      <c r="A1276" s="31">
        <v>1287</v>
      </c>
      <c r="B1276" s="31">
        <v>148</v>
      </c>
      <c r="C1276" s="31">
        <v>116</v>
      </c>
      <c r="D1276" s="31" t="s">
        <v>1558</v>
      </c>
      <c r="E1276" s="31" t="str">
        <f t="shared" si="19"/>
        <v>1216US03PT</v>
      </c>
      <c r="F1276" s="31">
        <f>VLOOKUP(B1276,[1]Course!$A$2:$R$329,2,FALSE)</f>
        <v>0</v>
      </c>
      <c r="G1276" s="31">
        <f>VLOOKUP(B1276, [1]Course!$A$2:$L$950, 8, FALSE)</f>
        <v>12</v>
      </c>
      <c r="H1276" s="31">
        <v>3</v>
      </c>
      <c r="I1276" s="31">
        <v>1</v>
      </c>
      <c r="K1276" s="31" t="s">
        <v>1548</v>
      </c>
      <c r="L1276" s="31" t="str">
        <f>VLOOKUP(B1276, [1]Course!$A$1:$O$933, 14, FALSE)</f>
        <v>UH</v>
      </c>
      <c r="M1276" s="31">
        <v>1</v>
      </c>
    </row>
    <row r="1277" spans="1:13" ht="15.75" hidden="1" customHeight="1" x14ac:dyDescent="0.2">
      <c r="A1277" s="31">
        <v>1288</v>
      </c>
      <c r="B1277" s="31">
        <v>148</v>
      </c>
      <c r="C1277" s="31">
        <v>117</v>
      </c>
      <c r="D1277" s="31" t="s">
        <v>1558</v>
      </c>
      <c r="E1277" s="31" t="str">
        <f t="shared" si="19"/>
        <v>1217US03PT</v>
      </c>
      <c r="F1277" s="31">
        <f>VLOOKUP(B1277,[1]Course!$A$2:$R$329,2,FALSE)</f>
        <v>0</v>
      </c>
      <c r="G1277" s="31">
        <f>VLOOKUP(B1277, [1]Course!$A$2:$L$950, 8, FALSE)</f>
        <v>12</v>
      </c>
      <c r="H1277" s="31">
        <v>3</v>
      </c>
      <c r="I1277" s="31">
        <v>1</v>
      </c>
      <c r="K1277" s="31" t="s">
        <v>1548</v>
      </c>
      <c r="L1277" s="31" t="str">
        <f>VLOOKUP(B1277, [1]Course!$A$1:$O$933, 14, FALSE)</f>
        <v>UH</v>
      </c>
      <c r="M1277" s="31">
        <v>1</v>
      </c>
    </row>
    <row r="1278" spans="1:13" ht="15.75" hidden="1" customHeight="1" x14ac:dyDescent="0.2">
      <c r="A1278" s="31">
        <v>1289</v>
      </c>
      <c r="B1278" s="31">
        <v>148</v>
      </c>
      <c r="C1278" s="31">
        <v>118</v>
      </c>
      <c r="D1278" s="31" t="s">
        <v>1558</v>
      </c>
      <c r="E1278" s="31" t="str">
        <f t="shared" si="19"/>
        <v>1218US03PT</v>
      </c>
      <c r="F1278" s="31">
        <f>VLOOKUP(B1278,[1]Course!$A$2:$R$329,2,FALSE)</f>
        <v>0</v>
      </c>
      <c r="G1278" s="31">
        <f>VLOOKUP(B1278, [1]Course!$A$2:$L$950, 8, FALSE)</f>
        <v>12</v>
      </c>
      <c r="H1278" s="31">
        <v>3</v>
      </c>
      <c r="I1278" s="31">
        <v>1</v>
      </c>
      <c r="K1278" s="31" t="s">
        <v>1548</v>
      </c>
      <c r="L1278" s="31" t="str">
        <f>VLOOKUP(B1278, [1]Course!$A$1:$O$933, 14, FALSE)</f>
        <v>UH</v>
      </c>
      <c r="M1278" s="31">
        <v>1</v>
      </c>
    </row>
    <row r="1279" spans="1:13" ht="15.75" hidden="1" customHeight="1" x14ac:dyDescent="0.2">
      <c r="A1279" s="31">
        <v>1290</v>
      </c>
      <c r="B1279" s="31">
        <v>148</v>
      </c>
      <c r="C1279" s="31">
        <v>119</v>
      </c>
      <c r="D1279" s="31" t="s">
        <v>1558</v>
      </c>
      <c r="E1279" s="31" t="str">
        <f t="shared" si="19"/>
        <v>1219US03PT</v>
      </c>
      <c r="F1279" s="31">
        <f>VLOOKUP(B1279,[1]Course!$A$2:$R$329,2,FALSE)</f>
        <v>0</v>
      </c>
      <c r="G1279" s="31">
        <f>VLOOKUP(B1279, [1]Course!$A$2:$L$950, 8, FALSE)</f>
        <v>12</v>
      </c>
      <c r="H1279" s="31">
        <v>3</v>
      </c>
      <c r="I1279" s="31">
        <v>1</v>
      </c>
      <c r="K1279" s="31" t="s">
        <v>1548</v>
      </c>
      <c r="L1279" s="31" t="str">
        <f>VLOOKUP(B1279, [1]Course!$A$1:$O$933, 14, FALSE)</f>
        <v>UH</v>
      </c>
      <c r="M1279" s="31">
        <v>1</v>
      </c>
    </row>
    <row r="1280" spans="1:13" ht="15.75" hidden="1" customHeight="1" x14ac:dyDescent="0.2">
      <c r="A1280" s="31">
        <v>1291</v>
      </c>
      <c r="B1280" s="31">
        <v>148</v>
      </c>
      <c r="C1280" s="31">
        <v>120</v>
      </c>
      <c r="D1280" s="31" t="s">
        <v>1558</v>
      </c>
      <c r="E1280" s="31" t="str">
        <f t="shared" si="19"/>
        <v>1220US03PT</v>
      </c>
      <c r="F1280" s="31">
        <f>VLOOKUP(B1280,[1]Course!$A$2:$R$329,2,FALSE)</f>
        <v>0</v>
      </c>
      <c r="G1280" s="31">
        <f>VLOOKUP(B1280, [1]Course!$A$2:$L$950, 8, FALSE)</f>
        <v>12</v>
      </c>
      <c r="H1280" s="31">
        <v>3</v>
      </c>
      <c r="I1280" s="31">
        <v>1</v>
      </c>
      <c r="K1280" s="31" t="s">
        <v>1548</v>
      </c>
      <c r="L1280" s="31" t="str">
        <f>VLOOKUP(B1280, [1]Course!$A$1:$O$933, 14, FALSE)</f>
        <v>UH</v>
      </c>
      <c r="M1280" s="31">
        <v>1</v>
      </c>
    </row>
    <row r="1281" spans="1:13" ht="15.75" hidden="1" customHeight="1" x14ac:dyDescent="0.2">
      <c r="A1281" s="31">
        <v>1292</v>
      </c>
      <c r="B1281" s="31">
        <v>149</v>
      </c>
      <c r="C1281" s="31">
        <v>13</v>
      </c>
      <c r="D1281" s="31" t="s">
        <v>76</v>
      </c>
      <c r="E1281" s="31" t="str">
        <f t="shared" si="19"/>
        <v>1213AS03PT</v>
      </c>
      <c r="F1281" s="31">
        <f>VLOOKUP(B1281,[1]Course!$A$2:$R$329,2,FALSE)</f>
        <v>0</v>
      </c>
      <c r="G1281" s="31">
        <f>VLOOKUP(B1281, [1]Course!$A$2:$L$950, 8, FALSE)</f>
        <v>12</v>
      </c>
      <c r="H1281" s="31">
        <v>3</v>
      </c>
      <c r="I1281" s="31">
        <v>1</v>
      </c>
      <c r="K1281" s="31" t="s">
        <v>1548</v>
      </c>
      <c r="L1281" s="31" t="str">
        <f>VLOOKUP(B1281, [1]Course!$A$1:$O$933, 14, FALSE)</f>
        <v>AS</v>
      </c>
      <c r="M1281" s="31">
        <v>1</v>
      </c>
    </row>
    <row r="1282" spans="1:13" ht="15.75" hidden="1" customHeight="1" x14ac:dyDescent="0.2">
      <c r="A1282" s="31">
        <v>1293</v>
      </c>
      <c r="B1282" s="31">
        <v>149</v>
      </c>
      <c r="C1282" s="31">
        <v>14</v>
      </c>
      <c r="D1282" s="31" t="s">
        <v>76</v>
      </c>
      <c r="E1282" s="31" t="str">
        <f t="shared" si="19"/>
        <v>1214AS03PT</v>
      </c>
      <c r="F1282" s="31">
        <f>VLOOKUP(B1282,[1]Course!$A$2:$R$329,2,FALSE)</f>
        <v>0</v>
      </c>
      <c r="G1282" s="31">
        <f>VLOOKUP(B1282, [1]Course!$A$2:$L$950, 8, FALSE)</f>
        <v>12</v>
      </c>
      <c r="H1282" s="31">
        <v>3</v>
      </c>
      <c r="I1282" s="31">
        <v>1</v>
      </c>
      <c r="K1282" s="31" t="s">
        <v>1548</v>
      </c>
      <c r="L1282" s="31" t="str">
        <f>VLOOKUP(B1282, [1]Course!$A$1:$O$933, 14, FALSE)</f>
        <v>AS</v>
      </c>
      <c r="M1282" s="31">
        <v>1</v>
      </c>
    </row>
    <row r="1283" spans="1:13" ht="15.75" hidden="1" customHeight="1" x14ac:dyDescent="0.2">
      <c r="A1283" s="31">
        <v>1294</v>
      </c>
      <c r="B1283" s="31">
        <v>149</v>
      </c>
      <c r="C1283" s="31">
        <v>15</v>
      </c>
      <c r="D1283" s="31" t="s">
        <v>76</v>
      </c>
      <c r="E1283" s="31" t="str">
        <f t="shared" ref="E1283:E1346" si="20">UPPER(LEFT(G1283,2)) &amp; RIGHT("0" &amp; C1283, 2) &amp; D1283 &amp; RIGHT("0" &amp; H1283, 2) &amp; K1283</f>
        <v>1215AS03PT</v>
      </c>
      <c r="F1283" s="31">
        <f>VLOOKUP(B1283,[1]Course!$A$2:$R$329,2,FALSE)</f>
        <v>0</v>
      </c>
      <c r="G1283" s="31">
        <f>VLOOKUP(B1283, [1]Course!$A$2:$L$950, 8, FALSE)</f>
        <v>12</v>
      </c>
      <c r="H1283" s="31">
        <v>3</v>
      </c>
      <c r="I1283" s="31">
        <v>1</v>
      </c>
      <c r="K1283" s="31" t="s">
        <v>1548</v>
      </c>
      <c r="L1283" s="31" t="str">
        <f>VLOOKUP(B1283, [1]Course!$A$1:$O$933, 14, FALSE)</f>
        <v>AS</v>
      </c>
      <c r="M1283" s="31">
        <v>1</v>
      </c>
    </row>
    <row r="1284" spans="1:13" ht="15.75" hidden="1" customHeight="1" x14ac:dyDescent="0.2">
      <c r="A1284" s="31">
        <v>1295</v>
      </c>
      <c r="B1284" s="31">
        <v>149</v>
      </c>
      <c r="C1284" s="31">
        <v>16</v>
      </c>
      <c r="D1284" s="31" t="s">
        <v>76</v>
      </c>
      <c r="E1284" s="31" t="str">
        <f t="shared" si="20"/>
        <v>1216AS03PT</v>
      </c>
      <c r="F1284" s="31">
        <f>VLOOKUP(B1284,[1]Course!$A$2:$R$329,2,FALSE)</f>
        <v>0</v>
      </c>
      <c r="G1284" s="31">
        <f>VLOOKUP(B1284, [1]Course!$A$2:$L$950, 8, FALSE)</f>
        <v>12</v>
      </c>
      <c r="H1284" s="31">
        <v>3</v>
      </c>
      <c r="I1284" s="31">
        <v>1</v>
      </c>
      <c r="K1284" s="31" t="s">
        <v>1548</v>
      </c>
      <c r="L1284" s="31" t="str">
        <f>VLOOKUP(B1284, [1]Course!$A$1:$O$933, 14, FALSE)</f>
        <v>AS</v>
      </c>
      <c r="M1284" s="31">
        <v>1</v>
      </c>
    </row>
    <row r="1285" spans="1:13" ht="15.75" hidden="1" customHeight="1" x14ac:dyDescent="0.2">
      <c r="A1285" s="31">
        <v>1296</v>
      </c>
      <c r="B1285" s="31">
        <v>149</v>
      </c>
      <c r="C1285" s="31">
        <v>17</v>
      </c>
      <c r="D1285" s="31" t="s">
        <v>76</v>
      </c>
      <c r="E1285" s="31" t="str">
        <f t="shared" si="20"/>
        <v>1217AS03PT</v>
      </c>
      <c r="F1285" s="31">
        <f>VLOOKUP(B1285,[1]Course!$A$2:$R$329,2,FALSE)</f>
        <v>0</v>
      </c>
      <c r="G1285" s="31">
        <f>VLOOKUP(B1285, [1]Course!$A$2:$L$950, 8, FALSE)</f>
        <v>12</v>
      </c>
      <c r="H1285" s="31">
        <v>3</v>
      </c>
      <c r="I1285" s="31">
        <v>1</v>
      </c>
      <c r="K1285" s="31" t="s">
        <v>1548</v>
      </c>
      <c r="L1285" s="31" t="str">
        <f>VLOOKUP(B1285, [1]Course!$A$1:$O$933, 14, FALSE)</f>
        <v>AS</v>
      </c>
      <c r="M1285" s="31">
        <v>1</v>
      </c>
    </row>
    <row r="1286" spans="1:13" ht="15.75" hidden="1" customHeight="1" x14ac:dyDescent="0.2">
      <c r="A1286" s="31">
        <v>1297</v>
      </c>
      <c r="B1286" s="31">
        <v>149</v>
      </c>
      <c r="C1286" s="31">
        <v>18</v>
      </c>
      <c r="D1286" s="31" t="s">
        <v>76</v>
      </c>
      <c r="E1286" s="31" t="str">
        <f t="shared" si="20"/>
        <v>1218AS03PT</v>
      </c>
      <c r="F1286" s="31">
        <f>VLOOKUP(B1286,[1]Course!$A$2:$R$329,2,FALSE)</f>
        <v>0</v>
      </c>
      <c r="G1286" s="31">
        <f>VLOOKUP(B1286, [1]Course!$A$2:$L$950, 8, FALSE)</f>
        <v>12</v>
      </c>
      <c r="H1286" s="31">
        <v>3</v>
      </c>
      <c r="I1286" s="31">
        <v>1</v>
      </c>
      <c r="K1286" s="31" t="s">
        <v>1548</v>
      </c>
      <c r="L1286" s="31" t="str">
        <f>VLOOKUP(B1286, [1]Course!$A$1:$O$933, 14, FALSE)</f>
        <v>AS</v>
      </c>
      <c r="M1286" s="31">
        <v>1</v>
      </c>
    </row>
    <row r="1287" spans="1:13" ht="15.75" hidden="1" customHeight="1" x14ac:dyDescent="0.2">
      <c r="A1287" s="31">
        <v>1298</v>
      </c>
      <c r="B1287" s="31">
        <v>149</v>
      </c>
      <c r="C1287" s="31">
        <v>19</v>
      </c>
      <c r="D1287" s="31" t="s">
        <v>76</v>
      </c>
      <c r="E1287" s="31" t="str">
        <f t="shared" si="20"/>
        <v>1219AS03PT</v>
      </c>
      <c r="F1287" s="31">
        <f>VLOOKUP(B1287,[1]Course!$A$2:$R$329,2,FALSE)</f>
        <v>0</v>
      </c>
      <c r="G1287" s="31">
        <f>VLOOKUP(B1287, [1]Course!$A$2:$L$950, 8, FALSE)</f>
        <v>12</v>
      </c>
      <c r="H1287" s="31">
        <v>3</v>
      </c>
      <c r="I1287" s="31">
        <v>1</v>
      </c>
      <c r="K1287" s="31" t="s">
        <v>1548</v>
      </c>
      <c r="L1287" s="31" t="str">
        <f>VLOOKUP(B1287, [1]Course!$A$1:$O$933, 14, FALSE)</f>
        <v>AS</v>
      </c>
      <c r="M1287" s="31">
        <v>1</v>
      </c>
    </row>
    <row r="1288" spans="1:13" ht="15.75" hidden="1" customHeight="1" x14ac:dyDescent="0.2">
      <c r="A1288" s="31">
        <v>1299</v>
      </c>
      <c r="B1288" s="31">
        <v>149</v>
      </c>
      <c r="C1288" s="31">
        <v>20</v>
      </c>
      <c r="D1288" s="31" t="s">
        <v>76</v>
      </c>
      <c r="E1288" s="31" t="str">
        <f t="shared" si="20"/>
        <v>1220AS03PT</v>
      </c>
      <c r="F1288" s="31">
        <f>VLOOKUP(B1288,[1]Course!$A$2:$R$329,2,FALSE)</f>
        <v>0</v>
      </c>
      <c r="G1288" s="31">
        <f>VLOOKUP(B1288, [1]Course!$A$2:$L$950, 8, FALSE)</f>
        <v>12</v>
      </c>
      <c r="H1288" s="31">
        <v>3</v>
      </c>
      <c r="I1288" s="31">
        <v>1</v>
      </c>
      <c r="K1288" s="31" t="s">
        <v>1548</v>
      </c>
      <c r="L1288" s="31" t="str">
        <f>VLOOKUP(B1288, [1]Course!$A$1:$O$933, 14, FALSE)</f>
        <v>AS</v>
      </c>
      <c r="M1288" s="31">
        <v>1</v>
      </c>
    </row>
    <row r="1289" spans="1:13" ht="15.75" hidden="1" customHeight="1" x14ac:dyDescent="0.2">
      <c r="A1289" s="31">
        <v>1300</v>
      </c>
      <c r="B1289" s="31">
        <v>149</v>
      </c>
      <c r="C1289" s="31">
        <v>21</v>
      </c>
      <c r="D1289" s="31" t="s">
        <v>76</v>
      </c>
      <c r="E1289" s="31" t="str">
        <f t="shared" si="20"/>
        <v>1221AS03PT</v>
      </c>
      <c r="F1289" s="31">
        <f>VLOOKUP(B1289,[1]Course!$A$2:$R$329,2,FALSE)</f>
        <v>0</v>
      </c>
      <c r="G1289" s="31">
        <f>VLOOKUP(B1289, [1]Course!$A$2:$L$950, 8, FALSE)</f>
        <v>12</v>
      </c>
      <c r="H1289" s="31">
        <v>3</v>
      </c>
      <c r="I1289" s="31">
        <v>1</v>
      </c>
      <c r="K1289" s="31" t="s">
        <v>1548</v>
      </c>
      <c r="L1289" s="31" t="str">
        <f>VLOOKUP(B1289, [1]Course!$A$1:$O$933, 14, FALSE)</f>
        <v>AS</v>
      </c>
      <c r="M1289" s="31">
        <v>1</v>
      </c>
    </row>
    <row r="1290" spans="1:13" ht="15.75" hidden="1" customHeight="1" x14ac:dyDescent="0.2">
      <c r="A1290" s="31">
        <v>1301</v>
      </c>
      <c r="B1290" s="31">
        <v>149</v>
      </c>
      <c r="C1290" s="31">
        <v>22</v>
      </c>
      <c r="D1290" s="31" t="s">
        <v>76</v>
      </c>
      <c r="E1290" s="31" t="str">
        <f t="shared" si="20"/>
        <v>1222AS03PT</v>
      </c>
      <c r="F1290" s="31">
        <f>VLOOKUP(B1290,[1]Course!$A$2:$R$329,2,FALSE)</f>
        <v>0</v>
      </c>
      <c r="G1290" s="31">
        <f>VLOOKUP(B1290, [1]Course!$A$2:$L$950, 8, FALSE)</f>
        <v>12</v>
      </c>
      <c r="H1290" s="31">
        <v>3</v>
      </c>
      <c r="I1290" s="31">
        <v>1</v>
      </c>
      <c r="K1290" s="31" t="s">
        <v>1548</v>
      </c>
      <c r="L1290" s="31" t="str">
        <f>VLOOKUP(B1290, [1]Course!$A$1:$O$933, 14, FALSE)</f>
        <v>AS</v>
      </c>
      <c r="M1290" s="31">
        <v>1</v>
      </c>
    </row>
    <row r="1291" spans="1:13" ht="15.75" hidden="1" customHeight="1" x14ac:dyDescent="0.2">
      <c r="A1291" s="31">
        <v>1302</v>
      </c>
      <c r="B1291" s="31">
        <v>149</v>
      </c>
      <c r="C1291" s="31">
        <v>23</v>
      </c>
      <c r="D1291" s="31" t="s">
        <v>76</v>
      </c>
      <c r="E1291" s="31" t="str">
        <f t="shared" si="20"/>
        <v>1223AS03PT</v>
      </c>
      <c r="F1291" s="31">
        <f>VLOOKUP(B1291,[1]Course!$A$2:$R$329,2,FALSE)</f>
        <v>0</v>
      </c>
      <c r="G1291" s="31">
        <f>VLOOKUP(B1291, [1]Course!$A$2:$L$950, 8, FALSE)</f>
        <v>12</v>
      </c>
      <c r="H1291" s="31">
        <v>3</v>
      </c>
      <c r="I1291" s="31">
        <v>1</v>
      </c>
      <c r="K1291" s="31" t="s">
        <v>1548</v>
      </c>
      <c r="L1291" s="31" t="str">
        <f>VLOOKUP(B1291, [1]Course!$A$1:$O$933, 14, FALSE)</f>
        <v>AS</v>
      </c>
      <c r="M1291" s="31">
        <v>1</v>
      </c>
    </row>
    <row r="1292" spans="1:13" ht="15.75" hidden="1" customHeight="1" x14ac:dyDescent="0.2">
      <c r="A1292" s="31">
        <v>1303</v>
      </c>
      <c r="B1292" s="31">
        <v>149</v>
      </c>
      <c r="C1292" s="31">
        <v>24</v>
      </c>
      <c r="D1292" s="31" t="s">
        <v>76</v>
      </c>
      <c r="E1292" s="31" t="str">
        <f t="shared" si="20"/>
        <v>1224AS03PT</v>
      </c>
      <c r="F1292" s="31">
        <f>VLOOKUP(B1292,[1]Course!$A$2:$R$329,2,FALSE)</f>
        <v>0</v>
      </c>
      <c r="G1292" s="31">
        <f>VLOOKUP(B1292, [1]Course!$A$2:$L$950, 8, FALSE)</f>
        <v>12</v>
      </c>
      <c r="H1292" s="31">
        <v>3</v>
      </c>
      <c r="I1292" s="31">
        <v>1</v>
      </c>
      <c r="K1292" s="31" t="s">
        <v>1548</v>
      </c>
      <c r="L1292" s="31" t="str">
        <f>VLOOKUP(B1292, [1]Course!$A$1:$O$933, 14, FALSE)</f>
        <v>AS</v>
      </c>
      <c r="M1292" s="31">
        <v>1</v>
      </c>
    </row>
    <row r="1293" spans="1:13" ht="15.75" hidden="1" customHeight="1" x14ac:dyDescent="0.2">
      <c r="A1293" s="31">
        <v>1304</v>
      </c>
      <c r="B1293" s="31">
        <v>146</v>
      </c>
      <c r="C1293" s="31">
        <v>98</v>
      </c>
      <c r="D1293" s="31" t="s">
        <v>1549</v>
      </c>
      <c r="E1293" s="31" t="str">
        <f t="shared" si="20"/>
        <v>1198LI03PT</v>
      </c>
      <c r="F1293" s="31">
        <f>VLOOKUP(B1293,[1]Course!$A$2:$R$329,2,FALSE)</f>
        <v>0</v>
      </c>
      <c r="G1293" s="31">
        <f>VLOOKUP(B1293, [1]Course!$A$2:$L$950, 8, FALSE)</f>
        <v>11</v>
      </c>
      <c r="H1293" s="31">
        <v>3</v>
      </c>
      <c r="I1293" s="31">
        <v>1</v>
      </c>
      <c r="K1293" s="31" t="s">
        <v>1548</v>
      </c>
      <c r="L1293" s="31" t="str">
        <f>VLOOKUP(B1293, [1]Course!$A$1:$O$933, 14, FALSE)</f>
        <v>LC</v>
      </c>
      <c r="M1293" s="31">
        <v>1</v>
      </c>
    </row>
    <row r="1294" spans="1:13" ht="15.75" hidden="1" customHeight="1" x14ac:dyDescent="0.2">
      <c r="A1294" s="31">
        <v>1305</v>
      </c>
      <c r="B1294" s="31">
        <v>146</v>
      </c>
      <c r="C1294" s="31">
        <v>100</v>
      </c>
      <c r="D1294" s="31" t="s">
        <v>1549</v>
      </c>
      <c r="E1294" s="31" t="str">
        <f t="shared" si="20"/>
        <v>1100LI03PT</v>
      </c>
      <c r="F1294" s="31">
        <f>VLOOKUP(B1294,[1]Course!$A$2:$R$329,2,FALSE)</f>
        <v>0</v>
      </c>
      <c r="G1294" s="31">
        <f>VLOOKUP(B1294, [1]Course!$A$2:$L$950, 8, FALSE)</f>
        <v>11</v>
      </c>
      <c r="H1294" s="31">
        <v>3</v>
      </c>
      <c r="I1294" s="31">
        <v>1</v>
      </c>
      <c r="K1294" s="31" t="s">
        <v>1548</v>
      </c>
      <c r="L1294" s="31" t="str">
        <f>VLOOKUP(B1294, [1]Course!$A$1:$O$933, 14, FALSE)</f>
        <v>LC</v>
      </c>
      <c r="M1294" s="31">
        <v>1</v>
      </c>
    </row>
    <row r="1295" spans="1:13" ht="15.75" hidden="1" customHeight="1" x14ac:dyDescent="0.2">
      <c r="A1295" s="31">
        <v>1306</v>
      </c>
      <c r="B1295" s="31">
        <v>146</v>
      </c>
      <c r="C1295" s="31">
        <v>102</v>
      </c>
      <c r="D1295" s="31" t="s">
        <v>1549</v>
      </c>
      <c r="E1295" s="31" t="str">
        <f t="shared" si="20"/>
        <v>1102LI03PT</v>
      </c>
      <c r="F1295" s="31">
        <f>VLOOKUP(B1295,[1]Course!$A$2:$R$329,2,FALSE)</f>
        <v>0</v>
      </c>
      <c r="G1295" s="31">
        <f>VLOOKUP(B1295, [1]Course!$A$2:$L$950, 8, FALSE)</f>
        <v>11</v>
      </c>
      <c r="H1295" s="31">
        <v>3</v>
      </c>
      <c r="I1295" s="31">
        <v>1</v>
      </c>
      <c r="K1295" s="31" t="s">
        <v>1548</v>
      </c>
      <c r="L1295" s="31" t="str">
        <f>VLOOKUP(B1295, [1]Course!$A$1:$O$933, 14, FALSE)</f>
        <v>LC</v>
      </c>
      <c r="M1295" s="31">
        <v>1</v>
      </c>
    </row>
    <row r="1296" spans="1:13" ht="15.75" hidden="1" customHeight="1" x14ac:dyDescent="0.2">
      <c r="A1296" s="31">
        <v>1307</v>
      </c>
      <c r="B1296" s="31">
        <v>146</v>
      </c>
      <c r="C1296" s="31">
        <v>104</v>
      </c>
      <c r="D1296" s="31" t="s">
        <v>1549</v>
      </c>
      <c r="E1296" s="31" t="str">
        <f t="shared" si="20"/>
        <v>1104LI03PT</v>
      </c>
      <c r="F1296" s="31">
        <f>VLOOKUP(B1296,[1]Course!$A$2:$R$329,2,FALSE)</f>
        <v>0</v>
      </c>
      <c r="G1296" s="31">
        <f>VLOOKUP(B1296, [1]Course!$A$2:$L$950, 8, FALSE)</f>
        <v>11</v>
      </c>
      <c r="H1296" s="31">
        <v>3</v>
      </c>
      <c r="I1296" s="31">
        <v>1</v>
      </c>
      <c r="K1296" s="31" t="s">
        <v>1548</v>
      </c>
      <c r="L1296" s="31" t="str">
        <f>VLOOKUP(B1296, [1]Course!$A$1:$O$933, 14, FALSE)</f>
        <v>LC</v>
      </c>
      <c r="M1296" s="31">
        <v>1</v>
      </c>
    </row>
    <row r="1297" spans="1:14" ht="15.75" hidden="1" customHeight="1" x14ac:dyDescent="0.2">
      <c r="A1297" s="31">
        <v>1308</v>
      </c>
      <c r="B1297" s="31">
        <v>146</v>
      </c>
      <c r="C1297" s="31">
        <v>106</v>
      </c>
      <c r="D1297" s="31" t="s">
        <v>1549</v>
      </c>
      <c r="E1297" s="31" t="str">
        <f t="shared" si="20"/>
        <v>1106LI03PT</v>
      </c>
      <c r="F1297" s="31">
        <f>VLOOKUP(B1297,[1]Course!$A$2:$R$329,2,FALSE)</f>
        <v>0</v>
      </c>
      <c r="G1297" s="31">
        <f>VLOOKUP(B1297, [1]Course!$A$2:$L$950, 8, FALSE)</f>
        <v>11</v>
      </c>
      <c r="H1297" s="31">
        <v>3</v>
      </c>
      <c r="I1297" s="31">
        <v>1</v>
      </c>
      <c r="K1297" s="31" t="s">
        <v>1548</v>
      </c>
      <c r="L1297" s="31" t="str">
        <f>VLOOKUP(B1297, [1]Course!$A$1:$O$933, 14, FALSE)</f>
        <v>LC</v>
      </c>
      <c r="M1297" s="31">
        <v>1</v>
      </c>
      <c r="N1297" s="31" t="s">
        <v>1557</v>
      </c>
    </row>
    <row r="1298" spans="1:14" ht="15.75" hidden="1" customHeight="1" x14ac:dyDescent="0.2">
      <c r="A1298" s="31">
        <v>1309</v>
      </c>
      <c r="B1298" s="31">
        <v>146</v>
      </c>
      <c r="C1298" s="31">
        <v>108</v>
      </c>
      <c r="D1298" s="31" t="s">
        <v>1549</v>
      </c>
      <c r="E1298" s="31" t="str">
        <f t="shared" si="20"/>
        <v>1108LI03PT</v>
      </c>
      <c r="F1298" s="31">
        <f>VLOOKUP(B1298,[1]Course!$A$2:$R$329,2,FALSE)</f>
        <v>0</v>
      </c>
      <c r="G1298" s="31">
        <f>VLOOKUP(B1298, [1]Course!$A$2:$L$950, 8, FALSE)</f>
        <v>11</v>
      </c>
      <c r="H1298" s="31">
        <v>3</v>
      </c>
      <c r="I1298" s="31">
        <v>1</v>
      </c>
      <c r="K1298" s="31" t="s">
        <v>1548</v>
      </c>
      <c r="L1298" s="31" t="str">
        <f>VLOOKUP(B1298, [1]Course!$A$1:$O$933, 14, FALSE)</f>
        <v>LC</v>
      </c>
      <c r="M1298" s="31">
        <v>1</v>
      </c>
    </row>
    <row r="1299" spans="1:14" ht="15.75" hidden="1" customHeight="1" x14ac:dyDescent="0.2">
      <c r="A1299" s="31">
        <v>1310</v>
      </c>
      <c r="B1299" s="31">
        <v>159</v>
      </c>
      <c r="C1299" s="31">
        <v>85</v>
      </c>
      <c r="D1299" s="31" t="s">
        <v>207</v>
      </c>
      <c r="E1299" s="31" t="str">
        <f t="shared" si="20"/>
        <v>485PS03PT</v>
      </c>
      <c r="F1299" s="155" t="s">
        <v>1685</v>
      </c>
      <c r="G1299" s="31">
        <f>VLOOKUP(B1299, [1]Course!$A$2:$L$950, 8, FALSE)</f>
        <v>4</v>
      </c>
      <c r="H1299" s="31">
        <v>3</v>
      </c>
      <c r="I1299" s="31">
        <v>1</v>
      </c>
      <c r="K1299" s="31" t="s">
        <v>1548</v>
      </c>
      <c r="L1299" s="31" t="str">
        <f>VLOOKUP(B1299, [1]Course!$A$1:$O$933, 14, FALSE)</f>
        <v>SC</v>
      </c>
      <c r="M1299" s="31">
        <v>1</v>
      </c>
    </row>
    <row r="1300" spans="1:14" ht="15.75" hidden="1" customHeight="1" x14ac:dyDescent="0.2">
      <c r="A1300" s="31">
        <v>1311</v>
      </c>
      <c r="B1300" s="31">
        <v>159</v>
      </c>
      <c r="C1300" s="31">
        <v>86</v>
      </c>
      <c r="D1300" s="31" t="s">
        <v>207</v>
      </c>
      <c r="E1300" s="31" t="str">
        <f t="shared" si="20"/>
        <v>486PS03PT</v>
      </c>
      <c r="F1300" s="155" t="s">
        <v>1685</v>
      </c>
      <c r="G1300" s="31">
        <f>VLOOKUP(B1300, [1]Course!$A$2:$L$950, 8, FALSE)</f>
        <v>4</v>
      </c>
      <c r="H1300" s="31">
        <v>3</v>
      </c>
      <c r="I1300" s="31">
        <v>1</v>
      </c>
      <c r="K1300" s="31" t="s">
        <v>1548</v>
      </c>
      <c r="L1300" s="31" t="str">
        <f>VLOOKUP(B1300, [1]Course!$A$1:$O$933, 14, FALSE)</f>
        <v>SC</v>
      </c>
      <c r="M1300" s="31">
        <v>2</v>
      </c>
    </row>
    <row r="1301" spans="1:14" ht="15.75" hidden="1" customHeight="1" x14ac:dyDescent="0.2">
      <c r="A1301" s="31">
        <v>1312</v>
      </c>
      <c r="B1301" s="31">
        <v>159</v>
      </c>
      <c r="C1301" s="31">
        <v>87</v>
      </c>
      <c r="D1301" s="31" t="s">
        <v>207</v>
      </c>
      <c r="E1301" s="31" t="str">
        <f t="shared" si="20"/>
        <v>487PS03PT</v>
      </c>
      <c r="F1301" s="155" t="s">
        <v>1685</v>
      </c>
      <c r="G1301" s="31">
        <f>VLOOKUP(B1301, [1]Course!$A$2:$L$950, 8, FALSE)</f>
        <v>4</v>
      </c>
      <c r="H1301" s="31">
        <v>3</v>
      </c>
      <c r="I1301" s="31">
        <v>1</v>
      </c>
      <c r="K1301" s="31" t="s">
        <v>1548</v>
      </c>
      <c r="L1301" s="31" t="str">
        <f>VLOOKUP(B1301, [1]Course!$A$1:$O$933, 14, FALSE)</f>
        <v>SC</v>
      </c>
      <c r="M1301" s="31">
        <v>1</v>
      </c>
    </row>
    <row r="1302" spans="1:14" ht="15.75" hidden="1" customHeight="1" x14ac:dyDescent="0.2">
      <c r="A1302" s="31">
        <v>1313</v>
      </c>
      <c r="B1302" s="31">
        <v>159</v>
      </c>
      <c r="C1302" s="31">
        <v>88</v>
      </c>
      <c r="D1302" s="31" t="s">
        <v>207</v>
      </c>
      <c r="E1302" s="31" t="str">
        <f t="shared" si="20"/>
        <v>488PS03PT</v>
      </c>
      <c r="F1302" s="155" t="s">
        <v>1685</v>
      </c>
      <c r="G1302" s="31">
        <f>VLOOKUP(B1302, [1]Course!$A$2:$L$950, 8, FALSE)</f>
        <v>4</v>
      </c>
      <c r="H1302" s="31">
        <v>3</v>
      </c>
      <c r="I1302" s="31">
        <v>1</v>
      </c>
      <c r="K1302" s="31" t="s">
        <v>1548</v>
      </c>
      <c r="L1302" s="31" t="str">
        <f>VLOOKUP(B1302, [1]Course!$A$1:$O$933, 14, FALSE)</f>
        <v>SC</v>
      </c>
      <c r="M1302" s="31">
        <v>2</v>
      </c>
    </row>
    <row r="1303" spans="1:14" ht="15.75" hidden="1" customHeight="1" x14ac:dyDescent="0.2">
      <c r="A1303" s="31">
        <v>1314</v>
      </c>
      <c r="B1303" s="31">
        <v>159</v>
      </c>
      <c r="C1303" s="31">
        <v>97</v>
      </c>
      <c r="D1303" s="31" t="s">
        <v>207</v>
      </c>
      <c r="E1303" s="31" t="str">
        <f t="shared" si="20"/>
        <v>497PS03PT</v>
      </c>
      <c r="F1303" s="155" t="s">
        <v>1685</v>
      </c>
      <c r="G1303" s="31">
        <f>VLOOKUP(B1303, [1]Course!$A$2:$L$950, 8, FALSE)</f>
        <v>4</v>
      </c>
      <c r="H1303" s="31">
        <v>3</v>
      </c>
      <c r="I1303" s="31">
        <v>1</v>
      </c>
      <c r="K1303" s="31" t="s">
        <v>1548</v>
      </c>
      <c r="L1303" s="31" t="str">
        <f>VLOOKUP(B1303, [1]Course!$A$1:$O$933, 14, FALSE)</f>
        <v>SC</v>
      </c>
      <c r="M1303" s="31">
        <v>1</v>
      </c>
    </row>
    <row r="1304" spans="1:14" ht="15.75" hidden="1" customHeight="1" x14ac:dyDescent="0.2">
      <c r="A1304" s="31">
        <v>1315</v>
      </c>
      <c r="B1304" s="31">
        <v>159</v>
      </c>
      <c r="C1304" s="31">
        <v>98</v>
      </c>
      <c r="D1304" s="31" t="s">
        <v>207</v>
      </c>
      <c r="E1304" s="31" t="str">
        <f t="shared" si="20"/>
        <v>498PS03PT</v>
      </c>
      <c r="F1304" s="155" t="s">
        <v>1685</v>
      </c>
      <c r="G1304" s="31">
        <f>VLOOKUP(B1304, [1]Course!$A$2:$L$950, 8, FALSE)</f>
        <v>4</v>
      </c>
      <c r="H1304" s="31">
        <v>3</v>
      </c>
      <c r="I1304" s="31">
        <v>1</v>
      </c>
      <c r="K1304" s="31" t="s">
        <v>1548</v>
      </c>
      <c r="L1304" s="31" t="str">
        <f>VLOOKUP(B1304, [1]Course!$A$1:$O$933, 14, FALSE)</f>
        <v>SC</v>
      </c>
      <c r="M1304" s="31">
        <v>2</v>
      </c>
    </row>
    <row r="1305" spans="1:14" ht="15.75" hidden="1" customHeight="1" x14ac:dyDescent="0.2">
      <c r="A1305" s="31">
        <v>1316</v>
      </c>
      <c r="B1305" s="31">
        <v>159</v>
      </c>
      <c r="C1305" s="31">
        <v>99</v>
      </c>
      <c r="D1305" s="31" t="s">
        <v>207</v>
      </c>
      <c r="E1305" s="31" t="str">
        <f t="shared" si="20"/>
        <v>499PS03PT</v>
      </c>
      <c r="F1305" s="155" t="s">
        <v>1685</v>
      </c>
      <c r="G1305" s="31">
        <f>VLOOKUP(B1305, [1]Course!$A$2:$L$950, 8, FALSE)</f>
        <v>4</v>
      </c>
      <c r="H1305" s="31">
        <v>3</v>
      </c>
      <c r="I1305" s="31">
        <v>1</v>
      </c>
      <c r="K1305" s="31" t="s">
        <v>1548</v>
      </c>
      <c r="L1305" s="31" t="str">
        <f>VLOOKUP(B1305, [1]Course!$A$1:$O$933, 14, FALSE)</f>
        <v>SC</v>
      </c>
      <c r="M1305" s="31">
        <v>1</v>
      </c>
    </row>
    <row r="1306" spans="1:14" ht="15.75" hidden="1" customHeight="1" x14ac:dyDescent="0.2">
      <c r="A1306" s="31">
        <v>1317</v>
      </c>
      <c r="B1306" s="31">
        <v>159</v>
      </c>
      <c r="C1306" s="31">
        <v>100</v>
      </c>
      <c r="D1306" s="31" t="s">
        <v>207</v>
      </c>
      <c r="E1306" s="31" t="str">
        <f t="shared" si="20"/>
        <v>400PS03PT</v>
      </c>
      <c r="F1306" s="155" t="s">
        <v>1685</v>
      </c>
      <c r="G1306" s="31">
        <f>VLOOKUP(B1306, [1]Course!$A$2:$L$950, 8, FALSE)</f>
        <v>4</v>
      </c>
      <c r="H1306" s="31">
        <v>3</v>
      </c>
      <c r="I1306" s="31">
        <v>1</v>
      </c>
      <c r="K1306" s="31" t="s">
        <v>1548</v>
      </c>
      <c r="L1306" s="31" t="str">
        <f>VLOOKUP(B1306, [1]Course!$A$1:$O$933, 14, FALSE)</f>
        <v>SC</v>
      </c>
      <c r="M1306" s="31">
        <v>2</v>
      </c>
    </row>
    <row r="1307" spans="1:14" ht="15.75" hidden="1" customHeight="1" x14ac:dyDescent="0.2">
      <c r="A1307" s="31">
        <v>1318</v>
      </c>
      <c r="B1307" s="51">
        <v>97</v>
      </c>
      <c r="C1307" s="51" t="s">
        <v>1608</v>
      </c>
      <c r="D1307" s="51" t="s">
        <v>1556</v>
      </c>
      <c r="E1307" s="51" t="str">
        <f t="shared" si="20"/>
        <v>1-2ICT03PT</v>
      </c>
      <c r="F1307" s="51" t="s">
        <v>402</v>
      </c>
      <c r="G1307" s="31">
        <f>VLOOKUP(B1307, [1]Course!$A$2:$L$950, 8, FALSE)</f>
        <v>1</v>
      </c>
      <c r="H1307" s="31">
        <v>3</v>
      </c>
      <c r="I1307" s="31">
        <v>1</v>
      </c>
      <c r="K1307" s="31" t="s">
        <v>1548</v>
      </c>
      <c r="L1307" s="31" t="str">
        <f>VLOOKUP(B1307, [1]Course!$A$1:$O$933, 14, FALSE)</f>
        <v>IC</v>
      </c>
      <c r="M1307" s="31">
        <v>0</v>
      </c>
    </row>
    <row r="1308" spans="1:14" ht="15.75" hidden="1" customHeight="1" x14ac:dyDescent="0.2">
      <c r="A1308" s="31">
        <v>1319</v>
      </c>
      <c r="B1308" s="51">
        <v>97</v>
      </c>
      <c r="C1308" s="51" t="s">
        <v>1609</v>
      </c>
      <c r="D1308" s="51" t="s">
        <v>1556</v>
      </c>
      <c r="E1308" s="51" t="str">
        <f t="shared" si="20"/>
        <v>1-4ICT03PT</v>
      </c>
      <c r="F1308" s="51" t="s">
        <v>402</v>
      </c>
      <c r="G1308" s="31">
        <f>VLOOKUP(B1308, [1]Course!$A$2:$L$950, 8, FALSE)</f>
        <v>1</v>
      </c>
      <c r="H1308" s="31">
        <v>3</v>
      </c>
      <c r="I1308" s="31">
        <v>1</v>
      </c>
      <c r="K1308" s="31" t="s">
        <v>1548</v>
      </c>
      <c r="L1308" s="31" t="str">
        <f>VLOOKUP(B1308, [1]Course!$A$1:$O$933, 14, FALSE)</f>
        <v>IC</v>
      </c>
      <c r="M1308" s="31">
        <v>1</v>
      </c>
    </row>
    <row r="1309" spans="1:14" ht="15.75" hidden="1" customHeight="1" x14ac:dyDescent="0.2">
      <c r="A1309" s="31">
        <v>1320</v>
      </c>
      <c r="B1309" s="51">
        <v>97</v>
      </c>
      <c r="C1309" s="51" t="s">
        <v>1610</v>
      </c>
      <c r="D1309" s="51" t="s">
        <v>1556</v>
      </c>
      <c r="E1309" s="51" t="str">
        <f t="shared" si="20"/>
        <v>1H5ICT03PT</v>
      </c>
      <c r="F1309" s="51" t="s">
        <v>402</v>
      </c>
      <c r="G1309" s="31">
        <f>VLOOKUP(B1309, [1]Course!$A$2:$L$950, 8, FALSE)</f>
        <v>1</v>
      </c>
      <c r="H1309" s="31">
        <v>3</v>
      </c>
      <c r="I1309" s="31">
        <v>1</v>
      </c>
      <c r="K1309" s="31" t="s">
        <v>1548</v>
      </c>
      <c r="L1309" s="31" t="str">
        <f>VLOOKUP(B1309, [1]Course!$A$1:$O$933, 14, FALSE)</f>
        <v>IC</v>
      </c>
      <c r="M1309" s="31">
        <v>0</v>
      </c>
    </row>
    <row r="1310" spans="1:14" ht="15.75" hidden="1" customHeight="1" x14ac:dyDescent="0.2">
      <c r="A1310" s="31">
        <v>1321</v>
      </c>
      <c r="B1310" s="51">
        <v>97</v>
      </c>
      <c r="C1310" s="51">
        <v>4</v>
      </c>
      <c r="D1310" s="51" t="s">
        <v>1556</v>
      </c>
      <c r="E1310" s="51" t="str">
        <f t="shared" si="20"/>
        <v>104ICT03PT</v>
      </c>
      <c r="F1310" s="51" t="s">
        <v>402</v>
      </c>
      <c r="G1310" s="31">
        <f>VLOOKUP(B1310, [1]Course!$A$2:$L$950, 8, FALSE)</f>
        <v>1</v>
      </c>
      <c r="H1310" s="31">
        <v>3</v>
      </c>
      <c r="I1310" s="31">
        <v>1</v>
      </c>
      <c r="K1310" s="31" t="s">
        <v>1548</v>
      </c>
      <c r="L1310" s="31" t="str">
        <f>VLOOKUP(B1310, [1]Course!$A$1:$O$933, 14, FALSE)</f>
        <v>IC</v>
      </c>
      <c r="M1310" s="31">
        <v>1</v>
      </c>
    </row>
    <row r="1311" spans="1:14" ht="15.75" hidden="1" customHeight="1" x14ac:dyDescent="0.2">
      <c r="A1311" s="31">
        <v>1322</v>
      </c>
      <c r="B1311" s="51">
        <v>97</v>
      </c>
      <c r="C1311" s="51">
        <v>5</v>
      </c>
      <c r="D1311" s="51" t="s">
        <v>1556</v>
      </c>
      <c r="E1311" s="51" t="str">
        <f t="shared" si="20"/>
        <v>105ICT03PT</v>
      </c>
      <c r="F1311" s="51" t="s">
        <v>402</v>
      </c>
      <c r="G1311" s="31">
        <f>VLOOKUP(B1311, [1]Course!$A$2:$L$950, 8, FALSE)</f>
        <v>1</v>
      </c>
      <c r="H1311" s="31">
        <v>3</v>
      </c>
      <c r="I1311" s="31">
        <v>1</v>
      </c>
      <c r="K1311" s="31" t="s">
        <v>1548</v>
      </c>
      <c r="L1311" s="31" t="str">
        <f>VLOOKUP(B1311, [1]Course!$A$1:$O$933, 14, FALSE)</f>
        <v>IC</v>
      </c>
      <c r="M1311" s="31">
        <v>0</v>
      </c>
    </row>
    <row r="1312" spans="1:14" ht="15.75" hidden="1" customHeight="1" x14ac:dyDescent="0.2">
      <c r="A1312" s="31">
        <v>1323</v>
      </c>
      <c r="B1312" s="51">
        <v>97</v>
      </c>
      <c r="C1312" s="51">
        <v>6</v>
      </c>
      <c r="D1312" s="51" t="s">
        <v>1556</v>
      </c>
      <c r="E1312" s="51" t="str">
        <f t="shared" si="20"/>
        <v>106ICT03PT</v>
      </c>
      <c r="F1312" s="51" t="s">
        <v>402</v>
      </c>
      <c r="G1312" s="31">
        <f>VLOOKUP(B1312, [1]Course!$A$2:$L$950, 8, FALSE)</f>
        <v>1</v>
      </c>
      <c r="H1312" s="31">
        <v>3</v>
      </c>
      <c r="I1312" s="31">
        <v>1</v>
      </c>
      <c r="K1312" s="31" t="s">
        <v>1548</v>
      </c>
      <c r="L1312" s="31" t="str">
        <f>VLOOKUP(B1312, [1]Course!$A$1:$O$933, 14, FALSE)</f>
        <v>IC</v>
      </c>
      <c r="M1312" s="31">
        <v>1</v>
      </c>
    </row>
    <row r="1313" spans="1:13" ht="15.75" hidden="1" customHeight="1" x14ac:dyDescent="0.2">
      <c r="A1313" s="31">
        <v>1324</v>
      </c>
      <c r="B1313" s="51">
        <v>97</v>
      </c>
      <c r="C1313" s="51">
        <v>7</v>
      </c>
      <c r="D1313" s="51" t="s">
        <v>1556</v>
      </c>
      <c r="E1313" s="51" t="str">
        <f t="shared" si="20"/>
        <v>107ICT03PT</v>
      </c>
      <c r="F1313" s="51" t="s">
        <v>402</v>
      </c>
      <c r="G1313" s="31">
        <f>VLOOKUP(B1313, [1]Course!$A$2:$L$950, 8, FALSE)</f>
        <v>1</v>
      </c>
      <c r="H1313" s="31">
        <v>3</v>
      </c>
      <c r="I1313" s="31">
        <v>1</v>
      </c>
      <c r="K1313" s="31" t="s">
        <v>1548</v>
      </c>
      <c r="L1313" s="31" t="str">
        <f>VLOOKUP(B1313, [1]Course!$A$1:$O$933, 14, FALSE)</f>
        <v>IC</v>
      </c>
      <c r="M1313" s="31">
        <v>0</v>
      </c>
    </row>
    <row r="1314" spans="1:13" ht="15.75" hidden="1" customHeight="1" x14ac:dyDescent="0.2">
      <c r="A1314" s="31">
        <v>1325</v>
      </c>
      <c r="B1314" s="51">
        <v>97</v>
      </c>
      <c r="C1314" s="51">
        <v>8</v>
      </c>
      <c r="D1314" s="51" t="s">
        <v>1556</v>
      </c>
      <c r="E1314" s="51" t="str">
        <f t="shared" si="20"/>
        <v>108ICT03PT</v>
      </c>
      <c r="F1314" s="51" t="s">
        <v>402</v>
      </c>
      <c r="G1314" s="31">
        <f>VLOOKUP(B1314, [1]Course!$A$2:$L$950, 8, FALSE)</f>
        <v>1</v>
      </c>
      <c r="H1314" s="31">
        <v>3</v>
      </c>
      <c r="I1314" s="31">
        <v>1</v>
      </c>
      <c r="K1314" s="31" t="s">
        <v>1548</v>
      </c>
      <c r="L1314" s="31" t="str">
        <f>VLOOKUP(B1314, [1]Course!$A$1:$O$933, 14, FALSE)</f>
        <v>IC</v>
      </c>
      <c r="M1314" s="31">
        <v>1</v>
      </c>
    </row>
    <row r="1315" spans="1:13" ht="15.75" hidden="1" customHeight="1" x14ac:dyDescent="0.2">
      <c r="A1315" s="31">
        <v>1326</v>
      </c>
      <c r="B1315" s="51">
        <v>97</v>
      </c>
      <c r="C1315" s="51">
        <v>9</v>
      </c>
      <c r="D1315" s="51" t="s">
        <v>1556</v>
      </c>
      <c r="E1315" s="51" t="str">
        <f t="shared" si="20"/>
        <v>109ICT03PT</v>
      </c>
      <c r="F1315" s="51" t="s">
        <v>402</v>
      </c>
      <c r="G1315" s="31">
        <f>VLOOKUP(B1315, [1]Course!$A$2:$L$950, 8, FALSE)</f>
        <v>1</v>
      </c>
      <c r="H1315" s="31">
        <v>3</v>
      </c>
      <c r="I1315" s="31">
        <v>1</v>
      </c>
      <c r="K1315" s="31" t="s">
        <v>1548</v>
      </c>
      <c r="L1315" s="31" t="str">
        <f>VLOOKUP(B1315, [1]Course!$A$1:$O$933, 14, FALSE)</f>
        <v>IC</v>
      </c>
      <c r="M1315" s="31">
        <v>0</v>
      </c>
    </row>
    <row r="1316" spans="1:13" ht="15.75" hidden="1" customHeight="1" x14ac:dyDescent="0.2">
      <c r="A1316" s="31">
        <v>1327</v>
      </c>
      <c r="B1316" s="51">
        <v>97</v>
      </c>
      <c r="C1316" s="51">
        <v>10</v>
      </c>
      <c r="D1316" s="51" t="s">
        <v>1556</v>
      </c>
      <c r="E1316" s="51" t="str">
        <f t="shared" si="20"/>
        <v>110ICT03PT</v>
      </c>
      <c r="F1316" s="51" t="s">
        <v>402</v>
      </c>
      <c r="G1316" s="31">
        <f>VLOOKUP(B1316, [1]Course!$A$2:$L$950, 8, FALSE)</f>
        <v>1</v>
      </c>
      <c r="H1316" s="31">
        <v>3</v>
      </c>
      <c r="I1316" s="31">
        <v>1</v>
      </c>
      <c r="K1316" s="31" t="s">
        <v>1548</v>
      </c>
      <c r="L1316" s="31" t="str">
        <f>VLOOKUP(B1316, [1]Course!$A$1:$O$933, 14, FALSE)</f>
        <v>IC</v>
      </c>
      <c r="M1316" s="31">
        <v>1</v>
      </c>
    </row>
    <row r="1317" spans="1:13" ht="15.75" hidden="1" customHeight="1" x14ac:dyDescent="0.2">
      <c r="A1317" s="31">
        <v>1328</v>
      </c>
      <c r="B1317" s="51">
        <v>97</v>
      </c>
      <c r="C1317" s="51">
        <v>11</v>
      </c>
      <c r="D1317" s="51" t="s">
        <v>1556</v>
      </c>
      <c r="E1317" s="51" t="str">
        <f t="shared" si="20"/>
        <v>111ICT03PT</v>
      </c>
      <c r="F1317" s="51" t="s">
        <v>402</v>
      </c>
      <c r="G1317" s="31">
        <f>VLOOKUP(B1317, [1]Course!$A$2:$L$950, 8, FALSE)</f>
        <v>1</v>
      </c>
      <c r="H1317" s="31">
        <v>3</v>
      </c>
      <c r="I1317" s="31">
        <v>1</v>
      </c>
      <c r="K1317" s="31" t="s">
        <v>1548</v>
      </c>
      <c r="L1317" s="31" t="str">
        <f>VLOOKUP(B1317, [1]Course!$A$1:$O$933, 14, FALSE)</f>
        <v>IC</v>
      </c>
      <c r="M1317" s="31">
        <v>0</v>
      </c>
    </row>
    <row r="1318" spans="1:13" ht="15.75" hidden="1" customHeight="1" x14ac:dyDescent="0.2">
      <c r="A1318" s="31">
        <v>1329</v>
      </c>
      <c r="B1318" s="51">
        <v>97</v>
      </c>
      <c r="C1318" s="51">
        <v>12</v>
      </c>
      <c r="D1318" s="51" t="s">
        <v>1556</v>
      </c>
      <c r="E1318" s="51" t="str">
        <f t="shared" si="20"/>
        <v>112ICT03PT</v>
      </c>
      <c r="F1318" s="51" t="s">
        <v>402</v>
      </c>
      <c r="G1318" s="31">
        <f>VLOOKUP(B1318, [1]Course!$A$2:$L$950, 8, FALSE)</f>
        <v>1</v>
      </c>
      <c r="H1318" s="31">
        <v>3</v>
      </c>
      <c r="I1318" s="31">
        <v>1</v>
      </c>
      <c r="K1318" s="31" t="s">
        <v>1548</v>
      </c>
      <c r="L1318" s="31" t="str">
        <f>VLOOKUP(B1318, [1]Course!$A$1:$O$933, 14, FALSE)</f>
        <v>IC</v>
      </c>
      <c r="M1318" s="31">
        <v>1</v>
      </c>
    </row>
    <row r="1319" spans="1:13" ht="15.75" hidden="1" customHeight="1" x14ac:dyDescent="0.2">
      <c r="A1319" s="31">
        <v>1330</v>
      </c>
      <c r="B1319" s="51">
        <v>97</v>
      </c>
      <c r="C1319" s="51">
        <v>13</v>
      </c>
      <c r="D1319" s="51" t="s">
        <v>1556</v>
      </c>
      <c r="E1319" s="51" t="str">
        <f t="shared" si="20"/>
        <v>113ICT03PT</v>
      </c>
      <c r="F1319" s="51" t="s">
        <v>402</v>
      </c>
      <c r="G1319" s="31">
        <f>VLOOKUP(B1319, [1]Course!$A$2:$L$950, 8, FALSE)</f>
        <v>1</v>
      </c>
      <c r="H1319" s="31">
        <v>3</v>
      </c>
      <c r="I1319" s="31">
        <v>1</v>
      </c>
      <c r="K1319" s="31" t="s">
        <v>1548</v>
      </c>
      <c r="L1319" s="31" t="str">
        <f>VLOOKUP(B1319, [1]Course!$A$1:$O$933, 14, FALSE)</f>
        <v>IC</v>
      </c>
      <c r="M1319" s="31">
        <v>0</v>
      </c>
    </row>
    <row r="1320" spans="1:13" ht="15.75" hidden="1" customHeight="1" x14ac:dyDescent="0.2">
      <c r="A1320" s="31">
        <v>1331</v>
      </c>
      <c r="B1320" s="51">
        <v>97</v>
      </c>
      <c r="C1320" s="51">
        <v>14</v>
      </c>
      <c r="D1320" s="51" t="s">
        <v>1556</v>
      </c>
      <c r="E1320" s="51" t="str">
        <f t="shared" si="20"/>
        <v>114ICT03PT</v>
      </c>
      <c r="F1320" s="51" t="s">
        <v>402</v>
      </c>
      <c r="G1320" s="31">
        <f>VLOOKUP(B1320, [1]Course!$A$2:$L$950, 8, FALSE)</f>
        <v>1</v>
      </c>
      <c r="H1320" s="31">
        <v>3</v>
      </c>
      <c r="I1320" s="31">
        <v>1</v>
      </c>
      <c r="K1320" s="31" t="s">
        <v>1548</v>
      </c>
      <c r="L1320" s="31" t="str">
        <f>VLOOKUP(B1320, [1]Course!$A$1:$O$933, 14, FALSE)</f>
        <v>IC</v>
      </c>
      <c r="M1320" s="31">
        <v>0</v>
      </c>
    </row>
    <row r="1321" spans="1:13" ht="15.75" hidden="1" customHeight="1" x14ac:dyDescent="0.2">
      <c r="A1321" s="31">
        <v>1332</v>
      </c>
      <c r="B1321" s="51">
        <v>97</v>
      </c>
      <c r="C1321" s="51">
        <v>15</v>
      </c>
      <c r="D1321" s="51" t="s">
        <v>1556</v>
      </c>
      <c r="E1321" s="51" t="str">
        <f t="shared" si="20"/>
        <v>115ICT03PT</v>
      </c>
      <c r="F1321" s="51" t="s">
        <v>402</v>
      </c>
      <c r="G1321" s="31">
        <f>VLOOKUP(B1321, [1]Course!$A$2:$L$950, 8, FALSE)</f>
        <v>1</v>
      </c>
      <c r="H1321" s="31">
        <v>3</v>
      </c>
      <c r="I1321" s="31">
        <v>1</v>
      </c>
      <c r="K1321" s="31" t="s">
        <v>1548</v>
      </c>
      <c r="L1321" s="31" t="str">
        <f>VLOOKUP(B1321, [1]Course!$A$1:$O$933, 14, FALSE)</f>
        <v>IC</v>
      </c>
      <c r="M1321" s="31">
        <v>1</v>
      </c>
    </row>
    <row r="1322" spans="1:13" ht="15.75" hidden="1" customHeight="1" x14ac:dyDescent="0.2">
      <c r="A1322" s="31">
        <v>1333</v>
      </c>
      <c r="B1322" s="51">
        <v>97</v>
      </c>
      <c r="C1322" s="51">
        <v>16</v>
      </c>
      <c r="D1322" s="51" t="s">
        <v>1556</v>
      </c>
      <c r="E1322" s="51" t="str">
        <f t="shared" si="20"/>
        <v>116ICT03PT</v>
      </c>
      <c r="F1322" s="51" t="s">
        <v>402</v>
      </c>
      <c r="G1322" s="31">
        <f>VLOOKUP(B1322, [1]Course!$A$2:$L$950, 8, FALSE)</f>
        <v>1</v>
      </c>
      <c r="H1322" s="31">
        <v>3</v>
      </c>
      <c r="I1322" s="31">
        <v>1</v>
      </c>
      <c r="K1322" s="31" t="s">
        <v>1548</v>
      </c>
      <c r="L1322" s="31" t="str">
        <f>VLOOKUP(B1322, [1]Course!$A$1:$O$933, 14, FALSE)</f>
        <v>IC</v>
      </c>
      <c r="M1322" s="31">
        <v>0</v>
      </c>
    </row>
    <row r="1323" spans="1:13" ht="15.75" hidden="1" customHeight="1" x14ac:dyDescent="0.2">
      <c r="A1323" s="31">
        <v>1334</v>
      </c>
      <c r="B1323" s="51">
        <v>97</v>
      </c>
      <c r="C1323" s="51">
        <v>17</v>
      </c>
      <c r="D1323" s="51" t="s">
        <v>1556</v>
      </c>
      <c r="E1323" s="51" t="str">
        <f t="shared" si="20"/>
        <v>117ICT03PT</v>
      </c>
      <c r="F1323" s="51" t="s">
        <v>402</v>
      </c>
      <c r="G1323" s="31">
        <f>VLOOKUP(B1323, [1]Course!$A$2:$L$950, 8, FALSE)</f>
        <v>1</v>
      </c>
      <c r="H1323" s="31">
        <v>3</v>
      </c>
      <c r="I1323" s="31">
        <v>1</v>
      </c>
      <c r="K1323" s="31" t="s">
        <v>1548</v>
      </c>
      <c r="L1323" s="31" t="str">
        <f>VLOOKUP(B1323, [1]Course!$A$1:$O$933, 14, FALSE)</f>
        <v>IC</v>
      </c>
      <c r="M1323" s="31">
        <v>1</v>
      </c>
    </row>
    <row r="1324" spans="1:13" ht="15.75" hidden="1" customHeight="1" x14ac:dyDescent="0.2">
      <c r="A1324" s="31">
        <v>1335</v>
      </c>
      <c r="B1324" s="51">
        <v>97</v>
      </c>
      <c r="C1324" s="51">
        <v>18</v>
      </c>
      <c r="D1324" s="51" t="s">
        <v>1556</v>
      </c>
      <c r="E1324" s="51" t="str">
        <f t="shared" si="20"/>
        <v>118ICT03PT</v>
      </c>
      <c r="F1324" s="51" t="s">
        <v>402</v>
      </c>
      <c r="G1324" s="31">
        <f>VLOOKUP(B1324, [1]Course!$A$2:$L$950, 8, FALSE)</f>
        <v>1</v>
      </c>
      <c r="H1324" s="31">
        <v>3</v>
      </c>
      <c r="I1324" s="31">
        <v>1</v>
      </c>
      <c r="K1324" s="31" t="s">
        <v>1548</v>
      </c>
      <c r="L1324" s="31" t="str">
        <f>VLOOKUP(B1324, [1]Course!$A$1:$O$933, 14, FALSE)</f>
        <v>IC</v>
      </c>
      <c r="M1324" s="31">
        <v>0</v>
      </c>
    </row>
    <row r="1325" spans="1:13" ht="15.75" hidden="1" customHeight="1" x14ac:dyDescent="0.2">
      <c r="A1325" s="31">
        <v>1336</v>
      </c>
      <c r="B1325" s="51">
        <v>97</v>
      </c>
      <c r="C1325" s="51">
        <v>19</v>
      </c>
      <c r="D1325" s="51" t="s">
        <v>1556</v>
      </c>
      <c r="E1325" s="51" t="str">
        <f t="shared" si="20"/>
        <v>119ICT03PT</v>
      </c>
      <c r="F1325" s="51" t="s">
        <v>402</v>
      </c>
      <c r="G1325" s="31">
        <f>VLOOKUP(B1325, [1]Course!$A$2:$L$950, 8, FALSE)</f>
        <v>1</v>
      </c>
      <c r="H1325" s="31">
        <v>3</v>
      </c>
      <c r="I1325" s="31">
        <v>1</v>
      </c>
      <c r="K1325" s="31" t="s">
        <v>1548</v>
      </c>
      <c r="L1325" s="31" t="str">
        <f>VLOOKUP(B1325, [1]Course!$A$1:$O$933, 14, FALSE)</f>
        <v>IC</v>
      </c>
      <c r="M1325" s="31">
        <v>1</v>
      </c>
    </row>
    <row r="1326" spans="1:13" ht="15.75" hidden="1" customHeight="1" x14ac:dyDescent="0.2">
      <c r="A1326" s="31">
        <v>1337</v>
      </c>
      <c r="B1326" s="51">
        <v>97</v>
      </c>
      <c r="C1326" s="51">
        <v>20</v>
      </c>
      <c r="D1326" s="51" t="s">
        <v>1556</v>
      </c>
      <c r="E1326" s="51" t="str">
        <f t="shared" si="20"/>
        <v>120ICT03PT</v>
      </c>
      <c r="F1326" s="51" t="s">
        <v>402</v>
      </c>
      <c r="G1326" s="31">
        <f>VLOOKUP(B1326, [1]Course!$A$2:$L$950, 8, FALSE)</f>
        <v>1</v>
      </c>
      <c r="H1326" s="31">
        <v>3</v>
      </c>
      <c r="I1326" s="31">
        <v>1</v>
      </c>
      <c r="K1326" s="31" t="s">
        <v>1548</v>
      </c>
      <c r="L1326" s="31" t="str">
        <f>VLOOKUP(B1326, [1]Course!$A$1:$O$933, 14, FALSE)</f>
        <v>IC</v>
      </c>
      <c r="M1326" s="31">
        <v>0</v>
      </c>
    </row>
    <row r="1327" spans="1:13" ht="15.75" hidden="1" customHeight="1" x14ac:dyDescent="0.2">
      <c r="A1327" s="31">
        <v>1338</v>
      </c>
      <c r="B1327" s="51">
        <v>97</v>
      </c>
      <c r="C1327" s="51">
        <v>21</v>
      </c>
      <c r="D1327" s="51" t="s">
        <v>1556</v>
      </c>
      <c r="E1327" s="51" t="str">
        <f t="shared" si="20"/>
        <v>121ICT03PT</v>
      </c>
      <c r="F1327" s="51" t="s">
        <v>402</v>
      </c>
      <c r="G1327" s="31">
        <f>VLOOKUP(B1327, [1]Course!$A$2:$L$950, 8, FALSE)</f>
        <v>1</v>
      </c>
      <c r="H1327" s="31">
        <v>3</v>
      </c>
      <c r="I1327" s="31">
        <v>1</v>
      </c>
      <c r="K1327" s="31" t="s">
        <v>1548</v>
      </c>
      <c r="L1327" s="31" t="str">
        <f>VLOOKUP(B1327, [1]Course!$A$1:$O$933, 14, FALSE)</f>
        <v>IC</v>
      </c>
      <c r="M1327" s="31">
        <v>1</v>
      </c>
    </row>
    <row r="1328" spans="1:13" ht="15.75" hidden="1" customHeight="1" x14ac:dyDescent="0.2">
      <c r="A1328" s="31">
        <v>1339</v>
      </c>
      <c r="B1328" s="51">
        <v>97</v>
      </c>
      <c r="C1328" s="51">
        <v>22</v>
      </c>
      <c r="D1328" s="51" t="s">
        <v>1556</v>
      </c>
      <c r="E1328" s="51" t="str">
        <f t="shared" si="20"/>
        <v>122ICT03PT</v>
      </c>
      <c r="F1328" s="51" t="s">
        <v>402</v>
      </c>
      <c r="G1328" s="31">
        <f>VLOOKUP(B1328, [1]Course!$A$2:$L$950, 8, FALSE)</f>
        <v>1</v>
      </c>
      <c r="H1328" s="31">
        <v>3</v>
      </c>
      <c r="I1328" s="31">
        <v>1</v>
      </c>
      <c r="K1328" s="31" t="s">
        <v>1548</v>
      </c>
      <c r="L1328" s="31" t="str">
        <f>VLOOKUP(B1328, [1]Course!$A$1:$O$933, 14, FALSE)</f>
        <v>IC</v>
      </c>
      <c r="M1328" s="31">
        <v>0</v>
      </c>
    </row>
    <row r="1329" spans="1:14" ht="15.75" hidden="1" customHeight="1" x14ac:dyDescent="0.2">
      <c r="A1329" s="31">
        <v>1340</v>
      </c>
      <c r="B1329" s="51">
        <v>97</v>
      </c>
      <c r="C1329" s="51">
        <v>23</v>
      </c>
      <c r="D1329" s="51" t="s">
        <v>1556</v>
      </c>
      <c r="E1329" s="51" t="str">
        <f t="shared" si="20"/>
        <v>123ICT03PT</v>
      </c>
      <c r="F1329" s="51" t="s">
        <v>402</v>
      </c>
      <c r="G1329" s="31">
        <f>VLOOKUP(B1329, [1]Course!$A$2:$L$950, 8, FALSE)</f>
        <v>1</v>
      </c>
      <c r="H1329" s="31">
        <v>3</v>
      </c>
      <c r="I1329" s="31">
        <v>1</v>
      </c>
      <c r="K1329" s="31" t="s">
        <v>1548</v>
      </c>
      <c r="L1329" s="31" t="str">
        <f>VLOOKUP(B1329, [1]Course!$A$1:$O$933, 14, FALSE)</f>
        <v>IC</v>
      </c>
      <c r="M1329" s="31">
        <v>1</v>
      </c>
    </row>
    <row r="1330" spans="1:14" ht="15.75" hidden="1" customHeight="1" x14ac:dyDescent="0.2">
      <c r="A1330" s="31">
        <v>1341</v>
      </c>
      <c r="B1330" s="51">
        <v>97</v>
      </c>
      <c r="C1330" s="51">
        <v>24</v>
      </c>
      <c r="D1330" s="51" t="s">
        <v>1556</v>
      </c>
      <c r="E1330" s="51" t="str">
        <f t="shared" si="20"/>
        <v>124ICT03PT</v>
      </c>
      <c r="F1330" s="51" t="s">
        <v>402</v>
      </c>
      <c r="G1330" s="31">
        <f>VLOOKUP(B1330, [1]Course!$A$2:$L$950, 8, FALSE)</f>
        <v>1</v>
      </c>
      <c r="H1330" s="31">
        <v>3</v>
      </c>
      <c r="I1330" s="31">
        <v>1</v>
      </c>
      <c r="K1330" s="31" t="s">
        <v>1548</v>
      </c>
      <c r="L1330" s="31" t="str">
        <f>VLOOKUP(B1330, [1]Course!$A$1:$O$933, 14, FALSE)</f>
        <v>IC</v>
      </c>
      <c r="M1330" s="31">
        <v>0</v>
      </c>
    </row>
    <row r="1331" spans="1:14" ht="15.75" hidden="1" customHeight="1" x14ac:dyDescent="0.2">
      <c r="A1331" s="31">
        <v>1342</v>
      </c>
      <c r="B1331" s="51">
        <v>97</v>
      </c>
      <c r="C1331" s="51">
        <v>25</v>
      </c>
      <c r="D1331" s="51" t="s">
        <v>1556</v>
      </c>
      <c r="E1331" s="51" t="str">
        <f t="shared" si="20"/>
        <v>125ICT03PT</v>
      </c>
      <c r="F1331" s="51" t="s">
        <v>402</v>
      </c>
      <c r="G1331" s="31">
        <f>VLOOKUP(B1331, [1]Course!$A$2:$L$950, 8, FALSE)</f>
        <v>1</v>
      </c>
      <c r="H1331" s="31">
        <v>3</v>
      </c>
      <c r="I1331" s="31">
        <v>1</v>
      </c>
      <c r="K1331" s="31" t="s">
        <v>1548</v>
      </c>
      <c r="L1331" s="31" t="str">
        <f>VLOOKUP(B1331, [1]Course!$A$1:$O$933, 14, FALSE)</f>
        <v>IC</v>
      </c>
      <c r="M1331" s="31">
        <v>1</v>
      </c>
    </row>
    <row r="1332" spans="1:14" ht="15.75" hidden="1" customHeight="1" x14ac:dyDescent="0.2">
      <c r="A1332" s="31">
        <v>1343</v>
      </c>
      <c r="B1332" s="31">
        <v>92</v>
      </c>
      <c r="C1332" s="31">
        <v>9</v>
      </c>
      <c r="D1332" s="31" t="s">
        <v>1554</v>
      </c>
      <c r="E1332" s="31" t="str">
        <f t="shared" si="20"/>
        <v>409APv203PT</v>
      </c>
      <c r="F1332" s="31">
        <f>VLOOKUP(B1332,[1]Course!$A$2:$R$329,2,FALSE)</f>
        <v>0</v>
      </c>
      <c r="G1332" s="31">
        <f>VLOOKUP(B1332, [1]Course!$A$2:$L$950, 8, FALSE)</f>
        <v>4</v>
      </c>
      <c r="H1332" s="31">
        <v>3</v>
      </c>
      <c r="I1332" s="31">
        <v>1</v>
      </c>
      <c r="J1332" s="31">
        <v>2022</v>
      </c>
      <c r="K1332" s="31" t="s">
        <v>1548</v>
      </c>
      <c r="L1332" s="31" t="str">
        <f>VLOOKUP(B1332, [1]Course!$A$1:$O$933, 14, FALSE)</f>
        <v>AP</v>
      </c>
      <c r="M1332" s="31">
        <v>1</v>
      </c>
    </row>
    <row r="1333" spans="1:14" ht="15.75" hidden="1" customHeight="1" x14ac:dyDescent="0.2">
      <c r="A1333" s="31">
        <v>1344</v>
      </c>
      <c r="B1333" s="31">
        <v>92</v>
      </c>
      <c r="C1333" s="31">
        <v>10</v>
      </c>
      <c r="D1333" s="31" t="s">
        <v>1554</v>
      </c>
      <c r="E1333" s="31" t="str">
        <f t="shared" si="20"/>
        <v>410APv203PT</v>
      </c>
      <c r="F1333" s="31">
        <f>VLOOKUP(B1333,[1]Course!$A$2:$R$329,2,FALSE)</f>
        <v>0</v>
      </c>
      <c r="G1333" s="31">
        <f>VLOOKUP(B1333, [1]Course!$A$2:$L$950, 8, FALSE)</f>
        <v>4</v>
      </c>
      <c r="H1333" s="31">
        <v>3</v>
      </c>
      <c r="I1333" s="31">
        <v>1</v>
      </c>
      <c r="J1333" s="31">
        <v>2022</v>
      </c>
      <c r="K1333" s="31" t="s">
        <v>1548</v>
      </c>
      <c r="L1333" s="31" t="str">
        <f>VLOOKUP(B1333, [1]Course!$A$1:$O$933, 14, FALSE)</f>
        <v>AP</v>
      </c>
      <c r="M1333" s="31">
        <v>2</v>
      </c>
    </row>
    <row r="1334" spans="1:14" ht="15.75" hidden="1" customHeight="1" x14ac:dyDescent="0.2">
      <c r="A1334" s="31">
        <v>1345</v>
      </c>
      <c r="B1334" s="31">
        <v>81</v>
      </c>
      <c r="C1334" s="31" t="s">
        <v>1555</v>
      </c>
      <c r="D1334" s="31" t="s">
        <v>1554</v>
      </c>
      <c r="E1334" s="31" t="str">
        <f t="shared" si="20"/>
        <v>21EAPv203PT</v>
      </c>
      <c r="F1334" s="31">
        <f>VLOOKUP(B1334,[1]Course!$A$2:$R$329,2,FALSE)</f>
        <v>0</v>
      </c>
      <c r="G1334" s="31">
        <f>VLOOKUP(B1334, [1]Course!$A$2:$L$950, 8, FALSE)</f>
        <v>2</v>
      </c>
      <c r="H1334" s="31">
        <v>3</v>
      </c>
      <c r="I1334" s="31">
        <v>1</v>
      </c>
      <c r="J1334" s="31">
        <v>2022</v>
      </c>
      <c r="K1334" s="31" t="s">
        <v>1548</v>
      </c>
      <c r="L1334" s="31" t="str">
        <f>VLOOKUP(B1334, [1]Course!$A$1:$O$933, 14, FALSE)</f>
        <v>AP</v>
      </c>
      <c r="M1334" s="31">
        <v>2</v>
      </c>
      <c r="N1334" s="31" t="s">
        <v>1550</v>
      </c>
    </row>
    <row r="1335" spans="1:14" ht="15.75" hidden="1" customHeight="1" x14ac:dyDescent="0.2">
      <c r="A1335" s="31">
        <v>1346</v>
      </c>
      <c r="B1335" s="31">
        <v>151</v>
      </c>
      <c r="C1335" s="31" t="s">
        <v>1553</v>
      </c>
      <c r="D1335" s="31" t="s">
        <v>62</v>
      </c>
      <c r="E1335" s="31" t="str">
        <f t="shared" si="20"/>
        <v>77EAP00PT</v>
      </c>
      <c r="F1335" s="31" t="s">
        <v>1552</v>
      </c>
      <c r="G1335" s="31">
        <v>7</v>
      </c>
      <c r="H1335" s="31">
        <v>0</v>
      </c>
      <c r="I1335" s="31">
        <v>1</v>
      </c>
      <c r="J1335" s="31">
        <v>2019</v>
      </c>
      <c r="K1335" s="31" t="s">
        <v>1548</v>
      </c>
      <c r="L1335" s="31" t="str">
        <f>VLOOKUP(B1335, [1]Course!$A$1:$O$933, 14, FALSE)</f>
        <v>AP</v>
      </c>
      <c r="M1335" s="31">
        <v>2</v>
      </c>
      <c r="N1335" s="31" t="s">
        <v>1550</v>
      </c>
    </row>
    <row r="1336" spans="1:14" ht="15.75" hidden="1" customHeight="1" x14ac:dyDescent="0.2">
      <c r="A1336" s="31">
        <v>1347</v>
      </c>
      <c r="B1336" s="31">
        <v>151</v>
      </c>
      <c r="C1336" s="31">
        <v>1</v>
      </c>
      <c r="D1336" s="31" t="s">
        <v>62</v>
      </c>
      <c r="E1336" s="31" t="str">
        <f t="shared" si="20"/>
        <v>701AP00PT</v>
      </c>
      <c r="F1336" s="31" t="s">
        <v>1552</v>
      </c>
      <c r="G1336" s="31">
        <v>7</v>
      </c>
      <c r="H1336" s="31">
        <v>0</v>
      </c>
      <c r="I1336" s="31">
        <v>1</v>
      </c>
      <c r="J1336" s="31">
        <v>2019</v>
      </c>
      <c r="K1336" s="31" t="s">
        <v>1548</v>
      </c>
      <c r="L1336" s="31" t="str">
        <f>VLOOKUP(B1336, [1]Course!$A$1:$O$933, 14, FALSE)</f>
        <v>AP</v>
      </c>
      <c r="M1336" s="31">
        <v>2</v>
      </c>
      <c r="N1336" s="32" t="s">
        <v>1551</v>
      </c>
    </row>
    <row r="1337" spans="1:14" ht="15.75" hidden="1" customHeight="1" x14ac:dyDescent="0.2">
      <c r="A1337" s="31">
        <v>1348</v>
      </c>
      <c r="B1337" s="31">
        <v>152</v>
      </c>
      <c r="C1337" s="31">
        <v>2</v>
      </c>
      <c r="D1337" s="31" t="s">
        <v>62</v>
      </c>
      <c r="E1337" s="31" t="str">
        <f t="shared" si="20"/>
        <v>702AP00PT</v>
      </c>
      <c r="F1337" s="31" t="s">
        <v>21</v>
      </c>
      <c r="G1337" s="31">
        <v>7</v>
      </c>
      <c r="H1337" s="31">
        <v>0</v>
      </c>
      <c r="I1337" s="31">
        <v>1</v>
      </c>
      <c r="J1337" s="31">
        <v>2019</v>
      </c>
      <c r="K1337" s="31" t="s">
        <v>1548</v>
      </c>
      <c r="L1337" s="31" t="str">
        <f>VLOOKUP(B1337, [1]Course!$A$1:$O$933, 14, FALSE)</f>
        <v>AP</v>
      </c>
      <c r="M1337" s="31">
        <v>2</v>
      </c>
      <c r="N1337" s="31" t="s">
        <v>1550</v>
      </c>
    </row>
    <row r="1338" spans="1:14" ht="15.75" hidden="1" customHeight="1" x14ac:dyDescent="0.2">
      <c r="A1338" s="31">
        <v>1349</v>
      </c>
      <c r="B1338" s="31">
        <v>146</v>
      </c>
      <c r="C1338" s="31">
        <v>108</v>
      </c>
      <c r="D1338" s="31" t="s">
        <v>1549</v>
      </c>
      <c r="E1338" s="31" t="str">
        <f t="shared" si="20"/>
        <v>1108LI0PT</v>
      </c>
      <c r="F1338" s="31">
        <f>VLOOKUP(B1338,[1]Course!$A$2:$R$329,2,FALSE)</f>
        <v>0</v>
      </c>
      <c r="G1338" s="31">
        <f>VLOOKUP(B1338, [1]Course!$A$2:$L$950, 8, FALSE)</f>
        <v>11</v>
      </c>
      <c r="K1338" s="31" t="s">
        <v>1548</v>
      </c>
      <c r="L1338" s="31" t="str">
        <f>VLOOKUP(B1338, [1]Course!$A$1:$O$933, 14, FALSE)</f>
        <v>LC</v>
      </c>
      <c r="M1338" s="31">
        <v>1</v>
      </c>
      <c r="N1338" s="31" t="s">
        <v>401</v>
      </c>
    </row>
    <row r="1339" spans="1:14" ht="15.75" hidden="1" customHeight="1" x14ac:dyDescent="0.2">
      <c r="A1339" s="31">
        <v>1350</v>
      </c>
      <c r="B1339" s="31">
        <v>146</v>
      </c>
      <c r="C1339" s="31">
        <v>108</v>
      </c>
      <c r="D1339" s="31" t="s">
        <v>1549</v>
      </c>
      <c r="E1339" s="31" t="str">
        <f t="shared" si="20"/>
        <v>1108LI0PT</v>
      </c>
      <c r="F1339" s="31">
        <f>VLOOKUP(B1339,[1]Course!$A$2:$R$329,2,FALSE)</f>
        <v>0</v>
      </c>
      <c r="G1339" s="31">
        <f>VLOOKUP(B1339, [1]Course!$A$2:$L$950, 8, FALSE)</f>
        <v>11</v>
      </c>
      <c r="K1339" s="31" t="s">
        <v>1548</v>
      </c>
      <c r="L1339" s="31" t="str">
        <f>VLOOKUP(B1339, [1]Course!$A$1:$O$933, 14, FALSE)</f>
        <v>LC</v>
      </c>
      <c r="M1339" s="31">
        <v>1</v>
      </c>
      <c r="N1339" s="31" t="s">
        <v>400</v>
      </c>
    </row>
    <row r="1340" spans="1:14" ht="15.75" hidden="1" customHeight="1" x14ac:dyDescent="0.2">
      <c r="A1340" s="31">
        <v>1351</v>
      </c>
      <c r="B1340" s="31">
        <v>146</v>
      </c>
      <c r="C1340" s="31">
        <v>108</v>
      </c>
      <c r="D1340" s="31" t="s">
        <v>1549</v>
      </c>
      <c r="E1340" s="31" t="str">
        <f t="shared" si="20"/>
        <v>1108LI0PT</v>
      </c>
      <c r="F1340" s="31">
        <f>VLOOKUP(B1340,[1]Course!$A$2:$R$329,2,FALSE)</f>
        <v>0</v>
      </c>
      <c r="G1340" s="31">
        <f>VLOOKUP(B1340, [1]Course!$A$2:$L$950, 8, FALSE)</f>
        <v>11</v>
      </c>
      <c r="K1340" s="31" t="s">
        <v>1548</v>
      </c>
      <c r="L1340" s="31" t="str">
        <f>VLOOKUP(B1340, [1]Course!$A$1:$O$933, 14, FALSE)</f>
        <v>LC</v>
      </c>
      <c r="M1340" s="31">
        <v>1</v>
      </c>
      <c r="N1340" s="31" t="s">
        <v>398</v>
      </c>
    </row>
    <row r="1341" spans="1:14" ht="15.75" hidden="1" customHeight="1" x14ac:dyDescent="0.2">
      <c r="A1341" s="31">
        <v>1352</v>
      </c>
      <c r="B1341" s="31">
        <v>150</v>
      </c>
      <c r="C1341" s="31">
        <v>1</v>
      </c>
      <c r="D1341" s="31" t="s">
        <v>70</v>
      </c>
      <c r="E1341" s="31" t="str">
        <f t="shared" si="20"/>
        <v>601EG0PT</v>
      </c>
      <c r="F1341" s="31" t="str">
        <f>VLOOKUP(B1341,[1]Course!$A$2:$R$329,2,FALSE)</f>
        <v>English Grammar</v>
      </c>
      <c r="G1341" s="31">
        <f>VLOOKUP(B1341, [1]Course!$A$2:$L$950, 8, FALSE)</f>
        <v>6</v>
      </c>
      <c r="K1341" s="31" t="s">
        <v>1548</v>
      </c>
      <c r="L1341" s="31" t="str">
        <f>VLOOKUP(B1341, [1]Course!$A$1:$O$933, 14, FALSE)</f>
        <v>EG</v>
      </c>
      <c r="M1341" s="31">
        <v>1</v>
      </c>
    </row>
    <row r="1342" spans="1:14" ht="15.75" hidden="1" customHeight="1" x14ac:dyDescent="0.2">
      <c r="A1342" s="31">
        <v>1353</v>
      </c>
      <c r="B1342" s="31">
        <v>150</v>
      </c>
      <c r="C1342" s="31">
        <v>2</v>
      </c>
      <c r="D1342" s="31" t="s">
        <v>70</v>
      </c>
      <c r="E1342" s="31" t="str">
        <f t="shared" si="20"/>
        <v>602EG0PT</v>
      </c>
      <c r="F1342" s="31" t="str">
        <f>VLOOKUP(B1342,[1]Course!$A$2:$R$329,2,FALSE)</f>
        <v>English Grammar</v>
      </c>
      <c r="G1342" s="31">
        <f>VLOOKUP(B1342, [1]Course!$A$2:$L$950, 8, FALSE)</f>
        <v>6</v>
      </c>
      <c r="K1342" s="31" t="s">
        <v>1548</v>
      </c>
      <c r="L1342" s="31" t="str">
        <f>VLOOKUP(B1342, [1]Course!$A$1:$O$933, 14, FALSE)</f>
        <v>EG</v>
      </c>
      <c r="M1342" s="31">
        <v>1</v>
      </c>
    </row>
    <row r="1343" spans="1:14" ht="15.75" hidden="1" customHeight="1" x14ac:dyDescent="0.2">
      <c r="A1343" s="31">
        <v>1354</v>
      </c>
      <c r="B1343" s="31">
        <v>150</v>
      </c>
      <c r="C1343" s="31">
        <v>3</v>
      </c>
      <c r="D1343" s="31" t="s">
        <v>70</v>
      </c>
      <c r="E1343" s="31" t="str">
        <f t="shared" si="20"/>
        <v>603EG0PT</v>
      </c>
      <c r="F1343" s="31" t="str">
        <f>VLOOKUP(B1343,[1]Course!$A$2:$R$329,2,FALSE)</f>
        <v>English Grammar</v>
      </c>
      <c r="G1343" s="31">
        <f>VLOOKUP(B1343, [1]Course!$A$2:$L$950, 8, FALSE)</f>
        <v>6</v>
      </c>
      <c r="K1343" s="31" t="s">
        <v>1548</v>
      </c>
      <c r="L1343" s="31" t="str">
        <f>VLOOKUP(B1343, [1]Course!$A$1:$O$933, 14, FALSE)</f>
        <v>EG</v>
      </c>
      <c r="M1343" s="31">
        <v>1</v>
      </c>
    </row>
    <row r="1344" spans="1:14" ht="15.75" hidden="1" customHeight="1" x14ac:dyDescent="0.2">
      <c r="A1344" s="31">
        <v>1355</v>
      </c>
      <c r="B1344" s="31">
        <v>150</v>
      </c>
      <c r="C1344" s="31">
        <v>4</v>
      </c>
      <c r="D1344" s="31" t="s">
        <v>70</v>
      </c>
      <c r="E1344" s="31" t="str">
        <f t="shared" si="20"/>
        <v>604EG0PT</v>
      </c>
      <c r="F1344" s="31" t="str">
        <f>VLOOKUP(B1344,[1]Course!$A$2:$R$329,2,FALSE)</f>
        <v>English Grammar</v>
      </c>
      <c r="G1344" s="31">
        <f>VLOOKUP(B1344, [1]Course!$A$2:$L$950, 8, FALSE)</f>
        <v>6</v>
      </c>
      <c r="K1344" s="31" t="s">
        <v>1548</v>
      </c>
      <c r="L1344" s="31" t="str">
        <f>VLOOKUP(B1344, [1]Course!$A$1:$O$933, 14, FALSE)</f>
        <v>EG</v>
      </c>
      <c r="M1344" s="31">
        <v>1</v>
      </c>
    </row>
    <row r="1345" spans="1:13" ht="15.75" hidden="1" customHeight="1" x14ac:dyDescent="0.2">
      <c r="A1345" s="31">
        <v>1356</v>
      </c>
      <c r="B1345" s="31">
        <v>150</v>
      </c>
      <c r="C1345" s="31">
        <v>5</v>
      </c>
      <c r="D1345" s="31" t="s">
        <v>70</v>
      </c>
      <c r="E1345" s="31" t="str">
        <f t="shared" si="20"/>
        <v>605EG0PT</v>
      </c>
      <c r="F1345" s="31" t="str">
        <f>VLOOKUP(B1345,[1]Course!$A$2:$R$329,2,FALSE)</f>
        <v>English Grammar</v>
      </c>
      <c r="G1345" s="31">
        <f>VLOOKUP(B1345, [1]Course!$A$2:$L$950, 8, FALSE)</f>
        <v>6</v>
      </c>
      <c r="K1345" s="31" t="s">
        <v>1548</v>
      </c>
      <c r="L1345" s="31" t="str">
        <f>VLOOKUP(B1345, [1]Course!$A$1:$O$933, 14, FALSE)</f>
        <v>EG</v>
      </c>
      <c r="M1345" s="31">
        <v>1</v>
      </c>
    </row>
    <row r="1346" spans="1:13" ht="15.75" hidden="1" customHeight="1" x14ac:dyDescent="0.2">
      <c r="A1346" s="31">
        <v>1357</v>
      </c>
      <c r="B1346" s="31">
        <v>150</v>
      </c>
      <c r="C1346" s="31">
        <v>6</v>
      </c>
      <c r="D1346" s="31" t="s">
        <v>70</v>
      </c>
      <c r="E1346" s="31" t="str">
        <f t="shared" si="20"/>
        <v>606EG0PT</v>
      </c>
      <c r="F1346" s="31" t="str">
        <f>VLOOKUP(B1346,[1]Course!$A$2:$R$329,2,FALSE)</f>
        <v>English Grammar</v>
      </c>
      <c r="G1346" s="31">
        <f>VLOOKUP(B1346, [1]Course!$A$2:$L$950, 8, FALSE)</f>
        <v>6</v>
      </c>
      <c r="K1346" s="31" t="s">
        <v>1548</v>
      </c>
      <c r="L1346" s="31" t="str">
        <f>VLOOKUP(B1346, [1]Course!$A$1:$O$933, 14, FALSE)</f>
        <v>EG</v>
      </c>
      <c r="M1346" s="31">
        <v>1</v>
      </c>
    </row>
    <row r="1347" spans="1:13" ht="15" hidden="1" customHeight="1" x14ac:dyDescent="0.2">
      <c r="A1347" s="31">
        <v>1358</v>
      </c>
      <c r="B1347" s="31">
        <v>166</v>
      </c>
      <c r="C1347" s="31">
        <v>1</v>
      </c>
      <c r="E1347" s="31" t="str">
        <f t="shared" ref="E1347:E1358" si="21">UPPER(LEFT(G1347,2)) &amp; RIGHT("0" &amp; C1347, 2) &amp; D1347 &amp; RIGHT("0" &amp; H1347, 2) &amp; K1347</f>
        <v>12010</v>
      </c>
      <c r="F1347" s="31" t="s">
        <v>24</v>
      </c>
      <c r="G1347" s="31">
        <v>12</v>
      </c>
    </row>
    <row r="1348" spans="1:13" ht="15" hidden="1" customHeight="1" x14ac:dyDescent="0.2">
      <c r="A1348" s="31">
        <v>1359</v>
      </c>
      <c r="B1348" s="31">
        <v>166</v>
      </c>
      <c r="C1348" s="31">
        <v>2</v>
      </c>
      <c r="E1348" s="31" t="str">
        <f t="shared" si="21"/>
        <v>12020</v>
      </c>
      <c r="F1348" s="31" t="s">
        <v>24</v>
      </c>
      <c r="G1348" s="31">
        <v>12</v>
      </c>
    </row>
    <row r="1349" spans="1:13" ht="15" hidden="1" customHeight="1" x14ac:dyDescent="0.2">
      <c r="A1349" s="31">
        <v>1360</v>
      </c>
      <c r="B1349" s="31">
        <v>166</v>
      </c>
      <c r="C1349" s="31">
        <v>3</v>
      </c>
      <c r="E1349" s="31" t="str">
        <f t="shared" si="21"/>
        <v>12030</v>
      </c>
      <c r="F1349" s="31" t="s">
        <v>24</v>
      </c>
      <c r="G1349" s="31">
        <v>12</v>
      </c>
    </row>
    <row r="1350" spans="1:13" ht="15" hidden="1" customHeight="1" x14ac:dyDescent="0.2">
      <c r="A1350" s="31">
        <v>1361</v>
      </c>
      <c r="B1350" s="31">
        <v>166</v>
      </c>
      <c r="C1350" s="31">
        <v>4</v>
      </c>
      <c r="E1350" s="31" t="str">
        <f t="shared" si="21"/>
        <v>12040</v>
      </c>
      <c r="F1350" s="31" t="s">
        <v>24</v>
      </c>
      <c r="G1350" s="31">
        <v>12</v>
      </c>
    </row>
    <row r="1351" spans="1:13" ht="15" hidden="1" customHeight="1" x14ac:dyDescent="0.2">
      <c r="A1351" s="31">
        <v>1362</v>
      </c>
      <c r="B1351" s="31">
        <v>166</v>
      </c>
      <c r="C1351" s="31">
        <v>5</v>
      </c>
      <c r="E1351" s="31" t="str">
        <f t="shared" si="21"/>
        <v>12050</v>
      </c>
      <c r="F1351" s="31" t="s">
        <v>24</v>
      </c>
      <c r="G1351" s="31">
        <v>12</v>
      </c>
    </row>
    <row r="1352" spans="1:13" ht="15" hidden="1" customHeight="1" x14ac:dyDescent="0.2">
      <c r="A1352" s="31">
        <v>1363</v>
      </c>
      <c r="B1352" s="31">
        <v>166</v>
      </c>
      <c r="C1352" s="31">
        <v>6</v>
      </c>
      <c r="E1352" s="31" t="str">
        <f t="shared" si="21"/>
        <v>12060</v>
      </c>
      <c r="F1352" s="31" t="s">
        <v>24</v>
      </c>
      <c r="G1352" s="31">
        <v>12</v>
      </c>
    </row>
    <row r="1353" spans="1:13" ht="15" hidden="1" customHeight="1" x14ac:dyDescent="0.2">
      <c r="A1353" s="31">
        <v>1364</v>
      </c>
      <c r="B1353" s="31">
        <v>166</v>
      </c>
      <c r="C1353" s="31">
        <v>7</v>
      </c>
      <c r="E1353" s="31" t="str">
        <f t="shared" si="21"/>
        <v>12070</v>
      </c>
      <c r="F1353" s="31" t="s">
        <v>24</v>
      </c>
      <c r="G1353" s="31">
        <v>12</v>
      </c>
    </row>
    <row r="1354" spans="1:13" ht="15" hidden="1" customHeight="1" x14ac:dyDescent="0.2">
      <c r="A1354" s="31">
        <v>1365</v>
      </c>
      <c r="B1354" s="31">
        <v>166</v>
      </c>
      <c r="C1354" s="31">
        <v>8</v>
      </c>
      <c r="E1354" s="31" t="str">
        <f t="shared" si="21"/>
        <v>12080</v>
      </c>
      <c r="F1354" s="31" t="s">
        <v>24</v>
      </c>
      <c r="G1354" s="31">
        <v>12</v>
      </c>
    </row>
    <row r="1355" spans="1:13" ht="15" hidden="1" customHeight="1" x14ac:dyDescent="0.2">
      <c r="A1355" s="31">
        <v>1366</v>
      </c>
      <c r="B1355" s="31">
        <v>166</v>
      </c>
      <c r="C1355" s="31">
        <v>9</v>
      </c>
      <c r="E1355" s="31" t="str">
        <f t="shared" si="21"/>
        <v>12090</v>
      </c>
      <c r="F1355" s="31" t="s">
        <v>24</v>
      </c>
      <c r="G1355" s="31">
        <v>12</v>
      </c>
    </row>
    <row r="1356" spans="1:13" ht="15" hidden="1" customHeight="1" x14ac:dyDescent="0.2">
      <c r="A1356" s="31">
        <v>1367</v>
      </c>
      <c r="B1356" s="31">
        <v>166</v>
      </c>
      <c r="C1356" s="31">
        <v>10</v>
      </c>
      <c r="E1356" s="31" t="str">
        <f t="shared" si="21"/>
        <v>12100</v>
      </c>
      <c r="F1356" s="31" t="s">
        <v>24</v>
      </c>
      <c r="G1356" s="31">
        <v>12</v>
      </c>
    </row>
    <row r="1357" spans="1:13" ht="15" hidden="1" customHeight="1" x14ac:dyDescent="0.2">
      <c r="A1357" s="31">
        <v>1368</v>
      </c>
      <c r="B1357" s="31">
        <v>166</v>
      </c>
      <c r="C1357" s="31">
        <v>11</v>
      </c>
      <c r="E1357" s="31" t="str">
        <f t="shared" si="21"/>
        <v>12110</v>
      </c>
      <c r="F1357" s="31" t="s">
        <v>24</v>
      </c>
      <c r="G1357" s="31">
        <v>12</v>
      </c>
    </row>
    <row r="1358" spans="1:13" ht="15" hidden="1" customHeight="1" x14ac:dyDescent="0.2">
      <c r="A1358" s="31">
        <v>1369</v>
      </c>
      <c r="B1358" s="31">
        <v>166</v>
      </c>
      <c r="C1358" s="31">
        <v>12</v>
      </c>
      <c r="E1358" s="31" t="str">
        <f t="shared" si="21"/>
        <v>12120</v>
      </c>
      <c r="F1358" s="31" t="s">
        <v>24</v>
      </c>
      <c r="G1358" s="31">
        <v>12</v>
      </c>
    </row>
  </sheetData>
  <autoFilter ref="A1:N1358" xr:uid="{00000000-0001-0000-1100-000000000000}">
    <filterColumn colId="1">
      <filters>
        <filter val="74"/>
      </filters>
    </filterColumn>
  </autoFilter>
  <pageMargins left="0.7" right="0.7" top="0.75" bottom="0.75"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62F5-D21C-F041-BBA6-66870EAA82E4}">
  <sheetPr>
    <tabColor rgb="FF548135"/>
  </sheetPr>
  <dimension ref="A1:J1397"/>
  <sheetViews>
    <sheetView zoomScale="185" workbookViewId="0">
      <pane xSplit="3" ySplit="1" topLeftCell="D98" activePane="bottomRight" state="frozen"/>
      <selection activeCell="D152" sqref="D152"/>
      <selection pane="topRight" activeCell="D152" sqref="D152"/>
      <selection pane="bottomLeft" activeCell="D152" sqref="D152"/>
      <selection pane="bottomRight" activeCell="A1398" sqref="A1398"/>
    </sheetView>
  </sheetViews>
  <sheetFormatPr baseColWidth="10" defaultColWidth="14.5" defaultRowHeight="15" customHeight="1" x14ac:dyDescent="0.2"/>
  <cols>
    <col min="1" max="1" width="5.33203125" style="24" customWidth="1"/>
    <col min="2" max="2" width="12.5" style="24" customWidth="1"/>
    <col min="3" max="3" width="10.6640625" style="24" customWidth="1"/>
    <col min="4" max="4" width="42.6640625" style="24" customWidth="1"/>
    <col min="5" max="5" width="11.6640625" style="24" customWidth="1"/>
    <col min="6" max="6" width="12.6640625" style="24" customWidth="1"/>
    <col min="7" max="7" width="16.6640625" style="24" customWidth="1"/>
    <col min="8" max="8" width="16.1640625" style="24" customWidth="1"/>
    <col min="9" max="26" width="8.83203125" style="24" customWidth="1"/>
    <col min="27" max="16384" width="14.5" style="24"/>
  </cols>
  <sheetData>
    <row r="1" spans="1:10" x14ac:dyDescent="0.2">
      <c r="A1" s="29" t="s">
        <v>372</v>
      </c>
      <c r="B1" s="29" t="s">
        <v>1547</v>
      </c>
      <c r="C1" s="29" t="s">
        <v>1546</v>
      </c>
      <c r="D1" s="29" t="s">
        <v>1545</v>
      </c>
      <c r="E1" s="29" t="s">
        <v>1544</v>
      </c>
      <c r="F1" s="29" t="s">
        <v>1543</v>
      </c>
      <c r="G1" s="29" t="s">
        <v>1542</v>
      </c>
      <c r="H1" s="30" t="s">
        <v>1541</v>
      </c>
      <c r="I1" s="29" t="s">
        <v>36</v>
      </c>
      <c r="J1" s="29" t="s">
        <v>1540</v>
      </c>
    </row>
    <row r="2" spans="1:10" x14ac:dyDescent="0.2">
      <c r="A2" s="26">
        <v>1</v>
      </c>
      <c r="B2" s="24">
        <v>1</v>
      </c>
      <c r="C2" s="24">
        <v>1</v>
      </c>
      <c r="D2" s="24">
        <f>VLOOKUP(C2,[1]Course!$A$1:$C$229, 2, FALSE)</f>
        <v>0</v>
      </c>
      <c r="E2" s="24">
        <v>2</v>
      </c>
      <c r="F2" s="24" t="s">
        <v>1539</v>
      </c>
      <c r="G2" s="24">
        <v>1</v>
      </c>
      <c r="H2" s="25">
        <v>0.8</v>
      </c>
      <c r="I2" s="24">
        <v>1</v>
      </c>
    </row>
    <row r="3" spans="1:10" x14ac:dyDescent="0.2">
      <c r="A3" s="26">
        <v>2</v>
      </c>
      <c r="B3" s="24">
        <v>2</v>
      </c>
      <c r="C3" s="24">
        <v>1</v>
      </c>
      <c r="D3" s="24">
        <f>VLOOKUP(C3,[1]Course!$A$1:$C$229, 2, FALSE)</f>
        <v>0</v>
      </c>
      <c r="E3" s="24">
        <v>3</v>
      </c>
      <c r="F3" s="24" t="s">
        <v>1538</v>
      </c>
      <c r="G3" s="24">
        <v>1</v>
      </c>
      <c r="H3" s="25">
        <v>0.8</v>
      </c>
      <c r="I3" s="24">
        <v>1</v>
      </c>
    </row>
    <row r="4" spans="1:10" x14ac:dyDescent="0.2">
      <c r="A4" s="26">
        <v>3</v>
      </c>
      <c r="B4" s="24">
        <v>3</v>
      </c>
      <c r="C4" s="24">
        <v>1</v>
      </c>
      <c r="D4" s="24">
        <f>VLOOKUP(C4,[1]Course!$A$1:$C$229, 2, FALSE)</f>
        <v>0</v>
      </c>
      <c r="E4" s="24">
        <v>4</v>
      </c>
      <c r="F4" s="24" t="s">
        <v>1537</v>
      </c>
      <c r="G4" s="24">
        <v>1</v>
      </c>
      <c r="H4" s="25">
        <v>0.8</v>
      </c>
      <c r="I4" s="24">
        <v>1</v>
      </c>
    </row>
    <row r="5" spans="1:10" x14ac:dyDescent="0.2">
      <c r="A5" s="26">
        <v>4</v>
      </c>
      <c r="B5" s="24">
        <v>4</v>
      </c>
      <c r="C5" s="24">
        <v>1</v>
      </c>
      <c r="D5" s="24">
        <f>VLOOKUP(C5,[1]Course!$A$1:$C$229, 2, FALSE)</f>
        <v>0</v>
      </c>
      <c r="E5" s="24">
        <v>5</v>
      </c>
      <c r="F5" s="24" t="s">
        <v>1536</v>
      </c>
      <c r="G5" s="24">
        <v>1</v>
      </c>
      <c r="H5" s="25">
        <v>0.8</v>
      </c>
      <c r="I5" s="24">
        <v>1</v>
      </c>
    </row>
    <row r="6" spans="1:10" x14ac:dyDescent="0.2">
      <c r="A6" s="26">
        <v>5</v>
      </c>
      <c r="B6" s="24">
        <v>5</v>
      </c>
      <c r="C6" s="24">
        <v>1</v>
      </c>
      <c r="D6" s="24">
        <f>VLOOKUP(C6,[1]Course!$A$1:$C$229, 2, FALSE)</f>
        <v>0</v>
      </c>
      <c r="E6" s="24">
        <v>6</v>
      </c>
      <c r="F6" s="24" t="s">
        <v>1535</v>
      </c>
      <c r="G6" s="24">
        <v>1</v>
      </c>
      <c r="H6" s="25">
        <v>0.8</v>
      </c>
      <c r="I6" s="24">
        <v>1</v>
      </c>
    </row>
    <row r="7" spans="1:10" x14ac:dyDescent="0.2">
      <c r="A7" s="26">
        <v>6</v>
      </c>
      <c r="B7" s="24">
        <v>6</v>
      </c>
      <c r="C7" s="24">
        <v>1</v>
      </c>
      <c r="D7" s="24">
        <f>VLOOKUP(C7,[1]Course!$A$1:$C$229, 2, FALSE)</f>
        <v>0</v>
      </c>
      <c r="E7" s="24">
        <v>7</v>
      </c>
      <c r="F7" s="24" t="s">
        <v>1534</v>
      </c>
      <c r="G7" s="24">
        <v>1</v>
      </c>
      <c r="H7" s="25">
        <v>0.8</v>
      </c>
      <c r="I7" s="24">
        <v>1</v>
      </c>
    </row>
    <row r="8" spans="1:10" x14ac:dyDescent="0.2">
      <c r="A8" s="26">
        <v>7</v>
      </c>
      <c r="B8" s="24">
        <v>7</v>
      </c>
      <c r="C8" s="24">
        <v>1</v>
      </c>
      <c r="D8" s="24">
        <f>VLOOKUP(C8,[1]Course!$A$1:$C$229, 2, FALSE)</f>
        <v>0</v>
      </c>
      <c r="E8" s="24">
        <v>8</v>
      </c>
      <c r="F8" s="24" t="s">
        <v>1533</v>
      </c>
      <c r="G8" s="24">
        <v>1</v>
      </c>
      <c r="H8" s="25">
        <v>0.8</v>
      </c>
      <c r="I8" s="24">
        <v>1</v>
      </c>
    </row>
    <row r="9" spans="1:10" x14ac:dyDescent="0.2">
      <c r="A9" s="26">
        <v>8</v>
      </c>
      <c r="B9" s="24">
        <v>8</v>
      </c>
      <c r="C9" s="24">
        <v>1</v>
      </c>
      <c r="D9" s="24">
        <f>VLOOKUP(C9,[1]Course!$A$1:$C$229, 2, FALSE)</f>
        <v>0</v>
      </c>
      <c r="E9" s="24">
        <v>9</v>
      </c>
      <c r="F9" s="24" t="s">
        <v>1532</v>
      </c>
      <c r="G9" s="24">
        <v>1</v>
      </c>
      <c r="H9" s="25">
        <v>0.8</v>
      </c>
      <c r="I9" s="24">
        <v>1</v>
      </c>
    </row>
    <row r="10" spans="1:10" x14ac:dyDescent="0.2">
      <c r="A10" s="26">
        <v>9</v>
      </c>
      <c r="B10" s="24">
        <v>9</v>
      </c>
      <c r="C10" s="24">
        <v>1</v>
      </c>
      <c r="D10" s="24">
        <f>VLOOKUP(C10,[1]Course!$A$1:$C$229, 2, FALSE)</f>
        <v>0</v>
      </c>
      <c r="E10" s="24">
        <v>10</v>
      </c>
      <c r="F10" s="24" t="s">
        <v>1531</v>
      </c>
      <c r="G10" s="24">
        <v>1</v>
      </c>
      <c r="H10" s="25">
        <v>0.8</v>
      </c>
      <c r="I10" s="24">
        <v>1</v>
      </c>
    </row>
    <row r="11" spans="1:10" x14ac:dyDescent="0.2">
      <c r="A11" s="26">
        <v>10</v>
      </c>
      <c r="B11" s="24">
        <v>10</v>
      </c>
      <c r="C11" s="24">
        <v>1</v>
      </c>
      <c r="D11" s="24">
        <f>VLOOKUP(C11,[1]Course!$A$1:$C$229, 2, FALSE)</f>
        <v>0</v>
      </c>
      <c r="E11" s="24">
        <v>11</v>
      </c>
      <c r="F11" s="24" t="s">
        <v>1530</v>
      </c>
      <c r="G11" s="24">
        <v>1</v>
      </c>
      <c r="H11" s="25">
        <v>0.8</v>
      </c>
      <c r="I11" s="24">
        <v>1</v>
      </c>
    </row>
    <row r="12" spans="1:10" x14ac:dyDescent="0.2">
      <c r="A12" s="26">
        <v>11</v>
      </c>
      <c r="B12" s="24">
        <v>11</v>
      </c>
      <c r="C12" s="24">
        <v>1</v>
      </c>
      <c r="D12" s="24">
        <f>VLOOKUP(C12,[1]Course!$A$1:$C$229, 2, FALSE)</f>
        <v>0</v>
      </c>
      <c r="E12" s="24">
        <v>12</v>
      </c>
      <c r="F12" s="24" t="s">
        <v>1529</v>
      </c>
      <c r="G12" s="24">
        <v>1</v>
      </c>
      <c r="H12" s="25">
        <v>0.8</v>
      </c>
      <c r="I12" s="24">
        <v>1</v>
      </c>
    </row>
    <row r="13" spans="1:10" x14ac:dyDescent="0.2">
      <c r="A13" s="26">
        <v>12</v>
      </c>
      <c r="B13" s="24">
        <v>12</v>
      </c>
      <c r="C13" s="24">
        <v>2</v>
      </c>
      <c r="D13" s="24">
        <f>VLOOKUP(C13,[1]Course!$A$1:$C$229, 2, FALSE)</f>
        <v>0</v>
      </c>
      <c r="E13" s="24">
        <v>1</v>
      </c>
      <c r="F13" s="24" t="s">
        <v>1528</v>
      </c>
      <c r="G13" s="24">
        <v>1</v>
      </c>
      <c r="H13" s="25">
        <v>0.8</v>
      </c>
      <c r="I13" s="24">
        <v>1</v>
      </c>
    </row>
    <row r="14" spans="1:10" x14ac:dyDescent="0.2">
      <c r="A14" s="26">
        <v>13</v>
      </c>
      <c r="B14" s="24">
        <v>13</v>
      </c>
      <c r="C14" s="24">
        <v>2</v>
      </c>
      <c r="D14" s="24">
        <f>VLOOKUP(C14,[1]Course!$A$1:$C$229, 2, FALSE)</f>
        <v>0</v>
      </c>
      <c r="E14" s="24">
        <v>2</v>
      </c>
      <c r="F14" s="24" t="s">
        <v>1527</v>
      </c>
      <c r="G14" s="24">
        <v>1</v>
      </c>
      <c r="H14" s="25">
        <v>0.8</v>
      </c>
      <c r="I14" s="24">
        <v>1</v>
      </c>
    </row>
    <row r="15" spans="1:10" x14ac:dyDescent="0.2">
      <c r="A15" s="26">
        <v>14</v>
      </c>
      <c r="B15" s="24">
        <v>14</v>
      </c>
      <c r="C15" s="24">
        <v>2</v>
      </c>
      <c r="D15" s="24">
        <f>VLOOKUP(C15,[1]Course!$A$1:$C$229, 2, FALSE)</f>
        <v>0</v>
      </c>
      <c r="E15" s="24">
        <v>3</v>
      </c>
      <c r="F15" s="24" t="s">
        <v>1526</v>
      </c>
      <c r="G15" s="24">
        <v>1</v>
      </c>
      <c r="H15" s="25">
        <v>0.8</v>
      </c>
      <c r="I15" s="24">
        <v>1</v>
      </c>
    </row>
    <row r="16" spans="1:10" x14ac:dyDescent="0.2">
      <c r="A16" s="26">
        <v>15</v>
      </c>
      <c r="B16" s="24">
        <v>15</v>
      </c>
      <c r="C16" s="24">
        <v>2</v>
      </c>
      <c r="D16" s="24">
        <f>VLOOKUP(C16,[1]Course!$A$1:$C$229, 2, FALSE)</f>
        <v>0</v>
      </c>
      <c r="E16" s="24">
        <v>4</v>
      </c>
      <c r="F16" s="24" t="s">
        <v>1525</v>
      </c>
      <c r="G16" s="24">
        <v>1</v>
      </c>
      <c r="H16" s="25">
        <v>0.8</v>
      </c>
      <c r="I16" s="24">
        <v>1</v>
      </c>
    </row>
    <row r="17" spans="1:9" x14ac:dyDescent="0.2">
      <c r="A17" s="26">
        <v>16</v>
      </c>
      <c r="B17" s="24">
        <v>16</v>
      </c>
      <c r="C17" s="24">
        <v>2</v>
      </c>
      <c r="D17" s="24">
        <f>VLOOKUP(C17,[1]Course!$A$1:$C$229, 2, FALSE)</f>
        <v>0</v>
      </c>
      <c r="E17" s="24">
        <v>5</v>
      </c>
      <c r="F17" s="24" t="s">
        <v>1524</v>
      </c>
      <c r="G17" s="24">
        <v>1</v>
      </c>
      <c r="H17" s="25">
        <v>0.8</v>
      </c>
      <c r="I17" s="24">
        <v>1</v>
      </c>
    </row>
    <row r="18" spans="1:9" x14ac:dyDescent="0.2">
      <c r="A18" s="26">
        <v>17</v>
      </c>
      <c r="B18" s="24">
        <v>17</v>
      </c>
      <c r="C18" s="24">
        <v>2</v>
      </c>
      <c r="D18" s="24">
        <f>VLOOKUP(C18,[1]Course!$A$1:$C$229, 2, FALSE)</f>
        <v>0</v>
      </c>
      <c r="E18" s="24">
        <v>6</v>
      </c>
      <c r="F18" s="24" t="s">
        <v>1523</v>
      </c>
      <c r="G18" s="24">
        <v>1</v>
      </c>
      <c r="H18" s="25">
        <v>0.8</v>
      </c>
      <c r="I18" s="24">
        <v>1</v>
      </c>
    </row>
    <row r="19" spans="1:9" x14ac:dyDescent="0.2">
      <c r="A19" s="26">
        <v>18</v>
      </c>
      <c r="B19" s="24">
        <v>18</v>
      </c>
      <c r="C19" s="24">
        <v>2</v>
      </c>
      <c r="D19" s="24">
        <f>VLOOKUP(C19,[1]Course!$A$1:$C$229, 2, FALSE)</f>
        <v>0</v>
      </c>
      <c r="E19" s="24">
        <v>7</v>
      </c>
      <c r="F19" s="24" t="s">
        <v>1522</v>
      </c>
      <c r="G19" s="24">
        <v>1</v>
      </c>
      <c r="H19" s="25">
        <v>0.8</v>
      </c>
      <c r="I19" s="24">
        <v>1</v>
      </c>
    </row>
    <row r="20" spans="1:9" x14ac:dyDescent="0.2">
      <c r="A20" s="26">
        <v>19</v>
      </c>
      <c r="B20" s="24">
        <v>19</v>
      </c>
      <c r="C20" s="24">
        <v>2</v>
      </c>
      <c r="D20" s="24">
        <f>VLOOKUP(C20,[1]Course!$A$1:$C$229, 2, FALSE)</f>
        <v>0</v>
      </c>
      <c r="E20" s="24">
        <v>8</v>
      </c>
      <c r="F20" s="24" t="s">
        <v>1521</v>
      </c>
      <c r="G20" s="24">
        <v>1</v>
      </c>
      <c r="H20" s="25">
        <v>0.8</v>
      </c>
      <c r="I20" s="24">
        <v>1</v>
      </c>
    </row>
    <row r="21" spans="1:9" ht="15.75" customHeight="1" x14ac:dyDescent="0.2">
      <c r="A21" s="26">
        <v>20</v>
      </c>
      <c r="B21" s="24">
        <v>20</v>
      </c>
      <c r="C21" s="24">
        <v>2</v>
      </c>
      <c r="D21" s="24">
        <f>VLOOKUP(C21,[1]Course!$A$1:$C$229, 2, FALSE)</f>
        <v>0</v>
      </c>
      <c r="E21" s="24">
        <v>9</v>
      </c>
      <c r="F21" s="24" t="s">
        <v>1520</v>
      </c>
      <c r="G21" s="24">
        <v>1</v>
      </c>
      <c r="H21" s="25">
        <v>0.8</v>
      </c>
      <c r="I21" s="24">
        <v>1</v>
      </c>
    </row>
    <row r="22" spans="1:9" ht="15.75" customHeight="1" x14ac:dyDescent="0.2">
      <c r="A22" s="26">
        <v>21</v>
      </c>
      <c r="B22" s="24">
        <v>21</v>
      </c>
      <c r="C22" s="24">
        <v>2</v>
      </c>
      <c r="D22" s="24">
        <f>VLOOKUP(C22,[1]Course!$A$1:$C$229, 2, FALSE)</f>
        <v>0</v>
      </c>
      <c r="E22" s="24">
        <v>10</v>
      </c>
      <c r="F22" s="24" t="s">
        <v>1519</v>
      </c>
      <c r="G22" s="24">
        <v>1</v>
      </c>
      <c r="H22" s="25">
        <v>0.8</v>
      </c>
      <c r="I22" s="24">
        <v>1</v>
      </c>
    </row>
    <row r="23" spans="1:9" ht="15.75" customHeight="1" x14ac:dyDescent="0.2">
      <c r="A23" s="26">
        <v>22</v>
      </c>
      <c r="B23" s="24">
        <v>22</v>
      </c>
      <c r="C23" s="24">
        <v>2</v>
      </c>
      <c r="D23" s="24">
        <f>VLOOKUP(C23,[1]Course!$A$1:$C$229, 2, FALSE)</f>
        <v>0</v>
      </c>
      <c r="E23" s="24">
        <v>11</v>
      </c>
      <c r="F23" s="24" t="s">
        <v>1518</v>
      </c>
      <c r="G23" s="24">
        <v>1</v>
      </c>
      <c r="H23" s="25">
        <v>0.8</v>
      </c>
      <c r="I23" s="24">
        <v>1</v>
      </c>
    </row>
    <row r="24" spans="1:9" ht="15.75" customHeight="1" x14ac:dyDescent="0.2">
      <c r="A24" s="26">
        <v>23</v>
      </c>
      <c r="B24" s="24">
        <v>23</v>
      </c>
      <c r="C24" s="24">
        <v>2</v>
      </c>
      <c r="D24" s="24">
        <f>VLOOKUP(C24,[1]Course!$A$1:$C$229, 2, FALSE)</f>
        <v>0</v>
      </c>
      <c r="E24" s="24">
        <v>12</v>
      </c>
      <c r="F24" s="24" t="s">
        <v>1517</v>
      </c>
      <c r="G24" s="24">
        <v>1</v>
      </c>
      <c r="H24" s="25">
        <v>0.8</v>
      </c>
      <c r="I24" s="24">
        <v>1</v>
      </c>
    </row>
    <row r="25" spans="1:9" ht="15.75" customHeight="1" x14ac:dyDescent="0.2">
      <c r="A25" s="26">
        <v>24</v>
      </c>
      <c r="B25" s="24">
        <v>24</v>
      </c>
      <c r="C25" s="24">
        <v>3</v>
      </c>
      <c r="D25" s="24">
        <f>VLOOKUP(C25,[1]Course!$A$1:$C$229, 2, FALSE)</f>
        <v>0</v>
      </c>
      <c r="E25" s="24">
        <v>1</v>
      </c>
      <c r="F25" s="24" t="s">
        <v>897</v>
      </c>
      <c r="G25" s="24">
        <v>1</v>
      </c>
      <c r="H25" s="25">
        <v>0.8</v>
      </c>
      <c r="I25" s="24">
        <v>1</v>
      </c>
    </row>
    <row r="26" spans="1:9" ht="15.75" customHeight="1" x14ac:dyDescent="0.2">
      <c r="A26" s="26">
        <v>25</v>
      </c>
      <c r="B26" s="24">
        <v>25</v>
      </c>
      <c r="C26" s="24">
        <v>3</v>
      </c>
      <c r="D26" s="24">
        <f>VLOOKUP(C26,[1]Course!$A$1:$C$229, 2, FALSE)</f>
        <v>0</v>
      </c>
      <c r="E26" s="24">
        <v>2</v>
      </c>
      <c r="F26" s="24" t="s">
        <v>896</v>
      </c>
      <c r="G26" s="24">
        <v>1</v>
      </c>
      <c r="H26" s="25">
        <v>0.8</v>
      </c>
      <c r="I26" s="24">
        <v>1</v>
      </c>
    </row>
    <row r="27" spans="1:9" ht="15.75" customHeight="1" x14ac:dyDescent="0.2">
      <c r="A27" s="26">
        <v>26</v>
      </c>
      <c r="B27" s="24">
        <v>26</v>
      </c>
      <c r="C27" s="24">
        <v>3</v>
      </c>
      <c r="D27" s="24">
        <f>VLOOKUP(C27,[1]Course!$A$1:$C$229, 2, FALSE)</f>
        <v>0</v>
      </c>
      <c r="E27" s="24">
        <v>3</v>
      </c>
      <c r="F27" s="24" t="s">
        <v>895</v>
      </c>
      <c r="G27" s="24">
        <v>1</v>
      </c>
      <c r="H27" s="25">
        <v>0.8</v>
      </c>
      <c r="I27" s="24">
        <v>1</v>
      </c>
    </row>
    <row r="28" spans="1:9" ht="15.75" customHeight="1" x14ac:dyDescent="0.2">
      <c r="A28" s="26">
        <v>27</v>
      </c>
      <c r="B28" s="24">
        <v>27</v>
      </c>
      <c r="C28" s="24">
        <v>3</v>
      </c>
      <c r="D28" s="24">
        <f>VLOOKUP(C28,[1]Course!$A$1:$C$229, 2, FALSE)</f>
        <v>0</v>
      </c>
      <c r="E28" s="24">
        <v>4</v>
      </c>
      <c r="F28" s="24" t="s">
        <v>894</v>
      </c>
      <c r="G28" s="24">
        <v>1</v>
      </c>
      <c r="H28" s="25">
        <v>0.8</v>
      </c>
      <c r="I28" s="24">
        <v>1</v>
      </c>
    </row>
    <row r="29" spans="1:9" ht="15.75" customHeight="1" x14ac:dyDescent="0.2">
      <c r="A29" s="26">
        <v>28</v>
      </c>
      <c r="B29" s="24">
        <v>28</v>
      </c>
      <c r="C29" s="24">
        <v>3</v>
      </c>
      <c r="D29" s="24">
        <f>VLOOKUP(C29,[1]Course!$A$1:$C$229, 2, FALSE)</f>
        <v>0</v>
      </c>
      <c r="E29" s="24">
        <v>5</v>
      </c>
      <c r="F29" s="24" t="s">
        <v>893</v>
      </c>
      <c r="G29" s="24">
        <v>1</v>
      </c>
      <c r="H29" s="25">
        <v>0.8</v>
      </c>
      <c r="I29" s="24">
        <v>1</v>
      </c>
    </row>
    <row r="30" spans="1:9" ht="15.75" customHeight="1" x14ac:dyDescent="0.2">
      <c r="A30" s="26">
        <v>29</v>
      </c>
      <c r="B30" s="24">
        <v>29</v>
      </c>
      <c r="C30" s="24">
        <v>3</v>
      </c>
      <c r="D30" s="24">
        <f>VLOOKUP(C30,[1]Course!$A$1:$C$229, 2, FALSE)</f>
        <v>0</v>
      </c>
      <c r="E30" s="24">
        <v>6</v>
      </c>
      <c r="F30" s="24" t="s">
        <v>892</v>
      </c>
      <c r="G30" s="24">
        <v>1</v>
      </c>
      <c r="H30" s="25">
        <v>0.8</v>
      </c>
      <c r="I30" s="24">
        <v>1</v>
      </c>
    </row>
    <row r="31" spans="1:9" ht="15.75" customHeight="1" x14ac:dyDescent="0.2">
      <c r="A31" s="26">
        <v>30</v>
      </c>
      <c r="B31" s="24">
        <v>30</v>
      </c>
      <c r="C31" s="24">
        <v>3</v>
      </c>
      <c r="D31" s="24">
        <f>VLOOKUP(C31,[1]Course!$A$1:$C$229, 2, FALSE)</f>
        <v>0</v>
      </c>
      <c r="E31" s="24">
        <v>7</v>
      </c>
      <c r="F31" s="24" t="s">
        <v>891</v>
      </c>
      <c r="G31" s="24">
        <v>1</v>
      </c>
      <c r="H31" s="25">
        <v>0.8</v>
      </c>
      <c r="I31" s="24">
        <v>1</v>
      </c>
    </row>
    <row r="32" spans="1:9" ht="15.75" customHeight="1" x14ac:dyDescent="0.2">
      <c r="A32" s="26">
        <v>31</v>
      </c>
      <c r="B32" s="24">
        <v>31</v>
      </c>
      <c r="C32" s="24">
        <v>3</v>
      </c>
      <c r="D32" s="24">
        <f>VLOOKUP(C32,[1]Course!$A$1:$C$229, 2, FALSE)</f>
        <v>0</v>
      </c>
      <c r="E32" s="24">
        <v>8</v>
      </c>
      <c r="F32" s="24" t="s">
        <v>890</v>
      </c>
      <c r="G32" s="24">
        <v>1</v>
      </c>
      <c r="H32" s="25">
        <v>0.8</v>
      </c>
      <c r="I32" s="24">
        <v>1</v>
      </c>
    </row>
    <row r="33" spans="1:9" ht="15.75" customHeight="1" x14ac:dyDescent="0.2">
      <c r="A33" s="26">
        <v>32</v>
      </c>
      <c r="B33" s="24">
        <v>32</v>
      </c>
      <c r="C33" s="24">
        <v>3</v>
      </c>
      <c r="D33" s="24">
        <f>VLOOKUP(C33,[1]Course!$A$1:$C$229, 2, FALSE)</f>
        <v>0</v>
      </c>
      <c r="E33" s="24">
        <v>9</v>
      </c>
      <c r="F33" s="24" t="s">
        <v>702</v>
      </c>
      <c r="G33" s="24">
        <v>1</v>
      </c>
      <c r="H33" s="25">
        <v>0.8</v>
      </c>
      <c r="I33" s="24">
        <v>1</v>
      </c>
    </row>
    <row r="34" spans="1:9" ht="15.75" customHeight="1" x14ac:dyDescent="0.2">
      <c r="A34" s="26">
        <v>33</v>
      </c>
      <c r="B34" s="24">
        <v>33</v>
      </c>
      <c r="C34" s="24">
        <v>3</v>
      </c>
      <c r="D34" s="24">
        <f>VLOOKUP(C34,[1]Course!$A$1:$C$229, 2, FALSE)</f>
        <v>0</v>
      </c>
      <c r="E34" s="24">
        <v>10</v>
      </c>
      <c r="F34" s="24" t="s">
        <v>701</v>
      </c>
      <c r="G34" s="24">
        <v>1</v>
      </c>
      <c r="H34" s="25">
        <v>0.8</v>
      </c>
      <c r="I34" s="24">
        <v>1</v>
      </c>
    </row>
    <row r="35" spans="1:9" ht="15.75" customHeight="1" x14ac:dyDescent="0.2">
      <c r="A35" s="26">
        <v>34</v>
      </c>
      <c r="B35" s="24">
        <v>34</v>
      </c>
      <c r="C35" s="24">
        <v>3</v>
      </c>
      <c r="D35" s="24">
        <f>VLOOKUP(C35,[1]Course!$A$1:$C$229, 2, FALSE)</f>
        <v>0</v>
      </c>
      <c r="E35" s="24">
        <v>11</v>
      </c>
      <c r="F35" s="24" t="s">
        <v>700</v>
      </c>
      <c r="G35" s="24">
        <v>1</v>
      </c>
      <c r="H35" s="25">
        <v>0.8</v>
      </c>
      <c r="I35" s="24">
        <v>1</v>
      </c>
    </row>
    <row r="36" spans="1:9" ht="15.75" customHeight="1" x14ac:dyDescent="0.2">
      <c r="A36" s="26">
        <v>35</v>
      </c>
      <c r="B36" s="24">
        <v>35</v>
      </c>
      <c r="C36" s="24">
        <v>3</v>
      </c>
      <c r="D36" s="24">
        <f>VLOOKUP(C36,[1]Course!$A$1:$C$229, 2, FALSE)</f>
        <v>0</v>
      </c>
      <c r="E36" s="24">
        <v>12</v>
      </c>
      <c r="F36" s="24" t="s">
        <v>699</v>
      </c>
      <c r="G36" s="24">
        <v>1</v>
      </c>
      <c r="H36" s="25">
        <v>0.8</v>
      </c>
      <c r="I36" s="24">
        <v>1</v>
      </c>
    </row>
    <row r="37" spans="1:9" ht="15.75" customHeight="1" x14ac:dyDescent="0.2">
      <c r="A37" s="26">
        <v>36</v>
      </c>
      <c r="B37" s="24">
        <v>36</v>
      </c>
      <c r="C37" s="24">
        <v>4</v>
      </c>
      <c r="D37" s="24">
        <f>VLOOKUP(C37,[1]Course!$A$1:$C$229, 2, FALSE)</f>
        <v>0</v>
      </c>
      <c r="E37" s="24">
        <v>1</v>
      </c>
      <c r="F37" s="24" t="s">
        <v>1516</v>
      </c>
      <c r="G37" s="24">
        <v>1</v>
      </c>
      <c r="H37" s="25">
        <v>0.9</v>
      </c>
      <c r="I37" s="24">
        <v>1</v>
      </c>
    </row>
    <row r="38" spans="1:9" ht="15.75" customHeight="1" x14ac:dyDescent="0.2">
      <c r="A38" s="26">
        <v>37</v>
      </c>
      <c r="B38" s="24">
        <v>37</v>
      </c>
      <c r="C38" s="24">
        <v>4</v>
      </c>
      <c r="D38" s="24">
        <f>VLOOKUP(C38,[1]Course!$A$1:$C$229, 2, FALSE)</f>
        <v>0</v>
      </c>
      <c r="E38" s="24">
        <v>2</v>
      </c>
      <c r="F38" s="24" t="s">
        <v>1515</v>
      </c>
      <c r="G38" s="24">
        <v>1</v>
      </c>
      <c r="H38" s="25">
        <v>0.9</v>
      </c>
      <c r="I38" s="24">
        <v>1</v>
      </c>
    </row>
    <row r="39" spans="1:9" ht="15.75" customHeight="1" x14ac:dyDescent="0.2">
      <c r="A39" s="26">
        <v>38</v>
      </c>
      <c r="B39" s="24">
        <v>38</v>
      </c>
      <c r="C39" s="24">
        <v>4</v>
      </c>
      <c r="D39" s="24">
        <f>VLOOKUP(C39,[1]Course!$A$1:$C$229, 2, FALSE)</f>
        <v>0</v>
      </c>
      <c r="E39" s="24">
        <v>3</v>
      </c>
      <c r="F39" s="24" t="s">
        <v>1514</v>
      </c>
      <c r="G39" s="24">
        <v>1</v>
      </c>
      <c r="H39" s="25">
        <v>0.9</v>
      </c>
      <c r="I39" s="24">
        <v>1</v>
      </c>
    </row>
    <row r="40" spans="1:9" ht="15.75" customHeight="1" x14ac:dyDescent="0.2">
      <c r="A40" s="26">
        <v>39</v>
      </c>
      <c r="B40" s="24">
        <v>39</v>
      </c>
      <c r="C40" s="24">
        <v>4</v>
      </c>
      <c r="D40" s="24">
        <f>VLOOKUP(C40,[1]Course!$A$1:$C$229, 2, FALSE)</f>
        <v>0</v>
      </c>
      <c r="E40" s="24">
        <v>4</v>
      </c>
      <c r="F40" s="24" t="s">
        <v>1513</v>
      </c>
      <c r="G40" s="24">
        <v>1</v>
      </c>
      <c r="H40" s="25">
        <v>0.9</v>
      </c>
      <c r="I40" s="24">
        <v>1</v>
      </c>
    </row>
    <row r="41" spans="1:9" ht="15.75" customHeight="1" x14ac:dyDescent="0.2">
      <c r="A41" s="26">
        <v>40</v>
      </c>
      <c r="B41" s="24">
        <v>40</v>
      </c>
      <c r="C41" s="24">
        <v>4</v>
      </c>
      <c r="D41" s="24">
        <f>VLOOKUP(C41,[1]Course!$A$1:$C$229, 2, FALSE)</f>
        <v>0</v>
      </c>
      <c r="E41" s="24">
        <v>5</v>
      </c>
      <c r="F41" s="24" t="s">
        <v>1512</v>
      </c>
      <c r="G41" s="24">
        <v>1</v>
      </c>
      <c r="H41" s="25">
        <v>0.9</v>
      </c>
      <c r="I41" s="24">
        <v>1</v>
      </c>
    </row>
    <row r="42" spans="1:9" ht="15.75" customHeight="1" x14ac:dyDescent="0.2">
      <c r="A42" s="26">
        <v>41</v>
      </c>
      <c r="B42" s="24">
        <v>41</v>
      </c>
      <c r="C42" s="24">
        <v>4</v>
      </c>
      <c r="D42" s="24">
        <f>VLOOKUP(C42,[1]Course!$A$1:$C$229, 2, FALSE)</f>
        <v>0</v>
      </c>
      <c r="E42" s="24">
        <v>6</v>
      </c>
      <c r="F42" s="24" t="s">
        <v>1511</v>
      </c>
      <c r="G42" s="24">
        <v>1</v>
      </c>
      <c r="H42" s="25">
        <v>0.9</v>
      </c>
      <c r="I42" s="24">
        <v>1</v>
      </c>
    </row>
    <row r="43" spans="1:9" ht="15.75" customHeight="1" x14ac:dyDescent="0.2">
      <c r="A43" s="26">
        <v>42</v>
      </c>
      <c r="B43" s="24">
        <v>42</v>
      </c>
      <c r="C43" s="24">
        <v>4</v>
      </c>
      <c r="D43" s="24">
        <f>VLOOKUP(C43,[1]Course!$A$1:$C$229, 2, FALSE)</f>
        <v>0</v>
      </c>
      <c r="E43" s="24">
        <v>7</v>
      </c>
      <c r="F43" s="24" t="s">
        <v>1510</v>
      </c>
      <c r="G43" s="24">
        <v>1</v>
      </c>
      <c r="H43" s="25">
        <v>0.9</v>
      </c>
      <c r="I43" s="24">
        <v>1</v>
      </c>
    </row>
    <row r="44" spans="1:9" ht="15.75" customHeight="1" x14ac:dyDescent="0.2">
      <c r="A44" s="26">
        <v>43</v>
      </c>
      <c r="B44" s="24">
        <v>43</v>
      </c>
      <c r="C44" s="24">
        <v>4</v>
      </c>
      <c r="D44" s="24">
        <f>VLOOKUP(C44,[1]Course!$A$1:$C$229, 2, FALSE)</f>
        <v>0</v>
      </c>
      <c r="E44" s="24">
        <v>8</v>
      </c>
      <c r="F44" s="24" t="s">
        <v>1509</v>
      </c>
      <c r="G44" s="24">
        <v>1</v>
      </c>
      <c r="H44" s="25">
        <v>0.9</v>
      </c>
      <c r="I44" s="24">
        <v>1</v>
      </c>
    </row>
    <row r="45" spans="1:9" ht="15.75" customHeight="1" x14ac:dyDescent="0.2">
      <c r="A45" s="26">
        <v>44</v>
      </c>
      <c r="B45" s="24">
        <v>44</v>
      </c>
      <c r="C45" s="24">
        <v>4</v>
      </c>
      <c r="D45" s="24">
        <f>VLOOKUP(C45,[1]Course!$A$1:$C$229, 2, FALSE)</f>
        <v>0</v>
      </c>
      <c r="E45" s="24">
        <v>9</v>
      </c>
      <c r="F45" s="24" t="s">
        <v>1508</v>
      </c>
      <c r="G45" s="24">
        <v>1</v>
      </c>
      <c r="H45" s="25">
        <v>0.9</v>
      </c>
      <c r="I45" s="24">
        <v>1</v>
      </c>
    </row>
    <row r="46" spans="1:9" ht="15.75" customHeight="1" x14ac:dyDescent="0.2">
      <c r="A46" s="26">
        <v>45</v>
      </c>
      <c r="B46" s="24">
        <v>45</v>
      </c>
      <c r="C46" s="24">
        <v>4</v>
      </c>
      <c r="D46" s="24">
        <f>VLOOKUP(C46,[1]Course!$A$1:$C$229, 2, FALSE)</f>
        <v>0</v>
      </c>
      <c r="E46" s="24">
        <v>10</v>
      </c>
      <c r="F46" s="24" t="s">
        <v>1507</v>
      </c>
      <c r="G46" s="24">
        <v>1</v>
      </c>
      <c r="H46" s="25">
        <v>0.9</v>
      </c>
      <c r="I46" s="24">
        <v>1</v>
      </c>
    </row>
    <row r="47" spans="1:9" ht="15.75" customHeight="1" x14ac:dyDescent="0.2">
      <c r="A47" s="26">
        <v>46</v>
      </c>
      <c r="B47" s="24">
        <v>46</v>
      </c>
      <c r="C47" s="24">
        <v>4</v>
      </c>
      <c r="D47" s="24">
        <f>VLOOKUP(C47,[1]Course!$A$1:$C$229, 2, FALSE)</f>
        <v>0</v>
      </c>
      <c r="E47" s="24">
        <v>11</v>
      </c>
      <c r="F47" s="24" t="s">
        <v>1506</v>
      </c>
      <c r="G47" s="24">
        <v>1</v>
      </c>
      <c r="H47" s="25">
        <v>0.9</v>
      </c>
      <c r="I47" s="24">
        <v>1</v>
      </c>
    </row>
    <row r="48" spans="1:9" ht="15.75" customHeight="1" x14ac:dyDescent="0.2">
      <c r="A48" s="26">
        <v>47</v>
      </c>
      <c r="B48" s="24">
        <v>47</v>
      </c>
      <c r="C48" s="24">
        <v>4</v>
      </c>
      <c r="D48" s="24">
        <f>VLOOKUP(C48,[1]Course!$A$1:$C$229, 2, FALSE)</f>
        <v>0</v>
      </c>
      <c r="E48" s="24">
        <v>12</v>
      </c>
      <c r="F48" s="24" t="s">
        <v>1505</v>
      </c>
      <c r="G48" s="24">
        <v>1</v>
      </c>
      <c r="H48" s="25">
        <v>0.9</v>
      </c>
      <c r="I48" s="24">
        <v>1</v>
      </c>
    </row>
    <row r="49" spans="1:9" ht="15.75" customHeight="1" x14ac:dyDescent="0.2">
      <c r="A49" s="26">
        <v>48</v>
      </c>
      <c r="B49" s="24">
        <v>48</v>
      </c>
      <c r="C49" s="24">
        <v>5</v>
      </c>
      <c r="D49" s="24">
        <f>VLOOKUP(C49,[1]Course!$A$1:$C$229, 2, FALSE)</f>
        <v>0</v>
      </c>
      <c r="E49" s="24">
        <v>1</v>
      </c>
      <c r="F49" s="24" t="s">
        <v>1504</v>
      </c>
      <c r="G49" s="24">
        <v>1</v>
      </c>
      <c r="H49" s="25">
        <v>0.8</v>
      </c>
      <c r="I49" s="24">
        <v>1</v>
      </c>
    </row>
    <row r="50" spans="1:9" ht="15.75" customHeight="1" x14ac:dyDescent="0.2">
      <c r="A50" s="26">
        <v>49</v>
      </c>
      <c r="B50" s="24">
        <v>49</v>
      </c>
      <c r="C50" s="24">
        <v>5</v>
      </c>
      <c r="D50" s="24">
        <f>VLOOKUP(C50,[1]Course!$A$1:$C$229, 2, FALSE)</f>
        <v>0</v>
      </c>
      <c r="E50" s="24">
        <v>2</v>
      </c>
      <c r="F50" s="24" t="s">
        <v>809</v>
      </c>
      <c r="G50" s="24">
        <v>1</v>
      </c>
      <c r="H50" s="25">
        <v>0.8</v>
      </c>
      <c r="I50" s="24">
        <v>1</v>
      </c>
    </row>
    <row r="51" spans="1:9" ht="15.75" customHeight="1" x14ac:dyDescent="0.2">
      <c r="A51" s="26">
        <v>50</v>
      </c>
      <c r="B51" s="24">
        <v>50</v>
      </c>
      <c r="C51" s="24">
        <v>5</v>
      </c>
      <c r="D51" s="24">
        <f>VLOOKUP(C51,[1]Course!$A$1:$C$229, 2, FALSE)</f>
        <v>0</v>
      </c>
      <c r="E51" s="24">
        <v>3</v>
      </c>
      <c r="F51" s="24" t="s">
        <v>1503</v>
      </c>
      <c r="G51" s="24">
        <v>1</v>
      </c>
      <c r="H51" s="25">
        <v>0.8</v>
      </c>
      <c r="I51" s="24">
        <v>1</v>
      </c>
    </row>
    <row r="52" spans="1:9" ht="15.75" customHeight="1" x14ac:dyDescent="0.2">
      <c r="A52" s="26">
        <v>51</v>
      </c>
      <c r="B52" s="24">
        <v>51</v>
      </c>
      <c r="C52" s="24">
        <v>5</v>
      </c>
      <c r="D52" s="24">
        <f>VLOOKUP(C52,[1]Course!$A$1:$C$229, 2, FALSE)</f>
        <v>0</v>
      </c>
      <c r="E52" s="24">
        <v>4</v>
      </c>
      <c r="F52" s="24" t="s">
        <v>808</v>
      </c>
      <c r="G52" s="24">
        <v>1</v>
      </c>
      <c r="H52" s="25">
        <v>0.8</v>
      </c>
      <c r="I52" s="24">
        <v>1</v>
      </c>
    </row>
    <row r="53" spans="1:9" ht="15.75" customHeight="1" x14ac:dyDescent="0.2">
      <c r="A53" s="26">
        <v>52</v>
      </c>
      <c r="B53" s="24">
        <v>52</v>
      </c>
      <c r="C53" s="24">
        <v>5</v>
      </c>
      <c r="D53" s="24">
        <f>VLOOKUP(C53,[1]Course!$A$1:$C$229, 2, FALSE)</f>
        <v>0</v>
      </c>
      <c r="E53" s="24">
        <v>5</v>
      </c>
      <c r="F53" s="24" t="s">
        <v>1502</v>
      </c>
      <c r="G53" s="24">
        <v>1</v>
      </c>
      <c r="H53" s="25">
        <v>0.8</v>
      </c>
      <c r="I53" s="24">
        <v>1</v>
      </c>
    </row>
    <row r="54" spans="1:9" ht="15.75" customHeight="1" x14ac:dyDescent="0.2">
      <c r="A54" s="26">
        <v>53</v>
      </c>
      <c r="B54" s="24">
        <v>53</v>
      </c>
      <c r="C54" s="24">
        <v>5</v>
      </c>
      <c r="D54" s="24">
        <f>VLOOKUP(C54,[1]Course!$A$1:$C$229, 2, FALSE)</f>
        <v>0</v>
      </c>
      <c r="E54" s="24">
        <v>6</v>
      </c>
      <c r="F54" s="24" t="s">
        <v>807</v>
      </c>
      <c r="G54" s="24">
        <v>1</v>
      </c>
      <c r="H54" s="25">
        <v>0.8</v>
      </c>
      <c r="I54" s="24">
        <v>1</v>
      </c>
    </row>
    <row r="55" spans="1:9" ht="15.75" customHeight="1" x14ac:dyDescent="0.2">
      <c r="A55" s="26">
        <v>54</v>
      </c>
      <c r="B55" s="24">
        <v>54</v>
      </c>
      <c r="C55" s="24">
        <v>5</v>
      </c>
      <c r="D55" s="24">
        <f>VLOOKUP(C55,[1]Course!$A$1:$C$229, 2, FALSE)</f>
        <v>0</v>
      </c>
      <c r="E55" s="24">
        <v>7</v>
      </c>
      <c r="F55" s="24" t="s">
        <v>1501</v>
      </c>
      <c r="G55" s="24">
        <v>1</v>
      </c>
      <c r="H55" s="25">
        <v>0.8</v>
      </c>
      <c r="I55" s="24">
        <v>1</v>
      </c>
    </row>
    <row r="56" spans="1:9" ht="15.75" customHeight="1" x14ac:dyDescent="0.2">
      <c r="A56" s="26">
        <v>55</v>
      </c>
      <c r="B56" s="24">
        <v>55</v>
      </c>
      <c r="C56" s="24">
        <v>5</v>
      </c>
      <c r="D56" s="24">
        <f>VLOOKUP(C56,[1]Course!$A$1:$C$229, 2, FALSE)</f>
        <v>0</v>
      </c>
      <c r="E56" s="24">
        <v>8</v>
      </c>
      <c r="F56" s="24" t="s">
        <v>399</v>
      </c>
      <c r="G56" s="24">
        <v>1</v>
      </c>
      <c r="H56" s="25">
        <v>0.8</v>
      </c>
      <c r="I56" s="24">
        <v>1</v>
      </c>
    </row>
    <row r="57" spans="1:9" ht="15.75" customHeight="1" x14ac:dyDescent="0.2">
      <c r="A57" s="26">
        <v>56</v>
      </c>
      <c r="B57" s="24">
        <v>56</v>
      </c>
      <c r="C57" s="24">
        <v>5</v>
      </c>
      <c r="D57" s="24">
        <f>VLOOKUP(C57,[1]Course!$A$1:$C$229, 2, FALSE)</f>
        <v>0</v>
      </c>
      <c r="E57" s="24">
        <v>9</v>
      </c>
      <c r="F57" s="24" t="s">
        <v>1500</v>
      </c>
      <c r="G57" s="24">
        <v>1</v>
      </c>
      <c r="H57" s="25">
        <v>0.8</v>
      </c>
      <c r="I57" s="24">
        <v>1</v>
      </c>
    </row>
    <row r="58" spans="1:9" ht="15.75" customHeight="1" x14ac:dyDescent="0.2">
      <c r="A58" s="26">
        <v>57</v>
      </c>
      <c r="B58" s="24">
        <v>57</v>
      </c>
      <c r="C58" s="24">
        <v>5</v>
      </c>
      <c r="D58" s="24">
        <f>VLOOKUP(C58,[1]Course!$A$1:$C$229, 2, FALSE)</f>
        <v>0</v>
      </c>
      <c r="E58" s="24">
        <v>10</v>
      </c>
      <c r="F58" s="24" t="s">
        <v>1499</v>
      </c>
      <c r="G58" s="24">
        <v>1</v>
      </c>
      <c r="H58" s="25">
        <v>0.8</v>
      </c>
      <c r="I58" s="24">
        <v>1</v>
      </c>
    </row>
    <row r="59" spans="1:9" ht="15.75" customHeight="1" x14ac:dyDescent="0.2">
      <c r="A59" s="26">
        <v>58</v>
      </c>
      <c r="B59" s="24">
        <v>58</v>
      </c>
      <c r="C59" s="24">
        <v>5</v>
      </c>
      <c r="D59" s="24">
        <f>VLOOKUP(C59,[1]Course!$A$1:$C$229, 2, FALSE)</f>
        <v>0</v>
      </c>
      <c r="E59" s="24">
        <v>11</v>
      </c>
      <c r="F59" s="24" t="s">
        <v>1498</v>
      </c>
      <c r="G59" s="24">
        <v>1</v>
      </c>
      <c r="H59" s="25">
        <v>0.8</v>
      </c>
      <c r="I59" s="24">
        <v>1</v>
      </c>
    </row>
    <row r="60" spans="1:9" ht="15.75" customHeight="1" x14ac:dyDescent="0.2">
      <c r="A60" s="26">
        <v>59</v>
      </c>
      <c r="B60" s="24">
        <v>59</v>
      </c>
      <c r="C60" s="24">
        <v>5</v>
      </c>
      <c r="D60" s="24">
        <f>VLOOKUP(C60,[1]Course!$A$1:$C$229, 2, FALSE)</f>
        <v>0</v>
      </c>
      <c r="E60" s="24">
        <v>12</v>
      </c>
      <c r="F60" s="24" t="s">
        <v>1497</v>
      </c>
      <c r="G60" s="24">
        <v>1</v>
      </c>
      <c r="H60" s="25">
        <v>0.8</v>
      </c>
      <c r="I60" s="24">
        <v>1</v>
      </c>
    </row>
    <row r="61" spans="1:9" ht="15.75" customHeight="1" x14ac:dyDescent="0.2">
      <c r="A61" s="26">
        <v>60</v>
      </c>
      <c r="B61" s="24">
        <v>60</v>
      </c>
      <c r="C61" s="24">
        <v>6</v>
      </c>
      <c r="D61" s="24" t="str">
        <f>VLOOKUP(C61,[1]Course!$A$1:$C$229, 2, FALSE)</f>
        <v>Science 1</v>
      </c>
      <c r="E61" s="24">
        <v>1</v>
      </c>
      <c r="F61" s="24" t="s">
        <v>1496</v>
      </c>
      <c r="G61" s="24">
        <v>1</v>
      </c>
      <c r="H61" s="25">
        <v>0.8</v>
      </c>
      <c r="I61" s="24">
        <v>1</v>
      </c>
    </row>
    <row r="62" spans="1:9" ht="15.75" customHeight="1" x14ac:dyDescent="0.2">
      <c r="A62" s="26">
        <v>61</v>
      </c>
      <c r="B62" s="24">
        <v>61</v>
      </c>
      <c r="C62" s="24">
        <v>6</v>
      </c>
      <c r="D62" s="24" t="str">
        <f>VLOOKUP(C62,[1]Course!$A$1:$C$229, 2, FALSE)</f>
        <v>Science 1</v>
      </c>
      <c r="E62" s="24">
        <v>2</v>
      </c>
      <c r="F62" s="24" t="s">
        <v>1495</v>
      </c>
      <c r="G62" s="24">
        <v>1</v>
      </c>
      <c r="H62" s="25">
        <v>0.8</v>
      </c>
      <c r="I62" s="24">
        <v>1</v>
      </c>
    </row>
    <row r="63" spans="1:9" ht="15.75" customHeight="1" x14ac:dyDescent="0.2">
      <c r="A63" s="26">
        <v>62</v>
      </c>
      <c r="B63" s="24">
        <v>62</v>
      </c>
      <c r="C63" s="24">
        <v>6</v>
      </c>
      <c r="D63" s="24" t="str">
        <f>VLOOKUP(C63,[1]Course!$A$1:$C$229, 2, FALSE)</f>
        <v>Science 1</v>
      </c>
      <c r="E63" s="24">
        <v>3</v>
      </c>
      <c r="F63" s="24" t="s">
        <v>1494</v>
      </c>
      <c r="G63" s="24">
        <v>1</v>
      </c>
      <c r="H63" s="25">
        <v>0.8</v>
      </c>
      <c r="I63" s="24">
        <v>1</v>
      </c>
    </row>
    <row r="64" spans="1:9" ht="15.75" customHeight="1" x14ac:dyDescent="0.2">
      <c r="A64" s="26">
        <v>63</v>
      </c>
      <c r="B64" s="24">
        <v>63</v>
      </c>
      <c r="C64" s="24">
        <v>6</v>
      </c>
      <c r="D64" s="24" t="str">
        <f>VLOOKUP(C64,[1]Course!$A$1:$C$229, 2, FALSE)</f>
        <v>Science 1</v>
      </c>
      <c r="E64" s="24">
        <v>4</v>
      </c>
      <c r="F64" s="24" t="s">
        <v>1493</v>
      </c>
      <c r="G64" s="24">
        <v>1</v>
      </c>
      <c r="H64" s="25">
        <v>0.8</v>
      </c>
      <c r="I64" s="24">
        <v>1</v>
      </c>
    </row>
    <row r="65" spans="1:9" ht="15.75" customHeight="1" x14ac:dyDescent="0.2">
      <c r="A65" s="26">
        <v>64</v>
      </c>
      <c r="B65" s="24">
        <v>64</v>
      </c>
      <c r="C65" s="24">
        <v>6</v>
      </c>
      <c r="D65" s="24" t="str">
        <f>VLOOKUP(C65,[1]Course!$A$1:$C$229, 2, FALSE)</f>
        <v>Science 1</v>
      </c>
      <c r="E65" s="24">
        <v>5</v>
      </c>
      <c r="F65" s="24" t="s">
        <v>1492</v>
      </c>
      <c r="G65" s="24">
        <v>1</v>
      </c>
      <c r="H65" s="25">
        <v>0.8</v>
      </c>
      <c r="I65" s="24">
        <v>1</v>
      </c>
    </row>
    <row r="66" spans="1:9" ht="15.75" customHeight="1" x14ac:dyDescent="0.2">
      <c r="A66" s="26">
        <v>65</v>
      </c>
      <c r="B66" s="24">
        <v>65</v>
      </c>
      <c r="C66" s="24">
        <v>6</v>
      </c>
      <c r="D66" s="24" t="str">
        <f>VLOOKUP(C66,[1]Course!$A$1:$C$229, 2, FALSE)</f>
        <v>Science 1</v>
      </c>
      <c r="E66" s="24">
        <v>6</v>
      </c>
      <c r="F66" s="24" t="s">
        <v>1491</v>
      </c>
      <c r="G66" s="24">
        <v>1</v>
      </c>
      <c r="H66" s="25">
        <v>0.8</v>
      </c>
      <c r="I66" s="24">
        <v>1</v>
      </c>
    </row>
    <row r="67" spans="1:9" ht="15.75" customHeight="1" x14ac:dyDescent="0.2">
      <c r="A67" s="26">
        <v>66</v>
      </c>
      <c r="B67" s="24">
        <v>66</v>
      </c>
      <c r="C67" s="24">
        <v>6</v>
      </c>
      <c r="D67" s="24" t="str">
        <f>VLOOKUP(C67,[1]Course!$A$1:$C$229, 2, FALSE)</f>
        <v>Science 1</v>
      </c>
      <c r="E67" s="24">
        <v>7</v>
      </c>
      <c r="F67" s="24" t="s">
        <v>1490</v>
      </c>
      <c r="G67" s="24">
        <v>1</v>
      </c>
      <c r="H67" s="25">
        <v>0.8</v>
      </c>
      <c r="I67" s="24">
        <v>1</v>
      </c>
    </row>
    <row r="68" spans="1:9" ht="15.75" customHeight="1" x14ac:dyDescent="0.2">
      <c r="A68" s="26">
        <v>67</v>
      </c>
      <c r="B68" s="24">
        <v>67</v>
      </c>
      <c r="C68" s="24">
        <v>6</v>
      </c>
      <c r="D68" s="24" t="str">
        <f>VLOOKUP(C68,[1]Course!$A$1:$C$229, 2, FALSE)</f>
        <v>Science 1</v>
      </c>
      <c r="E68" s="24">
        <v>8</v>
      </c>
      <c r="F68" s="24" t="s">
        <v>1489</v>
      </c>
      <c r="G68" s="24">
        <v>1</v>
      </c>
      <c r="H68" s="25">
        <v>0.8</v>
      </c>
      <c r="I68" s="24">
        <v>1</v>
      </c>
    </row>
    <row r="69" spans="1:9" ht="15.75" customHeight="1" x14ac:dyDescent="0.2">
      <c r="A69" s="26">
        <v>68</v>
      </c>
      <c r="B69" s="24">
        <v>68</v>
      </c>
      <c r="C69" s="24">
        <v>6</v>
      </c>
      <c r="D69" s="24" t="str">
        <f>VLOOKUP(C69,[1]Course!$A$1:$C$229, 2, FALSE)</f>
        <v>Science 1</v>
      </c>
      <c r="E69" s="24">
        <v>9</v>
      </c>
      <c r="F69" s="24" t="s">
        <v>1488</v>
      </c>
      <c r="G69" s="24">
        <v>1</v>
      </c>
      <c r="H69" s="25">
        <v>0.8</v>
      </c>
      <c r="I69" s="24">
        <v>1</v>
      </c>
    </row>
    <row r="70" spans="1:9" ht="15.75" customHeight="1" x14ac:dyDescent="0.2">
      <c r="A70" s="26">
        <v>69</v>
      </c>
      <c r="B70" s="24">
        <v>69</v>
      </c>
      <c r="C70" s="24">
        <v>6</v>
      </c>
      <c r="D70" s="24" t="str">
        <f>VLOOKUP(C70,[1]Course!$A$1:$C$229, 2, FALSE)</f>
        <v>Science 1</v>
      </c>
      <c r="E70" s="24">
        <v>10</v>
      </c>
      <c r="F70" s="24" t="s">
        <v>1487</v>
      </c>
      <c r="G70" s="24">
        <v>1</v>
      </c>
      <c r="H70" s="25">
        <v>0.8</v>
      </c>
      <c r="I70" s="24">
        <v>1</v>
      </c>
    </row>
    <row r="71" spans="1:9" ht="15.75" customHeight="1" x14ac:dyDescent="0.2">
      <c r="A71" s="26">
        <v>70</v>
      </c>
      <c r="B71" s="24">
        <v>70</v>
      </c>
      <c r="C71" s="24">
        <v>6</v>
      </c>
      <c r="D71" s="24" t="str">
        <f>VLOOKUP(C71,[1]Course!$A$1:$C$229, 2, FALSE)</f>
        <v>Science 1</v>
      </c>
      <c r="E71" s="24">
        <v>11</v>
      </c>
      <c r="F71" s="24" t="s">
        <v>1486</v>
      </c>
      <c r="G71" s="24">
        <v>1</v>
      </c>
      <c r="H71" s="25">
        <v>0.8</v>
      </c>
      <c r="I71" s="24">
        <v>1</v>
      </c>
    </row>
    <row r="72" spans="1:9" ht="15.75" customHeight="1" x14ac:dyDescent="0.2">
      <c r="A72" s="26">
        <v>71</v>
      </c>
      <c r="B72" s="24">
        <v>71</v>
      </c>
      <c r="C72" s="24">
        <v>6</v>
      </c>
      <c r="D72" s="24" t="str">
        <f>VLOOKUP(C72,[1]Course!$A$1:$C$229, 2, FALSE)</f>
        <v>Science 1</v>
      </c>
      <c r="E72" s="24">
        <v>12</v>
      </c>
      <c r="F72" s="24" t="s">
        <v>1485</v>
      </c>
      <c r="G72" s="24">
        <v>1</v>
      </c>
      <c r="H72" s="25">
        <v>0.8</v>
      </c>
      <c r="I72" s="24">
        <v>1</v>
      </c>
    </row>
    <row r="73" spans="1:9" ht="15.75" customHeight="1" x14ac:dyDescent="0.2">
      <c r="A73" s="26">
        <v>72</v>
      </c>
      <c r="B73" s="24">
        <v>72</v>
      </c>
      <c r="C73" s="24">
        <v>7</v>
      </c>
      <c r="D73" s="24">
        <f>VLOOKUP(C73,[1]Course!$A$1:$C$229, 2, FALSE)</f>
        <v>0</v>
      </c>
      <c r="E73" s="24">
        <v>1</v>
      </c>
      <c r="F73" s="24" t="s">
        <v>1484</v>
      </c>
      <c r="G73" s="24">
        <v>1</v>
      </c>
      <c r="H73" s="25">
        <v>0.8</v>
      </c>
      <c r="I73" s="24">
        <v>1</v>
      </c>
    </row>
    <row r="74" spans="1:9" ht="15.75" customHeight="1" x14ac:dyDescent="0.2">
      <c r="A74" s="26">
        <v>73</v>
      </c>
      <c r="B74" s="24">
        <v>73</v>
      </c>
      <c r="C74" s="24">
        <v>7</v>
      </c>
      <c r="D74" s="24">
        <f>VLOOKUP(C74,[1]Course!$A$1:$C$229, 2, FALSE)</f>
        <v>0</v>
      </c>
      <c r="E74" s="24">
        <v>2</v>
      </c>
      <c r="F74" s="24" t="s">
        <v>1483</v>
      </c>
      <c r="G74" s="24">
        <v>1</v>
      </c>
      <c r="H74" s="25">
        <v>0.8</v>
      </c>
      <c r="I74" s="24">
        <v>1</v>
      </c>
    </row>
    <row r="75" spans="1:9" ht="15.75" customHeight="1" x14ac:dyDescent="0.2">
      <c r="A75" s="26">
        <v>74</v>
      </c>
      <c r="B75" s="24">
        <v>74</v>
      </c>
      <c r="C75" s="24">
        <v>7</v>
      </c>
      <c r="D75" s="24">
        <f>VLOOKUP(C75,[1]Course!$A$1:$C$229, 2, FALSE)</f>
        <v>0</v>
      </c>
      <c r="E75" s="24">
        <v>3</v>
      </c>
      <c r="F75" s="24" t="s">
        <v>1482</v>
      </c>
      <c r="G75" s="24">
        <v>1</v>
      </c>
      <c r="H75" s="25">
        <v>0.8</v>
      </c>
      <c r="I75" s="24">
        <v>1</v>
      </c>
    </row>
    <row r="76" spans="1:9" ht="15.75" customHeight="1" x14ac:dyDescent="0.2">
      <c r="A76" s="26">
        <v>75</v>
      </c>
      <c r="B76" s="24">
        <v>75</v>
      </c>
      <c r="C76" s="24">
        <v>7</v>
      </c>
      <c r="D76" s="24">
        <f>VLOOKUP(C76,[1]Course!$A$1:$C$229, 2, FALSE)</f>
        <v>0</v>
      </c>
      <c r="E76" s="24">
        <v>4</v>
      </c>
      <c r="F76" s="24" t="s">
        <v>1481</v>
      </c>
      <c r="G76" s="24">
        <v>1</v>
      </c>
      <c r="H76" s="25">
        <v>0.8</v>
      </c>
      <c r="I76" s="24">
        <v>1</v>
      </c>
    </row>
    <row r="77" spans="1:9" ht="15.75" customHeight="1" x14ac:dyDescent="0.2">
      <c r="A77" s="26">
        <v>76</v>
      </c>
      <c r="B77" s="24">
        <v>76</v>
      </c>
      <c r="C77" s="24">
        <v>7</v>
      </c>
      <c r="D77" s="24">
        <f>VLOOKUP(C77,[1]Course!$A$1:$C$229, 2, FALSE)</f>
        <v>0</v>
      </c>
      <c r="E77" s="24">
        <v>5</v>
      </c>
      <c r="F77" s="24" t="s">
        <v>1480</v>
      </c>
      <c r="G77" s="24">
        <v>1</v>
      </c>
      <c r="H77" s="25">
        <v>0.8</v>
      </c>
      <c r="I77" s="24">
        <v>1</v>
      </c>
    </row>
    <row r="78" spans="1:9" ht="15.75" customHeight="1" x14ac:dyDescent="0.2">
      <c r="A78" s="26">
        <v>77</v>
      </c>
      <c r="B78" s="24">
        <v>77</v>
      </c>
      <c r="C78" s="24">
        <v>7</v>
      </c>
      <c r="D78" s="24">
        <f>VLOOKUP(C78,[1]Course!$A$1:$C$229, 2, FALSE)</f>
        <v>0</v>
      </c>
      <c r="E78" s="24">
        <v>6</v>
      </c>
      <c r="F78" s="24" t="s">
        <v>1479</v>
      </c>
      <c r="G78" s="24">
        <v>1</v>
      </c>
      <c r="H78" s="25">
        <v>0.8</v>
      </c>
      <c r="I78" s="24">
        <v>1</v>
      </c>
    </row>
    <row r="79" spans="1:9" ht="15.75" customHeight="1" x14ac:dyDescent="0.2">
      <c r="A79" s="26">
        <v>78</v>
      </c>
      <c r="B79" s="24">
        <v>78</v>
      </c>
      <c r="C79" s="24">
        <v>7</v>
      </c>
      <c r="D79" s="24">
        <f>VLOOKUP(C79,[1]Course!$A$1:$C$229, 2, FALSE)</f>
        <v>0</v>
      </c>
      <c r="E79" s="24">
        <v>7</v>
      </c>
      <c r="F79" s="24" t="s">
        <v>1478</v>
      </c>
      <c r="G79" s="24">
        <v>1</v>
      </c>
      <c r="H79" s="25">
        <v>0.8</v>
      </c>
      <c r="I79" s="24">
        <v>1</v>
      </c>
    </row>
    <row r="80" spans="1:9" ht="15.75" customHeight="1" x14ac:dyDescent="0.2">
      <c r="A80" s="26">
        <v>79</v>
      </c>
      <c r="B80" s="24">
        <v>79</v>
      </c>
      <c r="C80" s="24">
        <v>7</v>
      </c>
      <c r="D80" s="24">
        <f>VLOOKUP(C80,[1]Course!$A$1:$C$229, 2, FALSE)</f>
        <v>0</v>
      </c>
      <c r="E80" s="24">
        <v>8</v>
      </c>
      <c r="F80" s="24" t="s">
        <v>1477</v>
      </c>
      <c r="G80" s="24">
        <v>1</v>
      </c>
      <c r="H80" s="25">
        <v>0.8</v>
      </c>
      <c r="I80" s="24">
        <v>1</v>
      </c>
    </row>
    <row r="81" spans="1:9" ht="15.75" customHeight="1" x14ac:dyDescent="0.2">
      <c r="A81" s="26">
        <v>80</v>
      </c>
      <c r="B81" s="24">
        <v>80</v>
      </c>
      <c r="C81" s="24">
        <v>7</v>
      </c>
      <c r="D81" s="24">
        <f>VLOOKUP(C81,[1]Course!$A$1:$C$229, 2, FALSE)</f>
        <v>0</v>
      </c>
      <c r="E81" s="24">
        <v>9</v>
      </c>
      <c r="F81" s="24" t="s">
        <v>1476</v>
      </c>
      <c r="G81" s="24">
        <v>1</v>
      </c>
      <c r="H81" s="25">
        <v>0.8</v>
      </c>
      <c r="I81" s="24">
        <v>1</v>
      </c>
    </row>
    <row r="82" spans="1:9" ht="15.75" customHeight="1" x14ac:dyDescent="0.2">
      <c r="A82" s="26">
        <v>81</v>
      </c>
      <c r="B82" s="24">
        <v>81</v>
      </c>
      <c r="C82" s="24">
        <v>7</v>
      </c>
      <c r="D82" s="24">
        <f>VLOOKUP(C82,[1]Course!$A$1:$C$229, 2, FALSE)</f>
        <v>0</v>
      </c>
      <c r="E82" s="24">
        <v>10</v>
      </c>
      <c r="F82" s="24" t="s">
        <v>1475</v>
      </c>
      <c r="G82" s="24">
        <v>1</v>
      </c>
      <c r="H82" s="25">
        <v>0.8</v>
      </c>
      <c r="I82" s="24">
        <v>1</v>
      </c>
    </row>
    <row r="83" spans="1:9" ht="15.75" customHeight="1" x14ac:dyDescent="0.2">
      <c r="A83" s="26">
        <v>82</v>
      </c>
      <c r="B83" s="24">
        <v>82</v>
      </c>
      <c r="C83" s="24">
        <v>7</v>
      </c>
      <c r="D83" s="24">
        <f>VLOOKUP(C83,[1]Course!$A$1:$C$229, 2, FALSE)</f>
        <v>0</v>
      </c>
      <c r="E83" s="24">
        <v>11</v>
      </c>
      <c r="F83" s="24" t="s">
        <v>1474</v>
      </c>
      <c r="G83" s="24">
        <v>1</v>
      </c>
      <c r="H83" s="25">
        <v>0.8</v>
      </c>
      <c r="I83" s="24">
        <v>1</v>
      </c>
    </row>
    <row r="84" spans="1:9" ht="15.75" customHeight="1" x14ac:dyDescent="0.2">
      <c r="A84" s="26">
        <v>83</v>
      </c>
      <c r="B84" s="24">
        <v>83</v>
      </c>
      <c r="C84" s="24">
        <v>7</v>
      </c>
      <c r="D84" s="24">
        <f>VLOOKUP(C84,[1]Course!$A$1:$C$229, 2, FALSE)</f>
        <v>0</v>
      </c>
      <c r="E84" s="24">
        <v>12</v>
      </c>
      <c r="F84" s="24" t="s">
        <v>1473</v>
      </c>
      <c r="G84" s="24">
        <v>1</v>
      </c>
      <c r="H84" s="25">
        <v>0.8</v>
      </c>
      <c r="I84" s="24">
        <v>1</v>
      </c>
    </row>
    <row r="85" spans="1:9" ht="15.75" customHeight="1" x14ac:dyDescent="0.2">
      <c r="A85" s="26">
        <v>84</v>
      </c>
      <c r="B85" s="24">
        <v>84</v>
      </c>
      <c r="C85" s="24">
        <v>8</v>
      </c>
      <c r="D85" s="24">
        <f>VLOOKUP(C85,[1]Course!$A$1:$C$229, 2, FALSE)</f>
        <v>0</v>
      </c>
      <c r="E85" s="24">
        <v>1</v>
      </c>
      <c r="F85" s="24" t="s">
        <v>1472</v>
      </c>
      <c r="G85" s="24">
        <v>1</v>
      </c>
      <c r="H85" s="25">
        <v>0.8</v>
      </c>
      <c r="I85" s="24">
        <v>1</v>
      </c>
    </row>
    <row r="86" spans="1:9" ht="15.75" customHeight="1" x14ac:dyDescent="0.2">
      <c r="A86" s="26">
        <v>85</v>
      </c>
      <c r="B86" s="24">
        <v>85</v>
      </c>
      <c r="C86" s="24">
        <v>8</v>
      </c>
      <c r="D86" s="24">
        <f>VLOOKUP(C86,[1]Course!$A$1:$C$229, 2, FALSE)</f>
        <v>0</v>
      </c>
      <c r="E86" s="24">
        <v>2</v>
      </c>
      <c r="F86" s="24" t="s">
        <v>1471</v>
      </c>
      <c r="G86" s="24">
        <v>1</v>
      </c>
      <c r="H86" s="25">
        <v>0.8</v>
      </c>
      <c r="I86" s="24">
        <v>1</v>
      </c>
    </row>
    <row r="87" spans="1:9" ht="15.75" customHeight="1" x14ac:dyDescent="0.2">
      <c r="A87" s="26">
        <v>86</v>
      </c>
      <c r="B87" s="24">
        <v>86</v>
      </c>
      <c r="C87" s="24">
        <v>8</v>
      </c>
      <c r="D87" s="24">
        <f>VLOOKUP(C87,[1]Course!$A$1:$C$229, 2, FALSE)</f>
        <v>0</v>
      </c>
      <c r="E87" s="24">
        <v>3</v>
      </c>
      <c r="F87" s="24" t="s">
        <v>1470</v>
      </c>
      <c r="G87" s="24">
        <v>1</v>
      </c>
      <c r="H87" s="25">
        <v>0.8</v>
      </c>
      <c r="I87" s="24">
        <v>1</v>
      </c>
    </row>
    <row r="88" spans="1:9" ht="15.75" customHeight="1" x14ac:dyDescent="0.2">
      <c r="A88" s="26">
        <v>87</v>
      </c>
      <c r="B88" s="24">
        <v>87</v>
      </c>
      <c r="C88" s="24">
        <v>8</v>
      </c>
      <c r="D88" s="24">
        <f>VLOOKUP(C88,[1]Course!$A$1:$C$229, 2, FALSE)</f>
        <v>0</v>
      </c>
      <c r="E88" s="24">
        <v>4</v>
      </c>
      <c r="F88" s="24" t="s">
        <v>1469</v>
      </c>
      <c r="G88" s="24">
        <v>1</v>
      </c>
      <c r="H88" s="25">
        <v>0.8</v>
      </c>
      <c r="I88" s="24">
        <v>1</v>
      </c>
    </row>
    <row r="89" spans="1:9" ht="15.75" customHeight="1" x14ac:dyDescent="0.2">
      <c r="A89" s="26">
        <v>88</v>
      </c>
      <c r="B89" s="24">
        <v>88</v>
      </c>
      <c r="C89" s="24">
        <v>8</v>
      </c>
      <c r="D89" s="24">
        <f>VLOOKUP(C89,[1]Course!$A$1:$C$229, 2, FALSE)</f>
        <v>0</v>
      </c>
      <c r="E89" s="24">
        <v>5</v>
      </c>
      <c r="F89" s="24" t="s">
        <v>1468</v>
      </c>
      <c r="G89" s="24">
        <v>1</v>
      </c>
      <c r="H89" s="25">
        <v>0.8</v>
      </c>
      <c r="I89" s="24">
        <v>1</v>
      </c>
    </row>
    <row r="90" spans="1:9" ht="15.75" customHeight="1" x14ac:dyDescent="0.2">
      <c r="A90" s="26">
        <v>89</v>
      </c>
      <c r="B90" s="24">
        <v>89</v>
      </c>
      <c r="C90" s="24">
        <v>8</v>
      </c>
      <c r="D90" s="24">
        <f>VLOOKUP(C90,[1]Course!$A$1:$C$229, 2, FALSE)</f>
        <v>0</v>
      </c>
      <c r="E90" s="24">
        <v>6</v>
      </c>
      <c r="F90" s="24" t="s">
        <v>1467</v>
      </c>
      <c r="G90" s="24">
        <v>1</v>
      </c>
      <c r="H90" s="25">
        <v>0.8</v>
      </c>
      <c r="I90" s="24">
        <v>1</v>
      </c>
    </row>
    <row r="91" spans="1:9" ht="15.75" customHeight="1" x14ac:dyDescent="0.2">
      <c r="A91" s="26">
        <v>90</v>
      </c>
      <c r="B91" s="24">
        <v>90</v>
      </c>
      <c r="C91" s="24">
        <v>8</v>
      </c>
      <c r="D91" s="24">
        <f>VLOOKUP(C91,[1]Course!$A$1:$C$229, 2, FALSE)</f>
        <v>0</v>
      </c>
      <c r="E91" s="24">
        <v>7</v>
      </c>
      <c r="F91" s="24" t="s">
        <v>1466</v>
      </c>
      <c r="G91" s="24">
        <v>1</v>
      </c>
      <c r="H91" s="25">
        <v>0.8</v>
      </c>
      <c r="I91" s="24">
        <v>1</v>
      </c>
    </row>
    <row r="92" spans="1:9" ht="15.75" customHeight="1" x14ac:dyDescent="0.2">
      <c r="A92" s="26">
        <v>91</v>
      </c>
      <c r="B92" s="24">
        <v>91</v>
      </c>
      <c r="C92" s="24">
        <v>8</v>
      </c>
      <c r="D92" s="24">
        <f>VLOOKUP(C92,[1]Course!$A$1:$C$229, 2, FALSE)</f>
        <v>0</v>
      </c>
      <c r="E92" s="24">
        <v>8</v>
      </c>
      <c r="F92" s="24" t="s">
        <v>1465</v>
      </c>
      <c r="G92" s="24">
        <v>1</v>
      </c>
      <c r="H92" s="25">
        <v>0.8</v>
      </c>
      <c r="I92" s="24">
        <v>1</v>
      </c>
    </row>
    <row r="93" spans="1:9" ht="15.75" customHeight="1" x14ac:dyDescent="0.2">
      <c r="A93" s="26">
        <v>92</v>
      </c>
      <c r="B93" s="24">
        <v>92</v>
      </c>
      <c r="C93" s="24">
        <v>8</v>
      </c>
      <c r="D93" s="24">
        <f>VLOOKUP(C93,[1]Course!$A$1:$C$229, 2, FALSE)</f>
        <v>0</v>
      </c>
      <c r="E93" s="24">
        <v>9</v>
      </c>
      <c r="F93" s="24" t="s">
        <v>1464</v>
      </c>
      <c r="G93" s="24">
        <v>1</v>
      </c>
      <c r="H93" s="25">
        <v>0.8</v>
      </c>
      <c r="I93" s="24">
        <v>1</v>
      </c>
    </row>
    <row r="94" spans="1:9" ht="15.75" customHeight="1" x14ac:dyDescent="0.2">
      <c r="A94" s="26">
        <v>93</v>
      </c>
      <c r="B94" s="24">
        <v>93</v>
      </c>
      <c r="C94" s="24">
        <v>8</v>
      </c>
      <c r="D94" s="24">
        <f>VLOOKUP(C94,[1]Course!$A$1:$C$229, 2, FALSE)</f>
        <v>0</v>
      </c>
      <c r="E94" s="24">
        <v>10</v>
      </c>
      <c r="F94" s="24" t="s">
        <v>1463</v>
      </c>
      <c r="G94" s="24">
        <v>1</v>
      </c>
      <c r="H94" s="25">
        <v>0.8</v>
      </c>
      <c r="I94" s="24">
        <v>1</v>
      </c>
    </row>
    <row r="95" spans="1:9" ht="15.75" customHeight="1" x14ac:dyDescent="0.2">
      <c r="A95" s="26">
        <v>94</v>
      </c>
      <c r="B95" s="24">
        <v>94</v>
      </c>
      <c r="C95" s="24">
        <v>8</v>
      </c>
      <c r="D95" s="24">
        <f>VLOOKUP(C95,[1]Course!$A$1:$C$229, 2, FALSE)</f>
        <v>0</v>
      </c>
      <c r="E95" s="24">
        <v>11</v>
      </c>
      <c r="F95" s="24" t="s">
        <v>1462</v>
      </c>
      <c r="G95" s="24">
        <v>1</v>
      </c>
      <c r="H95" s="25">
        <v>0.8</v>
      </c>
      <c r="I95" s="24">
        <v>1</v>
      </c>
    </row>
    <row r="96" spans="1:9" ht="15.75" customHeight="1" x14ac:dyDescent="0.2">
      <c r="A96" s="26">
        <v>95</v>
      </c>
      <c r="B96" s="24">
        <v>95</v>
      </c>
      <c r="C96" s="24">
        <v>8</v>
      </c>
      <c r="D96" s="24">
        <f>VLOOKUP(C96,[1]Course!$A$1:$C$229, 2, FALSE)</f>
        <v>0</v>
      </c>
      <c r="E96" s="24">
        <v>12</v>
      </c>
      <c r="F96" s="24" t="s">
        <v>1461</v>
      </c>
      <c r="G96" s="24">
        <v>1</v>
      </c>
      <c r="H96" s="25">
        <v>0.8</v>
      </c>
      <c r="I96" s="24">
        <v>1</v>
      </c>
    </row>
    <row r="97" spans="1:9" ht="15.75" customHeight="1" x14ac:dyDescent="0.2">
      <c r="A97" s="26">
        <v>96</v>
      </c>
      <c r="B97" s="24">
        <v>96</v>
      </c>
      <c r="C97" s="24">
        <v>9</v>
      </c>
      <c r="D97" s="24">
        <f>VLOOKUP(C97,[1]Course!$A$1:$C$229, 2, FALSE)</f>
        <v>0</v>
      </c>
      <c r="E97" s="24">
        <v>13</v>
      </c>
      <c r="F97" s="24" t="s">
        <v>1460</v>
      </c>
      <c r="G97" s="24">
        <v>1</v>
      </c>
      <c r="H97" s="25">
        <v>0.8</v>
      </c>
      <c r="I97" s="24">
        <v>1</v>
      </c>
    </row>
    <row r="98" spans="1:9" ht="15.75" customHeight="1" x14ac:dyDescent="0.2">
      <c r="A98" s="26">
        <v>97</v>
      </c>
      <c r="B98" s="24">
        <v>97</v>
      </c>
      <c r="C98" s="24">
        <v>9</v>
      </c>
      <c r="D98" s="24">
        <f>VLOOKUP(C98,[1]Course!$A$1:$C$229, 2, FALSE)</f>
        <v>0</v>
      </c>
      <c r="E98" s="24">
        <v>14</v>
      </c>
      <c r="F98" s="24" t="s">
        <v>1459</v>
      </c>
      <c r="G98" s="24">
        <v>1</v>
      </c>
      <c r="H98" s="25">
        <v>0.8</v>
      </c>
      <c r="I98" s="24">
        <v>1</v>
      </c>
    </row>
    <row r="99" spans="1:9" ht="15.75" customHeight="1" x14ac:dyDescent="0.2">
      <c r="A99" s="26">
        <v>98</v>
      </c>
      <c r="B99" s="24">
        <v>98</v>
      </c>
      <c r="C99" s="24">
        <v>9</v>
      </c>
      <c r="D99" s="24">
        <f>VLOOKUP(C99,[1]Course!$A$1:$C$229, 2, FALSE)</f>
        <v>0</v>
      </c>
      <c r="E99" s="24">
        <v>15</v>
      </c>
      <c r="F99" s="24" t="s">
        <v>1458</v>
      </c>
      <c r="G99" s="24">
        <v>1</v>
      </c>
      <c r="H99" s="25">
        <v>0.8</v>
      </c>
      <c r="I99" s="24">
        <v>1</v>
      </c>
    </row>
    <row r="100" spans="1:9" ht="15.75" customHeight="1" x14ac:dyDescent="0.2">
      <c r="A100" s="26">
        <v>99</v>
      </c>
      <c r="B100" s="24">
        <v>99</v>
      </c>
      <c r="C100" s="24">
        <v>9</v>
      </c>
      <c r="D100" s="24">
        <f>VLOOKUP(C100,[1]Course!$A$1:$C$229, 2, FALSE)</f>
        <v>0</v>
      </c>
      <c r="E100" s="24">
        <v>16</v>
      </c>
      <c r="F100" s="24" t="s">
        <v>1457</v>
      </c>
      <c r="G100" s="24">
        <v>1</v>
      </c>
      <c r="H100" s="25">
        <v>0.8</v>
      </c>
      <c r="I100" s="24">
        <v>1</v>
      </c>
    </row>
    <row r="101" spans="1:9" ht="15.75" customHeight="1" x14ac:dyDescent="0.2">
      <c r="A101" s="26">
        <v>100</v>
      </c>
      <c r="B101" s="24">
        <v>100</v>
      </c>
      <c r="C101" s="24">
        <v>9</v>
      </c>
      <c r="D101" s="24">
        <f>VLOOKUP(C101,[1]Course!$A$1:$C$229, 2, FALSE)</f>
        <v>0</v>
      </c>
      <c r="E101" s="24">
        <v>17</v>
      </c>
      <c r="F101" s="24" t="s">
        <v>1456</v>
      </c>
      <c r="G101" s="24">
        <v>1</v>
      </c>
      <c r="H101" s="25">
        <v>0.8</v>
      </c>
      <c r="I101" s="24">
        <v>1</v>
      </c>
    </row>
    <row r="102" spans="1:9" ht="15.75" customHeight="1" x14ac:dyDescent="0.2">
      <c r="A102" s="26">
        <v>101</v>
      </c>
      <c r="B102" s="24">
        <v>101</v>
      </c>
      <c r="C102" s="24">
        <v>9</v>
      </c>
      <c r="D102" s="24">
        <f>VLOOKUP(C102,[1]Course!$A$1:$C$229, 2, FALSE)</f>
        <v>0</v>
      </c>
      <c r="E102" s="24">
        <v>18</v>
      </c>
      <c r="F102" s="24" t="s">
        <v>1455</v>
      </c>
      <c r="G102" s="24">
        <v>1</v>
      </c>
      <c r="H102" s="25">
        <v>0.8</v>
      </c>
      <c r="I102" s="24">
        <v>1</v>
      </c>
    </row>
    <row r="103" spans="1:9" ht="15.75" customHeight="1" x14ac:dyDescent="0.2">
      <c r="A103" s="26">
        <v>102</v>
      </c>
      <c r="B103" s="24">
        <v>102</v>
      </c>
      <c r="C103" s="24">
        <v>9</v>
      </c>
      <c r="D103" s="24">
        <f>VLOOKUP(C103,[1]Course!$A$1:$C$229, 2, FALSE)</f>
        <v>0</v>
      </c>
      <c r="E103" s="24">
        <v>19</v>
      </c>
      <c r="F103" s="24" t="s">
        <v>1454</v>
      </c>
      <c r="G103" s="24">
        <v>1</v>
      </c>
      <c r="H103" s="25">
        <v>0.8</v>
      </c>
      <c r="I103" s="24">
        <v>1</v>
      </c>
    </row>
    <row r="104" spans="1:9" ht="15.75" customHeight="1" x14ac:dyDescent="0.2">
      <c r="A104" s="26">
        <v>103</v>
      </c>
      <c r="B104" s="24">
        <v>103</v>
      </c>
      <c r="C104" s="24">
        <v>9</v>
      </c>
      <c r="D104" s="24">
        <f>VLOOKUP(C104,[1]Course!$A$1:$C$229, 2, FALSE)</f>
        <v>0</v>
      </c>
      <c r="E104" s="24">
        <v>20</v>
      </c>
      <c r="F104" s="24" t="s">
        <v>1453</v>
      </c>
      <c r="G104" s="24">
        <v>1</v>
      </c>
      <c r="H104" s="25">
        <v>0.8</v>
      </c>
      <c r="I104" s="24">
        <v>1</v>
      </c>
    </row>
    <row r="105" spans="1:9" ht="15.75" customHeight="1" x14ac:dyDescent="0.2">
      <c r="A105" s="26">
        <v>104</v>
      </c>
      <c r="B105" s="24">
        <v>104</v>
      </c>
      <c r="C105" s="24">
        <v>9</v>
      </c>
      <c r="D105" s="24">
        <f>VLOOKUP(C105,[1]Course!$A$1:$C$229, 2, FALSE)</f>
        <v>0</v>
      </c>
      <c r="E105" s="24">
        <v>21</v>
      </c>
      <c r="F105" s="24" t="s">
        <v>1452</v>
      </c>
      <c r="G105" s="24">
        <v>1</v>
      </c>
      <c r="H105" s="25">
        <v>0.8</v>
      </c>
      <c r="I105" s="24">
        <v>1</v>
      </c>
    </row>
    <row r="106" spans="1:9" ht="15.75" customHeight="1" x14ac:dyDescent="0.2">
      <c r="A106" s="26">
        <v>105</v>
      </c>
      <c r="B106" s="24">
        <v>105</v>
      </c>
      <c r="C106" s="24">
        <v>9</v>
      </c>
      <c r="D106" s="24">
        <f>VLOOKUP(C106,[1]Course!$A$1:$C$229, 2, FALSE)</f>
        <v>0</v>
      </c>
      <c r="E106" s="24">
        <v>22</v>
      </c>
      <c r="F106" s="24" t="s">
        <v>1451</v>
      </c>
      <c r="G106" s="24">
        <v>1</v>
      </c>
      <c r="H106" s="25">
        <v>0.8</v>
      </c>
      <c r="I106" s="24">
        <v>1</v>
      </c>
    </row>
    <row r="107" spans="1:9" ht="15.75" customHeight="1" x14ac:dyDescent="0.2">
      <c r="A107" s="26">
        <v>106</v>
      </c>
      <c r="B107" s="24">
        <v>106</v>
      </c>
      <c r="C107" s="24">
        <v>9</v>
      </c>
      <c r="D107" s="24">
        <f>VLOOKUP(C107,[1]Course!$A$1:$C$229, 2, FALSE)</f>
        <v>0</v>
      </c>
      <c r="E107" s="24">
        <v>23</v>
      </c>
      <c r="F107" s="24" t="s">
        <v>1450</v>
      </c>
      <c r="G107" s="24">
        <v>1</v>
      </c>
      <c r="H107" s="25">
        <v>0.8</v>
      </c>
      <c r="I107" s="24">
        <v>1</v>
      </c>
    </row>
    <row r="108" spans="1:9" ht="15.75" customHeight="1" x14ac:dyDescent="0.2">
      <c r="A108" s="26">
        <v>107</v>
      </c>
      <c r="B108" s="24">
        <v>107</v>
      </c>
      <c r="C108" s="24">
        <v>9</v>
      </c>
      <c r="D108" s="24">
        <f>VLOOKUP(C108,[1]Course!$A$1:$C$229, 2, FALSE)</f>
        <v>0</v>
      </c>
      <c r="E108" s="24">
        <v>24</v>
      </c>
      <c r="F108" s="24" t="s">
        <v>1449</v>
      </c>
      <c r="G108" s="24">
        <v>1</v>
      </c>
      <c r="H108" s="25">
        <v>0.8</v>
      </c>
      <c r="I108" s="24">
        <v>1</v>
      </c>
    </row>
    <row r="109" spans="1:9" ht="15.75" customHeight="1" x14ac:dyDescent="0.2">
      <c r="A109" s="26">
        <v>108</v>
      </c>
      <c r="B109" s="24">
        <v>108</v>
      </c>
      <c r="C109" s="24">
        <v>10</v>
      </c>
      <c r="D109" s="24">
        <f>VLOOKUP(C109,[1]Course!$A$1:$C$229, 2, FALSE)</f>
        <v>0</v>
      </c>
      <c r="E109" s="24">
        <v>13</v>
      </c>
      <c r="F109" s="24" t="s">
        <v>698</v>
      </c>
      <c r="G109" s="24">
        <v>1</v>
      </c>
      <c r="H109" s="25">
        <v>0.8</v>
      </c>
      <c r="I109" s="24">
        <v>1</v>
      </c>
    </row>
    <row r="110" spans="1:9" ht="15.75" customHeight="1" x14ac:dyDescent="0.2">
      <c r="A110" s="26">
        <v>109</v>
      </c>
      <c r="B110" s="24">
        <v>109</v>
      </c>
      <c r="C110" s="24">
        <v>10</v>
      </c>
      <c r="D110" s="24">
        <f>VLOOKUP(C110,[1]Course!$A$1:$C$229, 2, FALSE)</f>
        <v>0</v>
      </c>
      <c r="E110" s="24">
        <v>14</v>
      </c>
      <c r="F110" s="24" t="s">
        <v>697</v>
      </c>
      <c r="G110" s="24">
        <v>1</v>
      </c>
      <c r="H110" s="25">
        <v>0.8</v>
      </c>
      <c r="I110" s="24">
        <v>1</v>
      </c>
    </row>
    <row r="111" spans="1:9" ht="15.75" customHeight="1" x14ac:dyDescent="0.2">
      <c r="A111" s="26">
        <v>110</v>
      </c>
      <c r="B111" s="24">
        <v>110</v>
      </c>
      <c r="C111" s="24">
        <v>10</v>
      </c>
      <c r="D111" s="24">
        <f>VLOOKUP(C111,[1]Course!$A$1:$C$229, 2, FALSE)</f>
        <v>0</v>
      </c>
      <c r="E111" s="24">
        <v>15</v>
      </c>
      <c r="F111" s="24" t="s">
        <v>696</v>
      </c>
      <c r="G111" s="24">
        <v>1</v>
      </c>
      <c r="H111" s="25">
        <v>0.8</v>
      </c>
      <c r="I111" s="24">
        <v>1</v>
      </c>
    </row>
    <row r="112" spans="1:9" ht="15.75" customHeight="1" x14ac:dyDescent="0.2">
      <c r="A112" s="26">
        <v>111</v>
      </c>
      <c r="B112" s="24">
        <v>111</v>
      </c>
      <c r="C112" s="24">
        <v>10</v>
      </c>
      <c r="D112" s="24">
        <f>VLOOKUP(C112,[1]Course!$A$1:$C$229, 2, FALSE)</f>
        <v>0</v>
      </c>
      <c r="E112" s="24">
        <v>16</v>
      </c>
      <c r="F112" s="24" t="s">
        <v>695</v>
      </c>
      <c r="G112" s="24">
        <v>1</v>
      </c>
      <c r="H112" s="25">
        <v>0.8</v>
      </c>
      <c r="I112" s="24">
        <v>1</v>
      </c>
    </row>
    <row r="113" spans="1:9" ht="15.75" customHeight="1" x14ac:dyDescent="0.2">
      <c r="A113" s="26">
        <v>112</v>
      </c>
      <c r="B113" s="24">
        <v>112</v>
      </c>
      <c r="C113" s="24">
        <v>10</v>
      </c>
      <c r="D113" s="24">
        <f>VLOOKUP(C113,[1]Course!$A$1:$C$229, 2, FALSE)</f>
        <v>0</v>
      </c>
      <c r="E113" s="24">
        <v>17</v>
      </c>
      <c r="F113" s="24" t="s">
        <v>694</v>
      </c>
      <c r="G113" s="24">
        <v>1</v>
      </c>
      <c r="H113" s="25">
        <v>0.8</v>
      </c>
      <c r="I113" s="24">
        <v>1</v>
      </c>
    </row>
    <row r="114" spans="1:9" ht="15.75" customHeight="1" x14ac:dyDescent="0.2">
      <c r="A114" s="26">
        <v>113</v>
      </c>
      <c r="B114" s="24">
        <v>113</v>
      </c>
      <c r="C114" s="24">
        <v>10</v>
      </c>
      <c r="D114" s="24">
        <f>VLOOKUP(C114,[1]Course!$A$1:$C$229, 2, FALSE)</f>
        <v>0</v>
      </c>
      <c r="E114" s="24">
        <v>18</v>
      </c>
      <c r="F114" s="24" t="s">
        <v>693</v>
      </c>
      <c r="G114" s="24">
        <v>1</v>
      </c>
      <c r="H114" s="25">
        <v>0.8</v>
      </c>
      <c r="I114" s="24">
        <v>1</v>
      </c>
    </row>
    <row r="115" spans="1:9" ht="15.75" customHeight="1" x14ac:dyDescent="0.2">
      <c r="A115" s="26">
        <v>114</v>
      </c>
      <c r="B115" s="24">
        <v>114</v>
      </c>
      <c r="C115" s="24">
        <v>10</v>
      </c>
      <c r="D115" s="24">
        <f>VLOOKUP(C115,[1]Course!$A$1:$C$229, 2, FALSE)</f>
        <v>0</v>
      </c>
      <c r="E115" s="24">
        <v>19</v>
      </c>
      <c r="F115" s="24" t="s">
        <v>692</v>
      </c>
      <c r="G115" s="24">
        <v>1</v>
      </c>
      <c r="H115" s="25">
        <v>0.8</v>
      </c>
      <c r="I115" s="24">
        <v>1</v>
      </c>
    </row>
    <row r="116" spans="1:9" ht="15.75" customHeight="1" x14ac:dyDescent="0.2">
      <c r="A116" s="26">
        <v>115</v>
      </c>
      <c r="B116" s="24">
        <v>115</v>
      </c>
      <c r="C116" s="24">
        <v>10</v>
      </c>
      <c r="D116" s="24">
        <f>VLOOKUP(C116,[1]Course!$A$1:$C$229, 2, FALSE)</f>
        <v>0</v>
      </c>
      <c r="E116" s="24">
        <v>20</v>
      </c>
      <c r="F116" s="24" t="s">
        <v>691</v>
      </c>
      <c r="G116" s="24">
        <v>1</v>
      </c>
      <c r="H116" s="25">
        <v>0.8</v>
      </c>
      <c r="I116" s="24">
        <v>1</v>
      </c>
    </row>
    <row r="117" spans="1:9" ht="15.75" customHeight="1" x14ac:dyDescent="0.2">
      <c r="A117" s="26">
        <v>116</v>
      </c>
      <c r="B117" s="24">
        <v>116</v>
      </c>
      <c r="C117" s="24">
        <v>10</v>
      </c>
      <c r="D117" s="24">
        <f>VLOOKUP(C117,[1]Course!$A$1:$C$229, 2, FALSE)</f>
        <v>0</v>
      </c>
      <c r="E117" s="24">
        <v>21</v>
      </c>
      <c r="F117" s="24" t="s">
        <v>617</v>
      </c>
      <c r="G117" s="24">
        <v>1</v>
      </c>
      <c r="H117" s="25">
        <v>0.8</v>
      </c>
      <c r="I117" s="24">
        <v>1</v>
      </c>
    </row>
    <row r="118" spans="1:9" ht="15.75" customHeight="1" x14ac:dyDescent="0.2">
      <c r="A118" s="26">
        <v>117</v>
      </c>
      <c r="B118" s="24">
        <v>117</v>
      </c>
      <c r="C118" s="24">
        <v>10</v>
      </c>
      <c r="D118" s="24">
        <f>VLOOKUP(C118,[1]Course!$A$1:$C$229, 2, FALSE)</f>
        <v>0</v>
      </c>
      <c r="E118" s="24">
        <v>22</v>
      </c>
      <c r="F118" s="24" t="s">
        <v>616</v>
      </c>
      <c r="G118" s="24">
        <v>1</v>
      </c>
      <c r="H118" s="25">
        <v>0.8</v>
      </c>
      <c r="I118" s="24">
        <v>1</v>
      </c>
    </row>
    <row r="119" spans="1:9" ht="15.75" customHeight="1" x14ac:dyDescent="0.2">
      <c r="A119" s="26">
        <v>118</v>
      </c>
      <c r="B119" s="24">
        <v>118</v>
      </c>
      <c r="C119" s="24">
        <v>10</v>
      </c>
      <c r="D119" s="24">
        <f>VLOOKUP(C119,[1]Course!$A$1:$C$229, 2, FALSE)</f>
        <v>0</v>
      </c>
      <c r="E119" s="24">
        <v>23</v>
      </c>
      <c r="F119" s="24" t="s">
        <v>615</v>
      </c>
      <c r="G119" s="24">
        <v>1</v>
      </c>
      <c r="H119" s="25">
        <v>0.8</v>
      </c>
      <c r="I119" s="24">
        <v>1</v>
      </c>
    </row>
    <row r="120" spans="1:9" ht="15.75" customHeight="1" x14ac:dyDescent="0.2">
      <c r="A120" s="26">
        <v>119</v>
      </c>
      <c r="B120" s="24">
        <v>119</v>
      </c>
      <c r="C120" s="24">
        <v>10</v>
      </c>
      <c r="D120" s="24">
        <f>VLOOKUP(C120,[1]Course!$A$1:$C$229, 2, FALSE)</f>
        <v>0</v>
      </c>
      <c r="E120" s="24">
        <v>24</v>
      </c>
      <c r="F120" s="24" t="s">
        <v>614</v>
      </c>
      <c r="G120" s="24">
        <v>1</v>
      </c>
      <c r="H120" s="25">
        <v>0.8</v>
      </c>
      <c r="I120" s="24">
        <v>1</v>
      </c>
    </row>
    <row r="121" spans="1:9" ht="15.75" customHeight="1" x14ac:dyDescent="0.2">
      <c r="A121" s="26">
        <v>120</v>
      </c>
      <c r="B121" s="24">
        <v>120</v>
      </c>
      <c r="C121" s="24">
        <v>11</v>
      </c>
      <c r="D121" s="24">
        <f>VLOOKUP(C121,[1]Course!$A$1:$C$229, 2, FALSE)</f>
        <v>0</v>
      </c>
      <c r="E121" s="24">
        <v>13</v>
      </c>
      <c r="F121" s="24" t="s">
        <v>1448</v>
      </c>
      <c r="G121" s="24">
        <v>1</v>
      </c>
      <c r="H121" s="25">
        <v>0.9</v>
      </c>
      <c r="I121" s="24">
        <v>1</v>
      </c>
    </row>
    <row r="122" spans="1:9" ht="15.75" customHeight="1" x14ac:dyDescent="0.2">
      <c r="A122" s="26">
        <v>121</v>
      </c>
      <c r="B122" s="24">
        <v>121</v>
      </c>
      <c r="C122" s="24">
        <v>11</v>
      </c>
      <c r="D122" s="24">
        <f>VLOOKUP(C122,[1]Course!$A$1:$C$229, 2, FALSE)</f>
        <v>0</v>
      </c>
      <c r="E122" s="24">
        <v>14</v>
      </c>
      <c r="F122" s="24" t="s">
        <v>1447</v>
      </c>
      <c r="G122" s="24">
        <v>1</v>
      </c>
      <c r="H122" s="25">
        <v>0.9</v>
      </c>
      <c r="I122" s="24">
        <v>1</v>
      </c>
    </row>
    <row r="123" spans="1:9" ht="15.75" customHeight="1" x14ac:dyDescent="0.2">
      <c r="A123" s="26">
        <v>122</v>
      </c>
      <c r="B123" s="24">
        <v>122</v>
      </c>
      <c r="C123" s="24">
        <v>11</v>
      </c>
      <c r="D123" s="24">
        <f>VLOOKUP(C123,[1]Course!$A$1:$C$229, 2, FALSE)</f>
        <v>0</v>
      </c>
      <c r="E123" s="24">
        <v>15</v>
      </c>
      <c r="F123" s="24" t="s">
        <v>1446</v>
      </c>
      <c r="G123" s="24">
        <v>1</v>
      </c>
      <c r="H123" s="25">
        <v>0.9</v>
      </c>
      <c r="I123" s="24">
        <v>1</v>
      </c>
    </row>
    <row r="124" spans="1:9" ht="15.75" customHeight="1" x14ac:dyDescent="0.2">
      <c r="A124" s="26">
        <v>123</v>
      </c>
      <c r="B124" s="24">
        <v>123</v>
      </c>
      <c r="C124" s="24">
        <v>11</v>
      </c>
      <c r="D124" s="24">
        <f>VLOOKUP(C124,[1]Course!$A$1:$C$229, 2, FALSE)</f>
        <v>0</v>
      </c>
      <c r="E124" s="24">
        <v>16</v>
      </c>
      <c r="F124" s="24" t="s">
        <v>1445</v>
      </c>
      <c r="G124" s="24">
        <v>1</v>
      </c>
      <c r="H124" s="25">
        <v>0.9</v>
      </c>
      <c r="I124" s="24">
        <v>1</v>
      </c>
    </row>
    <row r="125" spans="1:9" ht="15.75" customHeight="1" x14ac:dyDescent="0.2">
      <c r="A125" s="26">
        <v>124</v>
      </c>
      <c r="B125" s="24">
        <v>124</v>
      </c>
      <c r="C125" s="24">
        <v>11</v>
      </c>
      <c r="D125" s="24">
        <f>VLOOKUP(C125,[1]Course!$A$1:$C$229, 2, FALSE)</f>
        <v>0</v>
      </c>
      <c r="E125" s="24">
        <v>17</v>
      </c>
      <c r="F125" s="24" t="s">
        <v>1444</v>
      </c>
      <c r="G125" s="24">
        <v>1</v>
      </c>
      <c r="H125" s="25">
        <v>0.9</v>
      </c>
      <c r="I125" s="24">
        <v>1</v>
      </c>
    </row>
    <row r="126" spans="1:9" ht="15.75" customHeight="1" x14ac:dyDescent="0.2">
      <c r="A126" s="26">
        <v>125</v>
      </c>
      <c r="B126" s="24">
        <v>125</v>
      </c>
      <c r="C126" s="24">
        <v>11</v>
      </c>
      <c r="D126" s="24">
        <f>VLOOKUP(C126,[1]Course!$A$1:$C$229, 2, FALSE)</f>
        <v>0</v>
      </c>
      <c r="E126" s="24">
        <v>18</v>
      </c>
      <c r="F126" s="24" t="s">
        <v>1443</v>
      </c>
      <c r="G126" s="24">
        <v>1</v>
      </c>
      <c r="H126" s="25">
        <v>0.9</v>
      </c>
      <c r="I126" s="24">
        <v>1</v>
      </c>
    </row>
    <row r="127" spans="1:9" ht="15.75" customHeight="1" x14ac:dyDescent="0.2">
      <c r="A127" s="26">
        <v>126</v>
      </c>
      <c r="B127" s="24">
        <v>126</v>
      </c>
      <c r="C127" s="24">
        <v>11</v>
      </c>
      <c r="D127" s="24">
        <f>VLOOKUP(C127,[1]Course!$A$1:$C$229, 2, FALSE)</f>
        <v>0</v>
      </c>
      <c r="E127" s="24">
        <v>19</v>
      </c>
      <c r="F127" s="24" t="s">
        <v>1442</v>
      </c>
      <c r="G127" s="24">
        <v>1</v>
      </c>
      <c r="H127" s="25">
        <v>0.9</v>
      </c>
      <c r="I127" s="24">
        <v>1</v>
      </c>
    </row>
    <row r="128" spans="1:9" ht="15.75" customHeight="1" x14ac:dyDescent="0.2">
      <c r="A128" s="26">
        <v>127</v>
      </c>
      <c r="B128" s="24">
        <v>127</v>
      </c>
      <c r="C128" s="24">
        <v>11</v>
      </c>
      <c r="D128" s="24">
        <f>VLOOKUP(C128,[1]Course!$A$1:$C$229, 2, FALSE)</f>
        <v>0</v>
      </c>
      <c r="E128" s="24">
        <v>20</v>
      </c>
      <c r="F128" s="24" t="s">
        <v>1441</v>
      </c>
      <c r="G128" s="24">
        <v>1</v>
      </c>
      <c r="H128" s="25">
        <v>0.9</v>
      </c>
      <c r="I128" s="24">
        <v>1</v>
      </c>
    </row>
    <row r="129" spans="1:9" ht="15.75" customHeight="1" x14ac:dyDescent="0.2">
      <c r="A129" s="26">
        <v>128</v>
      </c>
      <c r="B129" s="24">
        <v>128</v>
      </c>
      <c r="C129" s="24">
        <v>11</v>
      </c>
      <c r="D129" s="24">
        <f>VLOOKUP(C129,[1]Course!$A$1:$C$229, 2, FALSE)</f>
        <v>0</v>
      </c>
      <c r="E129" s="24">
        <v>21</v>
      </c>
      <c r="F129" s="24" t="s">
        <v>1440</v>
      </c>
      <c r="G129" s="24">
        <v>1</v>
      </c>
      <c r="H129" s="25">
        <v>0.9</v>
      </c>
      <c r="I129" s="24">
        <v>1</v>
      </c>
    </row>
    <row r="130" spans="1:9" ht="15.75" customHeight="1" x14ac:dyDescent="0.2">
      <c r="A130" s="26">
        <v>129</v>
      </c>
      <c r="B130" s="24">
        <v>129</v>
      </c>
      <c r="C130" s="24">
        <v>11</v>
      </c>
      <c r="D130" s="24">
        <f>VLOOKUP(C130,[1]Course!$A$1:$C$229, 2, FALSE)</f>
        <v>0</v>
      </c>
      <c r="E130" s="24">
        <v>22</v>
      </c>
      <c r="F130" s="24" t="s">
        <v>1439</v>
      </c>
      <c r="G130" s="24">
        <v>1</v>
      </c>
      <c r="H130" s="25">
        <v>0.9</v>
      </c>
      <c r="I130" s="24">
        <v>1</v>
      </c>
    </row>
    <row r="131" spans="1:9" ht="15.75" customHeight="1" x14ac:dyDescent="0.2">
      <c r="A131" s="26">
        <v>130</v>
      </c>
      <c r="B131" s="24">
        <v>130</v>
      </c>
      <c r="C131" s="24">
        <v>11</v>
      </c>
      <c r="D131" s="24">
        <f>VLOOKUP(C131,[1]Course!$A$1:$C$229, 2, FALSE)</f>
        <v>0</v>
      </c>
      <c r="E131" s="24">
        <v>23</v>
      </c>
      <c r="F131" s="24" t="s">
        <v>1438</v>
      </c>
      <c r="G131" s="24">
        <v>1</v>
      </c>
      <c r="H131" s="25">
        <v>0.9</v>
      </c>
      <c r="I131" s="24">
        <v>1</v>
      </c>
    </row>
    <row r="132" spans="1:9" ht="15.75" customHeight="1" x14ac:dyDescent="0.2">
      <c r="A132" s="26">
        <v>131</v>
      </c>
      <c r="B132" s="24">
        <v>131</v>
      </c>
      <c r="C132" s="24">
        <v>11</v>
      </c>
      <c r="D132" s="24">
        <f>VLOOKUP(C132,[1]Course!$A$1:$C$229, 2, FALSE)</f>
        <v>0</v>
      </c>
      <c r="E132" s="24">
        <v>24</v>
      </c>
      <c r="F132" s="24" t="s">
        <v>1437</v>
      </c>
      <c r="G132" s="24">
        <v>1</v>
      </c>
      <c r="H132" s="25">
        <v>0.9</v>
      </c>
      <c r="I132" s="24">
        <v>1</v>
      </c>
    </row>
    <row r="133" spans="1:9" ht="15.75" customHeight="1" x14ac:dyDescent="0.2">
      <c r="A133" s="26">
        <v>132</v>
      </c>
      <c r="B133" s="24">
        <v>132</v>
      </c>
      <c r="C133" s="24">
        <v>12</v>
      </c>
      <c r="D133" s="24">
        <f>VLOOKUP(C133,[1]Course!$A$1:$C$229, 2, FALSE)</f>
        <v>0</v>
      </c>
      <c r="E133" s="24">
        <v>13</v>
      </c>
      <c r="F133" s="24" t="s">
        <v>1436</v>
      </c>
      <c r="G133" s="24">
        <v>1</v>
      </c>
      <c r="H133" s="25">
        <v>0.8</v>
      </c>
      <c r="I133" s="24">
        <v>1</v>
      </c>
    </row>
    <row r="134" spans="1:9" ht="15.75" customHeight="1" x14ac:dyDescent="0.2">
      <c r="A134" s="26">
        <v>133</v>
      </c>
      <c r="B134" s="24">
        <v>133</v>
      </c>
      <c r="C134" s="24">
        <v>12</v>
      </c>
      <c r="D134" s="24">
        <f>VLOOKUP(C134,[1]Course!$A$1:$C$229, 2, FALSE)</f>
        <v>0</v>
      </c>
      <c r="E134" s="24">
        <v>14</v>
      </c>
      <c r="F134" s="24" t="s">
        <v>1435</v>
      </c>
      <c r="G134" s="24">
        <v>1</v>
      </c>
      <c r="H134" s="25">
        <v>0.8</v>
      </c>
      <c r="I134" s="24">
        <v>1</v>
      </c>
    </row>
    <row r="135" spans="1:9" ht="15.75" customHeight="1" x14ac:dyDescent="0.2">
      <c r="A135" s="26">
        <v>134</v>
      </c>
      <c r="B135" s="24">
        <v>134</v>
      </c>
      <c r="C135" s="24">
        <v>12</v>
      </c>
      <c r="D135" s="24">
        <f>VLOOKUP(C135,[1]Course!$A$1:$C$229, 2, FALSE)</f>
        <v>0</v>
      </c>
      <c r="E135" s="24">
        <v>15</v>
      </c>
      <c r="F135" s="24" t="s">
        <v>1434</v>
      </c>
      <c r="G135" s="24">
        <v>1</v>
      </c>
      <c r="H135" s="25">
        <v>0.8</v>
      </c>
      <c r="I135" s="24">
        <v>1</v>
      </c>
    </row>
    <row r="136" spans="1:9" ht="15.75" customHeight="1" x14ac:dyDescent="0.2">
      <c r="A136" s="26">
        <v>135</v>
      </c>
      <c r="B136" s="24">
        <v>135</v>
      </c>
      <c r="C136" s="24">
        <v>12</v>
      </c>
      <c r="D136" s="24">
        <f>VLOOKUP(C136,[1]Course!$A$1:$C$229, 2, FALSE)</f>
        <v>0</v>
      </c>
      <c r="E136" s="24">
        <v>16</v>
      </c>
      <c r="F136" s="24" t="s">
        <v>1433</v>
      </c>
      <c r="G136" s="24">
        <v>1</v>
      </c>
      <c r="H136" s="25">
        <v>0.8</v>
      </c>
      <c r="I136" s="24">
        <v>1</v>
      </c>
    </row>
    <row r="137" spans="1:9" ht="15.75" customHeight="1" x14ac:dyDescent="0.2">
      <c r="A137" s="26">
        <v>136</v>
      </c>
      <c r="B137" s="24">
        <v>136</v>
      </c>
      <c r="C137" s="24">
        <v>12</v>
      </c>
      <c r="D137" s="24">
        <f>VLOOKUP(C137,[1]Course!$A$1:$C$229, 2, FALSE)</f>
        <v>0</v>
      </c>
      <c r="E137" s="24">
        <v>17</v>
      </c>
      <c r="F137" s="24" t="s">
        <v>1432</v>
      </c>
      <c r="G137" s="24">
        <v>1</v>
      </c>
      <c r="H137" s="25">
        <v>0.8</v>
      </c>
      <c r="I137" s="24">
        <v>1</v>
      </c>
    </row>
    <row r="138" spans="1:9" ht="15.75" customHeight="1" x14ac:dyDescent="0.2">
      <c r="A138" s="26">
        <v>137</v>
      </c>
      <c r="B138" s="24">
        <v>137</v>
      </c>
      <c r="C138" s="24">
        <v>12</v>
      </c>
      <c r="D138" s="24">
        <f>VLOOKUP(C138,[1]Course!$A$1:$C$229, 2, FALSE)</f>
        <v>0</v>
      </c>
      <c r="E138" s="24">
        <v>18</v>
      </c>
      <c r="F138" s="24" t="s">
        <v>1431</v>
      </c>
      <c r="G138" s="24">
        <v>1</v>
      </c>
      <c r="H138" s="25">
        <v>0.8</v>
      </c>
      <c r="I138" s="24">
        <v>1</v>
      </c>
    </row>
    <row r="139" spans="1:9" ht="15.75" customHeight="1" x14ac:dyDescent="0.2">
      <c r="A139" s="26">
        <v>138</v>
      </c>
      <c r="B139" s="24">
        <v>138</v>
      </c>
      <c r="C139" s="24">
        <v>12</v>
      </c>
      <c r="D139" s="24">
        <f>VLOOKUP(C139,[1]Course!$A$1:$C$229, 2, FALSE)</f>
        <v>0</v>
      </c>
      <c r="E139" s="24">
        <v>19</v>
      </c>
      <c r="F139" s="24" t="s">
        <v>1430</v>
      </c>
      <c r="G139" s="24">
        <v>1</v>
      </c>
      <c r="H139" s="25">
        <v>0.8</v>
      </c>
      <c r="I139" s="24">
        <v>1</v>
      </c>
    </row>
    <row r="140" spans="1:9" ht="15.75" customHeight="1" x14ac:dyDescent="0.2">
      <c r="A140" s="26">
        <v>139</v>
      </c>
      <c r="B140" s="24">
        <v>139</v>
      </c>
      <c r="C140" s="24">
        <v>12</v>
      </c>
      <c r="D140" s="24">
        <f>VLOOKUP(C140,[1]Course!$A$1:$C$229, 2, FALSE)</f>
        <v>0</v>
      </c>
      <c r="E140" s="24">
        <v>20</v>
      </c>
      <c r="F140" s="24" t="s">
        <v>1429</v>
      </c>
      <c r="G140" s="24">
        <v>1</v>
      </c>
      <c r="H140" s="25">
        <v>0.8</v>
      </c>
      <c r="I140" s="24">
        <v>1</v>
      </c>
    </row>
    <row r="141" spans="1:9" ht="15.75" customHeight="1" x14ac:dyDescent="0.2">
      <c r="A141" s="26">
        <v>140</v>
      </c>
      <c r="B141" s="24">
        <v>140</v>
      </c>
      <c r="C141" s="24">
        <v>12</v>
      </c>
      <c r="D141" s="24">
        <f>VLOOKUP(C141,[1]Course!$A$1:$C$229, 2, FALSE)</f>
        <v>0</v>
      </c>
      <c r="E141" s="24">
        <v>21</v>
      </c>
      <c r="F141" s="24" t="s">
        <v>1428</v>
      </c>
      <c r="G141" s="24">
        <v>1</v>
      </c>
      <c r="H141" s="25">
        <v>0.8</v>
      </c>
      <c r="I141" s="24">
        <v>1</v>
      </c>
    </row>
    <row r="142" spans="1:9" ht="15.75" customHeight="1" x14ac:dyDescent="0.2">
      <c r="A142" s="26">
        <v>141</v>
      </c>
      <c r="B142" s="24">
        <v>141</v>
      </c>
      <c r="C142" s="24">
        <v>12</v>
      </c>
      <c r="D142" s="24">
        <f>VLOOKUP(C142,[1]Course!$A$1:$C$229, 2, FALSE)</f>
        <v>0</v>
      </c>
      <c r="E142" s="24">
        <v>22</v>
      </c>
      <c r="F142" s="24" t="s">
        <v>1427</v>
      </c>
      <c r="G142" s="24">
        <v>1</v>
      </c>
      <c r="H142" s="25">
        <v>0.8</v>
      </c>
      <c r="I142" s="24">
        <v>1</v>
      </c>
    </row>
    <row r="143" spans="1:9" ht="15.75" customHeight="1" x14ac:dyDescent="0.2">
      <c r="A143" s="26">
        <v>142</v>
      </c>
      <c r="B143" s="24">
        <v>142</v>
      </c>
      <c r="C143" s="24">
        <v>12</v>
      </c>
      <c r="D143" s="24">
        <f>VLOOKUP(C143,[1]Course!$A$1:$C$229, 2, FALSE)</f>
        <v>0</v>
      </c>
      <c r="E143" s="24">
        <v>23</v>
      </c>
      <c r="F143" s="24" t="s">
        <v>1426</v>
      </c>
      <c r="G143" s="24">
        <v>1</v>
      </c>
      <c r="H143" s="25">
        <v>0.8</v>
      </c>
      <c r="I143" s="24">
        <v>1</v>
      </c>
    </row>
    <row r="144" spans="1:9" ht="15.75" customHeight="1" x14ac:dyDescent="0.2">
      <c r="A144" s="26">
        <v>143</v>
      </c>
      <c r="B144" s="24">
        <v>143</v>
      </c>
      <c r="C144" s="24">
        <v>12</v>
      </c>
      <c r="D144" s="24">
        <f>VLOOKUP(C144,[1]Course!$A$1:$C$229, 2, FALSE)</f>
        <v>0</v>
      </c>
      <c r="E144" s="24">
        <v>24</v>
      </c>
      <c r="F144" s="24" t="s">
        <v>1425</v>
      </c>
      <c r="G144" s="24">
        <v>1</v>
      </c>
      <c r="H144" s="25">
        <v>0.8</v>
      </c>
      <c r="I144" s="24">
        <v>1</v>
      </c>
    </row>
    <row r="145" spans="1:9" ht="15.75" customHeight="1" x14ac:dyDescent="0.2">
      <c r="A145" s="26">
        <v>144</v>
      </c>
      <c r="B145" s="24">
        <v>144</v>
      </c>
      <c r="C145" s="24">
        <v>13</v>
      </c>
      <c r="D145" s="24" t="str">
        <f>VLOOKUP(C145,[1]Course!$A$1:$C$229, 2, FALSE)</f>
        <v>Science 2</v>
      </c>
      <c r="E145" s="24">
        <v>13</v>
      </c>
      <c r="F145" s="24" t="s">
        <v>1424</v>
      </c>
      <c r="G145" s="24">
        <v>1</v>
      </c>
      <c r="H145" s="25">
        <v>0.8</v>
      </c>
      <c r="I145" s="24">
        <v>1</v>
      </c>
    </row>
    <row r="146" spans="1:9" ht="15.75" customHeight="1" x14ac:dyDescent="0.2">
      <c r="A146" s="26">
        <v>145</v>
      </c>
      <c r="B146" s="24">
        <v>145</v>
      </c>
      <c r="C146" s="24">
        <v>13</v>
      </c>
      <c r="D146" s="24" t="str">
        <f>VLOOKUP(C146,[1]Course!$A$1:$C$229, 2, FALSE)</f>
        <v>Science 2</v>
      </c>
      <c r="E146" s="24">
        <v>14</v>
      </c>
      <c r="F146" s="24" t="s">
        <v>1423</v>
      </c>
      <c r="G146" s="24">
        <v>1</v>
      </c>
      <c r="H146" s="25">
        <v>0.8</v>
      </c>
      <c r="I146" s="24">
        <v>1</v>
      </c>
    </row>
    <row r="147" spans="1:9" ht="15.75" customHeight="1" x14ac:dyDescent="0.2">
      <c r="A147" s="26">
        <v>146</v>
      </c>
      <c r="B147" s="24">
        <v>146</v>
      </c>
      <c r="C147" s="24">
        <v>13</v>
      </c>
      <c r="D147" s="24" t="str">
        <f>VLOOKUP(C147,[1]Course!$A$1:$C$229, 2, FALSE)</f>
        <v>Science 2</v>
      </c>
      <c r="E147" s="24">
        <v>15</v>
      </c>
      <c r="F147" s="24" t="s">
        <v>1422</v>
      </c>
      <c r="G147" s="24">
        <v>1</v>
      </c>
      <c r="H147" s="25">
        <v>0.8</v>
      </c>
      <c r="I147" s="24">
        <v>1</v>
      </c>
    </row>
    <row r="148" spans="1:9" ht="15.75" customHeight="1" x14ac:dyDescent="0.2">
      <c r="A148" s="26">
        <v>147</v>
      </c>
      <c r="B148" s="24">
        <v>147</v>
      </c>
      <c r="C148" s="24">
        <v>13</v>
      </c>
      <c r="D148" s="24" t="str">
        <f>VLOOKUP(C148,[1]Course!$A$1:$C$229, 2, FALSE)</f>
        <v>Science 2</v>
      </c>
      <c r="E148" s="24">
        <v>16</v>
      </c>
      <c r="F148" s="24" t="s">
        <v>1421</v>
      </c>
      <c r="G148" s="24">
        <v>1</v>
      </c>
      <c r="H148" s="25">
        <v>0.8</v>
      </c>
      <c r="I148" s="24">
        <v>1</v>
      </c>
    </row>
    <row r="149" spans="1:9" ht="15.75" customHeight="1" x14ac:dyDescent="0.2">
      <c r="A149" s="26">
        <v>148</v>
      </c>
      <c r="B149" s="24">
        <v>148</v>
      </c>
      <c r="C149" s="24">
        <v>13</v>
      </c>
      <c r="D149" s="24" t="str">
        <f>VLOOKUP(C149,[1]Course!$A$1:$C$229, 2, FALSE)</f>
        <v>Science 2</v>
      </c>
      <c r="E149" s="24">
        <v>17</v>
      </c>
      <c r="F149" s="24" t="s">
        <v>1420</v>
      </c>
      <c r="G149" s="24">
        <v>1</v>
      </c>
      <c r="H149" s="25">
        <v>0.8</v>
      </c>
      <c r="I149" s="24">
        <v>1</v>
      </c>
    </row>
    <row r="150" spans="1:9" ht="15.75" customHeight="1" x14ac:dyDescent="0.2">
      <c r="A150" s="26">
        <v>149</v>
      </c>
      <c r="B150" s="24">
        <v>149</v>
      </c>
      <c r="C150" s="24">
        <v>13</v>
      </c>
      <c r="D150" s="24" t="str">
        <f>VLOOKUP(C150,[1]Course!$A$1:$C$229, 2, FALSE)</f>
        <v>Science 2</v>
      </c>
      <c r="E150" s="24">
        <v>18</v>
      </c>
      <c r="F150" s="24" t="s">
        <v>1419</v>
      </c>
      <c r="G150" s="24">
        <v>1</v>
      </c>
      <c r="H150" s="25">
        <v>0.8</v>
      </c>
      <c r="I150" s="24">
        <v>1</v>
      </c>
    </row>
    <row r="151" spans="1:9" ht="15.75" customHeight="1" x14ac:dyDescent="0.2">
      <c r="A151" s="26">
        <v>150</v>
      </c>
      <c r="B151" s="24">
        <v>150</v>
      </c>
      <c r="C151" s="24">
        <v>13</v>
      </c>
      <c r="D151" s="24" t="str">
        <f>VLOOKUP(C151,[1]Course!$A$1:$C$229, 2, FALSE)</f>
        <v>Science 2</v>
      </c>
      <c r="E151" s="24">
        <v>19</v>
      </c>
      <c r="F151" s="24" t="s">
        <v>1418</v>
      </c>
      <c r="G151" s="24">
        <v>1</v>
      </c>
      <c r="H151" s="25">
        <v>0.8</v>
      </c>
      <c r="I151" s="24">
        <v>1</v>
      </c>
    </row>
    <row r="152" spans="1:9" ht="15.75" customHeight="1" x14ac:dyDescent="0.2">
      <c r="A152" s="26">
        <v>151</v>
      </c>
      <c r="B152" s="24">
        <v>151</v>
      </c>
      <c r="C152" s="24">
        <v>13</v>
      </c>
      <c r="D152" s="24" t="str">
        <f>VLOOKUP(C152,[1]Course!$A$1:$C$229, 2, FALSE)</f>
        <v>Science 2</v>
      </c>
      <c r="E152" s="24">
        <v>20</v>
      </c>
      <c r="F152" s="24" t="s">
        <v>1417</v>
      </c>
      <c r="G152" s="24">
        <v>1</v>
      </c>
      <c r="H152" s="25">
        <v>0.8</v>
      </c>
      <c r="I152" s="24">
        <v>1</v>
      </c>
    </row>
    <row r="153" spans="1:9" ht="15.75" customHeight="1" x14ac:dyDescent="0.2">
      <c r="A153" s="26">
        <v>152</v>
      </c>
      <c r="B153" s="24">
        <v>152</v>
      </c>
      <c r="C153" s="24">
        <v>13</v>
      </c>
      <c r="D153" s="24" t="str">
        <f>VLOOKUP(C153,[1]Course!$A$1:$C$229, 2, FALSE)</f>
        <v>Science 2</v>
      </c>
      <c r="E153" s="24">
        <v>21</v>
      </c>
      <c r="F153" s="24" t="s">
        <v>1416</v>
      </c>
      <c r="G153" s="24">
        <v>1</v>
      </c>
      <c r="H153" s="25">
        <v>0.8</v>
      </c>
      <c r="I153" s="24">
        <v>1</v>
      </c>
    </row>
    <row r="154" spans="1:9" ht="15.75" customHeight="1" x14ac:dyDescent="0.2">
      <c r="A154" s="26">
        <v>153</v>
      </c>
      <c r="B154" s="24">
        <v>153</v>
      </c>
      <c r="C154" s="24">
        <v>13</v>
      </c>
      <c r="D154" s="24" t="str">
        <f>VLOOKUP(C154,[1]Course!$A$1:$C$229, 2, FALSE)</f>
        <v>Science 2</v>
      </c>
      <c r="E154" s="24">
        <v>22</v>
      </c>
      <c r="F154" s="24" t="s">
        <v>1415</v>
      </c>
      <c r="G154" s="24">
        <v>1</v>
      </c>
      <c r="H154" s="25">
        <v>0.8</v>
      </c>
      <c r="I154" s="24">
        <v>1</v>
      </c>
    </row>
    <row r="155" spans="1:9" ht="15.75" customHeight="1" x14ac:dyDescent="0.2">
      <c r="A155" s="26">
        <v>154</v>
      </c>
      <c r="B155" s="24">
        <v>154</v>
      </c>
      <c r="C155" s="24">
        <v>13</v>
      </c>
      <c r="D155" s="24" t="str">
        <f>VLOOKUP(C155,[1]Course!$A$1:$C$229, 2, FALSE)</f>
        <v>Science 2</v>
      </c>
      <c r="E155" s="24">
        <v>23</v>
      </c>
      <c r="F155" s="24" t="s">
        <v>1414</v>
      </c>
      <c r="G155" s="24">
        <v>1</v>
      </c>
      <c r="H155" s="25">
        <v>0.8</v>
      </c>
      <c r="I155" s="24">
        <v>1</v>
      </c>
    </row>
    <row r="156" spans="1:9" ht="15.75" customHeight="1" x14ac:dyDescent="0.2">
      <c r="A156" s="26">
        <v>155</v>
      </c>
      <c r="B156" s="24">
        <v>155</v>
      </c>
      <c r="C156" s="24">
        <v>13</v>
      </c>
      <c r="D156" s="24" t="str">
        <f>VLOOKUP(C156,[1]Course!$A$1:$C$229, 2, FALSE)</f>
        <v>Science 2</v>
      </c>
      <c r="E156" s="24">
        <v>24</v>
      </c>
      <c r="F156" s="24" t="s">
        <v>1413</v>
      </c>
      <c r="G156" s="24">
        <v>1</v>
      </c>
      <c r="H156" s="25">
        <v>0.8</v>
      </c>
      <c r="I156" s="24">
        <v>1</v>
      </c>
    </row>
    <row r="157" spans="1:9" ht="15.75" customHeight="1" x14ac:dyDescent="0.2">
      <c r="A157" s="26">
        <v>156</v>
      </c>
      <c r="B157" s="24">
        <v>156</v>
      </c>
      <c r="C157" s="24">
        <v>14</v>
      </c>
      <c r="D157" s="24">
        <f>VLOOKUP(C157,[1]Course!$A$1:$C$229, 2, FALSE)</f>
        <v>0</v>
      </c>
      <c r="E157" s="24">
        <v>13</v>
      </c>
      <c r="F157" s="24" t="s">
        <v>1412</v>
      </c>
      <c r="G157" s="24">
        <v>1</v>
      </c>
      <c r="H157" s="25">
        <v>0.8</v>
      </c>
      <c r="I157" s="24">
        <v>1</v>
      </c>
    </row>
    <row r="158" spans="1:9" ht="15.75" customHeight="1" x14ac:dyDescent="0.2">
      <c r="A158" s="26">
        <v>157</v>
      </c>
      <c r="B158" s="24">
        <v>157</v>
      </c>
      <c r="C158" s="24">
        <v>14</v>
      </c>
      <c r="D158" s="24">
        <f>VLOOKUP(C158,[1]Course!$A$1:$C$229, 2, FALSE)</f>
        <v>0</v>
      </c>
      <c r="E158" s="24">
        <v>14</v>
      </c>
      <c r="F158" s="24" t="s">
        <v>1411</v>
      </c>
      <c r="G158" s="24">
        <v>1</v>
      </c>
      <c r="H158" s="25">
        <v>0.8</v>
      </c>
      <c r="I158" s="24">
        <v>1</v>
      </c>
    </row>
    <row r="159" spans="1:9" ht="15.75" customHeight="1" x14ac:dyDescent="0.2">
      <c r="A159" s="26">
        <v>158</v>
      </c>
      <c r="B159" s="24">
        <v>158</v>
      </c>
      <c r="C159" s="24">
        <v>14</v>
      </c>
      <c r="D159" s="24">
        <f>VLOOKUP(C159,[1]Course!$A$1:$C$229, 2, FALSE)</f>
        <v>0</v>
      </c>
      <c r="E159" s="24">
        <v>15</v>
      </c>
      <c r="F159" s="24" t="s">
        <v>1410</v>
      </c>
      <c r="G159" s="24">
        <v>1</v>
      </c>
      <c r="H159" s="25">
        <v>0.8</v>
      </c>
      <c r="I159" s="24">
        <v>1</v>
      </c>
    </row>
    <row r="160" spans="1:9" ht="15.75" customHeight="1" x14ac:dyDescent="0.2">
      <c r="A160" s="26">
        <v>159</v>
      </c>
      <c r="B160" s="24">
        <v>159</v>
      </c>
      <c r="C160" s="24">
        <v>14</v>
      </c>
      <c r="D160" s="24">
        <f>VLOOKUP(C160,[1]Course!$A$1:$C$229, 2, FALSE)</f>
        <v>0</v>
      </c>
      <c r="E160" s="24">
        <v>16</v>
      </c>
      <c r="F160" s="24" t="s">
        <v>1409</v>
      </c>
      <c r="G160" s="24">
        <v>1</v>
      </c>
      <c r="H160" s="25">
        <v>0.8</v>
      </c>
      <c r="I160" s="24">
        <v>1</v>
      </c>
    </row>
    <row r="161" spans="1:9" ht="15.75" customHeight="1" x14ac:dyDescent="0.2">
      <c r="A161" s="26">
        <v>160</v>
      </c>
      <c r="B161" s="24">
        <v>160</v>
      </c>
      <c r="C161" s="24">
        <v>14</v>
      </c>
      <c r="D161" s="24">
        <f>VLOOKUP(C161,[1]Course!$A$1:$C$229, 2, FALSE)</f>
        <v>0</v>
      </c>
      <c r="E161" s="24">
        <v>17</v>
      </c>
      <c r="F161" s="24" t="s">
        <v>1408</v>
      </c>
      <c r="G161" s="24">
        <v>1</v>
      </c>
      <c r="H161" s="25">
        <v>0.8</v>
      </c>
      <c r="I161" s="24">
        <v>1</v>
      </c>
    </row>
    <row r="162" spans="1:9" ht="15.75" customHeight="1" x14ac:dyDescent="0.2">
      <c r="A162" s="26">
        <v>161</v>
      </c>
      <c r="B162" s="24">
        <v>161</v>
      </c>
      <c r="C162" s="24">
        <v>14</v>
      </c>
      <c r="D162" s="24">
        <f>VLOOKUP(C162,[1]Course!$A$1:$C$229, 2, FALSE)</f>
        <v>0</v>
      </c>
      <c r="E162" s="24">
        <v>18</v>
      </c>
      <c r="F162" s="24" t="s">
        <v>1407</v>
      </c>
      <c r="G162" s="24">
        <v>1</v>
      </c>
      <c r="H162" s="25">
        <v>0.8</v>
      </c>
      <c r="I162" s="24">
        <v>1</v>
      </c>
    </row>
    <row r="163" spans="1:9" ht="15.75" customHeight="1" x14ac:dyDescent="0.2">
      <c r="A163" s="26">
        <v>162</v>
      </c>
      <c r="B163" s="24">
        <v>162</v>
      </c>
      <c r="C163" s="24">
        <v>14</v>
      </c>
      <c r="D163" s="24">
        <f>VLOOKUP(C163,[1]Course!$A$1:$C$229, 2, FALSE)</f>
        <v>0</v>
      </c>
      <c r="E163" s="24">
        <v>19</v>
      </c>
      <c r="F163" s="24" t="s">
        <v>1406</v>
      </c>
      <c r="G163" s="24">
        <v>1</v>
      </c>
      <c r="H163" s="25">
        <v>0.8</v>
      </c>
      <c r="I163" s="24">
        <v>1</v>
      </c>
    </row>
    <row r="164" spans="1:9" ht="15.75" customHeight="1" x14ac:dyDescent="0.2">
      <c r="A164" s="26">
        <v>163</v>
      </c>
      <c r="B164" s="24">
        <v>163</v>
      </c>
      <c r="C164" s="24">
        <v>14</v>
      </c>
      <c r="D164" s="24">
        <f>VLOOKUP(C164,[1]Course!$A$1:$C$229, 2, FALSE)</f>
        <v>0</v>
      </c>
      <c r="E164" s="24">
        <v>20</v>
      </c>
      <c r="F164" s="24" t="s">
        <v>1405</v>
      </c>
      <c r="G164" s="24">
        <v>1</v>
      </c>
      <c r="H164" s="25">
        <v>0.8</v>
      </c>
      <c r="I164" s="24">
        <v>1</v>
      </c>
    </row>
    <row r="165" spans="1:9" ht="15.75" customHeight="1" x14ac:dyDescent="0.2">
      <c r="A165" s="26">
        <v>164</v>
      </c>
      <c r="B165" s="24">
        <v>164</v>
      </c>
      <c r="C165" s="24">
        <v>14</v>
      </c>
      <c r="D165" s="24">
        <f>VLOOKUP(C165,[1]Course!$A$1:$C$229, 2, FALSE)</f>
        <v>0</v>
      </c>
      <c r="E165" s="24">
        <v>21</v>
      </c>
      <c r="F165" s="24" t="s">
        <v>1404</v>
      </c>
      <c r="G165" s="24">
        <v>1</v>
      </c>
      <c r="H165" s="25">
        <v>0.8</v>
      </c>
      <c r="I165" s="24">
        <v>1</v>
      </c>
    </row>
    <row r="166" spans="1:9" ht="15.75" customHeight="1" x14ac:dyDescent="0.2">
      <c r="A166" s="26">
        <v>165</v>
      </c>
      <c r="B166" s="24">
        <v>165</v>
      </c>
      <c r="C166" s="24">
        <v>14</v>
      </c>
      <c r="D166" s="24">
        <f>VLOOKUP(C166,[1]Course!$A$1:$C$229, 2, FALSE)</f>
        <v>0</v>
      </c>
      <c r="E166" s="24">
        <v>22</v>
      </c>
      <c r="F166" s="24" t="s">
        <v>1403</v>
      </c>
      <c r="G166" s="24">
        <v>1</v>
      </c>
      <c r="H166" s="25">
        <v>0.8</v>
      </c>
      <c r="I166" s="24">
        <v>1</v>
      </c>
    </row>
    <row r="167" spans="1:9" ht="15.75" customHeight="1" x14ac:dyDescent="0.2">
      <c r="A167" s="26">
        <v>166</v>
      </c>
      <c r="B167" s="24">
        <v>166</v>
      </c>
      <c r="C167" s="24">
        <v>14</v>
      </c>
      <c r="D167" s="24">
        <f>VLOOKUP(C167,[1]Course!$A$1:$C$229, 2, FALSE)</f>
        <v>0</v>
      </c>
      <c r="E167" s="24">
        <v>23</v>
      </c>
      <c r="F167" s="24" t="s">
        <v>1402</v>
      </c>
      <c r="G167" s="24">
        <v>1</v>
      </c>
      <c r="H167" s="25">
        <v>0.8</v>
      </c>
      <c r="I167" s="24">
        <v>1</v>
      </c>
    </row>
    <row r="168" spans="1:9" ht="15.75" customHeight="1" x14ac:dyDescent="0.2">
      <c r="A168" s="26">
        <v>167</v>
      </c>
      <c r="B168" s="24">
        <v>167</v>
      </c>
      <c r="C168" s="24">
        <v>14</v>
      </c>
      <c r="D168" s="24">
        <f>VLOOKUP(C168,[1]Course!$A$1:$C$229, 2, FALSE)</f>
        <v>0</v>
      </c>
      <c r="E168" s="24">
        <v>24</v>
      </c>
      <c r="F168" s="24" t="s">
        <v>1401</v>
      </c>
      <c r="G168" s="24">
        <v>1</v>
      </c>
      <c r="H168" s="25">
        <v>0.8</v>
      </c>
      <c r="I168" s="24">
        <v>1</v>
      </c>
    </row>
    <row r="169" spans="1:9" ht="15.75" customHeight="1" x14ac:dyDescent="0.2">
      <c r="A169" s="26">
        <v>168</v>
      </c>
      <c r="B169" s="24">
        <v>168</v>
      </c>
      <c r="C169" s="24">
        <v>15</v>
      </c>
      <c r="D169" s="24">
        <f>VLOOKUP(C169,[1]Course!$A$1:$C$229, 2, FALSE)</f>
        <v>0</v>
      </c>
      <c r="E169" s="24">
        <v>13</v>
      </c>
      <c r="F169" s="24" t="s">
        <v>1400</v>
      </c>
      <c r="G169" s="24">
        <v>1</v>
      </c>
      <c r="H169" s="25">
        <v>0.8</v>
      </c>
      <c r="I169" s="24">
        <v>1</v>
      </c>
    </row>
    <row r="170" spans="1:9" ht="15.75" customHeight="1" x14ac:dyDescent="0.2">
      <c r="A170" s="26">
        <v>169</v>
      </c>
      <c r="B170" s="24">
        <v>169</v>
      </c>
      <c r="C170" s="24">
        <v>15</v>
      </c>
      <c r="D170" s="24">
        <f>VLOOKUP(C170,[1]Course!$A$1:$C$229, 2, FALSE)</f>
        <v>0</v>
      </c>
      <c r="E170" s="24">
        <v>14</v>
      </c>
      <c r="F170" s="24" t="s">
        <v>1399</v>
      </c>
      <c r="G170" s="24">
        <v>1</v>
      </c>
      <c r="H170" s="25">
        <v>0.8</v>
      </c>
      <c r="I170" s="24">
        <v>1</v>
      </c>
    </row>
    <row r="171" spans="1:9" ht="15.75" customHeight="1" x14ac:dyDescent="0.2">
      <c r="A171" s="26">
        <v>170</v>
      </c>
      <c r="B171" s="24">
        <v>170</v>
      </c>
      <c r="C171" s="24">
        <v>15</v>
      </c>
      <c r="D171" s="24">
        <f>VLOOKUP(C171,[1]Course!$A$1:$C$229, 2, FALSE)</f>
        <v>0</v>
      </c>
      <c r="E171" s="24">
        <v>15</v>
      </c>
      <c r="F171" s="24" t="s">
        <v>1398</v>
      </c>
      <c r="G171" s="24">
        <v>1</v>
      </c>
      <c r="H171" s="25">
        <v>0.8</v>
      </c>
      <c r="I171" s="24">
        <v>1</v>
      </c>
    </row>
    <row r="172" spans="1:9" ht="15.75" customHeight="1" x14ac:dyDescent="0.2">
      <c r="A172" s="26">
        <v>171</v>
      </c>
      <c r="B172" s="24">
        <v>171</v>
      </c>
      <c r="C172" s="24">
        <v>15</v>
      </c>
      <c r="D172" s="24">
        <f>VLOOKUP(C172,[1]Course!$A$1:$C$229, 2, FALSE)</f>
        <v>0</v>
      </c>
      <c r="E172" s="24">
        <v>16</v>
      </c>
      <c r="F172" s="24" t="s">
        <v>1397</v>
      </c>
      <c r="G172" s="24">
        <v>1</v>
      </c>
      <c r="H172" s="25">
        <v>0.8</v>
      </c>
      <c r="I172" s="24">
        <v>1</v>
      </c>
    </row>
    <row r="173" spans="1:9" ht="15.75" customHeight="1" x14ac:dyDescent="0.2">
      <c r="A173" s="26">
        <v>172</v>
      </c>
      <c r="B173" s="24">
        <v>172</v>
      </c>
      <c r="C173" s="24">
        <v>15</v>
      </c>
      <c r="D173" s="24">
        <f>VLOOKUP(C173,[1]Course!$A$1:$C$229, 2, FALSE)</f>
        <v>0</v>
      </c>
      <c r="E173" s="24">
        <v>17</v>
      </c>
      <c r="F173" s="24" t="s">
        <v>1396</v>
      </c>
      <c r="G173" s="24">
        <v>1</v>
      </c>
      <c r="H173" s="25">
        <v>0.8</v>
      </c>
      <c r="I173" s="24">
        <v>1</v>
      </c>
    </row>
    <row r="174" spans="1:9" ht="15.75" customHeight="1" x14ac:dyDescent="0.2">
      <c r="A174" s="26">
        <v>173</v>
      </c>
      <c r="B174" s="24">
        <v>173</v>
      </c>
      <c r="C174" s="24">
        <v>15</v>
      </c>
      <c r="D174" s="24">
        <f>VLOOKUP(C174,[1]Course!$A$1:$C$229, 2, FALSE)</f>
        <v>0</v>
      </c>
      <c r="E174" s="24">
        <v>18</v>
      </c>
      <c r="F174" s="24" t="s">
        <v>1395</v>
      </c>
      <c r="G174" s="24">
        <v>1</v>
      </c>
      <c r="H174" s="25">
        <v>0.8</v>
      </c>
      <c r="I174" s="24">
        <v>1</v>
      </c>
    </row>
    <row r="175" spans="1:9" ht="15.75" customHeight="1" x14ac:dyDescent="0.2">
      <c r="A175" s="26">
        <v>174</v>
      </c>
      <c r="B175" s="24">
        <v>174</v>
      </c>
      <c r="C175" s="24">
        <v>15</v>
      </c>
      <c r="D175" s="24">
        <f>VLOOKUP(C175,[1]Course!$A$1:$C$229, 2, FALSE)</f>
        <v>0</v>
      </c>
      <c r="E175" s="24">
        <v>19</v>
      </c>
      <c r="F175" s="24" t="s">
        <v>1394</v>
      </c>
      <c r="G175" s="24">
        <v>1</v>
      </c>
      <c r="H175" s="25">
        <v>0.8</v>
      </c>
      <c r="I175" s="24">
        <v>1</v>
      </c>
    </row>
    <row r="176" spans="1:9" ht="15.75" customHeight="1" x14ac:dyDescent="0.2">
      <c r="A176" s="26">
        <v>175</v>
      </c>
      <c r="B176" s="24">
        <v>175</v>
      </c>
      <c r="C176" s="24">
        <v>15</v>
      </c>
      <c r="D176" s="24">
        <f>VLOOKUP(C176,[1]Course!$A$1:$C$229, 2, FALSE)</f>
        <v>0</v>
      </c>
      <c r="E176" s="24">
        <v>20</v>
      </c>
      <c r="F176" s="24" t="s">
        <v>1393</v>
      </c>
      <c r="G176" s="24">
        <v>1</v>
      </c>
      <c r="H176" s="25">
        <v>0.8</v>
      </c>
      <c r="I176" s="24">
        <v>1</v>
      </c>
    </row>
    <row r="177" spans="1:9" ht="15.75" customHeight="1" x14ac:dyDescent="0.2">
      <c r="A177" s="26">
        <v>176</v>
      </c>
      <c r="B177" s="24">
        <v>176</v>
      </c>
      <c r="C177" s="24">
        <v>15</v>
      </c>
      <c r="D177" s="24">
        <f>VLOOKUP(C177,[1]Course!$A$1:$C$229, 2, FALSE)</f>
        <v>0</v>
      </c>
      <c r="E177" s="24">
        <v>21</v>
      </c>
      <c r="F177" s="24" t="s">
        <v>1392</v>
      </c>
      <c r="G177" s="24">
        <v>1</v>
      </c>
      <c r="H177" s="25">
        <v>0.8</v>
      </c>
      <c r="I177" s="24">
        <v>1</v>
      </c>
    </row>
    <row r="178" spans="1:9" ht="15.75" customHeight="1" x14ac:dyDescent="0.2">
      <c r="A178" s="26">
        <v>177</v>
      </c>
      <c r="B178" s="24">
        <v>177</v>
      </c>
      <c r="C178" s="24">
        <v>15</v>
      </c>
      <c r="D178" s="24">
        <f>VLOOKUP(C178,[1]Course!$A$1:$C$229, 2, FALSE)</f>
        <v>0</v>
      </c>
      <c r="E178" s="24">
        <v>22</v>
      </c>
      <c r="F178" s="24" t="s">
        <v>1391</v>
      </c>
      <c r="G178" s="24">
        <v>1</v>
      </c>
      <c r="H178" s="25">
        <v>0.8</v>
      </c>
      <c r="I178" s="24">
        <v>1</v>
      </c>
    </row>
    <row r="179" spans="1:9" ht="15.75" customHeight="1" x14ac:dyDescent="0.2">
      <c r="A179" s="26">
        <v>178</v>
      </c>
      <c r="B179" s="24">
        <v>178</v>
      </c>
      <c r="C179" s="24">
        <v>15</v>
      </c>
      <c r="D179" s="24">
        <f>VLOOKUP(C179,[1]Course!$A$1:$C$229, 2, FALSE)</f>
        <v>0</v>
      </c>
      <c r="E179" s="24">
        <v>23</v>
      </c>
      <c r="F179" s="24" t="s">
        <v>1390</v>
      </c>
      <c r="G179" s="24">
        <v>1</v>
      </c>
      <c r="H179" s="25">
        <v>0.8</v>
      </c>
      <c r="I179" s="24">
        <v>1</v>
      </c>
    </row>
    <row r="180" spans="1:9" ht="15.75" customHeight="1" x14ac:dyDescent="0.2">
      <c r="A180" s="26">
        <v>179</v>
      </c>
      <c r="B180" s="24">
        <v>179</v>
      </c>
      <c r="C180" s="24">
        <v>15</v>
      </c>
      <c r="D180" s="24">
        <f>VLOOKUP(C180,[1]Course!$A$1:$C$229, 2, FALSE)</f>
        <v>0</v>
      </c>
      <c r="E180" s="24">
        <v>24</v>
      </c>
      <c r="F180" s="24" t="s">
        <v>1389</v>
      </c>
      <c r="G180" s="24">
        <v>1</v>
      </c>
      <c r="H180" s="25">
        <v>0.8</v>
      </c>
      <c r="I180" s="24">
        <v>1</v>
      </c>
    </row>
    <row r="181" spans="1:9" ht="15.75" customHeight="1" x14ac:dyDescent="0.2">
      <c r="A181" s="26">
        <v>180</v>
      </c>
      <c r="B181" s="24">
        <v>180</v>
      </c>
      <c r="C181" s="24">
        <v>16</v>
      </c>
      <c r="D181" s="24">
        <f>VLOOKUP(C181,[1]Course!$A$1:$C$229, 2, FALSE)</f>
        <v>0</v>
      </c>
      <c r="E181" s="24">
        <v>25</v>
      </c>
      <c r="F181" s="24" t="s">
        <v>1388</v>
      </c>
      <c r="G181" s="24">
        <v>1</v>
      </c>
      <c r="H181" s="25">
        <v>0.8</v>
      </c>
      <c r="I181" s="24">
        <v>1</v>
      </c>
    </row>
    <row r="182" spans="1:9" ht="15.75" customHeight="1" x14ac:dyDescent="0.2">
      <c r="A182" s="26">
        <v>181</v>
      </c>
      <c r="B182" s="24">
        <v>181</v>
      </c>
      <c r="C182" s="24">
        <v>16</v>
      </c>
      <c r="D182" s="24">
        <f>VLOOKUP(C182,[1]Course!$A$1:$C$229, 2, FALSE)</f>
        <v>0</v>
      </c>
      <c r="E182" s="24">
        <v>26</v>
      </c>
      <c r="F182" s="24" t="s">
        <v>1387</v>
      </c>
      <c r="G182" s="24">
        <v>1</v>
      </c>
      <c r="H182" s="25">
        <v>0.8</v>
      </c>
      <c r="I182" s="24">
        <v>1</v>
      </c>
    </row>
    <row r="183" spans="1:9" ht="15.75" customHeight="1" x14ac:dyDescent="0.2">
      <c r="A183" s="26">
        <v>182</v>
      </c>
      <c r="B183" s="24">
        <v>182</v>
      </c>
      <c r="C183" s="24">
        <v>16</v>
      </c>
      <c r="D183" s="24">
        <f>VLOOKUP(C183,[1]Course!$A$1:$C$229, 2, FALSE)</f>
        <v>0</v>
      </c>
      <c r="E183" s="24">
        <v>27</v>
      </c>
      <c r="F183" s="24" t="s">
        <v>1386</v>
      </c>
      <c r="G183" s="24">
        <v>1</v>
      </c>
      <c r="H183" s="25">
        <v>0.8</v>
      </c>
      <c r="I183" s="24">
        <v>1</v>
      </c>
    </row>
    <row r="184" spans="1:9" ht="15.75" customHeight="1" x14ac:dyDescent="0.2">
      <c r="A184" s="26">
        <v>183</v>
      </c>
      <c r="B184" s="24">
        <v>183</v>
      </c>
      <c r="C184" s="24">
        <v>16</v>
      </c>
      <c r="D184" s="24">
        <f>VLOOKUP(C184,[1]Course!$A$1:$C$229, 2, FALSE)</f>
        <v>0</v>
      </c>
      <c r="E184" s="24">
        <v>28</v>
      </c>
      <c r="F184" s="24" t="s">
        <v>1385</v>
      </c>
      <c r="G184" s="24">
        <v>1</v>
      </c>
      <c r="H184" s="25">
        <v>0.8</v>
      </c>
      <c r="I184" s="24">
        <v>1</v>
      </c>
    </row>
    <row r="185" spans="1:9" ht="15.75" customHeight="1" x14ac:dyDescent="0.2">
      <c r="A185" s="26">
        <v>184</v>
      </c>
      <c r="B185" s="24">
        <v>184</v>
      </c>
      <c r="C185" s="24">
        <v>16</v>
      </c>
      <c r="D185" s="24">
        <f>VLOOKUP(C185,[1]Course!$A$1:$C$229, 2, FALSE)</f>
        <v>0</v>
      </c>
      <c r="E185" s="24">
        <v>29</v>
      </c>
      <c r="F185" s="24" t="s">
        <v>1384</v>
      </c>
      <c r="G185" s="24">
        <v>1</v>
      </c>
      <c r="H185" s="25">
        <v>0.8</v>
      </c>
      <c r="I185" s="24">
        <v>1</v>
      </c>
    </row>
    <row r="186" spans="1:9" ht="15.75" customHeight="1" x14ac:dyDescent="0.2">
      <c r="A186" s="26">
        <v>185</v>
      </c>
      <c r="B186" s="24">
        <v>185</v>
      </c>
      <c r="C186" s="24">
        <v>16</v>
      </c>
      <c r="D186" s="24">
        <f>VLOOKUP(C186,[1]Course!$A$1:$C$229, 2, FALSE)</f>
        <v>0</v>
      </c>
      <c r="E186" s="24">
        <v>30</v>
      </c>
      <c r="F186" s="24" t="s">
        <v>1383</v>
      </c>
      <c r="G186" s="24">
        <v>1</v>
      </c>
      <c r="H186" s="25">
        <v>0.8</v>
      </c>
      <c r="I186" s="24">
        <v>1</v>
      </c>
    </row>
    <row r="187" spans="1:9" ht="15.75" customHeight="1" x14ac:dyDescent="0.2">
      <c r="A187" s="26">
        <v>186</v>
      </c>
      <c r="B187" s="24">
        <v>186</v>
      </c>
      <c r="C187" s="24">
        <v>16</v>
      </c>
      <c r="D187" s="24">
        <f>VLOOKUP(C187,[1]Course!$A$1:$C$229, 2, FALSE)</f>
        <v>0</v>
      </c>
      <c r="E187" s="24">
        <v>31</v>
      </c>
      <c r="F187" s="24" t="s">
        <v>1382</v>
      </c>
      <c r="G187" s="24">
        <v>1</v>
      </c>
      <c r="H187" s="25">
        <v>0.8</v>
      </c>
      <c r="I187" s="24">
        <v>1</v>
      </c>
    </row>
    <row r="188" spans="1:9" ht="15.75" customHeight="1" x14ac:dyDescent="0.2">
      <c r="A188" s="26">
        <v>187</v>
      </c>
      <c r="B188" s="24">
        <v>187</v>
      </c>
      <c r="C188" s="24">
        <v>16</v>
      </c>
      <c r="D188" s="24">
        <f>VLOOKUP(C188,[1]Course!$A$1:$C$229, 2, FALSE)</f>
        <v>0</v>
      </c>
      <c r="E188" s="24">
        <v>32</v>
      </c>
      <c r="F188" s="24" t="s">
        <v>1381</v>
      </c>
      <c r="G188" s="24">
        <v>1</v>
      </c>
      <c r="H188" s="25">
        <v>0.8</v>
      </c>
      <c r="I188" s="24">
        <v>1</v>
      </c>
    </row>
    <row r="189" spans="1:9" ht="15.75" customHeight="1" x14ac:dyDescent="0.2">
      <c r="A189" s="26">
        <v>188</v>
      </c>
      <c r="B189" s="24">
        <v>188</v>
      </c>
      <c r="C189" s="24">
        <v>16</v>
      </c>
      <c r="D189" s="24">
        <f>VLOOKUP(C189,[1]Course!$A$1:$C$229, 2, FALSE)</f>
        <v>0</v>
      </c>
      <c r="E189" s="24">
        <v>33</v>
      </c>
      <c r="F189" s="24" t="s">
        <v>1380</v>
      </c>
      <c r="G189" s="24">
        <v>1</v>
      </c>
      <c r="H189" s="25">
        <v>0.8</v>
      </c>
      <c r="I189" s="24">
        <v>1</v>
      </c>
    </row>
    <row r="190" spans="1:9" ht="15.75" customHeight="1" x14ac:dyDescent="0.2">
      <c r="A190" s="26">
        <v>189</v>
      </c>
      <c r="B190" s="24">
        <v>189</v>
      </c>
      <c r="C190" s="24">
        <v>16</v>
      </c>
      <c r="D190" s="24">
        <f>VLOOKUP(C190,[1]Course!$A$1:$C$229, 2, FALSE)</f>
        <v>0</v>
      </c>
      <c r="E190" s="24">
        <v>34</v>
      </c>
      <c r="F190" s="24" t="s">
        <v>1379</v>
      </c>
      <c r="G190" s="24">
        <v>1</v>
      </c>
      <c r="H190" s="25">
        <v>0.8</v>
      </c>
      <c r="I190" s="24">
        <v>1</v>
      </c>
    </row>
    <row r="191" spans="1:9" ht="15.75" customHeight="1" x14ac:dyDescent="0.2">
      <c r="A191" s="26">
        <v>190</v>
      </c>
      <c r="B191" s="24">
        <v>190</v>
      </c>
      <c r="C191" s="24">
        <v>16</v>
      </c>
      <c r="D191" s="24">
        <f>VLOOKUP(C191,[1]Course!$A$1:$C$229, 2, FALSE)</f>
        <v>0</v>
      </c>
      <c r="E191" s="24">
        <v>35</v>
      </c>
      <c r="F191" s="24" t="s">
        <v>1378</v>
      </c>
      <c r="G191" s="24">
        <v>1</v>
      </c>
      <c r="H191" s="25">
        <v>0.8</v>
      </c>
      <c r="I191" s="24">
        <v>1</v>
      </c>
    </row>
    <row r="192" spans="1:9" ht="15.75" customHeight="1" x14ac:dyDescent="0.2">
      <c r="A192" s="26">
        <v>191</v>
      </c>
      <c r="B192" s="24">
        <v>191</v>
      </c>
      <c r="C192" s="24">
        <v>16</v>
      </c>
      <c r="D192" s="24">
        <f>VLOOKUP(C192,[1]Course!$A$1:$C$229, 2, FALSE)</f>
        <v>0</v>
      </c>
      <c r="E192" s="24">
        <v>36</v>
      </c>
      <c r="F192" s="24" t="s">
        <v>1377</v>
      </c>
      <c r="G192" s="24">
        <v>1</v>
      </c>
      <c r="H192" s="25">
        <v>0.8</v>
      </c>
      <c r="I192" s="24">
        <v>1</v>
      </c>
    </row>
    <row r="193" spans="1:9" ht="15.75" customHeight="1" x14ac:dyDescent="0.2">
      <c r="A193" s="26">
        <v>192</v>
      </c>
      <c r="B193" s="24">
        <v>192</v>
      </c>
      <c r="C193" s="24">
        <v>17</v>
      </c>
      <c r="D193" s="24">
        <f>VLOOKUP(C193,[1]Course!$A$1:$C$229, 2, FALSE)</f>
        <v>0</v>
      </c>
      <c r="E193" s="24">
        <v>25</v>
      </c>
      <c r="F193" s="24" t="s">
        <v>613</v>
      </c>
      <c r="G193" s="24">
        <v>1</v>
      </c>
      <c r="H193" s="25">
        <v>0.8</v>
      </c>
      <c r="I193" s="24">
        <v>1</v>
      </c>
    </row>
    <row r="194" spans="1:9" ht="15.75" customHeight="1" x14ac:dyDescent="0.2">
      <c r="A194" s="26">
        <v>193</v>
      </c>
      <c r="B194" s="24">
        <v>193</v>
      </c>
      <c r="C194" s="24">
        <v>17</v>
      </c>
      <c r="D194" s="24">
        <f>VLOOKUP(C194,[1]Course!$A$1:$C$229, 2, FALSE)</f>
        <v>0</v>
      </c>
      <c r="E194" s="24">
        <v>26</v>
      </c>
      <c r="F194" s="24" t="s">
        <v>612</v>
      </c>
      <c r="G194" s="24">
        <v>1</v>
      </c>
      <c r="H194" s="25">
        <v>0.8</v>
      </c>
      <c r="I194" s="24">
        <v>1</v>
      </c>
    </row>
    <row r="195" spans="1:9" ht="15.75" customHeight="1" x14ac:dyDescent="0.2">
      <c r="A195" s="26">
        <v>194</v>
      </c>
      <c r="B195" s="24">
        <v>194</v>
      </c>
      <c r="C195" s="24">
        <v>17</v>
      </c>
      <c r="D195" s="24">
        <f>VLOOKUP(C195,[1]Course!$A$1:$C$229, 2, FALSE)</f>
        <v>0</v>
      </c>
      <c r="E195" s="24">
        <v>27</v>
      </c>
      <c r="F195" s="24" t="s">
        <v>611</v>
      </c>
      <c r="G195" s="24">
        <v>1</v>
      </c>
      <c r="H195" s="25">
        <v>0.8</v>
      </c>
      <c r="I195" s="24">
        <v>1</v>
      </c>
    </row>
    <row r="196" spans="1:9" ht="15.75" customHeight="1" x14ac:dyDescent="0.2">
      <c r="A196" s="26">
        <v>195</v>
      </c>
      <c r="B196" s="24">
        <v>195</v>
      </c>
      <c r="C196" s="24">
        <v>17</v>
      </c>
      <c r="D196" s="24">
        <f>VLOOKUP(C196,[1]Course!$A$1:$C$229, 2, FALSE)</f>
        <v>0</v>
      </c>
      <c r="E196" s="24">
        <v>28</v>
      </c>
      <c r="F196" s="24" t="s">
        <v>610</v>
      </c>
      <c r="G196" s="24">
        <v>1</v>
      </c>
      <c r="H196" s="25">
        <v>0.8</v>
      </c>
      <c r="I196" s="24">
        <v>1</v>
      </c>
    </row>
    <row r="197" spans="1:9" ht="15.75" customHeight="1" x14ac:dyDescent="0.2">
      <c r="A197" s="26">
        <v>196</v>
      </c>
      <c r="B197" s="24">
        <v>196</v>
      </c>
      <c r="C197" s="24">
        <v>17</v>
      </c>
      <c r="D197" s="24">
        <f>VLOOKUP(C197,[1]Course!$A$1:$C$229, 2, FALSE)</f>
        <v>0</v>
      </c>
      <c r="E197" s="24">
        <v>29</v>
      </c>
      <c r="F197" s="24" t="s">
        <v>609</v>
      </c>
      <c r="G197" s="24">
        <v>1</v>
      </c>
      <c r="H197" s="25">
        <v>0.8</v>
      </c>
      <c r="I197" s="24">
        <v>1</v>
      </c>
    </row>
    <row r="198" spans="1:9" ht="15.75" customHeight="1" x14ac:dyDescent="0.2">
      <c r="A198" s="26">
        <v>197</v>
      </c>
      <c r="B198" s="24">
        <v>197</v>
      </c>
      <c r="C198" s="24">
        <v>17</v>
      </c>
      <c r="D198" s="24">
        <f>VLOOKUP(C198,[1]Course!$A$1:$C$229, 2, FALSE)</f>
        <v>0</v>
      </c>
      <c r="E198" s="24">
        <v>30</v>
      </c>
      <c r="F198" s="24" t="s">
        <v>608</v>
      </c>
      <c r="G198" s="24">
        <v>1</v>
      </c>
      <c r="H198" s="25">
        <v>0.8</v>
      </c>
      <c r="I198" s="24">
        <v>1</v>
      </c>
    </row>
    <row r="199" spans="1:9" ht="15.75" customHeight="1" x14ac:dyDescent="0.2">
      <c r="A199" s="26">
        <v>198</v>
      </c>
      <c r="B199" s="24">
        <v>198</v>
      </c>
      <c r="C199" s="24">
        <v>17</v>
      </c>
      <c r="D199" s="24">
        <f>VLOOKUP(C199,[1]Course!$A$1:$C$229, 2, FALSE)</f>
        <v>0</v>
      </c>
      <c r="E199" s="24">
        <v>31</v>
      </c>
      <c r="F199" s="24" t="s">
        <v>607</v>
      </c>
      <c r="G199" s="24">
        <v>1</v>
      </c>
      <c r="H199" s="25">
        <v>0.8</v>
      </c>
      <c r="I199" s="24">
        <v>1</v>
      </c>
    </row>
    <row r="200" spans="1:9" ht="15.75" customHeight="1" x14ac:dyDescent="0.2">
      <c r="A200" s="26">
        <v>199</v>
      </c>
      <c r="B200" s="24">
        <v>199</v>
      </c>
      <c r="C200" s="24">
        <v>17</v>
      </c>
      <c r="D200" s="24">
        <f>VLOOKUP(C200,[1]Course!$A$1:$C$229, 2, FALSE)</f>
        <v>0</v>
      </c>
      <c r="E200" s="24">
        <v>32</v>
      </c>
      <c r="F200" s="24" t="s">
        <v>606</v>
      </c>
      <c r="G200" s="24">
        <v>1</v>
      </c>
      <c r="H200" s="25">
        <v>0.8</v>
      </c>
      <c r="I200" s="24">
        <v>1</v>
      </c>
    </row>
    <row r="201" spans="1:9" ht="15.75" customHeight="1" x14ac:dyDescent="0.2">
      <c r="A201" s="26">
        <v>200</v>
      </c>
      <c r="B201" s="24">
        <v>200</v>
      </c>
      <c r="C201" s="24">
        <v>17</v>
      </c>
      <c r="D201" s="24">
        <f>VLOOKUP(C201,[1]Course!$A$1:$C$229, 2, FALSE)</f>
        <v>0</v>
      </c>
      <c r="E201" s="24">
        <v>33</v>
      </c>
      <c r="F201" s="24" t="s">
        <v>515</v>
      </c>
      <c r="G201" s="24">
        <v>1</v>
      </c>
      <c r="H201" s="25">
        <v>0.8</v>
      </c>
      <c r="I201" s="24">
        <v>1</v>
      </c>
    </row>
    <row r="202" spans="1:9" ht="15.75" customHeight="1" x14ac:dyDescent="0.2">
      <c r="A202" s="26">
        <v>201</v>
      </c>
      <c r="B202" s="24">
        <v>201</v>
      </c>
      <c r="C202" s="24">
        <v>17</v>
      </c>
      <c r="D202" s="24">
        <f>VLOOKUP(C202,[1]Course!$A$1:$C$229, 2, FALSE)</f>
        <v>0</v>
      </c>
      <c r="E202" s="24">
        <v>34</v>
      </c>
      <c r="F202" s="24" t="s">
        <v>514</v>
      </c>
      <c r="G202" s="24">
        <v>1</v>
      </c>
      <c r="H202" s="25">
        <v>0.8</v>
      </c>
      <c r="I202" s="24">
        <v>1</v>
      </c>
    </row>
    <row r="203" spans="1:9" ht="15.75" customHeight="1" x14ac:dyDescent="0.2">
      <c r="A203" s="26">
        <v>202</v>
      </c>
      <c r="B203" s="24">
        <v>202</v>
      </c>
      <c r="C203" s="24">
        <v>17</v>
      </c>
      <c r="D203" s="24">
        <f>VLOOKUP(C203,[1]Course!$A$1:$C$229, 2, FALSE)</f>
        <v>0</v>
      </c>
      <c r="E203" s="24">
        <v>35</v>
      </c>
      <c r="F203" s="24" t="s">
        <v>513</v>
      </c>
      <c r="G203" s="24">
        <v>1</v>
      </c>
      <c r="H203" s="25">
        <v>0.8</v>
      </c>
      <c r="I203" s="24">
        <v>1</v>
      </c>
    </row>
    <row r="204" spans="1:9" ht="15.75" customHeight="1" x14ac:dyDescent="0.2">
      <c r="A204" s="26">
        <v>203</v>
      </c>
      <c r="B204" s="24">
        <v>203</v>
      </c>
      <c r="C204" s="24">
        <v>17</v>
      </c>
      <c r="D204" s="24">
        <f>VLOOKUP(C204,[1]Course!$A$1:$C$229, 2, FALSE)</f>
        <v>0</v>
      </c>
      <c r="E204" s="24">
        <v>36</v>
      </c>
      <c r="F204" s="24" t="s">
        <v>512</v>
      </c>
      <c r="G204" s="24">
        <v>1</v>
      </c>
      <c r="H204" s="25">
        <v>0.8</v>
      </c>
      <c r="I204" s="24">
        <v>1</v>
      </c>
    </row>
    <row r="205" spans="1:9" ht="15.75" customHeight="1" x14ac:dyDescent="0.2">
      <c r="A205" s="26">
        <v>204</v>
      </c>
      <c r="B205" s="24">
        <v>204</v>
      </c>
      <c r="C205" s="24">
        <v>18</v>
      </c>
      <c r="D205" s="24">
        <f>VLOOKUP(C205,[1]Course!$A$1:$C$229, 2, FALSE)</f>
        <v>0</v>
      </c>
      <c r="E205" s="24">
        <v>25</v>
      </c>
      <c r="F205" s="24" t="s">
        <v>1376</v>
      </c>
      <c r="G205" s="24">
        <v>1</v>
      </c>
      <c r="H205" s="25">
        <v>0.9</v>
      </c>
      <c r="I205" s="24">
        <v>1</v>
      </c>
    </row>
    <row r="206" spans="1:9" ht="15.75" customHeight="1" x14ac:dyDescent="0.2">
      <c r="A206" s="26">
        <v>205</v>
      </c>
      <c r="B206" s="24">
        <v>205</v>
      </c>
      <c r="C206" s="24">
        <v>18</v>
      </c>
      <c r="D206" s="24">
        <f>VLOOKUP(C206,[1]Course!$A$1:$C$229, 2, FALSE)</f>
        <v>0</v>
      </c>
      <c r="E206" s="24">
        <v>26</v>
      </c>
      <c r="F206" s="24" t="s">
        <v>1375</v>
      </c>
      <c r="G206" s="24">
        <v>1</v>
      </c>
      <c r="H206" s="25">
        <v>0.9</v>
      </c>
      <c r="I206" s="24">
        <v>1</v>
      </c>
    </row>
    <row r="207" spans="1:9" ht="15.75" customHeight="1" x14ac:dyDescent="0.2">
      <c r="A207" s="26">
        <v>206</v>
      </c>
      <c r="B207" s="24">
        <v>206</v>
      </c>
      <c r="C207" s="24">
        <v>18</v>
      </c>
      <c r="D207" s="24">
        <f>VLOOKUP(C207,[1]Course!$A$1:$C$229, 2, FALSE)</f>
        <v>0</v>
      </c>
      <c r="E207" s="24">
        <v>27</v>
      </c>
      <c r="F207" s="24" t="s">
        <v>1374</v>
      </c>
      <c r="G207" s="24">
        <v>1</v>
      </c>
      <c r="H207" s="25">
        <v>0.9</v>
      </c>
      <c r="I207" s="24">
        <v>1</v>
      </c>
    </row>
    <row r="208" spans="1:9" ht="15.75" customHeight="1" x14ac:dyDescent="0.2">
      <c r="A208" s="26">
        <v>207</v>
      </c>
      <c r="B208" s="24">
        <v>207</v>
      </c>
      <c r="C208" s="24">
        <v>18</v>
      </c>
      <c r="D208" s="24">
        <f>VLOOKUP(C208,[1]Course!$A$1:$C$229, 2, FALSE)</f>
        <v>0</v>
      </c>
      <c r="E208" s="24">
        <v>28</v>
      </c>
      <c r="F208" s="24" t="s">
        <v>1373</v>
      </c>
      <c r="G208" s="24">
        <v>1</v>
      </c>
      <c r="H208" s="25">
        <v>0.9</v>
      </c>
      <c r="I208" s="24">
        <v>1</v>
      </c>
    </row>
    <row r="209" spans="1:9" ht="15.75" customHeight="1" x14ac:dyDescent="0.2">
      <c r="A209" s="26">
        <v>208</v>
      </c>
      <c r="B209" s="24">
        <v>208</v>
      </c>
      <c r="C209" s="24">
        <v>18</v>
      </c>
      <c r="D209" s="24">
        <f>VLOOKUP(C209,[1]Course!$A$1:$C$229, 2, FALSE)</f>
        <v>0</v>
      </c>
      <c r="E209" s="24">
        <v>29</v>
      </c>
      <c r="F209" s="24" t="s">
        <v>1372</v>
      </c>
      <c r="G209" s="24">
        <v>1</v>
      </c>
      <c r="H209" s="25">
        <v>0.9</v>
      </c>
      <c r="I209" s="24">
        <v>1</v>
      </c>
    </row>
    <row r="210" spans="1:9" ht="15.75" customHeight="1" x14ac:dyDescent="0.2">
      <c r="A210" s="26">
        <v>209</v>
      </c>
      <c r="B210" s="24">
        <v>209</v>
      </c>
      <c r="C210" s="24">
        <v>18</v>
      </c>
      <c r="D210" s="24">
        <f>VLOOKUP(C210,[1]Course!$A$1:$C$229, 2, FALSE)</f>
        <v>0</v>
      </c>
      <c r="E210" s="24">
        <v>30</v>
      </c>
      <c r="F210" s="24" t="s">
        <v>1371</v>
      </c>
      <c r="G210" s="24">
        <v>1</v>
      </c>
      <c r="H210" s="25">
        <v>0.9</v>
      </c>
      <c r="I210" s="24">
        <v>1</v>
      </c>
    </row>
    <row r="211" spans="1:9" ht="15.75" customHeight="1" x14ac:dyDescent="0.2">
      <c r="A211" s="26">
        <v>210</v>
      </c>
      <c r="B211" s="24">
        <v>210</v>
      </c>
      <c r="C211" s="24">
        <v>18</v>
      </c>
      <c r="D211" s="24">
        <f>VLOOKUP(C211,[1]Course!$A$1:$C$229, 2, FALSE)</f>
        <v>0</v>
      </c>
      <c r="E211" s="24">
        <v>31</v>
      </c>
      <c r="F211" s="24" t="s">
        <v>1370</v>
      </c>
      <c r="G211" s="24">
        <v>1</v>
      </c>
      <c r="H211" s="25">
        <v>0.9</v>
      </c>
      <c r="I211" s="24">
        <v>1</v>
      </c>
    </row>
    <row r="212" spans="1:9" ht="15.75" customHeight="1" x14ac:dyDescent="0.2">
      <c r="A212" s="26">
        <v>211</v>
      </c>
      <c r="B212" s="24">
        <v>211</v>
      </c>
      <c r="C212" s="24">
        <v>18</v>
      </c>
      <c r="D212" s="24">
        <f>VLOOKUP(C212,[1]Course!$A$1:$C$229, 2, FALSE)</f>
        <v>0</v>
      </c>
      <c r="E212" s="24">
        <v>32</v>
      </c>
      <c r="F212" s="24" t="s">
        <v>1369</v>
      </c>
      <c r="G212" s="24">
        <v>1</v>
      </c>
      <c r="H212" s="25">
        <v>0.9</v>
      </c>
      <c r="I212" s="24">
        <v>1</v>
      </c>
    </row>
    <row r="213" spans="1:9" ht="15.75" customHeight="1" x14ac:dyDescent="0.2">
      <c r="A213" s="26">
        <v>212</v>
      </c>
      <c r="B213" s="24">
        <v>212</v>
      </c>
      <c r="C213" s="24">
        <v>18</v>
      </c>
      <c r="D213" s="24">
        <f>VLOOKUP(C213,[1]Course!$A$1:$C$229, 2, FALSE)</f>
        <v>0</v>
      </c>
      <c r="E213" s="24">
        <v>33</v>
      </c>
      <c r="F213" s="24" t="s">
        <v>1368</v>
      </c>
      <c r="G213" s="24">
        <v>1</v>
      </c>
      <c r="H213" s="25">
        <v>0.9</v>
      </c>
      <c r="I213" s="24">
        <v>1</v>
      </c>
    </row>
    <row r="214" spans="1:9" ht="15.75" customHeight="1" x14ac:dyDescent="0.2">
      <c r="A214" s="26">
        <v>213</v>
      </c>
      <c r="B214" s="24">
        <v>213</v>
      </c>
      <c r="C214" s="24">
        <v>18</v>
      </c>
      <c r="D214" s="24">
        <f>VLOOKUP(C214,[1]Course!$A$1:$C$229, 2, FALSE)</f>
        <v>0</v>
      </c>
      <c r="E214" s="24">
        <v>34</v>
      </c>
      <c r="F214" s="24" t="s">
        <v>1367</v>
      </c>
      <c r="G214" s="24">
        <v>1</v>
      </c>
      <c r="H214" s="25">
        <v>0.9</v>
      </c>
      <c r="I214" s="24">
        <v>1</v>
      </c>
    </row>
    <row r="215" spans="1:9" ht="15.75" customHeight="1" x14ac:dyDescent="0.2">
      <c r="A215" s="26">
        <v>214</v>
      </c>
      <c r="B215" s="24">
        <v>214</v>
      </c>
      <c r="C215" s="24">
        <v>18</v>
      </c>
      <c r="D215" s="24">
        <f>VLOOKUP(C215,[1]Course!$A$1:$C$229, 2, FALSE)</f>
        <v>0</v>
      </c>
      <c r="E215" s="24">
        <v>35</v>
      </c>
      <c r="F215" s="24" t="s">
        <v>1366</v>
      </c>
      <c r="G215" s="24">
        <v>1</v>
      </c>
      <c r="H215" s="25">
        <v>0.9</v>
      </c>
      <c r="I215" s="24">
        <v>1</v>
      </c>
    </row>
    <row r="216" spans="1:9" ht="15.75" customHeight="1" x14ac:dyDescent="0.2">
      <c r="A216" s="26">
        <v>215</v>
      </c>
      <c r="B216" s="24">
        <v>215</v>
      </c>
      <c r="C216" s="24">
        <v>18</v>
      </c>
      <c r="D216" s="24">
        <f>VLOOKUP(C216,[1]Course!$A$1:$C$229, 2, FALSE)</f>
        <v>0</v>
      </c>
      <c r="E216" s="24">
        <v>36</v>
      </c>
      <c r="F216" s="24" t="s">
        <v>1365</v>
      </c>
      <c r="G216" s="24">
        <v>1</v>
      </c>
      <c r="H216" s="25">
        <v>0.9</v>
      </c>
      <c r="I216" s="24">
        <v>1</v>
      </c>
    </row>
    <row r="217" spans="1:9" ht="15.75" customHeight="1" x14ac:dyDescent="0.2">
      <c r="A217" s="26">
        <v>216</v>
      </c>
      <c r="B217" s="24">
        <v>216</v>
      </c>
      <c r="C217" s="24">
        <v>19</v>
      </c>
      <c r="D217" s="24">
        <f>VLOOKUP(C217,[1]Course!$A$1:$C$229, 2, FALSE)</f>
        <v>0</v>
      </c>
      <c r="E217" s="24">
        <v>25</v>
      </c>
      <c r="F217" s="24" t="s">
        <v>1364</v>
      </c>
      <c r="G217" s="24">
        <v>1</v>
      </c>
      <c r="H217" s="25">
        <v>0.8</v>
      </c>
      <c r="I217" s="24">
        <v>1</v>
      </c>
    </row>
    <row r="218" spans="1:9" ht="15.75" customHeight="1" x14ac:dyDescent="0.2">
      <c r="A218" s="26">
        <v>217</v>
      </c>
      <c r="B218" s="24">
        <v>217</v>
      </c>
      <c r="C218" s="24">
        <v>19</v>
      </c>
      <c r="D218" s="24">
        <f>VLOOKUP(C218,[1]Course!$A$1:$C$229, 2, FALSE)</f>
        <v>0</v>
      </c>
      <c r="E218" s="24">
        <v>26</v>
      </c>
      <c r="F218" s="24" t="s">
        <v>1363</v>
      </c>
      <c r="G218" s="24">
        <v>1</v>
      </c>
      <c r="H218" s="25">
        <v>0.8</v>
      </c>
      <c r="I218" s="24">
        <v>1</v>
      </c>
    </row>
    <row r="219" spans="1:9" ht="15.75" customHeight="1" x14ac:dyDescent="0.2">
      <c r="A219" s="26">
        <v>218</v>
      </c>
      <c r="B219" s="24">
        <v>218</v>
      </c>
      <c r="C219" s="24">
        <v>19</v>
      </c>
      <c r="D219" s="24">
        <f>VLOOKUP(C219,[1]Course!$A$1:$C$229, 2, FALSE)</f>
        <v>0</v>
      </c>
      <c r="E219" s="24">
        <v>27</v>
      </c>
      <c r="F219" s="24" t="s">
        <v>1362</v>
      </c>
      <c r="G219" s="24">
        <v>1</v>
      </c>
      <c r="H219" s="25">
        <v>0.8</v>
      </c>
      <c r="I219" s="24">
        <v>1</v>
      </c>
    </row>
    <row r="220" spans="1:9" ht="15.75" customHeight="1" x14ac:dyDescent="0.2">
      <c r="A220" s="26">
        <v>219</v>
      </c>
      <c r="B220" s="24">
        <v>219</v>
      </c>
      <c r="C220" s="24">
        <v>19</v>
      </c>
      <c r="D220" s="24">
        <f>VLOOKUP(C220,[1]Course!$A$1:$C$229, 2, FALSE)</f>
        <v>0</v>
      </c>
      <c r="E220" s="24">
        <v>28</v>
      </c>
      <c r="F220" s="24" t="s">
        <v>1361</v>
      </c>
      <c r="G220" s="24">
        <v>1</v>
      </c>
      <c r="H220" s="25">
        <v>0.8</v>
      </c>
      <c r="I220" s="24">
        <v>1</v>
      </c>
    </row>
    <row r="221" spans="1:9" ht="15.75" customHeight="1" x14ac:dyDescent="0.2">
      <c r="A221" s="26">
        <v>220</v>
      </c>
      <c r="B221" s="24">
        <v>220</v>
      </c>
      <c r="C221" s="24">
        <v>19</v>
      </c>
      <c r="D221" s="24">
        <f>VLOOKUP(C221,[1]Course!$A$1:$C$229, 2, FALSE)</f>
        <v>0</v>
      </c>
      <c r="E221" s="24">
        <v>29</v>
      </c>
      <c r="F221" s="24" t="s">
        <v>1360</v>
      </c>
      <c r="G221" s="24">
        <v>1</v>
      </c>
      <c r="H221" s="25">
        <v>0.8</v>
      </c>
      <c r="I221" s="24">
        <v>1</v>
      </c>
    </row>
    <row r="222" spans="1:9" ht="15.75" customHeight="1" x14ac:dyDescent="0.2">
      <c r="A222" s="26">
        <v>221</v>
      </c>
      <c r="B222" s="24">
        <v>221</v>
      </c>
      <c r="C222" s="24">
        <v>19</v>
      </c>
      <c r="D222" s="24">
        <f>VLOOKUP(C222,[1]Course!$A$1:$C$229, 2, FALSE)</f>
        <v>0</v>
      </c>
      <c r="E222" s="24">
        <v>30</v>
      </c>
      <c r="F222" s="24" t="s">
        <v>1359</v>
      </c>
      <c r="G222" s="24">
        <v>1</v>
      </c>
      <c r="H222" s="25">
        <v>0.8</v>
      </c>
      <c r="I222" s="24">
        <v>1</v>
      </c>
    </row>
    <row r="223" spans="1:9" ht="15.75" customHeight="1" x14ac:dyDescent="0.2">
      <c r="A223" s="26">
        <v>222</v>
      </c>
      <c r="B223" s="24">
        <v>222</v>
      </c>
      <c r="C223" s="24">
        <v>19</v>
      </c>
      <c r="D223" s="24">
        <f>VLOOKUP(C223,[1]Course!$A$1:$C$229, 2, FALSE)</f>
        <v>0</v>
      </c>
      <c r="E223" s="24">
        <v>31</v>
      </c>
      <c r="F223" s="24" t="s">
        <v>1358</v>
      </c>
      <c r="G223" s="24">
        <v>1</v>
      </c>
      <c r="H223" s="25">
        <v>0.8</v>
      </c>
      <c r="I223" s="24">
        <v>1</v>
      </c>
    </row>
    <row r="224" spans="1:9" ht="15.75" customHeight="1" x14ac:dyDescent="0.2">
      <c r="A224" s="26">
        <v>223</v>
      </c>
      <c r="B224" s="24">
        <v>223</v>
      </c>
      <c r="C224" s="24">
        <v>19</v>
      </c>
      <c r="D224" s="24">
        <f>VLOOKUP(C224,[1]Course!$A$1:$C$229, 2, FALSE)</f>
        <v>0</v>
      </c>
      <c r="E224" s="24">
        <v>32</v>
      </c>
      <c r="F224" s="24" t="s">
        <v>1357</v>
      </c>
      <c r="G224" s="24">
        <v>1</v>
      </c>
      <c r="H224" s="25">
        <v>0.8</v>
      </c>
      <c r="I224" s="24">
        <v>1</v>
      </c>
    </row>
    <row r="225" spans="1:9" ht="15.75" customHeight="1" x14ac:dyDescent="0.2">
      <c r="A225" s="26">
        <v>224</v>
      </c>
      <c r="B225" s="24">
        <v>224</v>
      </c>
      <c r="C225" s="24">
        <v>19</v>
      </c>
      <c r="D225" s="24">
        <f>VLOOKUP(C225,[1]Course!$A$1:$C$229, 2, FALSE)</f>
        <v>0</v>
      </c>
      <c r="E225" s="24">
        <v>33</v>
      </c>
      <c r="F225" s="24" t="s">
        <v>1356</v>
      </c>
      <c r="G225" s="24">
        <v>1</v>
      </c>
      <c r="H225" s="25">
        <v>0.8</v>
      </c>
      <c r="I225" s="24">
        <v>1</v>
      </c>
    </row>
    <row r="226" spans="1:9" ht="15.75" customHeight="1" x14ac:dyDescent="0.2">
      <c r="A226" s="26">
        <v>225</v>
      </c>
      <c r="B226" s="24">
        <v>225</v>
      </c>
      <c r="C226" s="24">
        <v>19</v>
      </c>
      <c r="D226" s="24">
        <f>VLOOKUP(C226,[1]Course!$A$1:$C$229, 2, FALSE)</f>
        <v>0</v>
      </c>
      <c r="E226" s="24">
        <v>34</v>
      </c>
      <c r="F226" s="24" t="s">
        <v>1355</v>
      </c>
      <c r="G226" s="24">
        <v>1</v>
      </c>
      <c r="H226" s="25">
        <v>0.8</v>
      </c>
      <c r="I226" s="24">
        <v>1</v>
      </c>
    </row>
    <row r="227" spans="1:9" ht="15.75" customHeight="1" x14ac:dyDescent="0.2">
      <c r="A227" s="26">
        <v>226</v>
      </c>
      <c r="B227" s="24">
        <v>226</v>
      </c>
      <c r="C227" s="24">
        <v>19</v>
      </c>
      <c r="D227" s="24">
        <f>VLOOKUP(C227,[1]Course!$A$1:$C$229, 2, FALSE)</f>
        <v>0</v>
      </c>
      <c r="E227" s="24">
        <v>35</v>
      </c>
      <c r="F227" s="24" t="s">
        <v>1354</v>
      </c>
      <c r="G227" s="24">
        <v>1</v>
      </c>
      <c r="H227" s="25">
        <v>0.8</v>
      </c>
      <c r="I227" s="24">
        <v>1</v>
      </c>
    </row>
    <row r="228" spans="1:9" ht="15.75" customHeight="1" x14ac:dyDescent="0.2">
      <c r="A228" s="26">
        <v>227</v>
      </c>
      <c r="B228" s="24">
        <v>227</v>
      </c>
      <c r="C228" s="24">
        <v>19</v>
      </c>
      <c r="D228" s="24">
        <f>VLOOKUP(C228,[1]Course!$A$1:$C$229, 2, FALSE)</f>
        <v>0</v>
      </c>
      <c r="E228" s="24">
        <v>36</v>
      </c>
      <c r="F228" s="24" t="s">
        <v>1353</v>
      </c>
      <c r="G228" s="24">
        <v>1</v>
      </c>
      <c r="H228" s="25">
        <v>0.8</v>
      </c>
      <c r="I228" s="24">
        <v>1</v>
      </c>
    </row>
    <row r="229" spans="1:9" ht="15.75" customHeight="1" x14ac:dyDescent="0.2">
      <c r="A229" s="26">
        <v>228</v>
      </c>
      <c r="B229" s="24">
        <v>228</v>
      </c>
      <c r="C229" s="24">
        <v>20</v>
      </c>
      <c r="D229" s="24" t="str">
        <f>VLOOKUP(C229,[1]Course!$A$1:$C$229, 2, FALSE)</f>
        <v>Science 3</v>
      </c>
      <c r="E229" s="24">
        <v>25</v>
      </c>
      <c r="F229" s="24" t="s">
        <v>1352</v>
      </c>
      <c r="G229" s="24">
        <v>1</v>
      </c>
      <c r="H229" s="25">
        <v>0.8</v>
      </c>
      <c r="I229" s="24">
        <v>1</v>
      </c>
    </row>
    <row r="230" spans="1:9" ht="15.75" customHeight="1" x14ac:dyDescent="0.2">
      <c r="A230" s="26">
        <v>229</v>
      </c>
      <c r="B230" s="24">
        <v>229</v>
      </c>
      <c r="C230" s="24">
        <v>20</v>
      </c>
      <c r="D230" s="24" t="str">
        <f>VLOOKUP(C230,[1]Course!$A$1:$C$229, 2, FALSE)</f>
        <v>Science 3</v>
      </c>
      <c r="E230" s="24">
        <v>26</v>
      </c>
      <c r="F230" s="24" t="s">
        <v>1351</v>
      </c>
      <c r="G230" s="24">
        <v>1</v>
      </c>
      <c r="H230" s="25">
        <v>0.8</v>
      </c>
      <c r="I230" s="24">
        <v>1</v>
      </c>
    </row>
    <row r="231" spans="1:9" ht="15.75" customHeight="1" x14ac:dyDescent="0.2">
      <c r="A231" s="26">
        <v>230</v>
      </c>
      <c r="B231" s="24">
        <v>230</v>
      </c>
      <c r="C231" s="24">
        <v>20</v>
      </c>
      <c r="D231" s="24" t="str">
        <f>VLOOKUP(C231,[1]Course!$A$1:$C$229, 2, FALSE)</f>
        <v>Science 3</v>
      </c>
      <c r="E231" s="24">
        <v>27</v>
      </c>
      <c r="F231" s="24" t="s">
        <v>1350</v>
      </c>
      <c r="G231" s="24">
        <v>1</v>
      </c>
      <c r="H231" s="25">
        <v>0.8</v>
      </c>
      <c r="I231" s="24">
        <v>1</v>
      </c>
    </row>
    <row r="232" spans="1:9" ht="15.75" customHeight="1" x14ac:dyDescent="0.2">
      <c r="A232" s="26">
        <v>231</v>
      </c>
      <c r="B232" s="24">
        <v>231</v>
      </c>
      <c r="C232" s="24">
        <v>20</v>
      </c>
      <c r="D232" s="24" t="str">
        <f>VLOOKUP(C232,[1]Course!$A$1:$C$229, 2, FALSE)</f>
        <v>Science 3</v>
      </c>
      <c r="E232" s="24">
        <v>28</v>
      </c>
      <c r="F232" s="24" t="s">
        <v>1349</v>
      </c>
      <c r="G232" s="24">
        <v>1</v>
      </c>
      <c r="H232" s="25">
        <v>0.8</v>
      </c>
      <c r="I232" s="24">
        <v>1</v>
      </c>
    </row>
    <row r="233" spans="1:9" ht="15.75" customHeight="1" x14ac:dyDescent="0.2">
      <c r="A233" s="26">
        <v>232</v>
      </c>
      <c r="B233" s="24">
        <v>232</v>
      </c>
      <c r="C233" s="24">
        <v>20</v>
      </c>
      <c r="D233" s="24" t="str">
        <f>VLOOKUP(C233,[1]Course!$A$1:$C$229, 2, FALSE)</f>
        <v>Science 3</v>
      </c>
      <c r="E233" s="24">
        <v>29</v>
      </c>
      <c r="F233" s="24" t="s">
        <v>1348</v>
      </c>
      <c r="G233" s="24">
        <v>1</v>
      </c>
      <c r="H233" s="25">
        <v>0.8</v>
      </c>
      <c r="I233" s="24">
        <v>1</v>
      </c>
    </row>
    <row r="234" spans="1:9" ht="15.75" customHeight="1" x14ac:dyDescent="0.2">
      <c r="A234" s="26">
        <v>233</v>
      </c>
      <c r="B234" s="24">
        <v>233</v>
      </c>
      <c r="C234" s="24">
        <v>20</v>
      </c>
      <c r="D234" s="24" t="str">
        <f>VLOOKUP(C234,[1]Course!$A$1:$C$229, 2, FALSE)</f>
        <v>Science 3</v>
      </c>
      <c r="E234" s="24">
        <v>30</v>
      </c>
      <c r="F234" s="24" t="s">
        <v>1347</v>
      </c>
      <c r="G234" s="24">
        <v>1</v>
      </c>
      <c r="H234" s="25">
        <v>0.8</v>
      </c>
      <c r="I234" s="24">
        <v>1</v>
      </c>
    </row>
    <row r="235" spans="1:9" ht="15.75" customHeight="1" x14ac:dyDescent="0.2">
      <c r="A235" s="26">
        <v>234</v>
      </c>
      <c r="B235" s="24">
        <v>234</v>
      </c>
      <c r="C235" s="24">
        <v>20</v>
      </c>
      <c r="D235" s="24" t="str">
        <f>VLOOKUP(C235,[1]Course!$A$1:$C$229, 2, FALSE)</f>
        <v>Science 3</v>
      </c>
      <c r="E235" s="24">
        <v>31</v>
      </c>
      <c r="F235" s="24" t="s">
        <v>1346</v>
      </c>
      <c r="G235" s="24">
        <v>1</v>
      </c>
      <c r="H235" s="25">
        <v>0.8</v>
      </c>
      <c r="I235" s="24">
        <v>1</v>
      </c>
    </row>
    <row r="236" spans="1:9" ht="15.75" customHeight="1" x14ac:dyDescent="0.2">
      <c r="A236" s="26">
        <v>235</v>
      </c>
      <c r="B236" s="24">
        <v>235</v>
      </c>
      <c r="C236" s="24">
        <v>20</v>
      </c>
      <c r="D236" s="24" t="str">
        <f>VLOOKUP(C236,[1]Course!$A$1:$C$229, 2, FALSE)</f>
        <v>Science 3</v>
      </c>
      <c r="E236" s="24">
        <v>32</v>
      </c>
      <c r="F236" s="24" t="s">
        <v>1345</v>
      </c>
      <c r="G236" s="24">
        <v>1</v>
      </c>
      <c r="H236" s="25">
        <v>0.8</v>
      </c>
      <c r="I236" s="24">
        <v>1</v>
      </c>
    </row>
    <row r="237" spans="1:9" ht="15.75" customHeight="1" x14ac:dyDescent="0.2">
      <c r="A237" s="26">
        <v>236</v>
      </c>
      <c r="B237" s="24">
        <v>236</v>
      </c>
      <c r="C237" s="24">
        <v>20</v>
      </c>
      <c r="D237" s="24" t="str">
        <f>VLOOKUP(C237,[1]Course!$A$1:$C$229, 2, FALSE)</f>
        <v>Science 3</v>
      </c>
      <c r="E237" s="24">
        <v>33</v>
      </c>
      <c r="F237" s="24" t="s">
        <v>1344</v>
      </c>
      <c r="G237" s="24">
        <v>1</v>
      </c>
      <c r="H237" s="25">
        <v>0.8</v>
      </c>
      <c r="I237" s="24">
        <v>1</v>
      </c>
    </row>
    <row r="238" spans="1:9" ht="15.75" customHeight="1" x14ac:dyDescent="0.2">
      <c r="A238" s="26">
        <v>237</v>
      </c>
      <c r="B238" s="24">
        <v>237</v>
      </c>
      <c r="C238" s="24">
        <v>20</v>
      </c>
      <c r="D238" s="24" t="str">
        <f>VLOOKUP(C238,[1]Course!$A$1:$C$229, 2, FALSE)</f>
        <v>Science 3</v>
      </c>
      <c r="E238" s="24">
        <v>34</v>
      </c>
      <c r="F238" s="24" t="s">
        <v>1343</v>
      </c>
      <c r="G238" s="24">
        <v>1</v>
      </c>
      <c r="H238" s="25">
        <v>0.8</v>
      </c>
      <c r="I238" s="24">
        <v>1</v>
      </c>
    </row>
    <row r="239" spans="1:9" ht="15.75" customHeight="1" x14ac:dyDescent="0.2">
      <c r="A239" s="26">
        <v>238</v>
      </c>
      <c r="B239" s="24">
        <v>238</v>
      </c>
      <c r="C239" s="24">
        <v>20</v>
      </c>
      <c r="D239" s="24" t="str">
        <f>VLOOKUP(C239,[1]Course!$A$1:$C$229, 2, FALSE)</f>
        <v>Science 3</v>
      </c>
      <c r="E239" s="24">
        <v>35</v>
      </c>
      <c r="F239" s="24" t="s">
        <v>1342</v>
      </c>
      <c r="G239" s="24">
        <v>1</v>
      </c>
      <c r="H239" s="25">
        <v>0.8</v>
      </c>
      <c r="I239" s="24">
        <v>1</v>
      </c>
    </row>
    <row r="240" spans="1:9" ht="15.75" customHeight="1" x14ac:dyDescent="0.2">
      <c r="A240" s="26">
        <v>239</v>
      </c>
      <c r="B240" s="24">
        <v>239</v>
      </c>
      <c r="C240" s="24">
        <v>20</v>
      </c>
      <c r="D240" s="24" t="str">
        <f>VLOOKUP(C240,[1]Course!$A$1:$C$229, 2, FALSE)</f>
        <v>Science 3</v>
      </c>
      <c r="E240" s="24">
        <v>36</v>
      </c>
      <c r="F240" s="24" t="s">
        <v>1341</v>
      </c>
      <c r="G240" s="24">
        <v>1</v>
      </c>
      <c r="H240" s="25">
        <v>0.8</v>
      </c>
      <c r="I240" s="24">
        <v>1</v>
      </c>
    </row>
    <row r="241" spans="1:9" ht="15.75" customHeight="1" x14ac:dyDescent="0.2">
      <c r="A241" s="26">
        <v>240</v>
      </c>
      <c r="B241" s="24">
        <v>240</v>
      </c>
      <c r="C241" s="24">
        <v>21</v>
      </c>
      <c r="D241" s="24">
        <f>VLOOKUP(C241,[1]Course!$A$1:$C$229, 2, FALSE)</f>
        <v>0</v>
      </c>
      <c r="E241" s="24">
        <v>25</v>
      </c>
      <c r="F241" s="24" t="s">
        <v>1340</v>
      </c>
      <c r="G241" s="24">
        <v>1</v>
      </c>
      <c r="H241" s="25">
        <v>0.8</v>
      </c>
      <c r="I241" s="24">
        <v>1</v>
      </c>
    </row>
    <row r="242" spans="1:9" ht="15.75" customHeight="1" x14ac:dyDescent="0.2">
      <c r="A242" s="26">
        <v>241</v>
      </c>
      <c r="B242" s="24">
        <v>241</v>
      </c>
      <c r="C242" s="24">
        <v>21</v>
      </c>
      <c r="D242" s="24">
        <f>VLOOKUP(C242,[1]Course!$A$1:$C$229, 2, FALSE)</f>
        <v>0</v>
      </c>
      <c r="E242" s="24">
        <v>26</v>
      </c>
      <c r="F242" s="24" t="s">
        <v>1339</v>
      </c>
      <c r="G242" s="24">
        <v>1</v>
      </c>
      <c r="H242" s="25">
        <v>0.8</v>
      </c>
      <c r="I242" s="24">
        <v>1</v>
      </c>
    </row>
    <row r="243" spans="1:9" ht="15.75" customHeight="1" x14ac:dyDescent="0.2">
      <c r="A243" s="26">
        <v>242</v>
      </c>
      <c r="B243" s="24">
        <v>242</v>
      </c>
      <c r="C243" s="24">
        <v>21</v>
      </c>
      <c r="D243" s="24">
        <f>VLOOKUP(C243,[1]Course!$A$1:$C$229, 2, FALSE)</f>
        <v>0</v>
      </c>
      <c r="E243" s="24">
        <v>27</v>
      </c>
      <c r="F243" s="24" t="s">
        <v>1338</v>
      </c>
      <c r="G243" s="24">
        <v>1</v>
      </c>
      <c r="H243" s="25">
        <v>0.8</v>
      </c>
      <c r="I243" s="24">
        <v>1</v>
      </c>
    </row>
    <row r="244" spans="1:9" ht="15.75" customHeight="1" x14ac:dyDescent="0.2">
      <c r="A244" s="26">
        <v>243</v>
      </c>
      <c r="B244" s="24">
        <v>243</v>
      </c>
      <c r="C244" s="24">
        <v>21</v>
      </c>
      <c r="D244" s="24">
        <f>VLOOKUP(C244,[1]Course!$A$1:$C$229, 2, FALSE)</f>
        <v>0</v>
      </c>
      <c r="E244" s="24">
        <v>28</v>
      </c>
      <c r="F244" s="24" t="s">
        <v>1337</v>
      </c>
      <c r="G244" s="24">
        <v>1</v>
      </c>
      <c r="H244" s="25">
        <v>0.8</v>
      </c>
      <c r="I244" s="24">
        <v>1</v>
      </c>
    </row>
    <row r="245" spans="1:9" ht="15.75" customHeight="1" x14ac:dyDescent="0.2">
      <c r="A245" s="26">
        <v>244</v>
      </c>
      <c r="B245" s="24">
        <v>244</v>
      </c>
      <c r="C245" s="24">
        <v>21</v>
      </c>
      <c r="D245" s="24">
        <f>VLOOKUP(C245,[1]Course!$A$1:$C$229, 2, FALSE)</f>
        <v>0</v>
      </c>
      <c r="E245" s="24">
        <v>29</v>
      </c>
      <c r="F245" s="24" t="s">
        <v>1336</v>
      </c>
      <c r="G245" s="24">
        <v>1</v>
      </c>
      <c r="H245" s="25">
        <v>0.8</v>
      </c>
      <c r="I245" s="24">
        <v>1</v>
      </c>
    </row>
    <row r="246" spans="1:9" ht="15.75" customHeight="1" x14ac:dyDescent="0.2">
      <c r="A246" s="26">
        <v>245</v>
      </c>
      <c r="B246" s="24">
        <v>245</v>
      </c>
      <c r="C246" s="24">
        <v>21</v>
      </c>
      <c r="D246" s="24">
        <f>VLOOKUP(C246,[1]Course!$A$1:$C$229, 2, FALSE)</f>
        <v>0</v>
      </c>
      <c r="E246" s="24">
        <v>30</v>
      </c>
      <c r="F246" s="24" t="s">
        <v>1335</v>
      </c>
      <c r="G246" s="24">
        <v>1</v>
      </c>
      <c r="H246" s="25">
        <v>0.8</v>
      </c>
      <c r="I246" s="24">
        <v>1</v>
      </c>
    </row>
    <row r="247" spans="1:9" ht="15.75" customHeight="1" x14ac:dyDescent="0.2">
      <c r="A247" s="26">
        <v>246</v>
      </c>
      <c r="B247" s="24">
        <v>246</v>
      </c>
      <c r="C247" s="24">
        <v>21</v>
      </c>
      <c r="D247" s="24">
        <f>VLOOKUP(C247,[1]Course!$A$1:$C$229, 2, FALSE)</f>
        <v>0</v>
      </c>
      <c r="E247" s="24">
        <v>31</v>
      </c>
      <c r="F247" s="24" t="s">
        <v>1334</v>
      </c>
      <c r="G247" s="24">
        <v>1</v>
      </c>
      <c r="H247" s="25">
        <v>0.8</v>
      </c>
      <c r="I247" s="24">
        <v>1</v>
      </c>
    </row>
    <row r="248" spans="1:9" ht="15.75" customHeight="1" x14ac:dyDescent="0.2">
      <c r="A248" s="26">
        <v>247</v>
      </c>
      <c r="B248" s="24">
        <v>247</v>
      </c>
      <c r="C248" s="24">
        <v>21</v>
      </c>
      <c r="D248" s="24">
        <f>VLOOKUP(C248,[1]Course!$A$1:$C$229, 2, FALSE)</f>
        <v>0</v>
      </c>
      <c r="E248" s="24">
        <v>32</v>
      </c>
      <c r="F248" s="24" t="s">
        <v>1333</v>
      </c>
      <c r="G248" s="24">
        <v>1</v>
      </c>
      <c r="H248" s="25">
        <v>0.8</v>
      </c>
      <c r="I248" s="24">
        <v>1</v>
      </c>
    </row>
    <row r="249" spans="1:9" ht="15.75" customHeight="1" x14ac:dyDescent="0.2">
      <c r="A249" s="26">
        <v>248</v>
      </c>
      <c r="B249" s="24">
        <v>248</v>
      </c>
      <c r="C249" s="24">
        <v>21</v>
      </c>
      <c r="D249" s="24">
        <f>VLOOKUP(C249,[1]Course!$A$1:$C$229, 2, FALSE)</f>
        <v>0</v>
      </c>
      <c r="E249" s="24">
        <v>33</v>
      </c>
      <c r="F249" s="24" t="s">
        <v>1332</v>
      </c>
      <c r="G249" s="24">
        <v>1</v>
      </c>
      <c r="H249" s="25">
        <v>0.8</v>
      </c>
      <c r="I249" s="24">
        <v>1</v>
      </c>
    </row>
    <row r="250" spans="1:9" ht="15.75" customHeight="1" x14ac:dyDescent="0.2">
      <c r="A250" s="26">
        <v>249</v>
      </c>
      <c r="B250" s="24">
        <v>249</v>
      </c>
      <c r="C250" s="24">
        <v>21</v>
      </c>
      <c r="D250" s="24">
        <f>VLOOKUP(C250,[1]Course!$A$1:$C$229, 2, FALSE)</f>
        <v>0</v>
      </c>
      <c r="E250" s="24">
        <v>34</v>
      </c>
      <c r="F250" s="24" t="s">
        <v>1331</v>
      </c>
      <c r="G250" s="24">
        <v>1</v>
      </c>
      <c r="H250" s="25">
        <v>0.8</v>
      </c>
      <c r="I250" s="24">
        <v>1</v>
      </c>
    </row>
    <row r="251" spans="1:9" ht="15.75" customHeight="1" x14ac:dyDescent="0.2">
      <c r="A251" s="26">
        <v>250</v>
      </c>
      <c r="B251" s="24">
        <v>250</v>
      </c>
      <c r="C251" s="24">
        <v>21</v>
      </c>
      <c r="D251" s="24">
        <f>VLOOKUP(C251,[1]Course!$A$1:$C$229, 2, FALSE)</f>
        <v>0</v>
      </c>
      <c r="E251" s="24">
        <v>35</v>
      </c>
      <c r="F251" s="24" t="s">
        <v>1330</v>
      </c>
      <c r="G251" s="24">
        <v>1</v>
      </c>
      <c r="H251" s="25">
        <v>0.8</v>
      </c>
      <c r="I251" s="24">
        <v>1</v>
      </c>
    </row>
    <row r="252" spans="1:9" ht="15.75" customHeight="1" x14ac:dyDescent="0.2">
      <c r="A252" s="26">
        <v>251</v>
      </c>
      <c r="B252" s="24">
        <v>251</v>
      </c>
      <c r="C252" s="24">
        <v>21</v>
      </c>
      <c r="D252" s="24">
        <f>VLOOKUP(C252,[1]Course!$A$1:$C$229, 2, FALSE)</f>
        <v>0</v>
      </c>
      <c r="E252" s="24">
        <v>36</v>
      </c>
      <c r="F252" s="24" t="s">
        <v>1329</v>
      </c>
      <c r="G252" s="24">
        <v>1</v>
      </c>
      <c r="H252" s="25">
        <v>0.8</v>
      </c>
      <c r="I252" s="24">
        <v>1</v>
      </c>
    </row>
    <row r="253" spans="1:9" ht="15.75" customHeight="1" x14ac:dyDescent="0.2">
      <c r="A253" s="26">
        <v>252</v>
      </c>
      <c r="B253" s="24">
        <v>252</v>
      </c>
      <c r="C253" s="24">
        <v>22</v>
      </c>
      <c r="D253" s="24">
        <f>VLOOKUP(C253,[1]Course!$A$1:$C$229, 2, FALSE)</f>
        <v>0</v>
      </c>
      <c r="E253" s="24">
        <v>25</v>
      </c>
      <c r="F253" s="24" t="s">
        <v>1328</v>
      </c>
      <c r="G253" s="24">
        <v>1</v>
      </c>
      <c r="H253" s="25">
        <v>0.8</v>
      </c>
      <c r="I253" s="24">
        <v>1</v>
      </c>
    </row>
    <row r="254" spans="1:9" ht="15.75" customHeight="1" x14ac:dyDescent="0.2">
      <c r="A254" s="26">
        <v>253</v>
      </c>
      <c r="B254" s="24">
        <v>253</v>
      </c>
      <c r="C254" s="24">
        <v>22</v>
      </c>
      <c r="D254" s="24">
        <f>VLOOKUP(C254,[1]Course!$A$1:$C$229, 2, FALSE)</f>
        <v>0</v>
      </c>
      <c r="E254" s="24">
        <v>26</v>
      </c>
      <c r="F254" s="24" t="s">
        <v>1327</v>
      </c>
      <c r="G254" s="24">
        <v>1</v>
      </c>
      <c r="H254" s="25">
        <v>0.8</v>
      </c>
      <c r="I254" s="24">
        <v>1</v>
      </c>
    </row>
    <row r="255" spans="1:9" ht="15.75" customHeight="1" x14ac:dyDescent="0.2">
      <c r="A255" s="26">
        <v>254</v>
      </c>
      <c r="B255" s="24">
        <v>254</v>
      </c>
      <c r="C255" s="24">
        <v>22</v>
      </c>
      <c r="D255" s="24">
        <f>VLOOKUP(C255,[1]Course!$A$1:$C$229, 2, FALSE)</f>
        <v>0</v>
      </c>
      <c r="E255" s="24">
        <v>27</v>
      </c>
      <c r="F255" s="24" t="s">
        <v>1326</v>
      </c>
      <c r="G255" s="24">
        <v>1</v>
      </c>
      <c r="H255" s="25">
        <v>0.8</v>
      </c>
      <c r="I255" s="24">
        <v>1</v>
      </c>
    </row>
    <row r="256" spans="1:9" ht="15.75" customHeight="1" x14ac:dyDescent="0.2">
      <c r="A256" s="26">
        <v>255</v>
      </c>
      <c r="B256" s="24">
        <v>255</v>
      </c>
      <c r="C256" s="24">
        <v>22</v>
      </c>
      <c r="D256" s="24">
        <f>VLOOKUP(C256,[1]Course!$A$1:$C$229, 2, FALSE)</f>
        <v>0</v>
      </c>
      <c r="E256" s="24">
        <v>28</v>
      </c>
      <c r="F256" s="24" t="s">
        <v>1325</v>
      </c>
      <c r="G256" s="24">
        <v>1</v>
      </c>
      <c r="H256" s="25">
        <v>0.8</v>
      </c>
      <c r="I256" s="24">
        <v>1</v>
      </c>
    </row>
    <row r="257" spans="1:9" ht="15.75" customHeight="1" x14ac:dyDescent="0.2">
      <c r="A257" s="26">
        <v>256</v>
      </c>
      <c r="B257" s="24">
        <v>256</v>
      </c>
      <c r="C257" s="24">
        <v>22</v>
      </c>
      <c r="D257" s="24">
        <f>VLOOKUP(C257,[1]Course!$A$1:$C$229, 2, FALSE)</f>
        <v>0</v>
      </c>
      <c r="E257" s="24">
        <v>29</v>
      </c>
      <c r="F257" s="24" t="s">
        <v>1324</v>
      </c>
      <c r="G257" s="24">
        <v>1</v>
      </c>
      <c r="H257" s="25">
        <v>0.8</v>
      </c>
      <c r="I257" s="24">
        <v>1</v>
      </c>
    </row>
    <row r="258" spans="1:9" ht="15.75" customHeight="1" x14ac:dyDescent="0.2">
      <c r="A258" s="26">
        <v>257</v>
      </c>
      <c r="B258" s="24">
        <v>257</v>
      </c>
      <c r="C258" s="24">
        <v>22</v>
      </c>
      <c r="D258" s="24">
        <f>VLOOKUP(C258,[1]Course!$A$1:$C$229, 2, FALSE)</f>
        <v>0</v>
      </c>
      <c r="E258" s="24">
        <v>30</v>
      </c>
      <c r="F258" s="24" t="s">
        <v>1323</v>
      </c>
      <c r="G258" s="24">
        <v>1</v>
      </c>
      <c r="H258" s="25">
        <v>0.8</v>
      </c>
      <c r="I258" s="24">
        <v>1</v>
      </c>
    </row>
    <row r="259" spans="1:9" ht="15.75" customHeight="1" x14ac:dyDescent="0.2">
      <c r="A259" s="26">
        <v>258</v>
      </c>
      <c r="B259" s="24">
        <v>258</v>
      </c>
      <c r="C259" s="24">
        <v>22</v>
      </c>
      <c r="D259" s="24">
        <f>VLOOKUP(C259,[1]Course!$A$1:$C$229, 2, FALSE)</f>
        <v>0</v>
      </c>
      <c r="E259" s="24">
        <v>31</v>
      </c>
      <c r="F259" s="24" t="s">
        <v>1322</v>
      </c>
      <c r="G259" s="24">
        <v>1</v>
      </c>
      <c r="H259" s="25">
        <v>0.8</v>
      </c>
      <c r="I259" s="24">
        <v>1</v>
      </c>
    </row>
    <row r="260" spans="1:9" ht="15.75" customHeight="1" x14ac:dyDescent="0.2">
      <c r="A260" s="26">
        <v>259</v>
      </c>
      <c r="B260" s="24">
        <v>259</v>
      </c>
      <c r="C260" s="24">
        <v>22</v>
      </c>
      <c r="D260" s="24">
        <f>VLOOKUP(C260,[1]Course!$A$1:$C$229, 2, FALSE)</f>
        <v>0</v>
      </c>
      <c r="E260" s="24">
        <v>32</v>
      </c>
      <c r="F260" s="24" t="s">
        <v>1321</v>
      </c>
      <c r="G260" s="24">
        <v>1</v>
      </c>
      <c r="H260" s="25">
        <v>0.8</v>
      </c>
      <c r="I260" s="24">
        <v>1</v>
      </c>
    </row>
    <row r="261" spans="1:9" ht="15.75" customHeight="1" x14ac:dyDescent="0.2">
      <c r="A261" s="26">
        <v>260</v>
      </c>
      <c r="B261" s="24">
        <v>260</v>
      </c>
      <c r="C261" s="24">
        <v>22</v>
      </c>
      <c r="D261" s="24">
        <f>VLOOKUP(C261,[1]Course!$A$1:$C$229, 2, FALSE)</f>
        <v>0</v>
      </c>
      <c r="E261" s="24">
        <v>33</v>
      </c>
      <c r="F261" s="24" t="s">
        <v>1320</v>
      </c>
      <c r="G261" s="24">
        <v>1</v>
      </c>
      <c r="H261" s="25">
        <v>0.8</v>
      </c>
      <c r="I261" s="24">
        <v>1</v>
      </c>
    </row>
    <row r="262" spans="1:9" ht="15.75" customHeight="1" x14ac:dyDescent="0.2">
      <c r="A262" s="26">
        <v>261</v>
      </c>
      <c r="B262" s="24">
        <v>261</v>
      </c>
      <c r="C262" s="24">
        <v>22</v>
      </c>
      <c r="D262" s="24">
        <f>VLOOKUP(C262,[1]Course!$A$1:$C$229, 2, FALSE)</f>
        <v>0</v>
      </c>
      <c r="E262" s="24">
        <v>34</v>
      </c>
      <c r="F262" s="24" t="s">
        <v>1319</v>
      </c>
      <c r="G262" s="24">
        <v>1</v>
      </c>
      <c r="H262" s="25">
        <v>0.8</v>
      </c>
      <c r="I262" s="24">
        <v>1</v>
      </c>
    </row>
    <row r="263" spans="1:9" ht="15.75" customHeight="1" x14ac:dyDescent="0.2">
      <c r="A263" s="26">
        <v>262</v>
      </c>
      <c r="B263" s="24">
        <v>262</v>
      </c>
      <c r="C263" s="24">
        <v>22</v>
      </c>
      <c r="D263" s="24">
        <f>VLOOKUP(C263,[1]Course!$A$1:$C$229, 2, FALSE)</f>
        <v>0</v>
      </c>
      <c r="E263" s="24">
        <v>35</v>
      </c>
      <c r="F263" s="24" t="s">
        <v>1318</v>
      </c>
      <c r="G263" s="24">
        <v>1</v>
      </c>
      <c r="H263" s="25">
        <v>0.8</v>
      </c>
      <c r="I263" s="24">
        <v>1</v>
      </c>
    </row>
    <row r="264" spans="1:9" ht="15.75" customHeight="1" x14ac:dyDescent="0.2">
      <c r="A264" s="26">
        <v>263</v>
      </c>
      <c r="B264" s="24">
        <v>263</v>
      </c>
      <c r="C264" s="24">
        <v>22</v>
      </c>
      <c r="D264" s="24">
        <f>VLOOKUP(C264,[1]Course!$A$1:$C$229, 2, FALSE)</f>
        <v>0</v>
      </c>
      <c r="E264" s="24">
        <v>36</v>
      </c>
      <c r="F264" s="24" t="s">
        <v>1317</v>
      </c>
      <c r="G264" s="24">
        <v>1</v>
      </c>
      <c r="H264" s="25">
        <v>0.8</v>
      </c>
      <c r="I264" s="24">
        <v>1</v>
      </c>
    </row>
    <row r="265" spans="1:9" ht="15.75" customHeight="1" x14ac:dyDescent="0.2">
      <c r="A265" s="26">
        <v>264</v>
      </c>
      <c r="B265" s="24">
        <v>264</v>
      </c>
      <c r="C265" s="24">
        <v>23</v>
      </c>
      <c r="D265" s="24">
        <f>VLOOKUP(C265,[1]Course!$A$1:$C$229, 2, FALSE)</f>
        <v>0</v>
      </c>
      <c r="E265" s="24">
        <v>37</v>
      </c>
      <c r="F265" s="24" t="s">
        <v>1316</v>
      </c>
      <c r="G265" s="24">
        <v>1</v>
      </c>
      <c r="H265" s="25">
        <v>0.8</v>
      </c>
      <c r="I265" s="24">
        <v>1</v>
      </c>
    </row>
    <row r="266" spans="1:9" ht="15.75" customHeight="1" x14ac:dyDescent="0.2">
      <c r="A266" s="26">
        <v>265</v>
      </c>
      <c r="B266" s="24">
        <v>265</v>
      </c>
      <c r="C266" s="24">
        <v>23</v>
      </c>
      <c r="D266" s="24">
        <f>VLOOKUP(C266,[1]Course!$A$1:$C$229, 2, FALSE)</f>
        <v>0</v>
      </c>
      <c r="E266" s="24">
        <v>38</v>
      </c>
      <c r="F266" s="24" t="s">
        <v>1315</v>
      </c>
      <c r="G266" s="24">
        <v>1</v>
      </c>
      <c r="H266" s="25">
        <v>0.8</v>
      </c>
      <c r="I266" s="24">
        <v>1</v>
      </c>
    </row>
    <row r="267" spans="1:9" ht="15.75" customHeight="1" x14ac:dyDescent="0.2">
      <c r="A267" s="26">
        <v>266</v>
      </c>
      <c r="B267" s="24">
        <v>266</v>
      </c>
      <c r="C267" s="24">
        <v>23</v>
      </c>
      <c r="D267" s="24">
        <f>VLOOKUP(C267,[1]Course!$A$1:$C$229, 2, FALSE)</f>
        <v>0</v>
      </c>
      <c r="E267" s="24">
        <v>39</v>
      </c>
      <c r="F267" s="24" t="s">
        <v>1314</v>
      </c>
      <c r="G267" s="24">
        <v>1</v>
      </c>
      <c r="H267" s="25">
        <v>0.8</v>
      </c>
      <c r="I267" s="24">
        <v>1</v>
      </c>
    </row>
    <row r="268" spans="1:9" ht="15.75" customHeight="1" x14ac:dyDescent="0.2">
      <c r="A268" s="26">
        <v>267</v>
      </c>
      <c r="B268" s="24">
        <v>267</v>
      </c>
      <c r="C268" s="24">
        <v>23</v>
      </c>
      <c r="D268" s="24">
        <f>VLOOKUP(C268,[1]Course!$A$1:$C$229, 2, FALSE)</f>
        <v>0</v>
      </c>
      <c r="E268" s="24">
        <v>40</v>
      </c>
      <c r="F268" s="24" t="s">
        <v>1313</v>
      </c>
      <c r="G268" s="24">
        <v>1</v>
      </c>
      <c r="H268" s="25">
        <v>0.8</v>
      </c>
      <c r="I268" s="24">
        <v>1</v>
      </c>
    </row>
    <row r="269" spans="1:9" ht="15.75" customHeight="1" x14ac:dyDescent="0.2">
      <c r="A269" s="26">
        <v>268</v>
      </c>
      <c r="B269" s="24">
        <v>268</v>
      </c>
      <c r="C269" s="24">
        <v>23</v>
      </c>
      <c r="D269" s="24">
        <f>VLOOKUP(C269,[1]Course!$A$1:$C$229, 2, FALSE)</f>
        <v>0</v>
      </c>
      <c r="E269" s="24">
        <v>41</v>
      </c>
      <c r="F269" s="24" t="s">
        <v>1312</v>
      </c>
      <c r="G269" s="24">
        <v>1</v>
      </c>
      <c r="H269" s="25">
        <v>0.8</v>
      </c>
      <c r="I269" s="24">
        <v>1</v>
      </c>
    </row>
    <row r="270" spans="1:9" ht="15.75" customHeight="1" x14ac:dyDescent="0.2">
      <c r="A270" s="26">
        <v>269</v>
      </c>
      <c r="B270" s="24">
        <v>269</v>
      </c>
      <c r="C270" s="24">
        <v>23</v>
      </c>
      <c r="D270" s="24">
        <f>VLOOKUP(C270,[1]Course!$A$1:$C$229, 2, FALSE)</f>
        <v>0</v>
      </c>
      <c r="E270" s="24">
        <v>42</v>
      </c>
      <c r="F270" s="24" t="s">
        <v>1311</v>
      </c>
      <c r="G270" s="24">
        <v>1</v>
      </c>
      <c r="H270" s="25">
        <v>0.8</v>
      </c>
      <c r="I270" s="24">
        <v>1</v>
      </c>
    </row>
    <row r="271" spans="1:9" ht="15.75" customHeight="1" x14ac:dyDescent="0.2">
      <c r="A271" s="26">
        <v>270</v>
      </c>
      <c r="B271" s="24">
        <v>270</v>
      </c>
      <c r="C271" s="24">
        <v>23</v>
      </c>
      <c r="D271" s="24">
        <f>VLOOKUP(C271,[1]Course!$A$1:$C$229, 2, FALSE)</f>
        <v>0</v>
      </c>
      <c r="E271" s="24">
        <v>43</v>
      </c>
      <c r="F271" s="24" t="s">
        <v>1310</v>
      </c>
      <c r="G271" s="24">
        <v>1</v>
      </c>
      <c r="H271" s="25">
        <v>0.8</v>
      </c>
      <c r="I271" s="24">
        <v>1</v>
      </c>
    </row>
    <row r="272" spans="1:9" ht="15.75" customHeight="1" x14ac:dyDescent="0.2">
      <c r="A272" s="26">
        <v>271</v>
      </c>
      <c r="B272" s="24">
        <v>271</v>
      </c>
      <c r="C272" s="24">
        <v>23</v>
      </c>
      <c r="D272" s="24">
        <f>VLOOKUP(C272,[1]Course!$A$1:$C$229, 2, FALSE)</f>
        <v>0</v>
      </c>
      <c r="E272" s="24">
        <v>44</v>
      </c>
      <c r="F272" s="24" t="s">
        <v>1309</v>
      </c>
      <c r="G272" s="24">
        <v>1</v>
      </c>
      <c r="H272" s="25">
        <v>0.8</v>
      </c>
      <c r="I272" s="24">
        <v>1</v>
      </c>
    </row>
    <row r="273" spans="1:9" ht="15.75" customHeight="1" x14ac:dyDescent="0.2">
      <c r="A273" s="26">
        <v>272</v>
      </c>
      <c r="B273" s="24">
        <v>272</v>
      </c>
      <c r="C273" s="24">
        <v>23</v>
      </c>
      <c r="D273" s="24">
        <f>VLOOKUP(C273,[1]Course!$A$1:$C$229, 2, FALSE)</f>
        <v>0</v>
      </c>
      <c r="E273" s="24">
        <v>45</v>
      </c>
      <c r="F273" s="24" t="s">
        <v>1308</v>
      </c>
      <c r="G273" s="24">
        <v>1</v>
      </c>
      <c r="H273" s="25">
        <v>0.8</v>
      </c>
      <c r="I273" s="24">
        <v>1</v>
      </c>
    </row>
    <row r="274" spans="1:9" ht="15.75" customHeight="1" x14ac:dyDescent="0.2">
      <c r="A274" s="26">
        <v>273</v>
      </c>
      <c r="B274" s="24">
        <v>273</v>
      </c>
      <c r="C274" s="24">
        <v>23</v>
      </c>
      <c r="D274" s="24">
        <f>VLOOKUP(C274,[1]Course!$A$1:$C$229, 2, FALSE)</f>
        <v>0</v>
      </c>
      <c r="E274" s="24">
        <v>46</v>
      </c>
      <c r="F274" s="24" t="s">
        <v>1307</v>
      </c>
      <c r="G274" s="24">
        <v>1</v>
      </c>
      <c r="H274" s="25">
        <v>0.8</v>
      </c>
      <c r="I274" s="24">
        <v>1</v>
      </c>
    </row>
    <row r="275" spans="1:9" ht="15.75" customHeight="1" x14ac:dyDescent="0.2">
      <c r="A275" s="26">
        <v>274</v>
      </c>
      <c r="B275" s="24">
        <v>274</v>
      </c>
      <c r="C275" s="24">
        <v>23</v>
      </c>
      <c r="D275" s="24">
        <f>VLOOKUP(C275,[1]Course!$A$1:$C$229, 2, FALSE)</f>
        <v>0</v>
      </c>
      <c r="E275" s="24">
        <v>47</v>
      </c>
      <c r="F275" s="24" t="s">
        <v>1306</v>
      </c>
      <c r="G275" s="24">
        <v>1</v>
      </c>
      <c r="H275" s="25">
        <v>0.8</v>
      </c>
      <c r="I275" s="24">
        <v>1</v>
      </c>
    </row>
    <row r="276" spans="1:9" ht="15.75" customHeight="1" x14ac:dyDescent="0.2">
      <c r="A276" s="26">
        <v>275</v>
      </c>
      <c r="B276" s="24">
        <v>275</v>
      </c>
      <c r="C276" s="24">
        <v>23</v>
      </c>
      <c r="D276" s="24">
        <f>VLOOKUP(C276,[1]Course!$A$1:$C$229, 2, FALSE)</f>
        <v>0</v>
      </c>
      <c r="E276" s="24">
        <v>48</v>
      </c>
      <c r="F276" s="24" t="s">
        <v>1305</v>
      </c>
      <c r="G276" s="24">
        <v>1</v>
      </c>
      <c r="H276" s="25">
        <v>0.8</v>
      </c>
      <c r="I276" s="24">
        <v>1</v>
      </c>
    </row>
    <row r="277" spans="1:9" ht="15.75" customHeight="1" x14ac:dyDescent="0.2">
      <c r="A277" s="26">
        <v>276</v>
      </c>
      <c r="B277" s="24">
        <v>276</v>
      </c>
      <c r="C277" s="24">
        <v>24</v>
      </c>
      <c r="D277" s="24">
        <f>VLOOKUP(C277,[1]Course!$A$1:$C$229, 2, FALSE)</f>
        <v>0</v>
      </c>
      <c r="E277" s="24">
        <v>37</v>
      </c>
      <c r="F277" s="24" t="s">
        <v>511</v>
      </c>
      <c r="G277" s="24">
        <v>1</v>
      </c>
      <c r="H277" s="25">
        <v>0.8</v>
      </c>
      <c r="I277" s="24">
        <v>1</v>
      </c>
    </row>
    <row r="278" spans="1:9" ht="15.75" customHeight="1" x14ac:dyDescent="0.2">
      <c r="A278" s="26">
        <v>277</v>
      </c>
      <c r="B278" s="24">
        <v>277</v>
      </c>
      <c r="C278" s="24">
        <v>24</v>
      </c>
      <c r="D278" s="24">
        <f>VLOOKUP(C278,[1]Course!$A$1:$C$229, 2, FALSE)</f>
        <v>0</v>
      </c>
      <c r="E278" s="24">
        <v>38</v>
      </c>
      <c r="F278" s="24" t="s">
        <v>510</v>
      </c>
      <c r="G278" s="24">
        <v>1</v>
      </c>
      <c r="H278" s="25">
        <v>0.8</v>
      </c>
      <c r="I278" s="24">
        <v>1</v>
      </c>
    </row>
    <row r="279" spans="1:9" ht="15.75" customHeight="1" x14ac:dyDescent="0.2">
      <c r="A279" s="26">
        <v>278</v>
      </c>
      <c r="B279" s="24">
        <v>278</v>
      </c>
      <c r="C279" s="24">
        <v>24</v>
      </c>
      <c r="D279" s="24">
        <f>VLOOKUP(C279,[1]Course!$A$1:$C$229, 2, FALSE)</f>
        <v>0</v>
      </c>
      <c r="E279" s="24">
        <v>39</v>
      </c>
      <c r="F279" s="24" t="s">
        <v>509</v>
      </c>
      <c r="G279" s="24">
        <v>1</v>
      </c>
      <c r="H279" s="25">
        <v>0.8</v>
      </c>
      <c r="I279" s="24">
        <v>1</v>
      </c>
    </row>
    <row r="280" spans="1:9" ht="15.75" customHeight="1" x14ac:dyDescent="0.2">
      <c r="A280" s="26">
        <v>279</v>
      </c>
      <c r="B280" s="24">
        <v>279</v>
      </c>
      <c r="C280" s="24">
        <v>24</v>
      </c>
      <c r="D280" s="24">
        <f>VLOOKUP(C280,[1]Course!$A$1:$C$229, 2, FALSE)</f>
        <v>0</v>
      </c>
      <c r="E280" s="24">
        <v>40</v>
      </c>
      <c r="F280" s="24" t="s">
        <v>508</v>
      </c>
      <c r="G280" s="24">
        <v>1</v>
      </c>
      <c r="H280" s="25">
        <v>0.8</v>
      </c>
      <c r="I280" s="24">
        <v>1</v>
      </c>
    </row>
    <row r="281" spans="1:9" ht="15.75" customHeight="1" x14ac:dyDescent="0.2">
      <c r="A281" s="26">
        <v>280</v>
      </c>
      <c r="B281" s="24">
        <v>280</v>
      </c>
      <c r="C281" s="24">
        <v>24</v>
      </c>
      <c r="D281" s="24">
        <f>VLOOKUP(C281,[1]Course!$A$1:$C$229, 2, FALSE)</f>
        <v>0</v>
      </c>
      <c r="E281" s="24">
        <v>41</v>
      </c>
      <c r="F281" s="24" t="s">
        <v>507</v>
      </c>
      <c r="G281" s="24">
        <v>1</v>
      </c>
      <c r="H281" s="25">
        <v>0.8</v>
      </c>
      <c r="I281" s="24">
        <v>1</v>
      </c>
    </row>
    <row r="282" spans="1:9" ht="15.75" customHeight="1" x14ac:dyDescent="0.2">
      <c r="A282" s="26">
        <v>281</v>
      </c>
      <c r="B282" s="24">
        <v>281</v>
      </c>
      <c r="C282" s="24">
        <v>24</v>
      </c>
      <c r="D282" s="24">
        <f>VLOOKUP(C282,[1]Course!$A$1:$C$229, 2, FALSE)</f>
        <v>0</v>
      </c>
      <c r="E282" s="24">
        <v>42</v>
      </c>
      <c r="F282" s="24" t="s">
        <v>506</v>
      </c>
      <c r="G282" s="24">
        <v>1</v>
      </c>
      <c r="H282" s="25">
        <v>0.8</v>
      </c>
      <c r="I282" s="24">
        <v>1</v>
      </c>
    </row>
    <row r="283" spans="1:9" ht="15.75" customHeight="1" x14ac:dyDescent="0.2">
      <c r="A283" s="26">
        <v>282</v>
      </c>
      <c r="B283" s="24">
        <v>282</v>
      </c>
      <c r="C283" s="24">
        <v>24</v>
      </c>
      <c r="D283" s="24">
        <f>VLOOKUP(C283,[1]Course!$A$1:$C$229, 2, FALSE)</f>
        <v>0</v>
      </c>
      <c r="E283" s="24">
        <v>43</v>
      </c>
      <c r="F283" s="24" t="s">
        <v>505</v>
      </c>
      <c r="G283" s="24">
        <v>1</v>
      </c>
      <c r="H283" s="25">
        <v>0.8</v>
      </c>
      <c r="I283" s="24">
        <v>1</v>
      </c>
    </row>
    <row r="284" spans="1:9" ht="15.75" customHeight="1" x14ac:dyDescent="0.2">
      <c r="A284" s="26">
        <v>283</v>
      </c>
      <c r="B284" s="24">
        <v>283</v>
      </c>
      <c r="C284" s="24">
        <v>24</v>
      </c>
      <c r="D284" s="24">
        <f>VLOOKUP(C284,[1]Course!$A$1:$C$229, 2, FALSE)</f>
        <v>0</v>
      </c>
      <c r="E284" s="24">
        <v>44</v>
      </c>
      <c r="F284" s="24" t="s">
        <v>504</v>
      </c>
      <c r="G284" s="24">
        <v>1</v>
      </c>
      <c r="H284" s="25">
        <v>0.8</v>
      </c>
      <c r="I284" s="24">
        <v>1</v>
      </c>
    </row>
    <row r="285" spans="1:9" ht="15.75" customHeight="1" x14ac:dyDescent="0.2">
      <c r="A285" s="26">
        <v>284</v>
      </c>
      <c r="B285" s="24">
        <v>284</v>
      </c>
      <c r="C285" s="24">
        <v>24</v>
      </c>
      <c r="D285" s="24">
        <f>VLOOKUP(C285,[1]Course!$A$1:$C$229, 2, FALSE)</f>
        <v>0</v>
      </c>
      <c r="E285" s="24">
        <v>45</v>
      </c>
      <c r="F285" s="24" t="s">
        <v>1304</v>
      </c>
      <c r="G285" s="24">
        <v>1</v>
      </c>
      <c r="H285" s="25">
        <v>0.8</v>
      </c>
      <c r="I285" s="24">
        <v>1</v>
      </c>
    </row>
    <row r="286" spans="1:9" ht="15.75" customHeight="1" x14ac:dyDescent="0.2">
      <c r="A286" s="26">
        <v>285</v>
      </c>
      <c r="B286" s="24">
        <v>285</v>
      </c>
      <c r="C286" s="24">
        <v>24</v>
      </c>
      <c r="D286" s="24">
        <f>VLOOKUP(C286,[1]Course!$A$1:$C$229, 2, FALSE)</f>
        <v>0</v>
      </c>
      <c r="E286" s="24">
        <v>46</v>
      </c>
      <c r="F286" s="24" t="s">
        <v>1303</v>
      </c>
      <c r="G286" s="24">
        <v>1</v>
      </c>
      <c r="H286" s="25">
        <v>0.8</v>
      </c>
      <c r="I286" s="24">
        <v>1</v>
      </c>
    </row>
    <row r="287" spans="1:9" ht="15.75" customHeight="1" x14ac:dyDescent="0.2">
      <c r="A287" s="26">
        <v>286</v>
      </c>
      <c r="B287" s="24">
        <v>286</v>
      </c>
      <c r="C287" s="24">
        <v>24</v>
      </c>
      <c r="D287" s="24">
        <f>VLOOKUP(C287,[1]Course!$A$1:$C$229, 2, FALSE)</f>
        <v>0</v>
      </c>
      <c r="E287" s="24">
        <v>47</v>
      </c>
      <c r="F287" s="24" t="s">
        <v>1302</v>
      </c>
      <c r="G287" s="24">
        <v>1</v>
      </c>
      <c r="H287" s="25">
        <v>0.8</v>
      </c>
      <c r="I287" s="24">
        <v>1</v>
      </c>
    </row>
    <row r="288" spans="1:9" ht="15.75" customHeight="1" x14ac:dyDescent="0.2">
      <c r="A288" s="26">
        <v>287</v>
      </c>
      <c r="B288" s="24">
        <v>287</v>
      </c>
      <c r="C288" s="24">
        <v>24</v>
      </c>
      <c r="D288" s="24">
        <f>VLOOKUP(C288,[1]Course!$A$1:$C$229, 2, FALSE)</f>
        <v>0</v>
      </c>
      <c r="E288" s="24">
        <v>48</v>
      </c>
      <c r="F288" s="24" t="s">
        <v>1301</v>
      </c>
      <c r="G288" s="24">
        <v>1</v>
      </c>
      <c r="H288" s="25">
        <v>0.8</v>
      </c>
      <c r="I288" s="24">
        <v>1</v>
      </c>
    </row>
    <row r="289" spans="1:9" ht="15.75" customHeight="1" x14ac:dyDescent="0.2">
      <c r="A289" s="26">
        <v>288</v>
      </c>
      <c r="B289" s="24">
        <v>288</v>
      </c>
      <c r="C289" s="24">
        <v>25</v>
      </c>
      <c r="D289" s="24">
        <f>VLOOKUP(C289,[1]Course!$A$1:$C$229, 2, FALSE)</f>
        <v>0</v>
      </c>
      <c r="E289" s="24">
        <v>37</v>
      </c>
      <c r="F289" s="24" t="s">
        <v>1300</v>
      </c>
      <c r="G289" s="24">
        <v>1</v>
      </c>
      <c r="H289" s="25">
        <v>0.9</v>
      </c>
      <c r="I289" s="24">
        <v>1</v>
      </c>
    </row>
    <row r="290" spans="1:9" ht="15.75" customHeight="1" x14ac:dyDescent="0.2">
      <c r="A290" s="26">
        <v>289</v>
      </c>
      <c r="B290" s="24">
        <v>289</v>
      </c>
      <c r="C290" s="24">
        <v>25</v>
      </c>
      <c r="D290" s="24">
        <f>VLOOKUP(C290,[1]Course!$A$1:$C$229, 2, FALSE)</f>
        <v>0</v>
      </c>
      <c r="E290" s="24">
        <v>38</v>
      </c>
      <c r="F290" s="24" t="s">
        <v>1299</v>
      </c>
      <c r="G290" s="24">
        <v>1</v>
      </c>
      <c r="H290" s="25">
        <v>0.9</v>
      </c>
      <c r="I290" s="24">
        <v>1</v>
      </c>
    </row>
    <row r="291" spans="1:9" ht="15.75" customHeight="1" x14ac:dyDescent="0.2">
      <c r="A291" s="26">
        <v>290</v>
      </c>
      <c r="B291" s="24">
        <v>290</v>
      </c>
      <c r="C291" s="24">
        <v>25</v>
      </c>
      <c r="D291" s="24">
        <f>VLOOKUP(C291,[1]Course!$A$1:$C$229, 2, FALSE)</f>
        <v>0</v>
      </c>
      <c r="E291" s="24">
        <v>39</v>
      </c>
      <c r="F291" s="24" t="s">
        <v>1298</v>
      </c>
      <c r="G291" s="24">
        <v>1</v>
      </c>
      <c r="H291" s="25">
        <v>0.9</v>
      </c>
      <c r="I291" s="24">
        <v>1</v>
      </c>
    </row>
    <row r="292" spans="1:9" ht="15.75" customHeight="1" x14ac:dyDescent="0.2">
      <c r="A292" s="26">
        <v>291</v>
      </c>
      <c r="B292" s="24">
        <v>291</v>
      </c>
      <c r="C292" s="24">
        <v>25</v>
      </c>
      <c r="D292" s="24">
        <f>VLOOKUP(C292,[1]Course!$A$1:$C$229, 2, FALSE)</f>
        <v>0</v>
      </c>
      <c r="E292" s="24">
        <v>40</v>
      </c>
      <c r="F292" s="24" t="s">
        <v>1297</v>
      </c>
      <c r="G292" s="24">
        <v>1</v>
      </c>
      <c r="H292" s="25">
        <v>0.9</v>
      </c>
      <c r="I292" s="24">
        <v>1</v>
      </c>
    </row>
    <row r="293" spans="1:9" ht="15.75" customHeight="1" x14ac:dyDescent="0.2">
      <c r="A293" s="26">
        <v>292</v>
      </c>
      <c r="B293" s="24">
        <v>292</v>
      </c>
      <c r="C293" s="24">
        <v>25</v>
      </c>
      <c r="D293" s="24">
        <f>VLOOKUP(C293,[1]Course!$A$1:$C$229, 2, FALSE)</f>
        <v>0</v>
      </c>
      <c r="E293" s="24">
        <v>41</v>
      </c>
      <c r="F293" s="24" t="s">
        <v>1296</v>
      </c>
      <c r="G293" s="24">
        <v>1</v>
      </c>
      <c r="H293" s="25">
        <v>0.9</v>
      </c>
      <c r="I293" s="24">
        <v>1</v>
      </c>
    </row>
    <row r="294" spans="1:9" ht="15.75" customHeight="1" x14ac:dyDescent="0.2">
      <c r="A294" s="26">
        <v>293</v>
      </c>
      <c r="B294" s="24">
        <v>293</v>
      </c>
      <c r="C294" s="24">
        <v>25</v>
      </c>
      <c r="D294" s="24">
        <f>VLOOKUP(C294,[1]Course!$A$1:$C$229, 2, FALSE)</f>
        <v>0</v>
      </c>
      <c r="E294" s="24">
        <v>42</v>
      </c>
      <c r="F294" s="24" t="s">
        <v>1295</v>
      </c>
      <c r="G294" s="24">
        <v>1</v>
      </c>
      <c r="H294" s="25">
        <v>0.9</v>
      </c>
      <c r="I294" s="24">
        <v>1</v>
      </c>
    </row>
    <row r="295" spans="1:9" ht="15.75" customHeight="1" x14ac:dyDescent="0.2">
      <c r="A295" s="26">
        <v>294</v>
      </c>
      <c r="B295" s="24">
        <v>294</v>
      </c>
      <c r="C295" s="24">
        <v>25</v>
      </c>
      <c r="D295" s="24">
        <f>VLOOKUP(C295,[1]Course!$A$1:$C$229, 2, FALSE)</f>
        <v>0</v>
      </c>
      <c r="E295" s="24">
        <v>43</v>
      </c>
      <c r="F295" s="24" t="s">
        <v>1294</v>
      </c>
      <c r="G295" s="24">
        <v>1</v>
      </c>
      <c r="H295" s="25">
        <v>0.9</v>
      </c>
      <c r="I295" s="24">
        <v>1</v>
      </c>
    </row>
    <row r="296" spans="1:9" ht="15.75" customHeight="1" x14ac:dyDescent="0.2">
      <c r="A296" s="26">
        <v>295</v>
      </c>
      <c r="B296" s="24">
        <v>295</v>
      </c>
      <c r="C296" s="24">
        <v>25</v>
      </c>
      <c r="D296" s="24">
        <f>VLOOKUP(C296,[1]Course!$A$1:$C$229, 2, FALSE)</f>
        <v>0</v>
      </c>
      <c r="E296" s="24">
        <v>44</v>
      </c>
      <c r="F296" s="24" t="s">
        <v>1293</v>
      </c>
      <c r="G296" s="24">
        <v>1</v>
      </c>
      <c r="H296" s="25">
        <v>0.9</v>
      </c>
      <c r="I296" s="24">
        <v>1</v>
      </c>
    </row>
    <row r="297" spans="1:9" ht="15.75" customHeight="1" x14ac:dyDescent="0.2">
      <c r="A297" s="26">
        <v>296</v>
      </c>
      <c r="B297" s="24">
        <v>296</v>
      </c>
      <c r="C297" s="24">
        <v>25</v>
      </c>
      <c r="D297" s="24">
        <f>VLOOKUP(C297,[1]Course!$A$1:$C$229, 2, FALSE)</f>
        <v>0</v>
      </c>
      <c r="E297" s="24">
        <v>45</v>
      </c>
      <c r="F297" s="24" t="s">
        <v>1292</v>
      </c>
      <c r="G297" s="24">
        <v>1</v>
      </c>
      <c r="H297" s="25">
        <v>0.9</v>
      </c>
      <c r="I297" s="24">
        <v>1</v>
      </c>
    </row>
    <row r="298" spans="1:9" ht="15.75" customHeight="1" x14ac:dyDescent="0.2">
      <c r="A298" s="26">
        <v>297</v>
      </c>
      <c r="B298" s="24">
        <v>297</v>
      </c>
      <c r="C298" s="24">
        <v>25</v>
      </c>
      <c r="D298" s="24">
        <f>VLOOKUP(C298,[1]Course!$A$1:$C$229, 2, FALSE)</f>
        <v>0</v>
      </c>
      <c r="E298" s="24">
        <v>46</v>
      </c>
      <c r="F298" s="24" t="s">
        <v>1291</v>
      </c>
      <c r="G298" s="24">
        <v>1</v>
      </c>
      <c r="H298" s="25">
        <v>0.9</v>
      </c>
      <c r="I298" s="24">
        <v>1</v>
      </c>
    </row>
    <row r="299" spans="1:9" ht="15.75" customHeight="1" x14ac:dyDescent="0.2">
      <c r="A299" s="26">
        <v>298</v>
      </c>
      <c r="B299" s="24">
        <v>298</v>
      </c>
      <c r="C299" s="24">
        <v>25</v>
      </c>
      <c r="D299" s="24">
        <f>VLOOKUP(C299,[1]Course!$A$1:$C$229, 2, FALSE)</f>
        <v>0</v>
      </c>
      <c r="E299" s="24">
        <v>47</v>
      </c>
      <c r="F299" s="24" t="s">
        <v>1290</v>
      </c>
      <c r="G299" s="24">
        <v>1</v>
      </c>
      <c r="H299" s="25">
        <v>0.9</v>
      </c>
      <c r="I299" s="24">
        <v>1</v>
      </c>
    </row>
    <row r="300" spans="1:9" ht="15.75" customHeight="1" x14ac:dyDescent="0.2">
      <c r="A300" s="26">
        <v>299</v>
      </c>
      <c r="B300" s="24">
        <v>299</v>
      </c>
      <c r="C300" s="24">
        <v>25</v>
      </c>
      <c r="D300" s="24">
        <f>VLOOKUP(C300,[1]Course!$A$1:$C$229, 2, FALSE)</f>
        <v>0</v>
      </c>
      <c r="E300" s="24">
        <v>48</v>
      </c>
      <c r="F300" s="24" t="s">
        <v>1289</v>
      </c>
      <c r="G300" s="24">
        <v>1</v>
      </c>
      <c r="H300" s="25">
        <v>0.9</v>
      </c>
      <c r="I300" s="24">
        <v>1</v>
      </c>
    </row>
    <row r="301" spans="1:9" ht="15.75" customHeight="1" x14ac:dyDescent="0.2">
      <c r="A301" s="26">
        <v>300</v>
      </c>
      <c r="B301" s="24">
        <v>300</v>
      </c>
      <c r="C301" s="24">
        <v>26</v>
      </c>
      <c r="D301" s="24">
        <f>VLOOKUP(C301,[1]Course!$A$1:$C$229, 2, FALSE)</f>
        <v>0</v>
      </c>
      <c r="E301" s="24">
        <v>37</v>
      </c>
      <c r="F301" s="24" t="s">
        <v>1288</v>
      </c>
      <c r="G301" s="24">
        <v>1</v>
      </c>
      <c r="H301" s="25">
        <v>0.8</v>
      </c>
      <c r="I301" s="24">
        <v>1</v>
      </c>
    </row>
    <row r="302" spans="1:9" ht="15.75" customHeight="1" x14ac:dyDescent="0.2">
      <c r="A302" s="26">
        <v>301</v>
      </c>
      <c r="B302" s="24">
        <v>301</v>
      </c>
      <c r="C302" s="24">
        <v>26</v>
      </c>
      <c r="D302" s="24">
        <f>VLOOKUP(C302,[1]Course!$A$1:$C$229, 2, FALSE)</f>
        <v>0</v>
      </c>
      <c r="E302" s="24">
        <v>38</v>
      </c>
      <c r="F302" s="24" t="s">
        <v>1287</v>
      </c>
      <c r="G302" s="24">
        <v>1</v>
      </c>
      <c r="H302" s="25">
        <v>0.8</v>
      </c>
      <c r="I302" s="24">
        <v>1</v>
      </c>
    </row>
    <row r="303" spans="1:9" ht="15.75" customHeight="1" x14ac:dyDescent="0.2">
      <c r="A303" s="26">
        <v>302</v>
      </c>
      <c r="B303" s="24">
        <v>302</v>
      </c>
      <c r="C303" s="24">
        <v>26</v>
      </c>
      <c r="D303" s="24">
        <f>VLOOKUP(C303,[1]Course!$A$1:$C$229, 2, FALSE)</f>
        <v>0</v>
      </c>
      <c r="E303" s="24">
        <v>39</v>
      </c>
      <c r="F303" s="24" t="s">
        <v>1286</v>
      </c>
      <c r="G303" s="24">
        <v>1</v>
      </c>
      <c r="H303" s="25">
        <v>0.8</v>
      </c>
      <c r="I303" s="24">
        <v>1</v>
      </c>
    </row>
    <row r="304" spans="1:9" ht="15.75" customHeight="1" x14ac:dyDescent="0.2">
      <c r="A304" s="26">
        <v>303</v>
      </c>
      <c r="B304" s="24">
        <v>303</v>
      </c>
      <c r="C304" s="24">
        <v>26</v>
      </c>
      <c r="D304" s="24">
        <f>VLOOKUP(C304,[1]Course!$A$1:$C$229, 2, FALSE)</f>
        <v>0</v>
      </c>
      <c r="E304" s="24">
        <v>40</v>
      </c>
      <c r="F304" s="24" t="s">
        <v>1285</v>
      </c>
      <c r="G304" s="24">
        <v>1</v>
      </c>
      <c r="H304" s="25">
        <v>0.8</v>
      </c>
      <c r="I304" s="24">
        <v>1</v>
      </c>
    </row>
    <row r="305" spans="1:9" ht="15.75" customHeight="1" x14ac:dyDescent="0.2">
      <c r="A305" s="26">
        <v>304</v>
      </c>
      <c r="B305" s="24">
        <v>304</v>
      </c>
      <c r="C305" s="24">
        <v>26</v>
      </c>
      <c r="D305" s="24">
        <f>VLOOKUP(C305,[1]Course!$A$1:$C$229, 2, FALSE)</f>
        <v>0</v>
      </c>
      <c r="E305" s="24">
        <v>41</v>
      </c>
      <c r="F305" s="24" t="s">
        <v>1284</v>
      </c>
      <c r="G305" s="24">
        <v>1</v>
      </c>
      <c r="H305" s="25">
        <v>0.8</v>
      </c>
      <c r="I305" s="24">
        <v>1</v>
      </c>
    </row>
    <row r="306" spans="1:9" ht="15.75" customHeight="1" x14ac:dyDescent="0.2">
      <c r="A306" s="26">
        <v>305</v>
      </c>
      <c r="B306" s="24">
        <v>305</v>
      </c>
      <c r="C306" s="24">
        <v>26</v>
      </c>
      <c r="D306" s="24">
        <f>VLOOKUP(C306,[1]Course!$A$1:$C$229, 2, FALSE)</f>
        <v>0</v>
      </c>
      <c r="E306" s="24">
        <v>42</v>
      </c>
      <c r="F306" s="24" t="s">
        <v>1283</v>
      </c>
      <c r="G306" s="24">
        <v>1</v>
      </c>
      <c r="H306" s="25">
        <v>0.8</v>
      </c>
      <c r="I306" s="24">
        <v>1</v>
      </c>
    </row>
    <row r="307" spans="1:9" ht="15.75" customHeight="1" x14ac:dyDescent="0.2">
      <c r="A307" s="26">
        <v>306</v>
      </c>
      <c r="B307" s="24">
        <v>306</v>
      </c>
      <c r="C307" s="24">
        <v>26</v>
      </c>
      <c r="D307" s="24">
        <f>VLOOKUP(C307,[1]Course!$A$1:$C$229, 2, FALSE)</f>
        <v>0</v>
      </c>
      <c r="E307" s="24">
        <v>43</v>
      </c>
      <c r="F307" s="24" t="s">
        <v>1282</v>
      </c>
      <c r="G307" s="24">
        <v>1</v>
      </c>
      <c r="H307" s="25">
        <v>0.8</v>
      </c>
      <c r="I307" s="24">
        <v>1</v>
      </c>
    </row>
    <row r="308" spans="1:9" ht="15.75" customHeight="1" x14ac:dyDescent="0.2">
      <c r="A308" s="26">
        <v>307</v>
      </c>
      <c r="B308" s="24">
        <v>307</v>
      </c>
      <c r="C308" s="24">
        <v>26</v>
      </c>
      <c r="D308" s="24">
        <f>VLOOKUP(C308,[1]Course!$A$1:$C$229, 2, FALSE)</f>
        <v>0</v>
      </c>
      <c r="E308" s="24">
        <v>44</v>
      </c>
      <c r="F308" s="24" t="s">
        <v>1281</v>
      </c>
      <c r="G308" s="24">
        <v>1</v>
      </c>
      <c r="H308" s="25">
        <v>0.8</v>
      </c>
      <c r="I308" s="24">
        <v>1</v>
      </c>
    </row>
    <row r="309" spans="1:9" ht="15.75" customHeight="1" x14ac:dyDescent="0.2">
      <c r="A309" s="26">
        <v>308</v>
      </c>
      <c r="B309" s="24">
        <v>308</v>
      </c>
      <c r="C309" s="24">
        <v>26</v>
      </c>
      <c r="D309" s="24">
        <f>VLOOKUP(C309,[1]Course!$A$1:$C$229, 2, FALSE)</f>
        <v>0</v>
      </c>
      <c r="E309" s="24">
        <v>45</v>
      </c>
      <c r="F309" s="24" t="s">
        <v>1280</v>
      </c>
      <c r="G309" s="24">
        <v>1</v>
      </c>
      <c r="H309" s="25">
        <v>0.8</v>
      </c>
      <c r="I309" s="24">
        <v>1</v>
      </c>
    </row>
    <row r="310" spans="1:9" ht="15.75" customHeight="1" x14ac:dyDescent="0.2">
      <c r="A310" s="26">
        <v>309</v>
      </c>
      <c r="B310" s="24">
        <v>309</v>
      </c>
      <c r="C310" s="24">
        <v>26</v>
      </c>
      <c r="D310" s="24">
        <f>VLOOKUP(C310,[1]Course!$A$1:$C$229, 2, FALSE)</f>
        <v>0</v>
      </c>
      <c r="E310" s="24">
        <v>46</v>
      </c>
      <c r="F310" s="24" t="s">
        <v>1279</v>
      </c>
      <c r="G310" s="24">
        <v>1</v>
      </c>
      <c r="H310" s="25">
        <v>0.8</v>
      </c>
      <c r="I310" s="24">
        <v>1</v>
      </c>
    </row>
    <row r="311" spans="1:9" ht="15.75" customHeight="1" x14ac:dyDescent="0.2">
      <c r="A311" s="26">
        <v>310</v>
      </c>
      <c r="B311" s="24">
        <v>310</v>
      </c>
      <c r="C311" s="24">
        <v>26</v>
      </c>
      <c r="D311" s="24">
        <f>VLOOKUP(C311,[1]Course!$A$1:$C$229, 2, FALSE)</f>
        <v>0</v>
      </c>
      <c r="E311" s="24">
        <v>47</v>
      </c>
      <c r="F311" s="24" t="s">
        <v>1278</v>
      </c>
      <c r="G311" s="24">
        <v>1</v>
      </c>
      <c r="H311" s="25">
        <v>0.8</v>
      </c>
      <c r="I311" s="24">
        <v>1</v>
      </c>
    </row>
    <row r="312" spans="1:9" ht="15.75" customHeight="1" x14ac:dyDescent="0.2">
      <c r="A312" s="26">
        <v>311</v>
      </c>
      <c r="B312" s="24">
        <v>311</v>
      </c>
      <c r="C312" s="24">
        <v>26</v>
      </c>
      <c r="D312" s="24">
        <f>VLOOKUP(C312,[1]Course!$A$1:$C$229, 2, FALSE)</f>
        <v>0</v>
      </c>
      <c r="E312" s="24">
        <v>48</v>
      </c>
      <c r="F312" s="24" t="s">
        <v>1277</v>
      </c>
      <c r="G312" s="24">
        <v>1</v>
      </c>
      <c r="H312" s="25">
        <v>0.8</v>
      </c>
      <c r="I312" s="24">
        <v>1</v>
      </c>
    </row>
    <row r="313" spans="1:9" ht="15.75" customHeight="1" x14ac:dyDescent="0.2">
      <c r="A313" s="26">
        <v>312</v>
      </c>
      <c r="B313" s="24">
        <v>312</v>
      </c>
      <c r="C313" s="24">
        <v>27</v>
      </c>
      <c r="D313" s="24" t="str">
        <f>VLOOKUP(C313,[1]Course!$A$1:$C$229, 2, FALSE)</f>
        <v>Science 4</v>
      </c>
      <c r="E313" s="24">
        <v>37</v>
      </c>
      <c r="F313" s="24" t="s">
        <v>1276</v>
      </c>
      <c r="G313" s="24">
        <v>1</v>
      </c>
      <c r="H313" s="25">
        <v>0.8</v>
      </c>
      <c r="I313" s="24">
        <v>1</v>
      </c>
    </row>
    <row r="314" spans="1:9" ht="15.75" customHeight="1" x14ac:dyDescent="0.2">
      <c r="A314" s="26">
        <v>313</v>
      </c>
      <c r="B314" s="24">
        <v>313</v>
      </c>
      <c r="C314" s="24">
        <v>27</v>
      </c>
      <c r="D314" s="24" t="str">
        <f>VLOOKUP(C314,[1]Course!$A$1:$C$229, 2, FALSE)</f>
        <v>Science 4</v>
      </c>
      <c r="E314" s="24">
        <v>38</v>
      </c>
      <c r="F314" s="24" t="s">
        <v>1275</v>
      </c>
      <c r="G314" s="24">
        <v>1</v>
      </c>
      <c r="H314" s="25">
        <v>0.8</v>
      </c>
      <c r="I314" s="24">
        <v>1</v>
      </c>
    </row>
    <row r="315" spans="1:9" ht="15.75" customHeight="1" x14ac:dyDescent="0.2">
      <c r="A315" s="26">
        <v>314</v>
      </c>
      <c r="B315" s="24">
        <v>314</v>
      </c>
      <c r="C315" s="24">
        <v>27</v>
      </c>
      <c r="D315" s="24" t="str">
        <f>VLOOKUP(C315,[1]Course!$A$1:$C$229, 2, FALSE)</f>
        <v>Science 4</v>
      </c>
      <c r="E315" s="24">
        <v>39</v>
      </c>
      <c r="F315" s="24" t="s">
        <v>1274</v>
      </c>
      <c r="G315" s="24">
        <v>1</v>
      </c>
      <c r="H315" s="25">
        <v>0.8</v>
      </c>
      <c r="I315" s="24">
        <v>1</v>
      </c>
    </row>
    <row r="316" spans="1:9" ht="15.75" customHeight="1" x14ac:dyDescent="0.2">
      <c r="A316" s="26">
        <v>315</v>
      </c>
      <c r="B316" s="24">
        <v>315</v>
      </c>
      <c r="C316" s="24">
        <v>27</v>
      </c>
      <c r="D316" s="24" t="str">
        <f>VLOOKUP(C316,[1]Course!$A$1:$C$229, 2, FALSE)</f>
        <v>Science 4</v>
      </c>
      <c r="E316" s="24">
        <v>40</v>
      </c>
      <c r="F316" s="24" t="s">
        <v>1273</v>
      </c>
      <c r="G316" s="24">
        <v>1</v>
      </c>
      <c r="H316" s="25">
        <v>0.8</v>
      </c>
      <c r="I316" s="24">
        <v>1</v>
      </c>
    </row>
    <row r="317" spans="1:9" ht="15.75" customHeight="1" x14ac:dyDescent="0.2">
      <c r="A317" s="26">
        <v>316</v>
      </c>
      <c r="B317" s="24">
        <v>316</v>
      </c>
      <c r="C317" s="24">
        <v>27</v>
      </c>
      <c r="D317" s="24" t="str">
        <f>VLOOKUP(C317,[1]Course!$A$1:$C$229, 2, FALSE)</f>
        <v>Science 4</v>
      </c>
      <c r="E317" s="24">
        <v>41</v>
      </c>
      <c r="F317" s="24" t="s">
        <v>1272</v>
      </c>
      <c r="G317" s="24">
        <v>1</v>
      </c>
      <c r="H317" s="25">
        <v>0.8</v>
      </c>
      <c r="I317" s="24">
        <v>1</v>
      </c>
    </row>
    <row r="318" spans="1:9" ht="15.75" customHeight="1" x14ac:dyDescent="0.2">
      <c r="A318" s="26">
        <v>317</v>
      </c>
      <c r="B318" s="24">
        <v>317</v>
      </c>
      <c r="C318" s="24">
        <v>27</v>
      </c>
      <c r="D318" s="24" t="str">
        <f>VLOOKUP(C318,[1]Course!$A$1:$C$229, 2, FALSE)</f>
        <v>Science 4</v>
      </c>
      <c r="E318" s="24">
        <v>42</v>
      </c>
      <c r="F318" s="24" t="s">
        <v>1271</v>
      </c>
      <c r="G318" s="24">
        <v>1</v>
      </c>
      <c r="H318" s="25">
        <v>0.8</v>
      </c>
      <c r="I318" s="24">
        <v>1</v>
      </c>
    </row>
    <row r="319" spans="1:9" ht="15.75" customHeight="1" x14ac:dyDescent="0.2">
      <c r="A319" s="26">
        <v>318</v>
      </c>
      <c r="B319" s="24">
        <v>318</v>
      </c>
      <c r="C319" s="24">
        <v>27</v>
      </c>
      <c r="D319" s="24" t="str">
        <f>VLOOKUP(C319,[1]Course!$A$1:$C$229, 2, FALSE)</f>
        <v>Science 4</v>
      </c>
      <c r="E319" s="24">
        <v>43</v>
      </c>
      <c r="F319" s="24" t="s">
        <v>1270</v>
      </c>
      <c r="G319" s="24">
        <v>1</v>
      </c>
      <c r="H319" s="25">
        <v>0.8</v>
      </c>
      <c r="I319" s="24">
        <v>1</v>
      </c>
    </row>
    <row r="320" spans="1:9" ht="15.75" customHeight="1" x14ac:dyDescent="0.2">
      <c r="A320" s="26">
        <v>319</v>
      </c>
      <c r="B320" s="24">
        <v>319</v>
      </c>
      <c r="C320" s="24">
        <v>27</v>
      </c>
      <c r="D320" s="24" t="str">
        <f>VLOOKUP(C320,[1]Course!$A$1:$C$229, 2, FALSE)</f>
        <v>Science 4</v>
      </c>
      <c r="E320" s="24">
        <v>44</v>
      </c>
      <c r="F320" s="24" t="s">
        <v>1269</v>
      </c>
      <c r="G320" s="24">
        <v>1</v>
      </c>
      <c r="H320" s="25">
        <v>0.8</v>
      </c>
      <c r="I320" s="24">
        <v>1</v>
      </c>
    </row>
    <row r="321" spans="1:9" ht="15.75" customHeight="1" x14ac:dyDescent="0.2">
      <c r="A321" s="26">
        <v>320</v>
      </c>
      <c r="B321" s="24">
        <v>320</v>
      </c>
      <c r="C321" s="24">
        <v>27</v>
      </c>
      <c r="D321" s="24" t="str">
        <f>VLOOKUP(C321,[1]Course!$A$1:$C$229, 2, FALSE)</f>
        <v>Science 4</v>
      </c>
      <c r="E321" s="24">
        <v>45</v>
      </c>
      <c r="F321" s="24" t="s">
        <v>1268</v>
      </c>
      <c r="G321" s="24">
        <v>1</v>
      </c>
      <c r="H321" s="25">
        <v>0.8</v>
      </c>
      <c r="I321" s="24">
        <v>1</v>
      </c>
    </row>
    <row r="322" spans="1:9" ht="15.75" customHeight="1" x14ac:dyDescent="0.2">
      <c r="A322" s="26">
        <v>321</v>
      </c>
      <c r="B322" s="24">
        <v>321</v>
      </c>
      <c r="C322" s="24">
        <v>27</v>
      </c>
      <c r="D322" s="24" t="str">
        <f>VLOOKUP(C322,[1]Course!$A$1:$C$229, 2, FALSE)</f>
        <v>Science 4</v>
      </c>
      <c r="E322" s="24">
        <v>46</v>
      </c>
      <c r="F322" s="24" t="s">
        <v>1267</v>
      </c>
      <c r="G322" s="24">
        <v>1</v>
      </c>
      <c r="H322" s="25">
        <v>0.8</v>
      </c>
      <c r="I322" s="24">
        <v>1</v>
      </c>
    </row>
    <row r="323" spans="1:9" ht="15.75" customHeight="1" x14ac:dyDescent="0.2">
      <c r="A323" s="26">
        <v>322</v>
      </c>
      <c r="B323" s="24">
        <v>322</v>
      </c>
      <c r="C323" s="24">
        <v>27</v>
      </c>
      <c r="D323" s="24" t="str">
        <f>VLOOKUP(C323,[1]Course!$A$1:$C$229, 2, FALSE)</f>
        <v>Science 4</v>
      </c>
      <c r="E323" s="24">
        <v>47</v>
      </c>
      <c r="F323" s="24" t="s">
        <v>1266</v>
      </c>
      <c r="G323" s="24">
        <v>1</v>
      </c>
      <c r="H323" s="25">
        <v>0.8</v>
      </c>
      <c r="I323" s="24">
        <v>1</v>
      </c>
    </row>
    <row r="324" spans="1:9" ht="15.75" customHeight="1" x14ac:dyDescent="0.2">
      <c r="A324" s="26">
        <v>323</v>
      </c>
      <c r="B324" s="24">
        <v>323</v>
      </c>
      <c r="C324" s="24">
        <v>27</v>
      </c>
      <c r="D324" s="24" t="str">
        <f>VLOOKUP(C324,[1]Course!$A$1:$C$229, 2, FALSE)</f>
        <v>Science 4</v>
      </c>
      <c r="E324" s="24">
        <v>48</v>
      </c>
      <c r="F324" s="24" t="s">
        <v>1265</v>
      </c>
      <c r="G324" s="24">
        <v>1</v>
      </c>
      <c r="H324" s="25">
        <v>0.8</v>
      </c>
      <c r="I324" s="24">
        <v>1</v>
      </c>
    </row>
    <row r="325" spans="1:9" ht="15.75" customHeight="1" x14ac:dyDescent="0.2">
      <c r="A325" s="26">
        <v>324</v>
      </c>
      <c r="B325" s="24">
        <v>324</v>
      </c>
      <c r="C325" s="24">
        <v>28</v>
      </c>
      <c r="D325" s="24">
        <f>VLOOKUP(C325,[1]Course!$A$1:$C$229, 2, FALSE)</f>
        <v>0</v>
      </c>
      <c r="E325" s="24">
        <v>37</v>
      </c>
      <c r="F325" s="24" t="s">
        <v>1264</v>
      </c>
      <c r="G325" s="24">
        <v>1</v>
      </c>
      <c r="H325" s="25">
        <v>0.8</v>
      </c>
      <c r="I325" s="24">
        <v>1</v>
      </c>
    </row>
    <row r="326" spans="1:9" ht="15.75" customHeight="1" x14ac:dyDescent="0.2">
      <c r="A326" s="26">
        <v>325</v>
      </c>
      <c r="B326" s="24">
        <v>325</v>
      </c>
      <c r="C326" s="24">
        <v>28</v>
      </c>
      <c r="D326" s="24">
        <f>VLOOKUP(C326,[1]Course!$A$1:$C$229, 2, FALSE)</f>
        <v>0</v>
      </c>
      <c r="E326" s="24">
        <v>38</v>
      </c>
      <c r="F326" s="24" t="s">
        <v>1263</v>
      </c>
      <c r="G326" s="24">
        <v>1</v>
      </c>
      <c r="H326" s="25">
        <v>0.8</v>
      </c>
      <c r="I326" s="24">
        <v>1</v>
      </c>
    </row>
    <row r="327" spans="1:9" ht="15.75" customHeight="1" x14ac:dyDescent="0.2">
      <c r="A327" s="26">
        <v>326</v>
      </c>
      <c r="B327" s="24">
        <v>326</v>
      </c>
      <c r="C327" s="24">
        <v>28</v>
      </c>
      <c r="D327" s="24">
        <f>VLOOKUP(C327,[1]Course!$A$1:$C$229, 2, FALSE)</f>
        <v>0</v>
      </c>
      <c r="E327" s="24">
        <v>39</v>
      </c>
      <c r="F327" s="24" t="s">
        <v>1262</v>
      </c>
      <c r="G327" s="24">
        <v>1</v>
      </c>
      <c r="H327" s="25">
        <v>0.8</v>
      </c>
      <c r="I327" s="24">
        <v>1</v>
      </c>
    </row>
    <row r="328" spans="1:9" ht="15.75" customHeight="1" x14ac:dyDescent="0.2">
      <c r="A328" s="26">
        <v>327</v>
      </c>
      <c r="B328" s="24">
        <v>327</v>
      </c>
      <c r="C328" s="24">
        <v>28</v>
      </c>
      <c r="D328" s="24">
        <f>VLOOKUP(C328,[1]Course!$A$1:$C$229, 2, FALSE)</f>
        <v>0</v>
      </c>
      <c r="E328" s="24">
        <v>40</v>
      </c>
      <c r="F328" s="24" t="s">
        <v>1261</v>
      </c>
      <c r="G328" s="24">
        <v>1</v>
      </c>
      <c r="H328" s="25">
        <v>0.8</v>
      </c>
      <c r="I328" s="24">
        <v>1</v>
      </c>
    </row>
    <row r="329" spans="1:9" ht="15.75" customHeight="1" x14ac:dyDescent="0.2">
      <c r="A329" s="26">
        <v>328</v>
      </c>
      <c r="B329" s="24">
        <v>328</v>
      </c>
      <c r="C329" s="24">
        <v>28</v>
      </c>
      <c r="D329" s="24">
        <f>VLOOKUP(C329,[1]Course!$A$1:$C$229, 2, FALSE)</f>
        <v>0</v>
      </c>
      <c r="E329" s="24">
        <v>41</v>
      </c>
      <c r="F329" s="24" t="s">
        <v>1260</v>
      </c>
      <c r="G329" s="24">
        <v>1</v>
      </c>
      <c r="H329" s="25">
        <v>0.8</v>
      </c>
      <c r="I329" s="24">
        <v>1</v>
      </c>
    </row>
    <row r="330" spans="1:9" ht="15.75" customHeight="1" x14ac:dyDescent="0.2">
      <c r="A330" s="26">
        <v>329</v>
      </c>
      <c r="B330" s="24">
        <v>329</v>
      </c>
      <c r="C330" s="24">
        <v>28</v>
      </c>
      <c r="D330" s="24">
        <f>VLOOKUP(C330,[1]Course!$A$1:$C$229, 2, FALSE)</f>
        <v>0</v>
      </c>
      <c r="E330" s="24">
        <v>42</v>
      </c>
      <c r="F330" s="24" t="s">
        <v>1259</v>
      </c>
      <c r="G330" s="24">
        <v>1</v>
      </c>
      <c r="H330" s="25">
        <v>0.8</v>
      </c>
      <c r="I330" s="24">
        <v>1</v>
      </c>
    </row>
    <row r="331" spans="1:9" ht="15.75" customHeight="1" x14ac:dyDescent="0.2">
      <c r="A331" s="26">
        <v>330</v>
      </c>
      <c r="B331" s="24">
        <v>330</v>
      </c>
      <c r="C331" s="24">
        <v>28</v>
      </c>
      <c r="D331" s="24">
        <f>VLOOKUP(C331,[1]Course!$A$1:$C$229, 2, FALSE)</f>
        <v>0</v>
      </c>
      <c r="E331" s="24">
        <v>43</v>
      </c>
      <c r="F331" s="24" t="s">
        <v>1258</v>
      </c>
      <c r="G331" s="24">
        <v>1</v>
      </c>
      <c r="H331" s="25">
        <v>0.8</v>
      </c>
      <c r="I331" s="24">
        <v>1</v>
      </c>
    </row>
    <row r="332" spans="1:9" ht="15.75" customHeight="1" x14ac:dyDescent="0.2">
      <c r="A332" s="26">
        <v>331</v>
      </c>
      <c r="B332" s="24">
        <v>331</v>
      </c>
      <c r="C332" s="24">
        <v>28</v>
      </c>
      <c r="D332" s="24">
        <f>VLOOKUP(C332,[1]Course!$A$1:$C$229, 2, FALSE)</f>
        <v>0</v>
      </c>
      <c r="E332" s="24">
        <v>44</v>
      </c>
      <c r="F332" s="24" t="s">
        <v>1257</v>
      </c>
      <c r="G332" s="24">
        <v>1</v>
      </c>
      <c r="H332" s="25">
        <v>0.8</v>
      </c>
      <c r="I332" s="24">
        <v>1</v>
      </c>
    </row>
    <row r="333" spans="1:9" ht="15.75" customHeight="1" x14ac:dyDescent="0.2">
      <c r="A333" s="26">
        <v>332</v>
      </c>
      <c r="B333" s="24">
        <v>332</v>
      </c>
      <c r="C333" s="24">
        <v>28</v>
      </c>
      <c r="D333" s="24">
        <f>VLOOKUP(C333,[1]Course!$A$1:$C$229, 2, FALSE)</f>
        <v>0</v>
      </c>
      <c r="E333" s="24">
        <v>45</v>
      </c>
      <c r="F333" s="24" t="s">
        <v>1256</v>
      </c>
      <c r="G333" s="24">
        <v>1</v>
      </c>
      <c r="H333" s="25">
        <v>0.8</v>
      </c>
      <c r="I333" s="24">
        <v>1</v>
      </c>
    </row>
    <row r="334" spans="1:9" ht="15.75" customHeight="1" x14ac:dyDescent="0.2">
      <c r="A334" s="26">
        <v>333</v>
      </c>
      <c r="B334" s="24">
        <v>333</v>
      </c>
      <c r="C334" s="24">
        <v>28</v>
      </c>
      <c r="D334" s="24">
        <f>VLOOKUP(C334,[1]Course!$A$1:$C$229, 2, FALSE)</f>
        <v>0</v>
      </c>
      <c r="E334" s="24">
        <v>46</v>
      </c>
      <c r="F334" s="24" t="s">
        <v>1255</v>
      </c>
      <c r="G334" s="24">
        <v>1</v>
      </c>
      <c r="H334" s="25">
        <v>0.8</v>
      </c>
      <c r="I334" s="24">
        <v>1</v>
      </c>
    </row>
    <row r="335" spans="1:9" ht="15.75" customHeight="1" x14ac:dyDescent="0.2">
      <c r="A335" s="26">
        <v>334</v>
      </c>
      <c r="B335" s="24">
        <v>334</v>
      </c>
      <c r="C335" s="24">
        <v>28</v>
      </c>
      <c r="D335" s="24">
        <f>VLOOKUP(C335,[1]Course!$A$1:$C$229, 2, FALSE)</f>
        <v>0</v>
      </c>
      <c r="E335" s="24">
        <v>47</v>
      </c>
      <c r="F335" s="24" t="s">
        <v>1254</v>
      </c>
      <c r="G335" s="24">
        <v>1</v>
      </c>
      <c r="H335" s="25">
        <v>0.8</v>
      </c>
      <c r="I335" s="24">
        <v>1</v>
      </c>
    </row>
    <row r="336" spans="1:9" ht="15.75" customHeight="1" x14ac:dyDescent="0.2">
      <c r="A336" s="26">
        <v>335</v>
      </c>
      <c r="B336" s="24">
        <v>335</v>
      </c>
      <c r="C336" s="24">
        <v>28</v>
      </c>
      <c r="D336" s="24">
        <f>VLOOKUP(C336,[1]Course!$A$1:$C$229, 2, FALSE)</f>
        <v>0</v>
      </c>
      <c r="E336" s="24">
        <v>48</v>
      </c>
      <c r="F336" s="24" t="s">
        <v>1253</v>
      </c>
      <c r="G336" s="24">
        <v>1</v>
      </c>
      <c r="H336" s="25">
        <v>0.8</v>
      </c>
      <c r="I336" s="24">
        <v>1</v>
      </c>
    </row>
    <row r="337" spans="1:9" ht="15.75" customHeight="1" x14ac:dyDescent="0.2">
      <c r="A337" s="26">
        <v>336</v>
      </c>
      <c r="B337" s="24">
        <v>336</v>
      </c>
      <c r="C337" s="24">
        <v>29</v>
      </c>
      <c r="D337" s="24">
        <f>VLOOKUP(C337,[1]Course!$A$1:$C$229, 2, FALSE)</f>
        <v>0</v>
      </c>
      <c r="E337" s="24">
        <v>37</v>
      </c>
      <c r="F337" s="24" t="s">
        <v>1252</v>
      </c>
      <c r="G337" s="24">
        <v>1</v>
      </c>
      <c r="H337" s="25">
        <v>0.8</v>
      </c>
      <c r="I337" s="24">
        <v>1</v>
      </c>
    </row>
    <row r="338" spans="1:9" ht="15.75" customHeight="1" x14ac:dyDescent="0.2">
      <c r="A338" s="26">
        <v>337</v>
      </c>
      <c r="B338" s="24">
        <v>337</v>
      </c>
      <c r="C338" s="24">
        <v>29</v>
      </c>
      <c r="D338" s="24">
        <f>VLOOKUP(C338,[1]Course!$A$1:$C$229, 2, FALSE)</f>
        <v>0</v>
      </c>
      <c r="E338" s="24">
        <v>38</v>
      </c>
      <c r="F338" s="24" t="s">
        <v>1251</v>
      </c>
      <c r="G338" s="24">
        <v>1</v>
      </c>
      <c r="H338" s="25">
        <v>0.8</v>
      </c>
      <c r="I338" s="24">
        <v>1</v>
      </c>
    </row>
    <row r="339" spans="1:9" ht="15.75" customHeight="1" x14ac:dyDescent="0.2">
      <c r="A339" s="26">
        <v>338</v>
      </c>
      <c r="B339" s="24">
        <v>338</v>
      </c>
      <c r="C339" s="24">
        <v>29</v>
      </c>
      <c r="D339" s="24">
        <f>VLOOKUP(C339,[1]Course!$A$1:$C$229, 2, FALSE)</f>
        <v>0</v>
      </c>
      <c r="E339" s="24">
        <v>39</v>
      </c>
      <c r="F339" s="24" t="s">
        <v>1250</v>
      </c>
      <c r="G339" s="24">
        <v>1</v>
      </c>
      <c r="H339" s="25">
        <v>0.8</v>
      </c>
      <c r="I339" s="24">
        <v>1</v>
      </c>
    </row>
    <row r="340" spans="1:9" ht="15.75" customHeight="1" x14ac:dyDescent="0.2">
      <c r="A340" s="26">
        <v>339</v>
      </c>
      <c r="B340" s="24">
        <v>339</v>
      </c>
      <c r="C340" s="24">
        <v>29</v>
      </c>
      <c r="D340" s="24">
        <f>VLOOKUP(C340,[1]Course!$A$1:$C$229, 2, FALSE)</f>
        <v>0</v>
      </c>
      <c r="E340" s="24">
        <v>40</v>
      </c>
      <c r="F340" s="24" t="s">
        <v>1249</v>
      </c>
      <c r="G340" s="24">
        <v>1</v>
      </c>
      <c r="H340" s="25">
        <v>0.8</v>
      </c>
      <c r="I340" s="24">
        <v>1</v>
      </c>
    </row>
    <row r="341" spans="1:9" ht="15.75" customHeight="1" x14ac:dyDescent="0.2">
      <c r="A341" s="26">
        <v>340</v>
      </c>
      <c r="B341" s="24">
        <v>340</v>
      </c>
      <c r="C341" s="24">
        <v>29</v>
      </c>
      <c r="D341" s="24">
        <f>VLOOKUP(C341,[1]Course!$A$1:$C$229, 2, FALSE)</f>
        <v>0</v>
      </c>
      <c r="E341" s="24">
        <v>41</v>
      </c>
      <c r="F341" s="24" t="s">
        <v>1248</v>
      </c>
      <c r="G341" s="24">
        <v>1</v>
      </c>
      <c r="H341" s="25">
        <v>0.8</v>
      </c>
      <c r="I341" s="24">
        <v>1</v>
      </c>
    </row>
    <row r="342" spans="1:9" ht="15.75" customHeight="1" x14ac:dyDescent="0.2">
      <c r="A342" s="26">
        <v>341</v>
      </c>
      <c r="B342" s="24">
        <v>341</v>
      </c>
      <c r="C342" s="24">
        <v>29</v>
      </c>
      <c r="D342" s="24">
        <f>VLOOKUP(C342,[1]Course!$A$1:$C$229, 2, FALSE)</f>
        <v>0</v>
      </c>
      <c r="E342" s="24">
        <v>42</v>
      </c>
      <c r="F342" s="24" t="s">
        <v>1247</v>
      </c>
      <c r="G342" s="24">
        <v>1</v>
      </c>
      <c r="H342" s="25">
        <v>0.8</v>
      </c>
      <c r="I342" s="24">
        <v>1</v>
      </c>
    </row>
    <row r="343" spans="1:9" ht="15.75" customHeight="1" x14ac:dyDescent="0.2">
      <c r="A343" s="26">
        <v>342</v>
      </c>
      <c r="B343" s="24">
        <v>342</v>
      </c>
      <c r="C343" s="24">
        <v>29</v>
      </c>
      <c r="D343" s="24">
        <f>VLOOKUP(C343,[1]Course!$A$1:$C$229, 2, FALSE)</f>
        <v>0</v>
      </c>
      <c r="E343" s="24">
        <v>43</v>
      </c>
      <c r="F343" s="24" t="s">
        <v>1246</v>
      </c>
      <c r="G343" s="24">
        <v>1</v>
      </c>
      <c r="H343" s="25">
        <v>0.8</v>
      </c>
      <c r="I343" s="24">
        <v>1</v>
      </c>
    </row>
    <row r="344" spans="1:9" ht="15.75" customHeight="1" x14ac:dyDescent="0.2">
      <c r="A344" s="26">
        <v>343</v>
      </c>
      <c r="B344" s="24">
        <v>343</v>
      </c>
      <c r="C344" s="24">
        <v>29</v>
      </c>
      <c r="D344" s="24">
        <f>VLOOKUP(C344,[1]Course!$A$1:$C$229, 2, FALSE)</f>
        <v>0</v>
      </c>
      <c r="E344" s="24">
        <v>44</v>
      </c>
      <c r="F344" s="24" t="s">
        <v>1245</v>
      </c>
      <c r="G344" s="24">
        <v>1</v>
      </c>
      <c r="H344" s="25">
        <v>0.8</v>
      </c>
      <c r="I344" s="24">
        <v>1</v>
      </c>
    </row>
    <row r="345" spans="1:9" ht="15.75" customHeight="1" x14ac:dyDescent="0.2">
      <c r="A345" s="26">
        <v>344</v>
      </c>
      <c r="B345" s="24">
        <v>344</v>
      </c>
      <c r="C345" s="24">
        <v>29</v>
      </c>
      <c r="D345" s="24">
        <f>VLOOKUP(C345,[1]Course!$A$1:$C$229, 2, FALSE)</f>
        <v>0</v>
      </c>
      <c r="E345" s="24">
        <v>45</v>
      </c>
      <c r="F345" s="24" t="s">
        <v>1244</v>
      </c>
      <c r="G345" s="24">
        <v>1</v>
      </c>
      <c r="H345" s="25">
        <v>0.8</v>
      </c>
      <c r="I345" s="24">
        <v>1</v>
      </c>
    </row>
    <row r="346" spans="1:9" ht="15.75" customHeight="1" x14ac:dyDescent="0.2">
      <c r="A346" s="26">
        <v>345</v>
      </c>
      <c r="B346" s="24">
        <v>345</v>
      </c>
      <c r="C346" s="24">
        <v>29</v>
      </c>
      <c r="D346" s="24">
        <f>VLOOKUP(C346,[1]Course!$A$1:$C$229, 2, FALSE)</f>
        <v>0</v>
      </c>
      <c r="E346" s="24">
        <v>46</v>
      </c>
      <c r="F346" s="24" t="s">
        <v>1243</v>
      </c>
      <c r="G346" s="24">
        <v>1</v>
      </c>
      <c r="H346" s="25">
        <v>0.8</v>
      </c>
      <c r="I346" s="24">
        <v>1</v>
      </c>
    </row>
    <row r="347" spans="1:9" ht="15.75" customHeight="1" x14ac:dyDescent="0.2">
      <c r="A347" s="26">
        <v>346</v>
      </c>
      <c r="B347" s="24">
        <v>346</v>
      </c>
      <c r="C347" s="24">
        <v>29</v>
      </c>
      <c r="D347" s="24">
        <f>VLOOKUP(C347,[1]Course!$A$1:$C$229, 2, FALSE)</f>
        <v>0</v>
      </c>
      <c r="E347" s="24">
        <v>47</v>
      </c>
      <c r="F347" s="24" t="s">
        <v>1242</v>
      </c>
      <c r="G347" s="24">
        <v>1</v>
      </c>
      <c r="H347" s="25">
        <v>0.8</v>
      </c>
      <c r="I347" s="24">
        <v>1</v>
      </c>
    </row>
    <row r="348" spans="1:9" ht="15.75" customHeight="1" x14ac:dyDescent="0.2">
      <c r="A348" s="26">
        <v>347</v>
      </c>
      <c r="B348" s="24">
        <v>347</v>
      </c>
      <c r="C348" s="24">
        <v>29</v>
      </c>
      <c r="D348" s="24">
        <f>VLOOKUP(C348,[1]Course!$A$1:$C$229, 2, FALSE)</f>
        <v>0</v>
      </c>
      <c r="E348" s="24">
        <v>48</v>
      </c>
      <c r="F348" s="24" t="s">
        <v>1241</v>
      </c>
      <c r="G348" s="24">
        <v>1</v>
      </c>
      <c r="H348" s="25">
        <v>0.8</v>
      </c>
      <c r="I348" s="24">
        <v>1</v>
      </c>
    </row>
    <row r="349" spans="1:9" ht="15.75" customHeight="1" x14ac:dyDescent="0.2">
      <c r="A349" s="26">
        <v>348</v>
      </c>
      <c r="B349" s="24">
        <v>348</v>
      </c>
      <c r="C349" s="24">
        <v>30</v>
      </c>
      <c r="D349" s="24">
        <f>VLOOKUP(C349,[1]Course!$A$1:$C$229, 2, FALSE)</f>
        <v>0</v>
      </c>
      <c r="E349" s="24">
        <v>49</v>
      </c>
      <c r="F349" s="24" t="s">
        <v>1240</v>
      </c>
      <c r="G349" s="24">
        <v>1</v>
      </c>
      <c r="H349" s="25">
        <v>0.8</v>
      </c>
      <c r="I349" s="24">
        <v>1</v>
      </c>
    </row>
    <row r="350" spans="1:9" ht="15.75" customHeight="1" x14ac:dyDescent="0.2">
      <c r="A350" s="26">
        <v>349</v>
      </c>
      <c r="B350" s="24">
        <v>349</v>
      </c>
      <c r="C350" s="24">
        <v>30</v>
      </c>
      <c r="D350" s="24">
        <f>VLOOKUP(C350,[1]Course!$A$1:$C$229, 2, FALSE)</f>
        <v>0</v>
      </c>
      <c r="E350" s="24">
        <v>50</v>
      </c>
      <c r="F350" s="24" t="s">
        <v>1239</v>
      </c>
      <c r="G350" s="24">
        <v>1</v>
      </c>
      <c r="H350" s="25">
        <v>0.8</v>
      </c>
      <c r="I350" s="24">
        <v>1</v>
      </c>
    </row>
    <row r="351" spans="1:9" ht="15.75" customHeight="1" x14ac:dyDescent="0.2">
      <c r="A351" s="26">
        <v>350</v>
      </c>
      <c r="B351" s="24">
        <v>350</v>
      </c>
      <c r="C351" s="24">
        <v>30</v>
      </c>
      <c r="D351" s="24">
        <f>VLOOKUP(C351,[1]Course!$A$1:$C$229, 2, FALSE)</f>
        <v>0</v>
      </c>
      <c r="E351" s="24">
        <v>51</v>
      </c>
      <c r="F351" s="24" t="s">
        <v>1238</v>
      </c>
      <c r="G351" s="24">
        <v>1</v>
      </c>
      <c r="H351" s="25">
        <v>0.8</v>
      </c>
      <c r="I351" s="24">
        <v>1</v>
      </c>
    </row>
    <row r="352" spans="1:9" ht="15.75" customHeight="1" x14ac:dyDescent="0.2">
      <c r="A352" s="26">
        <v>351</v>
      </c>
      <c r="B352" s="24">
        <v>351</v>
      </c>
      <c r="C352" s="24">
        <v>30</v>
      </c>
      <c r="D352" s="24">
        <f>VLOOKUP(C352,[1]Course!$A$1:$C$229, 2, FALSE)</f>
        <v>0</v>
      </c>
      <c r="E352" s="24">
        <v>52</v>
      </c>
      <c r="F352" s="24" t="s">
        <v>1237</v>
      </c>
      <c r="G352" s="24">
        <v>1</v>
      </c>
      <c r="H352" s="25">
        <v>0.8</v>
      </c>
      <c r="I352" s="24">
        <v>1</v>
      </c>
    </row>
    <row r="353" spans="1:9" ht="15.75" customHeight="1" x14ac:dyDescent="0.2">
      <c r="A353" s="26">
        <v>352</v>
      </c>
      <c r="B353" s="24">
        <v>352</v>
      </c>
      <c r="C353" s="24">
        <v>30</v>
      </c>
      <c r="D353" s="24">
        <f>VLOOKUP(C353,[1]Course!$A$1:$C$229, 2, FALSE)</f>
        <v>0</v>
      </c>
      <c r="E353" s="24">
        <v>53</v>
      </c>
      <c r="F353" s="24" t="s">
        <v>1236</v>
      </c>
      <c r="G353" s="24">
        <v>1</v>
      </c>
      <c r="H353" s="25">
        <v>0.8</v>
      </c>
      <c r="I353" s="24">
        <v>1</v>
      </c>
    </row>
    <row r="354" spans="1:9" ht="15.75" customHeight="1" x14ac:dyDescent="0.2">
      <c r="A354" s="26">
        <v>353</v>
      </c>
      <c r="B354" s="24">
        <v>353</v>
      </c>
      <c r="C354" s="24">
        <v>30</v>
      </c>
      <c r="D354" s="24">
        <f>VLOOKUP(C354,[1]Course!$A$1:$C$229, 2, FALSE)</f>
        <v>0</v>
      </c>
      <c r="E354" s="24">
        <v>54</v>
      </c>
      <c r="F354" s="24" t="s">
        <v>1235</v>
      </c>
      <c r="G354" s="24">
        <v>1</v>
      </c>
      <c r="H354" s="25">
        <v>0.8</v>
      </c>
      <c r="I354" s="24">
        <v>1</v>
      </c>
    </row>
    <row r="355" spans="1:9" ht="15.75" customHeight="1" x14ac:dyDescent="0.2">
      <c r="A355" s="26">
        <v>354</v>
      </c>
      <c r="B355" s="24">
        <v>354</v>
      </c>
      <c r="C355" s="24">
        <v>30</v>
      </c>
      <c r="D355" s="24">
        <f>VLOOKUP(C355,[1]Course!$A$1:$C$229, 2, FALSE)</f>
        <v>0</v>
      </c>
      <c r="E355" s="24">
        <v>55</v>
      </c>
      <c r="F355" s="24" t="s">
        <v>1234</v>
      </c>
      <c r="G355" s="24">
        <v>1</v>
      </c>
      <c r="H355" s="25">
        <v>0.8</v>
      </c>
      <c r="I355" s="24">
        <v>1</v>
      </c>
    </row>
    <row r="356" spans="1:9" ht="15.75" customHeight="1" x14ac:dyDescent="0.2">
      <c r="A356" s="26">
        <v>355</v>
      </c>
      <c r="B356" s="24">
        <v>355</v>
      </c>
      <c r="C356" s="24">
        <v>30</v>
      </c>
      <c r="D356" s="24">
        <f>VLOOKUP(C356,[1]Course!$A$1:$C$229, 2, FALSE)</f>
        <v>0</v>
      </c>
      <c r="E356" s="24">
        <v>56</v>
      </c>
      <c r="F356" s="24" t="s">
        <v>1233</v>
      </c>
      <c r="G356" s="24">
        <v>1</v>
      </c>
      <c r="H356" s="25">
        <v>0.8</v>
      </c>
      <c r="I356" s="24">
        <v>1</v>
      </c>
    </row>
    <row r="357" spans="1:9" ht="15.75" customHeight="1" x14ac:dyDescent="0.2">
      <c r="A357" s="26">
        <v>356</v>
      </c>
      <c r="B357" s="24">
        <v>356</v>
      </c>
      <c r="C357" s="24">
        <v>30</v>
      </c>
      <c r="D357" s="24">
        <f>VLOOKUP(C357,[1]Course!$A$1:$C$229, 2, FALSE)</f>
        <v>0</v>
      </c>
      <c r="E357" s="24">
        <v>57</v>
      </c>
      <c r="F357" s="24" t="s">
        <v>1232</v>
      </c>
      <c r="G357" s="24">
        <v>1</v>
      </c>
      <c r="H357" s="25">
        <v>0.8</v>
      </c>
      <c r="I357" s="24">
        <v>1</v>
      </c>
    </row>
    <row r="358" spans="1:9" ht="15.75" customHeight="1" x14ac:dyDescent="0.2">
      <c r="A358" s="26">
        <v>357</v>
      </c>
      <c r="B358" s="24">
        <v>357</v>
      </c>
      <c r="C358" s="24">
        <v>30</v>
      </c>
      <c r="D358" s="24">
        <f>VLOOKUP(C358,[1]Course!$A$1:$C$229, 2, FALSE)</f>
        <v>0</v>
      </c>
      <c r="E358" s="24">
        <v>58</v>
      </c>
      <c r="F358" s="24" t="s">
        <v>1231</v>
      </c>
      <c r="G358" s="24">
        <v>1</v>
      </c>
      <c r="H358" s="25">
        <v>0.8</v>
      </c>
      <c r="I358" s="24">
        <v>1</v>
      </c>
    </row>
    <row r="359" spans="1:9" ht="15.75" customHeight="1" x14ac:dyDescent="0.2">
      <c r="A359" s="26">
        <v>358</v>
      </c>
      <c r="B359" s="24">
        <v>358</v>
      </c>
      <c r="C359" s="24">
        <v>30</v>
      </c>
      <c r="D359" s="24">
        <f>VLOOKUP(C359,[1]Course!$A$1:$C$229, 2, FALSE)</f>
        <v>0</v>
      </c>
      <c r="E359" s="24">
        <v>59</v>
      </c>
      <c r="F359" s="24" t="s">
        <v>1230</v>
      </c>
      <c r="G359" s="24">
        <v>1</v>
      </c>
      <c r="H359" s="25">
        <v>0.8</v>
      </c>
      <c r="I359" s="24">
        <v>1</v>
      </c>
    </row>
    <row r="360" spans="1:9" ht="15.75" customHeight="1" x14ac:dyDescent="0.2">
      <c r="A360" s="26">
        <v>359</v>
      </c>
      <c r="B360" s="24">
        <v>359</v>
      </c>
      <c r="C360" s="24">
        <v>30</v>
      </c>
      <c r="D360" s="24">
        <f>VLOOKUP(C360,[1]Course!$A$1:$C$229, 2, FALSE)</f>
        <v>0</v>
      </c>
      <c r="E360" s="24">
        <v>60</v>
      </c>
      <c r="F360" s="24" t="s">
        <v>1229</v>
      </c>
      <c r="G360" s="24">
        <v>1</v>
      </c>
      <c r="H360" s="25">
        <v>0.8</v>
      </c>
      <c r="I360" s="24">
        <v>1</v>
      </c>
    </row>
    <row r="361" spans="1:9" ht="15.75" customHeight="1" x14ac:dyDescent="0.2">
      <c r="A361" s="26">
        <v>360</v>
      </c>
      <c r="B361" s="24">
        <v>360</v>
      </c>
      <c r="C361" s="24">
        <v>31</v>
      </c>
      <c r="D361" s="24">
        <f>VLOOKUP(C361,[1]Course!$A$1:$C$229, 2, FALSE)</f>
        <v>0</v>
      </c>
      <c r="E361" s="24">
        <v>49</v>
      </c>
      <c r="F361" s="24" t="s">
        <v>1228</v>
      </c>
      <c r="G361" s="24">
        <v>1</v>
      </c>
      <c r="H361" s="25">
        <v>0.8</v>
      </c>
      <c r="I361" s="24">
        <v>1</v>
      </c>
    </row>
    <row r="362" spans="1:9" ht="15.75" customHeight="1" x14ac:dyDescent="0.2">
      <c r="A362" s="26">
        <v>361</v>
      </c>
      <c r="B362" s="24">
        <v>361</v>
      </c>
      <c r="C362" s="24">
        <v>31</v>
      </c>
      <c r="D362" s="24">
        <f>VLOOKUP(C362,[1]Course!$A$1:$C$229, 2, FALSE)</f>
        <v>0</v>
      </c>
      <c r="E362" s="24">
        <v>50</v>
      </c>
      <c r="F362" s="24" t="s">
        <v>1227</v>
      </c>
      <c r="G362" s="24">
        <v>1</v>
      </c>
      <c r="H362" s="25">
        <v>0.8</v>
      </c>
      <c r="I362" s="24">
        <v>1</v>
      </c>
    </row>
    <row r="363" spans="1:9" ht="15.75" customHeight="1" x14ac:dyDescent="0.2">
      <c r="A363" s="26">
        <v>362</v>
      </c>
      <c r="B363" s="24">
        <v>362</v>
      </c>
      <c r="C363" s="24">
        <v>31</v>
      </c>
      <c r="D363" s="24">
        <f>VLOOKUP(C363,[1]Course!$A$1:$C$229, 2, FALSE)</f>
        <v>0</v>
      </c>
      <c r="E363" s="24">
        <v>51</v>
      </c>
      <c r="F363" s="24" t="s">
        <v>1226</v>
      </c>
      <c r="G363" s="24">
        <v>1</v>
      </c>
      <c r="H363" s="25">
        <v>0.8</v>
      </c>
      <c r="I363" s="24">
        <v>1</v>
      </c>
    </row>
    <row r="364" spans="1:9" ht="15.75" customHeight="1" x14ac:dyDescent="0.2">
      <c r="A364" s="26">
        <v>363</v>
      </c>
      <c r="B364" s="24">
        <v>363</v>
      </c>
      <c r="C364" s="24">
        <v>31</v>
      </c>
      <c r="D364" s="24">
        <f>VLOOKUP(C364,[1]Course!$A$1:$C$229, 2, FALSE)</f>
        <v>0</v>
      </c>
      <c r="E364" s="24">
        <v>52</v>
      </c>
      <c r="F364" s="24" t="s">
        <v>1225</v>
      </c>
      <c r="G364" s="24">
        <v>1</v>
      </c>
      <c r="H364" s="25">
        <v>0.8</v>
      </c>
      <c r="I364" s="24">
        <v>1</v>
      </c>
    </row>
    <row r="365" spans="1:9" ht="15.75" customHeight="1" x14ac:dyDescent="0.2">
      <c r="A365" s="26">
        <v>364</v>
      </c>
      <c r="B365" s="24">
        <v>364</v>
      </c>
      <c r="C365" s="24">
        <v>31</v>
      </c>
      <c r="D365" s="24">
        <f>VLOOKUP(C365,[1]Course!$A$1:$C$229, 2, FALSE)</f>
        <v>0</v>
      </c>
      <c r="E365" s="24">
        <v>53</v>
      </c>
      <c r="F365" s="24" t="s">
        <v>1224</v>
      </c>
      <c r="G365" s="24">
        <v>1</v>
      </c>
      <c r="H365" s="25">
        <v>0.8</v>
      </c>
      <c r="I365" s="24">
        <v>1</v>
      </c>
    </row>
    <row r="366" spans="1:9" ht="15.75" customHeight="1" x14ac:dyDescent="0.2">
      <c r="A366" s="26">
        <v>365</v>
      </c>
      <c r="B366" s="24">
        <v>365</v>
      </c>
      <c r="C366" s="24">
        <v>31</v>
      </c>
      <c r="D366" s="24">
        <f>VLOOKUP(C366,[1]Course!$A$1:$C$229, 2, FALSE)</f>
        <v>0</v>
      </c>
      <c r="E366" s="24">
        <v>54</v>
      </c>
      <c r="F366" s="24" t="s">
        <v>1223</v>
      </c>
      <c r="G366" s="24">
        <v>1</v>
      </c>
      <c r="H366" s="25">
        <v>0.8</v>
      </c>
      <c r="I366" s="24">
        <v>1</v>
      </c>
    </row>
    <row r="367" spans="1:9" ht="15.75" customHeight="1" x14ac:dyDescent="0.2">
      <c r="A367" s="26">
        <v>366</v>
      </c>
      <c r="B367" s="24">
        <v>366</v>
      </c>
      <c r="C367" s="24">
        <v>31</v>
      </c>
      <c r="D367" s="24">
        <f>VLOOKUP(C367,[1]Course!$A$1:$C$229, 2, FALSE)</f>
        <v>0</v>
      </c>
      <c r="E367" s="24">
        <v>55</v>
      </c>
      <c r="F367" s="24" t="s">
        <v>1222</v>
      </c>
      <c r="G367" s="24">
        <v>1</v>
      </c>
      <c r="H367" s="25">
        <v>0.8</v>
      </c>
      <c r="I367" s="24">
        <v>1</v>
      </c>
    </row>
    <row r="368" spans="1:9" ht="15.75" customHeight="1" x14ac:dyDescent="0.2">
      <c r="A368" s="26">
        <v>367</v>
      </c>
      <c r="B368" s="24">
        <v>367</v>
      </c>
      <c r="C368" s="24">
        <v>31</v>
      </c>
      <c r="D368" s="24">
        <f>VLOOKUP(C368,[1]Course!$A$1:$C$229, 2, FALSE)</f>
        <v>0</v>
      </c>
      <c r="E368" s="24">
        <v>56</v>
      </c>
      <c r="F368" s="24" t="s">
        <v>1221</v>
      </c>
      <c r="G368" s="24">
        <v>1</v>
      </c>
      <c r="H368" s="25">
        <v>0.8</v>
      </c>
      <c r="I368" s="24">
        <v>1</v>
      </c>
    </row>
    <row r="369" spans="1:9" ht="15.75" customHeight="1" x14ac:dyDescent="0.2">
      <c r="A369" s="26">
        <v>368</v>
      </c>
      <c r="B369" s="24">
        <v>368</v>
      </c>
      <c r="C369" s="24">
        <v>31</v>
      </c>
      <c r="D369" s="24">
        <f>VLOOKUP(C369,[1]Course!$A$1:$C$229, 2, FALSE)</f>
        <v>0</v>
      </c>
      <c r="E369" s="24">
        <v>57</v>
      </c>
      <c r="F369" s="24" t="s">
        <v>1220</v>
      </c>
      <c r="G369" s="24">
        <v>1</v>
      </c>
      <c r="H369" s="25">
        <v>0.8</v>
      </c>
      <c r="I369" s="24">
        <v>1</v>
      </c>
    </row>
    <row r="370" spans="1:9" ht="15.75" customHeight="1" x14ac:dyDescent="0.2">
      <c r="A370" s="26">
        <v>369</v>
      </c>
      <c r="B370" s="24">
        <v>369</v>
      </c>
      <c r="C370" s="24">
        <v>31</v>
      </c>
      <c r="D370" s="24">
        <f>VLOOKUP(C370,[1]Course!$A$1:$C$229, 2, FALSE)</f>
        <v>0</v>
      </c>
      <c r="E370" s="24">
        <v>58</v>
      </c>
      <c r="F370" s="24" t="s">
        <v>1219</v>
      </c>
      <c r="G370" s="24">
        <v>1</v>
      </c>
      <c r="H370" s="25">
        <v>0.8</v>
      </c>
      <c r="I370" s="24">
        <v>1</v>
      </c>
    </row>
    <row r="371" spans="1:9" ht="15.75" customHeight="1" x14ac:dyDescent="0.2">
      <c r="A371" s="26">
        <v>370</v>
      </c>
      <c r="B371" s="24">
        <v>370</v>
      </c>
      <c r="C371" s="24">
        <v>31</v>
      </c>
      <c r="D371" s="24">
        <f>VLOOKUP(C371,[1]Course!$A$1:$C$229, 2, FALSE)</f>
        <v>0</v>
      </c>
      <c r="E371" s="24">
        <v>59</v>
      </c>
      <c r="F371" s="24" t="s">
        <v>1218</v>
      </c>
      <c r="G371" s="24">
        <v>1</v>
      </c>
      <c r="H371" s="25">
        <v>0.8</v>
      </c>
      <c r="I371" s="24">
        <v>1</v>
      </c>
    </row>
    <row r="372" spans="1:9" ht="15.75" customHeight="1" x14ac:dyDescent="0.2">
      <c r="A372" s="26">
        <v>371</v>
      </c>
      <c r="B372" s="24">
        <v>371</v>
      </c>
      <c r="C372" s="24">
        <v>31</v>
      </c>
      <c r="D372" s="24">
        <f>VLOOKUP(C372,[1]Course!$A$1:$C$229, 2, FALSE)</f>
        <v>0</v>
      </c>
      <c r="E372" s="24">
        <v>60</v>
      </c>
      <c r="F372" s="24" t="s">
        <v>1217</v>
      </c>
      <c r="G372" s="24">
        <v>1</v>
      </c>
      <c r="H372" s="25">
        <v>0.8</v>
      </c>
      <c r="I372" s="24">
        <v>1</v>
      </c>
    </row>
    <row r="373" spans="1:9" ht="15.75" customHeight="1" x14ac:dyDescent="0.2">
      <c r="A373" s="26">
        <v>372</v>
      </c>
      <c r="B373" s="24">
        <v>372</v>
      </c>
      <c r="C373" s="24">
        <v>32</v>
      </c>
      <c r="D373" s="24">
        <f>VLOOKUP(C373,[1]Course!$A$1:$C$229, 2, FALSE)</f>
        <v>0</v>
      </c>
      <c r="E373" s="24">
        <v>49</v>
      </c>
      <c r="F373" s="24" t="s">
        <v>1216</v>
      </c>
      <c r="G373" s="24">
        <v>1</v>
      </c>
      <c r="H373" s="25">
        <v>0.9</v>
      </c>
      <c r="I373" s="24">
        <v>1</v>
      </c>
    </row>
    <row r="374" spans="1:9" ht="15.75" customHeight="1" x14ac:dyDescent="0.2">
      <c r="A374" s="26">
        <v>373</v>
      </c>
      <c r="B374" s="24">
        <v>373</v>
      </c>
      <c r="C374" s="24">
        <v>32</v>
      </c>
      <c r="D374" s="24">
        <f>VLOOKUP(C374,[1]Course!$A$1:$C$229, 2, FALSE)</f>
        <v>0</v>
      </c>
      <c r="E374" s="24">
        <v>50</v>
      </c>
      <c r="F374" s="24" t="s">
        <v>1215</v>
      </c>
      <c r="G374" s="24">
        <v>1</v>
      </c>
      <c r="H374" s="25">
        <v>0.9</v>
      </c>
      <c r="I374" s="24">
        <v>1</v>
      </c>
    </row>
    <row r="375" spans="1:9" ht="15.75" customHeight="1" x14ac:dyDescent="0.2">
      <c r="A375" s="26">
        <v>374</v>
      </c>
      <c r="B375" s="24">
        <v>374</v>
      </c>
      <c r="C375" s="24">
        <v>32</v>
      </c>
      <c r="D375" s="24">
        <f>VLOOKUP(C375,[1]Course!$A$1:$C$229, 2, FALSE)</f>
        <v>0</v>
      </c>
      <c r="E375" s="24">
        <v>51</v>
      </c>
      <c r="F375" s="24" t="s">
        <v>1214</v>
      </c>
      <c r="G375" s="24">
        <v>1</v>
      </c>
      <c r="H375" s="25">
        <v>0.9</v>
      </c>
      <c r="I375" s="24">
        <v>1</v>
      </c>
    </row>
    <row r="376" spans="1:9" ht="15.75" customHeight="1" x14ac:dyDescent="0.2">
      <c r="A376" s="26">
        <v>375</v>
      </c>
      <c r="B376" s="24">
        <v>375</v>
      </c>
      <c r="C376" s="24">
        <v>32</v>
      </c>
      <c r="D376" s="24">
        <f>VLOOKUP(C376,[1]Course!$A$1:$C$229, 2, FALSE)</f>
        <v>0</v>
      </c>
      <c r="E376" s="24">
        <v>52</v>
      </c>
      <c r="F376" s="24" t="s">
        <v>1213</v>
      </c>
      <c r="G376" s="24">
        <v>1</v>
      </c>
      <c r="H376" s="25">
        <v>0.9</v>
      </c>
      <c r="I376" s="24">
        <v>1</v>
      </c>
    </row>
    <row r="377" spans="1:9" ht="15.75" customHeight="1" x14ac:dyDescent="0.2">
      <c r="A377" s="26">
        <v>376</v>
      </c>
      <c r="B377" s="24">
        <v>376</v>
      </c>
      <c r="C377" s="24">
        <v>32</v>
      </c>
      <c r="D377" s="24">
        <f>VLOOKUP(C377,[1]Course!$A$1:$C$229, 2, FALSE)</f>
        <v>0</v>
      </c>
      <c r="E377" s="24">
        <v>53</v>
      </c>
      <c r="F377" s="24" t="s">
        <v>1212</v>
      </c>
      <c r="G377" s="24">
        <v>1</v>
      </c>
      <c r="H377" s="25">
        <v>0.9</v>
      </c>
      <c r="I377" s="24">
        <v>1</v>
      </c>
    </row>
    <row r="378" spans="1:9" ht="15.75" customHeight="1" x14ac:dyDescent="0.2">
      <c r="A378" s="26">
        <v>377</v>
      </c>
      <c r="B378" s="24">
        <v>377</v>
      </c>
      <c r="C378" s="24">
        <v>32</v>
      </c>
      <c r="D378" s="24">
        <f>VLOOKUP(C378,[1]Course!$A$1:$C$229, 2, FALSE)</f>
        <v>0</v>
      </c>
      <c r="E378" s="24">
        <v>54</v>
      </c>
      <c r="F378" s="24" t="s">
        <v>1211</v>
      </c>
      <c r="G378" s="24">
        <v>1</v>
      </c>
      <c r="H378" s="25">
        <v>0.9</v>
      </c>
      <c r="I378" s="24">
        <v>1</v>
      </c>
    </row>
    <row r="379" spans="1:9" ht="15.75" customHeight="1" x14ac:dyDescent="0.2">
      <c r="A379" s="26">
        <v>378</v>
      </c>
      <c r="B379" s="24">
        <v>378</v>
      </c>
      <c r="C379" s="24">
        <v>32</v>
      </c>
      <c r="D379" s="24">
        <f>VLOOKUP(C379,[1]Course!$A$1:$C$229, 2, FALSE)</f>
        <v>0</v>
      </c>
      <c r="E379" s="24">
        <v>55</v>
      </c>
      <c r="F379" s="24" t="s">
        <v>1210</v>
      </c>
      <c r="G379" s="24">
        <v>1</v>
      </c>
      <c r="H379" s="25">
        <v>0.9</v>
      </c>
      <c r="I379" s="24">
        <v>1</v>
      </c>
    </row>
    <row r="380" spans="1:9" ht="15.75" customHeight="1" x14ac:dyDescent="0.2">
      <c r="A380" s="26">
        <v>379</v>
      </c>
      <c r="B380" s="24">
        <v>379</v>
      </c>
      <c r="C380" s="24">
        <v>32</v>
      </c>
      <c r="D380" s="24">
        <f>VLOOKUP(C380,[1]Course!$A$1:$C$229, 2, FALSE)</f>
        <v>0</v>
      </c>
      <c r="E380" s="24">
        <v>56</v>
      </c>
      <c r="F380" s="24" t="s">
        <v>1209</v>
      </c>
      <c r="G380" s="24">
        <v>1</v>
      </c>
      <c r="H380" s="25">
        <v>0.9</v>
      </c>
      <c r="I380" s="24">
        <v>1</v>
      </c>
    </row>
    <row r="381" spans="1:9" ht="15.75" customHeight="1" x14ac:dyDescent="0.2">
      <c r="A381" s="26">
        <v>380</v>
      </c>
      <c r="B381" s="24">
        <v>380</v>
      </c>
      <c r="C381" s="24">
        <v>32</v>
      </c>
      <c r="D381" s="24">
        <f>VLOOKUP(C381,[1]Course!$A$1:$C$229, 2, FALSE)</f>
        <v>0</v>
      </c>
      <c r="E381" s="24">
        <v>57</v>
      </c>
      <c r="F381" s="24" t="s">
        <v>1208</v>
      </c>
      <c r="G381" s="24">
        <v>1</v>
      </c>
      <c r="H381" s="25">
        <v>0.9</v>
      </c>
      <c r="I381" s="24">
        <v>1</v>
      </c>
    </row>
    <row r="382" spans="1:9" ht="15.75" customHeight="1" x14ac:dyDescent="0.2">
      <c r="A382" s="26">
        <v>381</v>
      </c>
      <c r="B382" s="24">
        <v>381</v>
      </c>
      <c r="C382" s="24">
        <v>32</v>
      </c>
      <c r="D382" s="24">
        <f>VLOOKUP(C382,[1]Course!$A$1:$C$229, 2, FALSE)</f>
        <v>0</v>
      </c>
      <c r="E382" s="24">
        <v>58</v>
      </c>
      <c r="F382" s="24" t="s">
        <v>1207</v>
      </c>
      <c r="G382" s="24">
        <v>1</v>
      </c>
      <c r="H382" s="25">
        <v>0.9</v>
      </c>
      <c r="I382" s="24">
        <v>1</v>
      </c>
    </row>
    <row r="383" spans="1:9" ht="15.75" customHeight="1" x14ac:dyDescent="0.2">
      <c r="A383" s="26">
        <v>382</v>
      </c>
      <c r="B383" s="24">
        <v>382</v>
      </c>
      <c r="C383" s="24">
        <v>32</v>
      </c>
      <c r="D383" s="24">
        <f>VLOOKUP(C383,[1]Course!$A$1:$C$229, 2, FALSE)</f>
        <v>0</v>
      </c>
      <c r="E383" s="24">
        <v>59</v>
      </c>
      <c r="F383" s="24" t="s">
        <v>1206</v>
      </c>
      <c r="G383" s="24">
        <v>1</v>
      </c>
      <c r="H383" s="25">
        <v>0.9</v>
      </c>
      <c r="I383" s="24">
        <v>1</v>
      </c>
    </row>
    <row r="384" spans="1:9" ht="15.75" customHeight="1" x14ac:dyDescent="0.2">
      <c r="A384" s="26">
        <v>383</v>
      </c>
      <c r="B384" s="24">
        <v>383</v>
      </c>
      <c r="C384" s="24">
        <v>32</v>
      </c>
      <c r="D384" s="24">
        <f>VLOOKUP(C384,[1]Course!$A$1:$C$229, 2, FALSE)</f>
        <v>0</v>
      </c>
      <c r="E384" s="24">
        <v>60</v>
      </c>
      <c r="F384" s="24" t="s">
        <v>1205</v>
      </c>
      <c r="G384" s="24">
        <v>1</v>
      </c>
      <c r="H384" s="25">
        <v>0.9</v>
      </c>
      <c r="I384" s="24">
        <v>1</v>
      </c>
    </row>
    <row r="385" spans="1:9" ht="15.75" customHeight="1" x14ac:dyDescent="0.2">
      <c r="A385" s="26">
        <v>384</v>
      </c>
      <c r="B385" s="24">
        <v>384</v>
      </c>
      <c r="C385" s="24">
        <v>33</v>
      </c>
      <c r="D385" s="24">
        <f>VLOOKUP(C385,[1]Course!$A$1:$C$229, 2, FALSE)</f>
        <v>0</v>
      </c>
      <c r="E385" s="24">
        <v>49</v>
      </c>
      <c r="F385" s="24" t="s">
        <v>1204</v>
      </c>
      <c r="G385" s="24">
        <v>1</v>
      </c>
      <c r="H385" s="25">
        <v>0.8</v>
      </c>
      <c r="I385" s="24">
        <v>1</v>
      </c>
    </row>
    <row r="386" spans="1:9" ht="15.75" customHeight="1" x14ac:dyDescent="0.2">
      <c r="A386" s="26">
        <v>385</v>
      </c>
      <c r="B386" s="24">
        <v>385</v>
      </c>
      <c r="C386" s="24">
        <v>33</v>
      </c>
      <c r="D386" s="24">
        <f>VLOOKUP(C386,[1]Course!$A$1:$C$229, 2, FALSE)</f>
        <v>0</v>
      </c>
      <c r="E386" s="24">
        <v>50</v>
      </c>
      <c r="F386" s="24" t="s">
        <v>1203</v>
      </c>
      <c r="G386" s="24">
        <v>1</v>
      </c>
      <c r="H386" s="25">
        <v>0.8</v>
      </c>
      <c r="I386" s="24">
        <v>1</v>
      </c>
    </row>
    <row r="387" spans="1:9" ht="15.75" customHeight="1" x14ac:dyDescent="0.2">
      <c r="A387" s="26">
        <v>386</v>
      </c>
      <c r="B387" s="24">
        <v>386</v>
      </c>
      <c r="C387" s="24">
        <v>33</v>
      </c>
      <c r="D387" s="24">
        <f>VLOOKUP(C387,[1]Course!$A$1:$C$229, 2, FALSE)</f>
        <v>0</v>
      </c>
      <c r="E387" s="24">
        <v>51</v>
      </c>
      <c r="F387" s="24" t="s">
        <v>1202</v>
      </c>
      <c r="G387" s="24">
        <v>1</v>
      </c>
      <c r="H387" s="25">
        <v>0.8</v>
      </c>
      <c r="I387" s="24">
        <v>1</v>
      </c>
    </row>
    <row r="388" spans="1:9" ht="15.75" customHeight="1" x14ac:dyDescent="0.2">
      <c r="A388" s="26">
        <v>387</v>
      </c>
      <c r="B388" s="24">
        <v>387</v>
      </c>
      <c r="C388" s="24">
        <v>33</v>
      </c>
      <c r="D388" s="24">
        <f>VLOOKUP(C388,[1]Course!$A$1:$C$229, 2, FALSE)</f>
        <v>0</v>
      </c>
      <c r="E388" s="24">
        <v>52</v>
      </c>
      <c r="F388" s="24" t="s">
        <v>1201</v>
      </c>
      <c r="G388" s="24">
        <v>1</v>
      </c>
      <c r="H388" s="25">
        <v>0.8</v>
      </c>
      <c r="I388" s="24">
        <v>1</v>
      </c>
    </row>
    <row r="389" spans="1:9" ht="15.75" customHeight="1" x14ac:dyDescent="0.2">
      <c r="A389" s="26">
        <v>388</v>
      </c>
      <c r="B389" s="24">
        <v>388</v>
      </c>
      <c r="C389" s="24">
        <v>33</v>
      </c>
      <c r="D389" s="24">
        <f>VLOOKUP(C389,[1]Course!$A$1:$C$229, 2, FALSE)</f>
        <v>0</v>
      </c>
      <c r="E389" s="24">
        <v>53</v>
      </c>
      <c r="F389" s="24" t="s">
        <v>1200</v>
      </c>
      <c r="G389" s="24">
        <v>1</v>
      </c>
      <c r="H389" s="25">
        <v>0.8</v>
      </c>
      <c r="I389" s="24">
        <v>1</v>
      </c>
    </row>
    <row r="390" spans="1:9" ht="15.75" customHeight="1" x14ac:dyDescent="0.2">
      <c r="A390" s="26">
        <v>389</v>
      </c>
      <c r="B390" s="24">
        <v>389</v>
      </c>
      <c r="C390" s="24">
        <v>33</v>
      </c>
      <c r="D390" s="24">
        <f>VLOOKUP(C390,[1]Course!$A$1:$C$229, 2, FALSE)</f>
        <v>0</v>
      </c>
      <c r="E390" s="24">
        <v>54</v>
      </c>
      <c r="F390" s="24" t="s">
        <v>1199</v>
      </c>
      <c r="G390" s="24">
        <v>1</v>
      </c>
      <c r="H390" s="25">
        <v>0.8</v>
      </c>
      <c r="I390" s="24">
        <v>1</v>
      </c>
    </row>
    <row r="391" spans="1:9" ht="15.75" customHeight="1" x14ac:dyDescent="0.2">
      <c r="A391" s="26">
        <v>390</v>
      </c>
      <c r="B391" s="24">
        <v>390</v>
      </c>
      <c r="C391" s="24">
        <v>33</v>
      </c>
      <c r="D391" s="24">
        <f>VLOOKUP(C391,[1]Course!$A$1:$C$229, 2, FALSE)</f>
        <v>0</v>
      </c>
      <c r="E391" s="24">
        <v>55</v>
      </c>
      <c r="F391" s="24" t="s">
        <v>1198</v>
      </c>
      <c r="G391" s="24">
        <v>1</v>
      </c>
      <c r="H391" s="25">
        <v>0.8</v>
      </c>
      <c r="I391" s="24">
        <v>1</v>
      </c>
    </row>
    <row r="392" spans="1:9" ht="15.75" customHeight="1" x14ac:dyDescent="0.2">
      <c r="A392" s="26">
        <v>391</v>
      </c>
      <c r="B392" s="24">
        <v>391</v>
      </c>
      <c r="C392" s="24">
        <v>33</v>
      </c>
      <c r="D392" s="24">
        <f>VLOOKUP(C392,[1]Course!$A$1:$C$229, 2, FALSE)</f>
        <v>0</v>
      </c>
      <c r="E392" s="24">
        <v>56</v>
      </c>
      <c r="F392" s="24" t="s">
        <v>1197</v>
      </c>
      <c r="G392" s="24">
        <v>1</v>
      </c>
      <c r="H392" s="25">
        <v>0.8</v>
      </c>
      <c r="I392" s="24">
        <v>1</v>
      </c>
    </row>
    <row r="393" spans="1:9" ht="15.75" customHeight="1" x14ac:dyDescent="0.2">
      <c r="A393" s="26">
        <v>392</v>
      </c>
      <c r="B393" s="24">
        <v>392</v>
      </c>
      <c r="C393" s="24">
        <v>33</v>
      </c>
      <c r="D393" s="24">
        <f>VLOOKUP(C393,[1]Course!$A$1:$C$229, 2, FALSE)</f>
        <v>0</v>
      </c>
      <c r="E393" s="24">
        <v>57</v>
      </c>
      <c r="F393" s="24" t="s">
        <v>1196</v>
      </c>
      <c r="G393" s="24">
        <v>1</v>
      </c>
      <c r="H393" s="25">
        <v>0.8</v>
      </c>
      <c r="I393" s="24">
        <v>1</v>
      </c>
    </row>
    <row r="394" spans="1:9" ht="15.75" customHeight="1" x14ac:dyDescent="0.2">
      <c r="A394" s="26">
        <v>393</v>
      </c>
      <c r="B394" s="24">
        <v>393</v>
      </c>
      <c r="C394" s="24">
        <v>33</v>
      </c>
      <c r="D394" s="24">
        <f>VLOOKUP(C394,[1]Course!$A$1:$C$229, 2, FALSE)</f>
        <v>0</v>
      </c>
      <c r="E394" s="24">
        <v>58</v>
      </c>
      <c r="F394" s="24" t="s">
        <v>1195</v>
      </c>
      <c r="G394" s="24">
        <v>1</v>
      </c>
      <c r="H394" s="25">
        <v>0.8</v>
      </c>
      <c r="I394" s="24">
        <v>1</v>
      </c>
    </row>
    <row r="395" spans="1:9" ht="15.75" customHeight="1" x14ac:dyDescent="0.2">
      <c r="A395" s="26">
        <v>394</v>
      </c>
      <c r="B395" s="24">
        <v>394</v>
      </c>
      <c r="C395" s="24">
        <v>33</v>
      </c>
      <c r="D395" s="24">
        <f>VLOOKUP(C395,[1]Course!$A$1:$C$229, 2, FALSE)</f>
        <v>0</v>
      </c>
      <c r="E395" s="24">
        <v>59</v>
      </c>
      <c r="F395" s="24" t="s">
        <v>1194</v>
      </c>
      <c r="G395" s="24">
        <v>1</v>
      </c>
      <c r="H395" s="25">
        <v>0.8</v>
      </c>
      <c r="I395" s="24">
        <v>1</v>
      </c>
    </row>
    <row r="396" spans="1:9" ht="15.75" customHeight="1" x14ac:dyDescent="0.2">
      <c r="A396" s="26">
        <v>395</v>
      </c>
      <c r="B396" s="24">
        <v>395</v>
      </c>
      <c r="C396" s="24">
        <v>33</v>
      </c>
      <c r="D396" s="24">
        <f>VLOOKUP(C396,[1]Course!$A$1:$C$229, 2, FALSE)</f>
        <v>0</v>
      </c>
      <c r="E396" s="24">
        <v>60</v>
      </c>
      <c r="F396" s="24" t="s">
        <v>1193</v>
      </c>
      <c r="G396" s="24">
        <v>1</v>
      </c>
      <c r="H396" s="25">
        <v>0.8</v>
      </c>
      <c r="I396" s="24">
        <v>1</v>
      </c>
    </row>
    <row r="397" spans="1:9" ht="15.75" customHeight="1" x14ac:dyDescent="0.2">
      <c r="A397" s="26">
        <v>396</v>
      </c>
      <c r="B397" s="24">
        <v>396</v>
      </c>
      <c r="C397" s="24">
        <v>34</v>
      </c>
      <c r="D397" s="24" t="str">
        <f>VLOOKUP(C397,[1]Course!$A$1:$C$229, 2, FALSE)</f>
        <v>Science 5</v>
      </c>
      <c r="E397" s="24">
        <v>49</v>
      </c>
      <c r="F397" s="24" t="s">
        <v>1192</v>
      </c>
      <c r="G397" s="24">
        <v>1</v>
      </c>
      <c r="H397" s="25">
        <v>0.8</v>
      </c>
      <c r="I397" s="24">
        <v>1</v>
      </c>
    </row>
    <row r="398" spans="1:9" ht="15.75" customHeight="1" x14ac:dyDescent="0.2">
      <c r="A398" s="26">
        <v>397</v>
      </c>
      <c r="B398" s="24">
        <v>397</v>
      </c>
      <c r="C398" s="24">
        <v>34</v>
      </c>
      <c r="D398" s="24" t="str">
        <f>VLOOKUP(C398,[1]Course!$A$1:$C$229, 2, FALSE)</f>
        <v>Science 5</v>
      </c>
      <c r="E398" s="24">
        <v>50</v>
      </c>
      <c r="F398" s="24" t="s">
        <v>1191</v>
      </c>
      <c r="G398" s="24">
        <v>1</v>
      </c>
      <c r="H398" s="25">
        <v>0.8</v>
      </c>
      <c r="I398" s="24">
        <v>1</v>
      </c>
    </row>
    <row r="399" spans="1:9" ht="15.75" customHeight="1" x14ac:dyDescent="0.2">
      <c r="A399" s="26">
        <v>398</v>
      </c>
      <c r="B399" s="24">
        <v>398</v>
      </c>
      <c r="C399" s="24">
        <v>34</v>
      </c>
      <c r="D399" s="24" t="str">
        <f>VLOOKUP(C399,[1]Course!$A$1:$C$229, 2, FALSE)</f>
        <v>Science 5</v>
      </c>
      <c r="E399" s="24">
        <v>51</v>
      </c>
      <c r="F399" s="24" t="s">
        <v>1190</v>
      </c>
      <c r="G399" s="24">
        <v>1</v>
      </c>
      <c r="H399" s="25">
        <v>0.8</v>
      </c>
      <c r="I399" s="24">
        <v>1</v>
      </c>
    </row>
    <row r="400" spans="1:9" ht="15.75" customHeight="1" x14ac:dyDescent="0.2">
      <c r="A400" s="26">
        <v>399</v>
      </c>
      <c r="B400" s="24">
        <v>399</v>
      </c>
      <c r="C400" s="24">
        <v>34</v>
      </c>
      <c r="D400" s="24" t="str">
        <f>VLOOKUP(C400,[1]Course!$A$1:$C$229, 2, FALSE)</f>
        <v>Science 5</v>
      </c>
      <c r="E400" s="24">
        <v>52</v>
      </c>
      <c r="F400" s="24" t="s">
        <v>1189</v>
      </c>
      <c r="G400" s="24">
        <v>1</v>
      </c>
      <c r="H400" s="25">
        <v>0.8</v>
      </c>
      <c r="I400" s="24">
        <v>1</v>
      </c>
    </row>
    <row r="401" spans="1:9" ht="15.75" customHeight="1" x14ac:dyDescent="0.2">
      <c r="A401" s="26">
        <v>400</v>
      </c>
      <c r="B401" s="24">
        <v>400</v>
      </c>
      <c r="C401" s="24">
        <v>34</v>
      </c>
      <c r="D401" s="24" t="str">
        <f>VLOOKUP(C401,[1]Course!$A$1:$C$229, 2, FALSE)</f>
        <v>Science 5</v>
      </c>
      <c r="E401" s="24">
        <v>53</v>
      </c>
      <c r="F401" s="24" t="s">
        <v>1188</v>
      </c>
      <c r="G401" s="24">
        <v>1</v>
      </c>
      <c r="H401" s="25">
        <v>0.8</v>
      </c>
      <c r="I401" s="24">
        <v>1</v>
      </c>
    </row>
    <row r="402" spans="1:9" ht="15.75" customHeight="1" x14ac:dyDescent="0.2">
      <c r="A402" s="26">
        <v>401</v>
      </c>
      <c r="B402" s="24">
        <v>401</v>
      </c>
      <c r="C402" s="24">
        <v>34</v>
      </c>
      <c r="D402" s="24" t="str">
        <f>VLOOKUP(C402,[1]Course!$A$1:$C$229, 2, FALSE)</f>
        <v>Science 5</v>
      </c>
      <c r="E402" s="24">
        <v>54</v>
      </c>
      <c r="F402" s="24" t="s">
        <v>1187</v>
      </c>
      <c r="G402" s="24">
        <v>1</v>
      </c>
      <c r="H402" s="25">
        <v>0.8</v>
      </c>
      <c r="I402" s="24">
        <v>1</v>
      </c>
    </row>
    <row r="403" spans="1:9" ht="15.75" customHeight="1" x14ac:dyDescent="0.2">
      <c r="A403" s="26">
        <v>402</v>
      </c>
      <c r="B403" s="24">
        <v>402</v>
      </c>
      <c r="C403" s="24">
        <v>34</v>
      </c>
      <c r="D403" s="24" t="str">
        <f>VLOOKUP(C403,[1]Course!$A$1:$C$229, 2, FALSE)</f>
        <v>Science 5</v>
      </c>
      <c r="E403" s="24">
        <v>55</v>
      </c>
      <c r="F403" s="24" t="s">
        <v>1186</v>
      </c>
      <c r="G403" s="24">
        <v>1</v>
      </c>
      <c r="H403" s="25">
        <v>0.8</v>
      </c>
      <c r="I403" s="24">
        <v>1</v>
      </c>
    </row>
    <row r="404" spans="1:9" ht="15.75" customHeight="1" x14ac:dyDescent="0.2">
      <c r="A404" s="26">
        <v>403</v>
      </c>
      <c r="B404" s="24">
        <v>403</v>
      </c>
      <c r="C404" s="24">
        <v>34</v>
      </c>
      <c r="D404" s="24" t="str">
        <f>VLOOKUP(C404,[1]Course!$A$1:$C$229, 2, FALSE)</f>
        <v>Science 5</v>
      </c>
      <c r="E404" s="24">
        <v>56</v>
      </c>
      <c r="F404" s="24" t="s">
        <v>1185</v>
      </c>
      <c r="G404" s="24">
        <v>1</v>
      </c>
      <c r="H404" s="25">
        <v>0.8</v>
      </c>
      <c r="I404" s="24">
        <v>1</v>
      </c>
    </row>
    <row r="405" spans="1:9" ht="15.75" customHeight="1" x14ac:dyDescent="0.2">
      <c r="A405" s="26">
        <v>404</v>
      </c>
      <c r="B405" s="24">
        <v>404</v>
      </c>
      <c r="C405" s="24">
        <v>34</v>
      </c>
      <c r="D405" s="24" t="str">
        <f>VLOOKUP(C405,[1]Course!$A$1:$C$229, 2, FALSE)</f>
        <v>Science 5</v>
      </c>
      <c r="E405" s="24">
        <v>57</v>
      </c>
      <c r="F405" s="24" t="s">
        <v>1184</v>
      </c>
      <c r="G405" s="24">
        <v>1</v>
      </c>
      <c r="H405" s="25">
        <v>0.8</v>
      </c>
      <c r="I405" s="24">
        <v>1</v>
      </c>
    </row>
    <row r="406" spans="1:9" ht="15.75" customHeight="1" x14ac:dyDescent="0.2">
      <c r="A406" s="26">
        <v>405</v>
      </c>
      <c r="B406" s="24">
        <v>405</v>
      </c>
      <c r="C406" s="24">
        <v>34</v>
      </c>
      <c r="D406" s="24" t="str">
        <f>VLOOKUP(C406,[1]Course!$A$1:$C$229, 2, FALSE)</f>
        <v>Science 5</v>
      </c>
      <c r="E406" s="24">
        <v>58</v>
      </c>
      <c r="F406" s="24" t="s">
        <v>1183</v>
      </c>
      <c r="G406" s="24">
        <v>1</v>
      </c>
      <c r="H406" s="25">
        <v>0.8</v>
      </c>
      <c r="I406" s="24">
        <v>1</v>
      </c>
    </row>
    <row r="407" spans="1:9" ht="15.75" customHeight="1" x14ac:dyDescent="0.2">
      <c r="A407" s="26">
        <v>406</v>
      </c>
      <c r="B407" s="24">
        <v>406</v>
      </c>
      <c r="C407" s="24">
        <v>34</v>
      </c>
      <c r="D407" s="24" t="str">
        <f>VLOOKUP(C407,[1]Course!$A$1:$C$229, 2, FALSE)</f>
        <v>Science 5</v>
      </c>
      <c r="E407" s="24">
        <v>59</v>
      </c>
      <c r="F407" s="24" t="s">
        <v>1182</v>
      </c>
      <c r="G407" s="24">
        <v>1</v>
      </c>
      <c r="H407" s="25">
        <v>0.8</v>
      </c>
      <c r="I407" s="24">
        <v>1</v>
      </c>
    </row>
    <row r="408" spans="1:9" ht="15.75" customHeight="1" x14ac:dyDescent="0.2">
      <c r="A408" s="26">
        <v>407</v>
      </c>
      <c r="B408" s="24">
        <v>407</v>
      </c>
      <c r="C408" s="24">
        <v>34</v>
      </c>
      <c r="D408" s="24" t="str">
        <f>VLOOKUP(C408,[1]Course!$A$1:$C$229, 2, FALSE)</f>
        <v>Science 5</v>
      </c>
      <c r="E408" s="24">
        <v>60</v>
      </c>
      <c r="F408" s="24" t="s">
        <v>1181</v>
      </c>
      <c r="G408" s="24">
        <v>1</v>
      </c>
      <c r="H408" s="25">
        <v>0.8</v>
      </c>
      <c r="I408" s="24">
        <v>1</v>
      </c>
    </row>
    <row r="409" spans="1:9" ht="15.75" customHeight="1" x14ac:dyDescent="0.2">
      <c r="A409" s="26">
        <v>408</v>
      </c>
      <c r="B409" s="24">
        <v>408</v>
      </c>
      <c r="C409" s="24">
        <v>35</v>
      </c>
      <c r="D409" s="24">
        <f>VLOOKUP(C409,[1]Course!$A$1:$C$229, 2, FALSE)</f>
        <v>0</v>
      </c>
      <c r="E409" s="24">
        <v>49</v>
      </c>
      <c r="F409" s="24" t="s">
        <v>1180</v>
      </c>
      <c r="G409" s="24">
        <v>1</v>
      </c>
      <c r="H409" s="25">
        <v>0.8</v>
      </c>
      <c r="I409" s="24">
        <v>1</v>
      </c>
    </row>
    <row r="410" spans="1:9" ht="15.75" customHeight="1" x14ac:dyDescent="0.2">
      <c r="A410" s="26">
        <v>409</v>
      </c>
      <c r="B410" s="24">
        <v>409</v>
      </c>
      <c r="C410" s="24">
        <v>35</v>
      </c>
      <c r="D410" s="24">
        <f>VLOOKUP(C410,[1]Course!$A$1:$C$229, 2, FALSE)</f>
        <v>0</v>
      </c>
      <c r="E410" s="24">
        <v>50</v>
      </c>
      <c r="F410" s="24" t="s">
        <v>1179</v>
      </c>
      <c r="G410" s="24">
        <v>1</v>
      </c>
      <c r="H410" s="25">
        <v>0.8</v>
      </c>
      <c r="I410" s="24">
        <v>1</v>
      </c>
    </row>
    <row r="411" spans="1:9" ht="15.75" customHeight="1" x14ac:dyDescent="0.2">
      <c r="A411" s="26">
        <v>410</v>
      </c>
      <c r="B411" s="24">
        <v>410</v>
      </c>
      <c r="C411" s="24">
        <v>35</v>
      </c>
      <c r="D411" s="24">
        <f>VLOOKUP(C411,[1]Course!$A$1:$C$229, 2, FALSE)</f>
        <v>0</v>
      </c>
      <c r="E411" s="24">
        <v>51</v>
      </c>
      <c r="F411" s="24" t="s">
        <v>1178</v>
      </c>
      <c r="G411" s="24">
        <v>1</v>
      </c>
      <c r="H411" s="25">
        <v>0.8</v>
      </c>
      <c r="I411" s="24">
        <v>1</v>
      </c>
    </row>
    <row r="412" spans="1:9" ht="15.75" customHeight="1" x14ac:dyDescent="0.2">
      <c r="A412" s="26">
        <v>411</v>
      </c>
      <c r="B412" s="24">
        <v>411</v>
      </c>
      <c r="C412" s="24">
        <v>35</v>
      </c>
      <c r="D412" s="24">
        <f>VLOOKUP(C412,[1]Course!$A$1:$C$229, 2, FALSE)</f>
        <v>0</v>
      </c>
      <c r="E412" s="24">
        <v>52</v>
      </c>
      <c r="F412" s="24" t="s">
        <v>1177</v>
      </c>
      <c r="G412" s="24">
        <v>1</v>
      </c>
      <c r="H412" s="25">
        <v>0.8</v>
      </c>
      <c r="I412" s="24">
        <v>1</v>
      </c>
    </row>
    <row r="413" spans="1:9" ht="15.75" customHeight="1" x14ac:dyDescent="0.2">
      <c r="A413" s="26">
        <v>412</v>
      </c>
      <c r="B413" s="24">
        <v>412</v>
      </c>
      <c r="C413" s="24">
        <v>35</v>
      </c>
      <c r="D413" s="24">
        <f>VLOOKUP(C413,[1]Course!$A$1:$C$229, 2, FALSE)</f>
        <v>0</v>
      </c>
      <c r="E413" s="24">
        <v>53</v>
      </c>
      <c r="F413" s="24" t="s">
        <v>1176</v>
      </c>
      <c r="G413" s="24">
        <v>1</v>
      </c>
      <c r="H413" s="25">
        <v>0.8</v>
      </c>
      <c r="I413" s="24">
        <v>1</v>
      </c>
    </row>
    <row r="414" spans="1:9" ht="15.75" customHeight="1" x14ac:dyDescent="0.2">
      <c r="A414" s="26">
        <v>413</v>
      </c>
      <c r="B414" s="24">
        <v>413</v>
      </c>
      <c r="C414" s="24">
        <v>35</v>
      </c>
      <c r="D414" s="24">
        <f>VLOOKUP(C414,[1]Course!$A$1:$C$229, 2, FALSE)</f>
        <v>0</v>
      </c>
      <c r="E414" s="24">
        <v>54</v>
      </c>
      <c r="F414" s="24" t="s">
        <v>1175</v>
      </c>
      <c r="G414" s="24">
        <v>1</v>
      </c>
      <c r="H414" s="25">
        <v>0.8</v>
      </c>
      <c r="I414" s="24">
        <v>1</v>
      </c>
    </row>
    <row r="415" spans="1:9" ht="15.75" customHeight="1" x14ac:dyDescent="0.2">
      <c r="A415" s="26">
        <v>414</v>
      </c>
      <c r="B415" s="24">
        <v>414</v>
      </c>
      <c r="C415" s="24">
        <v>35</v>
      </c>
      <c r="D415" s="24">
        <f>VLOOKUP(C415,[1]Course!$A$1:$C$229, 2, FALSE)</f>
        <v>0</v>
      </c>
      <c r="E415" s="24">
        <v>55</v>
      </c>
      <c r="F415" s="24" t="s">
        <v>1174</v>
      </c>
      <c r="G415" s="24">
        <v>1</v>
      </c>
      <c r="H415" s="25">
        <v>0.8</v>
      </c>
      <c r="I415" s="24">
        <v>1</v>
      </c>
    </row>
    <row r="416" spans="1:9" ht="15.75" customHeight="1" x14ac:dyDescent="0.2">
      <c r="A416" s="26">
        <v>415</v>
      </c>
      <c r="B416" s="24">
        <v>415</v>
      </c>
      <c r="C416" s="24">
        <v>35</v>
      </c>
      <c r="D416" s="24">
        <f>VLOOKUP(C416,[1]Course!$A$1:$C$229, 2, FALSE)</f>
        <v>0</v>
      </c>
      <c r="E416" s="24">
        <v>56</v>
      </c>
      <c r="F416" s="24" t="s">
        <v>1173</v>
      </c>
      <c r="G416" s="24">
        <v>1</v>
      </c>
      <c r="H416" s="25">
        <v>0.8</v>
      </c>
      <c r="I416" s="24">
        <v>1</v>
      </c>
    </row>
    <row r="417" spans="1:9" ht="15.75" customHeight="1" x14ac:dyDescent="0.2">
      <c r="A417" s="26">
        <v>416</v>
      </c>
      <c r="B417" s="24">
        <v>416</v>
      </c>
      <c r="C417" s="24">
        <v>35</v>
      </c>
      <c r="D417" s="24">
        <f>VLOOKUP(C417,[1]Course!$A$1:$C$229, 2, FALSE)</f>
        <v>0</v>
      </c>
      <c r="E417" s="24">
        <v>57</v>
      </c>
      <c r="F417" s="24" t="s">
        <v>1172</v>
      </c>
      <c r="G417" s="24">
        <v>1</v>
      </c>
      <c r="H417" s="25">
        <v>0.8</v>
      </c>
      <c r="I417" s="24">
        <v>1</v>
      </c>
    </row>
    <row r="418" spans="1:9" ht="15.75" customHeight="1" x14ac:dyDescent="0.2">
      <c r="A418" s="26">
        <v>417</v>
      </c>
      <c r="B418" s="24">
        <v>417</v>
      </c>
      <c r="C418" s="24">
        <v>35</v>
      </c>
      <c r="D418" s="24">
        <f>VLOOKUP(C418,[1]Course!$A$1:$C$229, 2, FALSE)</f>
        <v>0</v>
      </c>
      <c r="E418" s="24">
        <v>58</v>
      </c>
      <c r="F418" s="24" t="s">
        <v>1171</v>
      </c>
      <c r="G418" s="24">
        <v>1</v>
      </c>
      <c r="H418" s="25">
        <v>0.8</v>
      </c>
      <c r="I418" s="24">
        <v>1</v>
      </c>
    </row>
    <row r="419" spans="1:9" ht="15.75" customHeight="1" x14ac:dyDescent="0.2">
      <c r="A419" s="26">
        <v>418</v>
      </c>
      <c r="B419" s="24">
        <v>418</v>
      </c>
      <c r="C419" s="24">
        <v>35</v>
      </c>
      <c r="D419" s="24">
        <f>VLOOKUP(C419,[1]Course!$A$1:$C$229, 2, FALSE)</f>
        <v>0</v>
      </c>
      <c r="E419" s="24">
        <v>59</v>
      </c>
      <c r="F419" s="24" t="s">
        <v>1170</v>
      </c>
      <c r="G419" s="24">
        <v>1</v>
      </c>
      <c r="H419" s="25">
        <v>0.8</v>
      </c>
      <c r="I419" s="24">
        <v>1</v>
      </c>
    </row>
    <row r="420" spans="1:9" ht="15.75" customHeight="1" x14ac:dyDescent="0.2">
      <c r="A420" s="26">
        <v>419</v>
      </c>
      <c r="B420" s="24">
        <v>419</v>
      </c>
      <c r="C420" s="24">
        <v>35</v>
      </c>
      <c r="D420" s="24">
        <f>VLOOKUP(C420,[1]Course!$A$1:$C$229, 2, FALSE)</f>
        <v>0</v>
      </c>
      <c r="E420" s="24">
        <v>60</v>
      </c>
      <c r="F420" s="24" t="s">
        <v>1169</v>
      </c>
      <c r="G420" s="24">
        <v>1</v>
      </c>
      <c r="H420" s="25">
        <v>0.8</v>
      </c>
      <c r="I420" s="24">
        <v>1</v>
      </c>
    </row>
    <row r="421" spans="1:9" ht="15.75" customHeight="1" x14ac:dyDescent="0.2">
      <c r="A421" s="26">
        <v>420</v>
      </c>
      <c r="B421" s="24">
        <v>420</v>
      </c>
      <c r="C421" s="24">
        <v>36</v>
      </c>
      <c r="D421" s="24">
        <f>VLOOKUP(C421,[1]Course!$A$1:$C$229, 2, FALSE)</f>
        <v>0</v>
      </c>
      <c r="E421" s="24">
        <v>49</v>
      </c>
      <c r="F421" s="24" t="s">
        <v>1168</v>
      </c>
      <c r="G421" s="24">
        <v>1</v>
      </c>
      <c r="H421" s="25">
        <v>0.8</v>
      </c>
      <c r="I421" s="24">
        <v>1</v>
      </c>
    </row>
    <row r="422" spans="1:9" ht="15.75" customHeight="1" x14ac:dyDescent="0.2">
      <c r="A422" s="26">
        <v>421</v>
      </c>
      <c r="B422" s="24">
        <v>421</v>
      </c>
      <c r="C422" s="24">
        <v>36</v>
      </c>
      <c r="D422" s="24">
        <f>VLOOKUP(C422,[1]Course!$A$1:$C$229, 2, FALSE)</f>
        <v>0</v>
      </c>
      <c r="E422" s="24">
        <v>50</v>
      </c>
      <c r="F422" s="24" t="s">
        <v>1167</v>
      </c>
      <c r="G422" s="24">
        <v>1</v>
      </c>
      <c r="H422" s="25">
        <v>0.8</v>
      </c>
      <c r="I422" s="24">
        <v>1</v>
      </c>
    </row>
    <row r="423" spans="1:9" ht="15.75" customHeight="1" x14ac:dyDescent="0.2">
      <c r="A423" s="26">
        <v>422</v>
      </c>
      <c r="B423" s="24">
        <v>422</v>
      </c>
      <c r="C423" s="24">
        <v>36</v>
      </c>
      <c r="D423" s="24">
        <f>VLOOKUP(C423,[1]Course!$A$1:$C$229, 2, FALSE)</f>
        <v>0</v>
      </c>
      <c r="E423" s="24">
        <v>51</v>
      </c>
      <c r="F423" s="24" t="s">
        <v>1166</v>
      </c>
      <c r="G423" s="24">
        <v>1</v>
      </c>
      <c r="H423" s="25">
        <v>0.8</v>
      </c>
      <c r="I423" s="24">
        <v>1</v>
      </c>
    </row>
    <row r="424" spans="1:9" ht="15.75" customHeight="1" x14ac:dyDescent="0.2">
      <c r="A424" s="26">
        <v>423</v>
      </c>
      <c r="B424" s="24">
        <v>423</v>
      </c>
      <c r="C424" s="24">
        <v>36</v>
      </c>
      <c r="D424" s="24">
        <f>VLOOKUP(C424,[1]Course!$A$1:$C$229, 2, FALSE)</f>
        <v>0</v>
      </c>
      <c r="E424" s="24">
        <v>52</v>
      </c>
      <c r="F424" s="24" t="s">
        <v>1165</v>
      </c>
      <c r="G424" s="24">
        <v>1</v>
      </c>
      <c r="H424" s="25">
        <v>0.8</v>
      </c>
      <c r="I424" s="24">
        <v>1</v>
      </c>
    </row>
    <row r="425" spans="1:9" ht="15.75" customHeight="1" x14ac:dyDescent="0.2">
      <c r="A425" s="26">
        <v>424</v>
      </c>
      <c r="B425" s="24">
        <v>424</v>
      </c>
      <c r="C425" s="24">
        <v>36</v>
      </c>
      <c r="D425" s="24">
        <f>VLOOKUP(C425,[1]Course!$A$1:$C$229, 2, FALSE)</f>
        <v>0</v>
      </c>
      <c r="E425" s="24">
        <v>53</v>
      </c>
      <c r="F425" s="24" t="s">
        <v>1164</v>
      </c>
      <c r="G425" s="24">
        <v>1</v>
      </c>
      <c r="H425" s="25">
        <v>0.8</v>
      </c>
      <c r="I425" s="24">
        <v>1</v>
      </c>
    </row>
    <row r="426" spans="1:9" ht="15.75" customHeight="1" x14ac:dyDescent="0.2">
      <c r="A426" s="26">
        <v>425</v>
      </c>
      <c r="B426" s="24">
        <v>425</v>
      </c>
      <c r="C426" s="24">
        <v>36</v>
      </c>
      <c r="D426" s="24">
        <f>VLOOKUP(C426,[1]Course!$A$1:$C$229, 2, FALSE)</f>
        <v>0</v>
      </c>
      <c r="E426" s="24">
        <v>54</v>
      </c>
      <c r="F426" s="24" t="s">
        <v>1163</v>
      </c>
      <c r="G426" s="24">
        <v>1</v>
      </c>
      <c r="H426" s="25">
        <v>0.8</v>
      </c>
      <c r="I426" s="24">
        <v>1</v>
      </c>
    </row>
    <row r="427" spans="1:9" ht="15.75" customHeight="1" x14ac:dyDescent="0.2">
      <c r="A427" s="26">
        <v>426</v>
      </c>
      <c r="B427" s="24">
        <v>426</v>
      </c>
      <c r="C427" s="24">
        <v>36</v>
      </c>
      <c r="D427" s="24">
        <f>VLOOKUP(C427,[1]Course!$A$1:$C$229, 2, FALSE)</f>
        <v>0</v>
      </c>
      <c r="E427" s="24">
        <v>55</v>
      </c>
      <c r="F427" s="24" t="s">
        <v>1162</v>
      </c>
      <c r="G427" s="24">
        <v>1</v>
      </c>
      <c r="H427" s="25">
        <v>0.8</v>
      </c>
      <c r="I427" s="24">
        <v>1</v>
      </c>
    </row>
    <row r="428" spans="1:9" ht="15.75" customHeight="1" x14ac:dyDescent="0.2">
      <c r="A428" s="26">
        <v>427</v>
      </c>
      <c r="B428" s="24">
        <v>427</v>
      </c>
      <c r="C428" s="24">
        <v>36</v>
      </c>
      <c r="D428" s="24">
        <f>VLOOKUP(C428,[1]Course!$A$1:$C$229, 2, FALSE)</f>
        <v>0</v>
      </c>
      <c r="E428" s="24">
        <v>56</v>
      </c>
      <c r="F428" s="24" t="s">
        <v>1161</v>
      </c>
      <c r="G428" s="24">
        <v>1</v>
      </c>
      <c r="H428" s="25">
        <v>0.8</v>
      </c>
      <c r="I428" s="24">
        <v>1</v>
      </c>
    </row>
    <row r="429" spans="1:9" ht="15.75" customHeight="1" x14ac:dyDescent="0.2">
      <c r="A429" s="26">
        <v>428</v>
      </c>
      <c r="B429" s="24">
        <v>428</v>
      </c>
      <c r="C429" s="24">
        <v>36</v>
      </c>
      <c r="D429" s="24">
        <f>VLOOKUP(C429,[1]Course!$A$1:$C$229, 2, FALSE)</f>
        <v>0</v>
      </c>
      <c r="E429" s="24">
        <v>57</v>
      </c>
      <c r="F429" s="24" t="s">
        <v>1160</v>
      </c>
      <c r="G429" s="24">
        <v>1</v>
      </c>
      <c r="H429" s="25">
        <v>0.8</v>
      </c>
      <c r="I429" s="24">
        <v>1</v>
      </c>
    </row>
    <row r="430" spans="1:9" ht="15.75" customHeight="1" x14ac:dyDescent="0.2">
      <c r="A430" s="26">
        <v>429</v>
      </c>
      <c r="B430" s="24">
        <v>429</v>
      </c>
      <c r="C430" s="24">
        <v>36</v>
      </c>
      <c r="D430" s="24">
        <f>VLOOKUP(C430,[1]Course!$A$1:$C$229, 2, FALSE)</f>
        <v>0</v>
      </c>
      <c r="E430" s="24">
        <v>58</v>
      </c>
      <c r="F430" s="24" t="s">
        <v>1159</v>
      </c>
      <c r="G430" s="24">
        <v>1</v>
      </c>
      <c r="H430" s="25">
        <v>0.8</v>
      </c>
      <c r="I430" s="24">
        <v>1</v>
      </c>
    </row>
    <row r="431" spans="1:9" ht="15.75" customHeight="1" x14ac:dyDescent="0.2">
      <c r="A431" s="26">
        <v>430</v>
      </c>
      <c r="B431" s="24">
        <v>430</v>
      </c>
      <c r="C431" s="24">
        <v>36</v>
      </c>
      <c r="D431" s="24">
        <f>VLOOKUP(C431,[1]Course!$A$1:$C$229, 2, FALSE)</f>
        <v>0</v>
      </c>
      <c r="E431" s="24">
        <v>59</v>
      </c>
      <c r="F431" s="24" t="s">
        <v>1158</v>
      </c>
      <c r="G431" s="24">
        <v>1</v>
      </c>
      <c r="H431" s="25">
        <v>0.8</v>
      </c>
      <c r="I431" s="24">
        <v>1</v>
      </c>
    </row>
    <row r="432" spans="1:9" ht="15.75" customHeight="1" x14ac:dyDescent="0.2">
      <c r="A432" s="26">
        <v>431</v>
      </c>
      <c r="B432" s="24">
        <v>431</v>
      </c>
      <c r="C432" s="24">
        <v>36</v>
      </c>
      <c r="D432" s="24">
        <f>VLOOKUP(C432,[1]Course!$A$1:$C$229, 2, FALSE)</f>
        <v>0</v>
      </c>
      <c r="E432" s="24">
        <v>60</v>
      </c>
      <c r="F432" s="24" t="s">
        <v>1157</v>
      </c>
      <c r="G432" s="24">
        <v>1</v>
      </c>
      <c r="H432" s="25">
        <v>0.8</v>
      </c>
      <c r="I432" s="24">
        <v>1</v>
      </c>
    </row>
    <row r="433" spans="1:9" ht="15.75" customHeight="1" x14ac:dyDescent="0.2">
      <c r="A433" s="26">
        <v>432</v>
      </c>
      <c r="B433" s="24">
        <v>432</v>
      </c>
      <c r="C433" s="24">
        <v>37</v>
      </c>
      <c r="D433" s="24">
        <f>VLOOKUP(C433,[1]Course!$A$1:$C$229, 2, FALSE)</f>
        <v>0</v>
      </c>
      <c r="E433" s="24">
        <v>61</v>
      </c>
      <c r="F433" s="24" t="s">
        <v>1156</v>
      </c>
      <c r="G433" s="24">
        <v>1</v>
      </c>
      <c r="H433" s="25">
        <v>0.8</v>
      </c>
      <c r="I433" s="24">
        <v>1</v>
      </c>
    </row>
    <row r="434" spans="1:9" ht="15.75" customHeight="1" x14ac:dyDescent="0.2">
      <c r="A434" s="26">
        <v>433</v>
      </c>
      <c r="B434" s="24">
        <v>433</v>
      </c>
      <c r="C434" s="24">
        <v>37</v>
      </c>
      <c r="D434" s="24">
        <f>VLOOKUP(C434,[1]Course!$A$1:$C$229, 2, FALSE)</f>
        <v>0</v>
      </c>
      <c r="E434" s="24">
        <v>62</v>
      </c>
      <c r="F434" s="24" t="s">
        <v>1155</v>
      </c>
      <c r="G434" s="24">
        <v>1</v>
      </c>
      <c r="H434" s="25">
        <v>0.8</v>
      </c>
      <c r="I434" s="24">
        <v>1</v>
      </c>
    </row>
    <row r="435" spans="1:9" ht="15.75" customHeight="1" x14ac:dyDescent="0.2">
      <c r="A435" s="26">
        <v>434</v>
      </c>
      <c r="B435" s="24">
        <v>434</v>
      </c>
      <c r="C435" s="24">
        <v>37</v>
      </c>
      <c r="D435" s="24">
        <f>VLOOKUP(C435,[1]Course!$A$1:$C$229, 2, FALSE)</f>
        <v>0</v>
      </c>
      <c r="E435" s="24">
        <v>63</v>
      </c>
      <c r="F435" s="24" t="s">
        <v>1154</v>
      </c>
      <c r="G435" s="24">
        <v>1</v>
      </c>
      <c r="H435" s="25">
        <v>0.8</v>
      </c>
      <c r="I435" s="24">
        <v>1</v>
      </c>
    </row>
    <row r="436" spans="1:9" ht="15.75" customHeight="1" x14ac:dyDescent="0.2">
      <c r="A436" s="26">
        <v>435</v>
      </c>
      <c r="B436" s="24">
        <v>435</v>
      </c>
      <c r="C436" s="24">
        <v>37</v>
      </c>
      <c r="D436" s="24">
        <f>VLOOKUP(C436,[1]Course!$A$1:$C$229, 2, FALSE)</f>
        <v>0</v>
      </c>
      <c r="E436" s="24">
        <v>64</v>
      </c>
      <c r="F436" s="24" t="s">
        <v>1153</v>
      </c>
      <c r="G436" s="24">
        <v>1</v>
      </c>
      <c r="H436" s="25">
        <v>0.8</v>
      </c>
      <c r="I436" s="24">
        <v>1</v>
      </c>
    </row>
    <row r="437" spans="1:9" ht="15.75" customHeight="1" x14ac:dyDescent="0.2">
      <c r="A437" s="26">
        <v>436</v>
      </c>
      <c r="B437" s="24">
        <v>436</v>
      </c>
      <c r="C437" s="24">
        <v>37</v>
      </c>
      <c r="D437" s="24">
        <f>VLOOKUP(C437,[1]Course!$A$1:$C$229, 2, FALSE)</f>
        <v>0</v>
      </c>
      <c r="E437" s="24">
        <v>65</v>
      </c>
      <c r="F437" s="24" t="s">
        <v>1152</v>
      </c>
      <c r="G437" s="24">
        <v>1</v>
      </c>
      <c r="H437" s="25">
        <v>0.8</v>
      </c>
      <c r="I437" s="24">
        <v>1</v>
      </c>
    </row>
    <row r="438" spans="1:9" ht="15.75" customHeight="1" x14ac:dyDescent="0.2">
      <c r="A438" s="26">
        <v>437</v>
      </c>
      <c r="B438" s="24">
        <v>437</v>
      </c>
      <c r="C438" s="24">
        <v>37</v>
      </c>
      <c r="D438" s="24">
        <f>VLOOKUP(C438,[1]Course!$A$1:$C$229, 2, FALSE)</f>
        <v>0</v>
      </c>
      <c r="E438" s="24">
        <v>66</v>
      </c>
      <c r="F438" s="24" t="s">
        <v>1151</v>
      </c>
      <c r="G438" s="24">
        <v>1</v>
      </c>
      <c r="H438" s="25">
        <v>0.8</v>
      </c>
      <c r="I438" s="24">
        <v>1</v>
      </c>
    </row>
    <row r="439" spans="1:9" ht="15.75" customHeight="1" x14ac:dyDescent="0.2">
      <c r="A439" s="26">
        <v>438</v>
      </c>
      <c r="B439" s="24">
        <v>438</v>
      </c>
      <c r="C439" s="24">
        <v>37</v>
      </c>
      <c r="D439" s="24">
        <f>VLOOKUP(C439,[1]Course!$A$1:$C$229, 2, FALSE)</f>
        <v>0</v>
      </c>
      <c r="E439" s="24">
        <v>67</v>
      </c>
      <c r="F439" s="24" t="s">
        <v>1150</v>
      </c>
      <c r="G439" s="24">
        <v>1</v>
      </c>
      <c r="H439" s="25">
        <v>0.8</v>
      </c>
      <c r="I439" s="24">
        <v>1</v>
      </c>
    </row>
    <row r="440" spans="1:9" ht="15.75" customHeight="1" x14ac:dyDescent="0.2">
      <c r="A440" s="26">
        <v>439</v>
      </c>
      <c r="B440" s="24">
        <v>439</v>
      </c>
      <c r="C440" s="24">
        <v>37</v>
      </c>
      <c r="D440" s="24">
        <f>VLOOKUP(C440,[1]Course!$A$1:$C$229, 2, FALSE)</f>
        <v>0</v>
      </c>
      <c r="E440" s="24">
        <v>68</v>
      </c>
      <c r="F440" s="24" t="s">
        <v>1149</v>
      </c>
      <c r="G440" s="24">
        <v>1</v>
      </c>
      <c r="H440" s="25">
        <v>0.8</v>
      </c>
      <c r="I440" s="24">
        <v>1</v>
      </c>
    </row>
    <row r="441" spans="1:9" ht="15.75" customHeight="1" x14ac:dyDescent="0.2">
      <c r="A441" s="26">
        <v>440</v>
      </c>
      <c r="B441" s="24">
        <v>440</v>
      </c>
      <c r="C441" s="24">
        <v>37</v>
      </c>
      <c r="D441" s="24">
        <f>VLOOKUP(C441,[1]Course!$A$1:$C$229, 2, FALSE)</f>
        <v>0</v>
      </c>
      <c r="E441" s="24">
        <v>69</v>
      </c>
      <c r="F441" s="24" t="s">
        <v>1148</v>
      </c>
      <c r="G441" s="24">
        <v>1</v>
      </c>
      <c r="H441" s="25">
        <v>0.8</v>
      </c>
      <c r="I441" s="24">
        <v>1</v>
      </c>
    </row>
    <row r="442" spans="1:9" ht="15.75" customHeight="1" x14ac:dyDescent="0.2">
      <c r="A442" s="26">
        <v>441</v>
      </c>
      <c r="B442" s="24">
        <v>441</v>
      </c>
      <c r="C442" s="24">
        <v>37</v>
      </c>
      <c r="D442" s="24">
        <f>VLOOKUP(C442,[1]Course!$A$1:$C$229, 2, FALSE)</f>
        <v>0</v>
      </c>
      <c r="E442" s="24">
        <v>70</v>
      </c>
      <c r="F442" s="24" t="s">
        <v>1147</v>
      </c>
      <c r="G442" s="24">
        <v>1</v>
      </c>
      <c r="H442" s="25">
        <v>0.8</v>
      </c>
      <c r="I442" s="24">
        <v>1</v>
      </c>
    </row>
    <row r="443" spans="1:9" ht="15.75" customHeight="1" x14ac:dyDescent="0.2">
      <c r="A443" s="26">
        <v>442</v>
      </c>
      <c r="B443" s="24">
        <v>442</v>
      </c>
      <c r="C443" s="24">
        <v>37</v>
      </c>
      <c r="D443" s="24">
        <f>VLOOKUP(C443,[1]Course!$A$1:$C$229, 2, FALSE)</f>
        <v>0</v>
      </c>
      <c r="E443" s="24">
        <v>71</v>
      </c>
      <c r="F443" s="24" t="s">
        <v>1146</v>
      </c>
      <c r="G443" s="24">
        <v>1</v>
      </c>
      <c r="H443" s="25">
        <v>0.8</v>
      </c>
      <c r="I443" s="24">
        <v>1</v>
      </c>
    </row>
    <row r="444" spans="1:9" ht="15.75" customHeight="1" x14ac:dyDescent="0.2">
      <c r="A444" s="26">
        <v>443</v>
      </c>
      <c r="B444" s="24">
        <v>443</v>
      </c>
      <c r="C444" s="24">
        <v>37</v>
      </c>
      <c r="D444" s="24">
        <f>VLOOKUP(C444,[1]Course!$A$1:$C$229, 2, FALSE)</f>
        <v>0</v>
      </c>
      <c r="E444" s="24">
        <v>72</v>
      </c>
      <c r="F444" s="24" t="s">
        <v>1145</v>
      </c>
      <c r="G444" s="24">
        <v>1</v>
      </c>
      <c r="H444" s="25">
        <v>0.8</v>
      </c>
      <c r="I444" s="24">
        <v>1</v>
      </c>
    </row>
    <row r="445" spans="1:9" ht="15.75" customHeight="1" x14ac:dyDescent="0.2">
      <c r="A445" s="26">
        <v>444</v>
      </c>
      <c r="B445" s="24">
        <v>444</v>
      </c>
      <c r="C445" s="24">
        <v>38</v>
      </c>
      <c r="D445" s="24">
        <f>VLOOKUP(C445,[1]Course!$A$1:$C$229, 2, FALSE)</f>
        <v>0</v>
      </c>
      <c r="E445" s="24">
        <v>61</v>
      </c>
      <c r="F445" s="24" t="s">
        <v>1144</v>
      </c>
      <c r="G445" s="24">
        <v>1</v>
      </c>
      <c r="H445" s="25">
        <v>0.8</v>
      </c>
      <c r="I445" s="24">
        <v>1</v>
      </c>
    </row>
    <row r="446" spans="1:9" ht="15.75" customHeight="1" x14ac:dyDescent="0.2">
      <c r="A446" s="26">
        <v>445</v>
      </c>
      <c r="B446" s="24">
        <v>445</v>
      </c>
      <c r="C446" s="24">
        <v>38</v>
      </c>
      <c r="D446" s="24">
        <f>VLOOKUP(C446,[1]Course!$A$1:$C$229, 2, FALSE)</f>
        <v>0</v>
      </c>
      <c r="E446" s="24">
        <v>62</v>
      </c>
      <c r="F446" s="24" t="s">
        <v>1143</v>
      </c>
      <c r="G446" s="24">
        <v>1</v>
      </c>
      <c r="H446" s="25">
        <v>0.8</v>
      </c>
      <c r="I446" s="24">
        <v>1</v>
      </c>
    </row>
    <row r="447" spans="1:9" ht="15.75" customHeight="1" x14ac:dyDescent="0.2">
      <c r="A447" s="26">
        <v>446</v>
      </c>
      <c r="B447" s="24">
        <v>446</v>
      </c>
      <c r="C447" s="24">
        <v>38</v>
      </c>
      <c r="D447" s="24">
        <f>VLOOKUP(C447,[1]Course!$A$1:$C$229, 2, FALSE)</f>
        <v>0</v>
      </c>
      <c r="E447" s="24">
        <v>63</v>
      </c>
      <c r="F447" s="24" t="s">
        <v>1142</v>
      </c>
      <c r="G447" s="24">
        <v>1</v>
      </c>
      <c r="H447" s="25">
        <v>0.8</v>
      </c>
      <c r="I447" s="24">
        <v>1</v>
      </c>
    </row>
    <row r="448" spans="1:9" ht="15.75" customHeight="1" x14ac:dyDescent="0.2">
      <c r="A448" s="26">
        <v>447</v>
      </c>
      <c r="B448" s="24">
        <v>447</v>
      </c>
      <c r="C448" s="24">
        <v>38</v>
      </c>
      <c r="D448" s="24">
        <f>VLOOKUP(C448,[1]Course!$A$1:$C$229, 2, FALSE)</f>
        <v>0</v>
      </c>
      <c r="E448" s="24">
        <v>64</v>
      </c>
      <c r="F448" s="24" t="s">
        <v>1141</v>
      </c>
      <c r="G448" s="24">
        <v>1</v>
      </c>
      <c r="H448" s="25">
        <v>0.8</v>
      </c>
      <c r="I448" s="24">
        <v>1</v>
      </c>
    </row>
    <row r="449" spans="1:9" ht="15.75" customHeight="1" x14ac:dyDescent="0.2">
      <c r="A449" s="26">
        <v>448</v>
      </c>
      <c r="B449" s="24">
        <v>448</v>
      </c>
      <c r="C449" s="24">
        <v>38</v>
      </c>
      <c r="D449" s="24">
        <f>VLOOKUP(C449,[1]Course!$A$1:$C$229, 2, FALSE)</f>
        <v>0</v>
      </c>
      <c r="E449" s="24">
        <v>65</v>
      </c>
      <c r="F449" s="24" t="s">
        <v>1140</v>
      </c>
      <c r="G449" s="24">
        <v>1</v>
      </c>
      <c r="H449" s="25">
        <v>0.8</v>
      </c>
      <c r="I449" s="24">
        <v>1</v>
      </c>
    </row>
    <row r="450" spans="1:9" ht="15.75" customHeight="1" x14ac:dyDescent="0.2">
      <c r="A450" s="26">
        <v>449</v>
      </c>
      <c r="B450" s="24">
        <v>449</v>
      </c>
      <c r="C450" s="24">
        <v>38</v>
      </c>
      <c r="D450" s="24">
        <f>VLOOKUP(C450,[1]Course!$A$1:$C$229, 2, FALSE)</f>
        <v>0</v>
      </c>
      <c r="E450" s="24">
        <v>66</v>
      </c>
      <c r="F450" s="24" t="s">
        <v>1139</v>
      </c>
      <c r="G450" s="24">
        <v>1</v>
      </c>
      <c r="H450" s="25">
        <v>0.8</v>
      </c>
      <c r="I450" s="24">
        <v>1</v>
      </c>
    </row>
    <row r="451" spans="1:9" ht="15.75" customHeight="1" x14ac:dyDescent="0.2">
      <c r="A451" s="26">
        <v>450</v>
      </c>
      <c r="B451" s="24">
        <v>450</v>
      </c>
      <c r="C451" s="24">
        <v>38</v>
      </c>
      <c r="D451" s="24">
        <f>VLOOKUP(C451,[1]Course!$A$1:$C$229, 2, FALSE)</f>
        <v>0</v>
      </c>
      <c r="E451" s="24">
        <v>67</v>
      </c>
      <c r="F451" s="24" t="s">
        <v>1138</v>
      </c>
      <c r="G451" s="24">
        <v>1</v>
      </c>
      <c r="H451" s="25">
        <v>0.8</v>
      </c>
      <c r="I451" s="24">
        <v>1</v>
      </c>
    </row>
    <row r="452" spans="1:9" ht="15.75" customHeight="1" x14ac:dyDescent="0.2">
      <c r="A452" s="26">
        <v>451</v>
      </c>
      <c r="B452" s="24">
        <v>451</v>
      </c>
      <c r="C452" s="24">
        <v>38</v>
      </c>
      <c r="D452" s="24">
        <f>VLOOKUP(C452,[1]Course!$A$1:$C$229, 2, FALSE)</f>
        <v>0</v>
      </c>
      <c r="E452" s="24">
        <v>68</v>
      </c>
      <c r="F452" s="24" t="s">
        <v>1137</v>
      </c>
      <c r="G452" s="24">
        <v>1</v>
      </c>
      <c r="H452" s="25">
        <v>0.8</v>
      </c>
      <c r="I452" s="24">
        <v>1</v>
      </c>
    </row>
    <row r="453" spans="1:9" ht="15.75" customHeight="1" x14ac:dyDescent="0.2">
      <c r="A453" s="26">
        <v>452</v>
      </c>
      <c r="B453" s="24">
        <v>452</v>
      </c>
      <c r="C453" s="24">
        <v>38</v>
      </c>
      <c r="D453" s="24">
        <f>VLOOKUP(C453,[1]Course!$A$1:$C$229, 2, FALSE)</f>
        <v>0</v>
      </c>
      <c r="E453" s="24">
        <v>69</v>
      </c>
      <c r="F453" s="24" t="s">
        <v>1136</v>
      </c>
      <c r="G453" s="24">
        <v>1</v>
      </c>
      <c r="H453" s="25">
        <v>0.8</v>
      </c>
      <c r="I453" s="24">
        <v>1</v>
      </c>
    </row>
    <row r="454" spans="1:9" ht="15.75" customHeight="1" x14ac:dyDescent="0.2">
      <c r="A454" s="26">
        <v>453</v>
      </c>
      <c r="B454" s="24">
        <v>453</v>
      </c>
      <c r="C454" s="24">
        <v>38</v>
      </c>
      <c r="D454" s="24">
        <f>VLOOKUP(C454,[1]Course!$A$1:$C$229, 2, FALSE)</f>
        <v>0</v>
      </c>
      <c r="E454" s="24">
        <v>70</v>
      </c>
      <c r="F454" s="24" t="s">
        <v>1135</v>
      </c>
      <c r="G454" s="24">
        <v>1</v>
      </c>
      <c r="H454" s="25">
        <v>0.8</v>
      </c>
      <c r="I454" s="24">
        <v>1</v>
      </c>
    </row>
    <row r="455" spans="1:9" ht="15.75" customHeight="1" x14ac:dyDescent="0.2">
      <c r="A455" s="26">
        <v>454</v>
      </c>
      <c r="B455" s="24">
        <v>454</v>
      </c>
      <c r="C455" s="24">
        <v>38</v>
      </c>
      <c r="D455" s="24">
        <f>VLOOKUP(C455,[1]Course!$A$1:$C$229, 2, FALSE)</f>
        <v>0</v>
      </c>
      <c r="E455" s="24">
        <v>71</v>
      </c>
      <c r="F455" s="24" t="s">
        <v>1134</v>
      </c>
      <c r="G455" s="24">
        <v>1</v>
      </c>
      <c r="H455" s="25">
        <v>0.8</v>
      </c>
      <c r="I455" s="24">
        <v>1</v>
      </c>
    </row>
    <row r="456" spans="1:9" ht="15.75" customHeight="1" x14ac:dyDescent="0.2">
      <c r="A456" s="26">
        <v>455</v>
      </c>
      <c r="B456" s="24">
        <v>455</v>
      </c>
      <c r="C456" s="24">
        <v>38</v>
      </c>
      <c r="D456" s="24">
        <f>VLOOKUP(C456,[1]Course!$A$1:$C$229, 2, FALSE)</f>
        <v>0</v>
      </c>
      <c r="E456" s="24">
        <v>72</v>
      </c>
      <c r="F456" s="24" t="s">
        <v>1133</v>
      </c>
      <c r="G456" s="24">
        <v>1</v>
      </c>
      <c r="H456" s="25">
        <v>0.8</v>
      </c>
      <c r="I456" s="24">
        <v>1</v>
      </c>
    </row>
    <row r="457" spans="1:9" ht="15.75" customHeight="1" x14ac:dyDescent="0.2">
      <c r="A457" s="26">
        <v>456</v>
      </c>
      <c r="B457" s="24">
        <v>456</v>
      </c>
      <c r="C457" s="24">
        <v>39</v>
      </c>
      <c r="D457" s="24">
        <f>VLOOKUP(C457,[1]Course!$A$1:$C$229, 2, FALSE)</f>
        <v>0</v>
      </c>
      <c r="E457" s="24">
        <v>61</v>
      </c>
      <c r="F457" s="24" t="s">
        <v>1132</v>
      </c>
      <c r="G457" s="24">
        <v>1</v>
      </c>
      <c r="H457" s="25">
        <v>0.9</v>
      </c>
      <c r="I457" s="24">
        <v>1</v>
      </c>
    </row>
    <row r="458" spans="1:9" ht="15.75" customHeight="1" x14ac:dyDescent="0.2">
      <c r="A458" s="26">
        <v>457</v>
      </c>
      <c r="B458" s="24">
        <v>457</v>
      </c>
      <c r="C458" s="24">
        <v>39</v>
      </c>
      <c r="D458" s="24">
        <f>VLOOKUP(C458,[1]Course!$A$1:$C$229, 2, FALSE)</f>
        <v>0</v>
      </c>
      <c r="E458" s="24">
        <v>62</v>
      </c>
      <c r="F458" s="24" t="s">
        <v>1131</v>
      </c>
      <c r="G458" s="24">
        <v>1</v>
      </c>
      <c r="H458" s="25">
        <v>0.9</v>
      </c>
      <c r="I458" s="24">
        <v>1</v>
      </c>
    </row>
    <row r="459" spans="1:9" ht="15.75" customHeight="1" x14ac:dyDescent="0.2">
      <c r="A459" s="26">
        <v>458</v>
      </c>
      <c r="B459" s="24">
        <v>458</v>
      </c>
      <c r="C459" s="24">
        <v>39</v>
      </c>
      <c r="D459" s="24">
        <f>VLOOKUP(C459,[1]Course!$A$1:$C$229, 2, FALSE)</f>
        <v>0</v>
      </c>
      <c r="E459" s="24">
        <v>63</v>
      </c>
      <c r="F459" s="24" t="s">
        <v>1130</v>
      </c>
      <c r="G459" s="24">
        <v>1</v>
      </c>
      <c r="H459" s="25">
        <v>0.9</v>
      </c>
      <c r="I459" s="24">
        <v>1</v>
      </c>
    </row>
    <row r="460" spans="1:9" ht="15.75" customHeight="1" x14ac:dyDescent="0.2">
      <c r="A460" s="26">
        <v>459</v>
      </c>
      <c r="B460" s="24">
        <v>459</v>
      </c>
      <c r="C460" s="24">
        <v>39</v>
      </c>
      <c r="D460" s="24">
        <f>VLOOKUP(C460,[1]Course!$A$1:$C$229, 2, FALSE)</f>
        <v>0</v>
      </c>
      <c r="E460" s="24">
        <v>64</v>
      </c>
      <c r="F460" s="24" t="s">
        <v>1129</v>
      </c>
      <c r="G460" s="24">
        <v>1</v>
      </c>
      <c r="H460" s="25">
        <v>0.9</v>
      </c>
      <c r="I460" s="24">
        <v>1</v>
      </c>
    </row>
    <row r="461" spans="1:9" ht="15.75" customHeight="1" x14ac:dyDescent="0.2">
      <c r="A461" s="26">
        <v>460</v>
      </c>
      <c r="B461" s="24">
        <v>460</v>
      </c>
      <c r="C461" s="24">
        <v>39</v>
      </c>
      <c r="D461" s="24">
        <f>VLOOKUP(C461,[1]Course!$A$1:$C$229, 2, FALSE)</f>
        <v>0</v>
      </c>
      <c r="E461" s="24">
        <v>65</v>
      </c>
      <c r="F461" s="24" t="s">
        <v>1128</v>
      </c>
      <c r="G461" s="24">
        <v>1</v>
      </c>
      <c r="H461" s="25">
        <v>0.9</v>
      </c>
      <c r="I461" s="24">
        <v>1</v>
      </c>
    </row>
    <row r="462" spans="1:9" ht="15.75" customHeight="1" x14ac:dyDescent="0.2">
      <c r="A462" s="26">
        <v>461</v>
      </c>
      <c r="B462" s="24">
        <v>461</v>
      </c>
      <c r="C462" s="24">
        <v>39</v>
      </c>
      <c r="D462" s="24">
        <f>VLOOKUP(C462,[1]Course!$A$1:$C$229, 2, FALSE)</f>
        <v>0</v>
      </c>
      <c r="E462" s="24">
        <v>66</v>
      </c>
      <c r="F462" s="24" t="s">
        <v>1127</v>
      </c>
      <c r="G462" s="24">
        <v>1</v>
      </c>
      <c r="H462" s="25">
        <v>0.9</v>
      </c>
      <c r="I462" s="24">
        <v>1</v>
      </c>
    </row>
    <row r="463" spans="1:9" ht="15.75" customHeight="1" x14ac:dyDescent="0.2">
      <c r="A463" s="26">
        <v>462</v>
      </c>
      <c r="B463" s="24">
        <v>462</v>
      </c>
      <c r="C463" s="24">
        <v>39</v>
      </c>
      <c r="D463" s="24">
        <f>VLOOKUP(C463,[1]Course!$A$1:$C$229, 2, FALSE)</f>
        <v>0</v>
      </c>
      <c r="E463" s="24">
        <v>67</v>
      </c>
      <c r="F463" s="24" t="s">
        <v>1126</v>
      </c>
      <c r="G463" s="24">
        <v>1</v>
      </c>
      <c r="H463" s="25">
        <v>0.9</v>
      </c>
      <c r="I463" s="24">
        <v>1</v>
      </c>
    </row>
    <row r="464" spans="1:9" ht="15.75" customHeight="1" x14ac:dyDescent="0.2">
      <c r="A464" s="26">
        <v>463</v>
      </c>
      <c r="B464" s="24">
        <v>463</v>
      </c>
      <c r="C464" s="24">
        <v>39</v>
      </c>
      <c r="D464" s="24">
        <f>VLOOKUP(C464,[1]Course!$A$1:$C$229, 2, FALSE)</f>
        <v>0</v>
      </c>
      <c r="E464" s="24">
        <v>68</v>
      </c>
      <c r="F464" s="24" t="s">
        <v>1125</v>
      </c>
      <c r="G464" s="24">
        <v>1</v>
      </c>
      <c r="H464" s="25">
        <v>0.9</v>
      </c>
      <c r="I464" s="24">
        <v>1</v>
      </c>
    </row>
    <row r="465" spans="1:9" ht="15.75" customHeight="1" x14ac:dyDescent="0.2">
      <c r="A465" s="26">
        <v>464</v>
      </c>
      <c r="B465" s="24">
        <v>464</v>
      </c>
      <c r="C465" s="24">
        <v>39</v>
      </c>
      <c r="D465" s="24">
        <f>VLOOKUP(C465,[1]Course!$A$1:$C$229, 2, FALSE)</f>
        <v>0</v>
      </c>
      <c r="E465" s="24">
        <v>69</v>
      </c>
      <c r="F465" s="24" t="s">
        <v>1124</v>
      </c>
      <c r="G465" s="24">
        <v>1</v>
      </c>
      <c r="H465" s="25">
        <v>0.9</v>
      </c>
      <c r="I465" s="24">
        <v>1</v>
      </c>
    </row>
    <row r="466" spans="1:9" ht="15.75" customHeight="1" x14ac:dyDescent="0.2">
      <c r="A466" s="26">
        <v>465</v>
      </c>
      <c r="B466" s="24">
        <v>465</v>
      </c>
      <c r="C466" s="24">
        <v>39</v>
      </c>
      <c r="D466" s="24">
        <f>VLOOKUP(C466,[1]Course!$A$1:$C$229, 2, FALSE)</f>
        <v>0</v>
      </c>
      <c r="E466" s="24">
        <v>70</v>
      </c>
      <c r="F466" s="24" t="s">
        <v>1123</v>
      </c>
      <c r="G466" s="24">
        <v>1</v>
      </c>
      <c r="H466" s="25">
        <v>0.9</v>
      </c>
      <c r="I466" s="24">
        <v>1</v>
      </c>
    </row>
    <row r="467" spans="1:9" ht="15.75" customHeight="1" x14ac:dyDescent="0.2">
      <c r="A467" s="26">
        <v>466</v>
      </c>
      <c r="B467" s="24">
        <v>466</v>
      </c>
      <c r="C467" s="24">
        <v>39</v>
      </c>
      <c r="D467" s="24">
        <f>VLOOKUP(C467,[1]Course!$A$1:$C$229, 2, FALSE)</f>
        <v>0</v>
      </c>
      <c r="E467" s="24">
        <v>71</v>
      </c>
      <c r="F467" s="24" t="s">
        <v>1122</v>
      </c>
      <c r="G467" s="24">
        <v>1</v>
      </c>
      <c r="H467" s="25">
        <v>0.9</v>
      </c>
      <c r="I467" s="24">
        <v>1</v>
      </c>
    </row>
    <row r="468" spans="1:9" ht="15.75" customHeight="1" x14ac:dyDescent="0.2">
      <c r="A468" s="26">
        <v>467</v>
      </c>
      <c r="B468" s="24">
        <v>467</v>
      </c>
      <c r="C468" s="24">
        <v>39</v>
      </c>
      <c r="D468" s="24">
        <f>VLOOKUP(C468,[1]Course!$A$1:$C$229, 2, FALSE)</f>
        <v>0</v>
      </c>
      <c r="E468" s="24">
        <v>72</v>
      </c>
      <c r="F468" s="24" t="s">
        <v>1121</v>
      </c>
      <c r="G468" s="24">
        <v>1</v>
      </c>
      <c r="H468" s="25">
        <v>0.9</v>
      </c>
      <c r="I468" s="24">
        <v>1</v>
      </c>
    </row>
    <row r="469" spans="1:9" ht="15.75" customHeight="1" x14ac:dyDescent="0.2">
      <c r="A469" s="26">
        <v>468</v>
      </c>
      <c r="B469" s="24">
        <v>468</v>
      </c>
      <c r="C469" s="24">
        <v>40</v>
      </c>
      <c r="D469" s="24">
        <f>VLOOKUP(C469,[1]Course!$A$1:$C$229, 2, FALSE)</f>
        <v>0</v>
      </c>
      <c r="E469" s="24">
        <v>61</v>
      </c>
      <c r="F469" s="24" t="s">
        <v>1120</v>
      </c>
      <c r="G469" s="24">
        <v>1</v>
      </c>
      <c r="H469" s="25">
        <v>0.8</v>
      </c>
      <c r="I469" s="24">
        <v>1</v>
      </c>
    </row>
    <row r="470" spans="1:9" ht="15.75" customHeight="1" x14ac:dyDescent="0.2">
      <c r="A470" s="26">
        <v>469</v>
      </c>
      <c r="B470" s="24">
        <v>469</v>
      </c>
      <c r="C470" s="24">
        <v>40</v>
      </c>
      <c r="D470" s="24">
        <f>VLOOKUP(C470,[1]Course!$A$1:$C$229, 2, FALSE)</f>
        <v>0</v>
      </c>
      <c r="E470" s="24">
        <v>62</v>
      </c>
      <c r="F470" s="24" t="s">
        <v>1119</v>
      </c>
      <c r="G470" s="24">
        <v>1</v>
      </c>
      <c r="H470" s="25">
        <v>0.8</v>
      </c>
      <c r="I470" s="24">
        <v>1</v>
      </c>
    </row>
    <row r="471" spans="1:9" ht="15.75" customHeight="1" x14ac:dyDescent="0.2">
      <c r="A471" s="26">
        <v>470</v>
      </c>
      <c r="B471" s="24">
        <v>470</v>
      </c>
      <c r="C471" s="24">
        <v>40</v>
      </c>
      <c r="D471" s="24">
        <f>VLOOKUP(C471,[1]Course!$A$1:$C$229, 2, FALSE)</f>
        <v>0</v>
      </c>
      <c r="E471" s="24">
        <v>63</v>
      </c>
      <c r="F471" s="24" t="s">
        <v>1118</v>
      </c>
      <c r="G471" s="24">
        <v>1</v>
      </c>
      <c r="H471" s="25">
        <v>0.8</v>
      </c>
      <c r="I471" s="24">
        <v>1</v>
      </c>
    </row>
    <row r="472" spans="1:9" ht="15.75" customHeight="1" x14ac:dyDescent="0.2">
      <c r="A472" s="26">
        <v>471</v>
      </c>
      <c r="B472" s="24">
        <v>471</v>
      </c>
      <c r="C472" s="24">
        <v>40</v>
      </c>
      <c r="D472" s="24">
        <f>VLOOKUP(C472,[1]Course!$A$1:$C$229, 2, FALSE)</f>
        <v>0</v>
      </c>
      <c r="E472" s="24">
        <v>64</v>
      </c>
      <c r="F472" s="24" t="s">
        <v>1117</v>
      </c>
      <c r="G472" s="24">
        <v>1</v>
      </c>
      <c r="H472" s="25">
        <v>0.8</v>
      </c>
      <c r="I472" s="24">
        <v>1</v>
      </c>
    </row>
    <row r="473" spans="1:9" ht="15.75" customHeight="1" x14ac:dyDescent="0.2">
      <c r="A473" s="26">
        <v>472</v>
      </c>
      <c r="B473" s="24">
        <v>472</v>
      </c>
      <c r="C473" s="24">
        <v>40</v>
      </c>
      <c r="D473" s="24">
        <f>VLOOKUP(C473,[1]Course!$A$1:$C$229, 2, FALSE)</f>
        <v>0</v>
      </c>
      <c r="E473" s="24">
        <v>65</v>
      </c>
      <c r="F473" s="24" t="s">
        <v>1116</v>
      </c>
      <c r="G473" s="24">
        <v>1</v>
      </c>
      <c r="H473" s="25">
        <v>0.8</v>
      </c>
      <c r="I473" s="24">
        <v>1</v>
      </c>
    </row>
    <row r="474" spans="1:9" ht="15.75" customHeight="1" x14ac:dyDescent="0.2">
      <c r="A474" s="26">
        <v>473</v>
      </c>
      <c r="B474" s="24">
        <v>473</v>
      </c>
      <c r="C474" s="24">
        <v>40</v>
      </c>
      <c r="D474" s="24">
        <f>VLOOKUP(C474,[1]Course!$A$1:$C$229, 2, FALSE)</f>
        <v>0</v>
      </c>
      <c r="E474" s="24">
        <v>66</v>
      </c>
      <c r="F474" s="24" t="s">
        <v>1115</v>
      </c>
      <c r="G474" s="24">
        <v>1</v>
      </c>
      <c r="H474" s="25">
        <v>0.8</v>
      </c>
      <c r="I474" s="24">
        <v>1</v>
      </c>
    </row>
    <row r="475" spans="1:9" ht="15.75" customHeight="1" x14ac:dyDescent="0.2">
      <c r="A475" s="26">
        <v>474</v>
      </c>
      <c r="B475" s="24">
        <v>474</v>
      </c>
      <c r="C475" s="24">
        <v>40</v>
      </c>
      <c r="D475" s="24">
        <f>VLOOKUP(C475,[1]Course!$A$1:$C$229, 2, FALSE)</f>
        <v>0</v>
      </c>
      <c r="E475" s="24">
        <v>67</v>
      </c>
      <c r="F475" s="24" t="s">
        <v>1114</v>
      </c>
      <c r="G475" s="24">
        <v>1</v>
      </c>
      <c r="H475" s="25">
        <v>0.8</v>
      </c>
      <c r="I475" s="24">
        <v>1</v>
      </c>
    </row>
    <row r="476" spans="1:9" ht="15.75" customHeight="1" x14ac:dyDescent="0.2">
      <c r="A476" s="26">
        <v>475</v>
      </c>
      <c r="B476" s="24">
        <v>475</v>
      </c>
      <c r="C476" s="24">
        <v>40</v>
      </c>
      <c r="D476" s="24">
        <f>VLOOKUP(C476,[1]Course!$A$1:$C$229, 2, FALSE)</f>
        <v>0</v>
      </c>
      <c r="E476" s="24">
        <v>68</v>
      </c>
      <c r="F476" s="24" t="s">
        <v>1113</v>
      </c>
      <c r="G476" s="24">
        <v>1</v>
      </c>
      <c r="H476" s="25">
        <v>0.8</v>
      </c>
      <c r="I476" s="24">
        <v>1</v>
      </c>
    </row>
    <row r="477" spans="1:9" ht="15.75" customHeight="1" x14ac:dyDescent="0.2">
      <c r="A477" s="26">
        <v>476</v>
      </c>
      <c r="B477" s="24">
        <v>476</v>
      </c>
      <c r="C477" s="24">
        <v>40</v>
      </c>
      <c r="D477" s="24">
        <f>VLOOKUP(C477,[1]Course!$A$1:$C$229, 2, FALSE)</f>
        <v>0</v>
      </c>
      <c r="E477" s="24">
        <v>69</v>
      </c>
      <c r="F477" s="24" t="s">
        <v>1112</v>
      </c>
      <c r="G477" s="24">
        <v>1</v>
      </c>
      <c r="H477" s="25">
        <v>0.8</v>
      </c>
      <c r="I477" s="24">
        <v>1</v>
      </c>
    </row>
    <row r="478" spans="1:9" ht="15.75" customHeight="1" x14ac:dyDescent="0.2">
      <c r="A478" s="26">
        <v>477</v>
      </c>
      <c r="B478" s="24">
        <v>477</v>
      </c>
      <c r="C478" s="24">
        <v>40</v>
      </c>
      <c r="D478" s="24">
        <f>VLOOKUP(C478,[1]Course!$A$1:$C$229, 2, FALSE)</f>
        <v>0</v>
      </c>
      <c r="E478" s="24">
        <v>70</v>
      </c>
      <c r="F478" s="24" t="s">
        <v>1111</v>
      </c>
      <c r="G478" s="24">
        <v>1</v>
      </c>
      <c r="H478" s="25">
        <v>0.8</v>
      </c>
      <c r="I478" s="24">
        <v>1</v>
      </c>
    </row>
    <row r="479" spans="1:9" ht="15.75" customHeight="1" x14ac:dyDescent="0.2">
      <c r="A479" s="26">
        <v>478</v>
      </c>
      <c r="B479" s="24">
        <v>478</v>
      </c>
      <c r="C479" s="24">
        <v>40</v>
      </c>
      <c r="D479" s="24">
        <f>VLOOKUP(C479,[1]Course!$A$1:$C$229, 2, FALSE)</f>
        <v>0</v>
      </c>
      <c r="E479" s="24">
        <v>71</v>
      </c>
      <c r="F479" s="24" t="s">
        <v>1110</v>
      </c>
      <c r="G479" s="24">
        <v>1</v>
      </c>
      <c r="H479" s="25">
        <v>0.8</v>
      </c>
      <c r="I479" s="24">
        <v>1</v>
      </c>
    </row>
    <row r="480" spans="1:9" ht="15.75" customHeight="1" x14ac:dyDescent="0.2">
      <c r="A480" s="26">
        <v>479</v>
      </c>
      <c r="B480" s="24">
        <v>479</v>
      </c>
      <c r="C480" s="24">
        <v>40</v>
      </c>
      <c r="D480" s="24">
        <f>VLOOKUP(C480,[1]Course!$A$1:$C$229, 2, FALSE)</f>
        <v>0</v>
      </c>
      <c r="E480" s="24">
        <v>72</v>
      </c>
      <c r="F480" s="24" t="s">
        <v>1109</v>
      </c>
      <c r="G480" s="24">
        <v>1</v>
      </c>
      <c r="H480" s="25">
        <v>0.8</v>
      </c>
      <c r="I480" s="24">
        <v>1</v>
      </c>
    </row>
    <row r="481" spans="1:9" ht="15.75" customHeight="1" x14ac:dyDescent="0.2">
      <c r="A481" s="26">
        <v>480</v>
      </c>
      <c r="B481" s="24">
        <v>480</v>
      </c>
      <c r="C481" s="24">
        <v>41</v>
      </c>
      <c r="D481" s="24" t="str">
        <f>VLOOKUP(C481,[1]Course!$A$1:$C$229, 2, FALSE)</f>
        <v>Science 6</v>
      </c>
      <c r="E481" s="24">
        <v>61</v>
      </c>
      <c r="F481" s="24" t="s">
        <v>1108</v>
      </c>
      <c r="G481" s="24">
        <v>1</v>
      </c>
      <c r="H481" s="25">
        <v>0.8</v>
      </c>
      <c r="I481" s="24">
        <v>1</v>
      </c>
    </row>
    <row r="482" spans="1:9" ht="15.75" customHeight="1" x14ac:dyDescent="0.2">
      <c r="A482" s="26">
        <v>481</v>
      </c>
      <c r="B482" s="24">
        <v>481</v>
      </c>
      <c r="C482" s="24">
        <v>41</v>
      </c>
      <c r="D482" s="24" t="str">
        <f>VLOOKUP(C482,[1]Course!$A$1:$C$229, 2, FALSE)</f>
        <v>Science 6</v>
      </c>
      <c r="E482" s="24">
        <v>62</v>
      </c>
      <c r="F482" s="24" t="s">
        <v>1107</v>
      </c>
      <c r="G482" s="24">
        <v>1</v>
      </c>
      <c r="H482" s="25">
        <v>0.8</v>
      </c>
      <c r="I482" s="24">
        <v>1</v>
      </c>
    </row>
    <row r="483" spans="1:9" ht="15.75" customHeight="1" x14ac:dyDescent="0.2">
      <c r="A483" s="26">
        <v>482</v>
      </c>
      <c r="B483" s="24">
        <v>482</v>
      </c>
      <c r="C483" s="24">
        <v>41</v>
      </c>
      <c r="D483" s="24" t="str">
        <f>VLOOKUP(C483,[1]Course!$A$1:$C$229, 2, FALSE)</f>
        <v>Science 6</v>
      </c>
      <c r="E483" s="24">
        <v>63</v>
      </c>
      <c r="F483" s="24" t="s">
        <v>1106</v>
      </c>
      <c r="G483" s="24">
        <v>1</v>
      </c>
      <c r="H483" s="25">
        <v>0.8</v>
      </c>
      <c r="I483" s="24">
        <v>1</v>
      </c>
    </row>
    <row r="484" spans="1:9" ht="15.75" customHeight="1" x14ac:dyDescent="0.2">
      <c r="A484" s="26">
        <v>483</v>
      </c>
      <c r="B484" s="24">
        <v>483</v>
      </c>
      <c r="C484" s="24">
        <v>41</v>
      </c>
      <c r="D484" s="24" t="str">
        <f>VLOOKUP(C484,[1]Course!$A$1:$C$229, 2, FALSE)</f>
        <v>Science 6</v>
      </c>
      <c r="E484" s="24">
        <v>64</v>
      </c>
      <c r="F484" s="24" t="s">
        <v>1105</v>
      </c>
      <c r="G484" s="24">
        <v>1</v>
      </c>
      <c r="H484" s="25">
        <v>0.8</v>
      </c>
      <c r="I484" s="24">
        <v>1</v>
      </c>
    </row>
    <row r="485" spans="1:9" ht="15.75" customHeight="1" x14ac:dyDescent="0.2">
      <c r="A485" s="26">
        <v>484</v>
      </c>
      <c r="B485" s="24">
        <v>484</v>
      </c>
      <c r="C485" s="24">
        <v>41</v>
      </c>
      <c r="D485" s="24" t="str">
        <f>VLOOKUP(C485,[1]Course!$A$1:$C$229, 2, FALSE)</f>
        <v>Science 6</v>
      </c>
      <c r="E485" s="24">
        <v>65</v>
      </c>
      <c r="F485" s="24" t="s">
        <v>1104</v>
      </c>
      <c r="G485" s="24">
        <v>1</v>
      </c>
      <c r="H485" s="25">
        <v>0.8</v>
      </c>
      <c r="I485" s="24">
        <v>1</v>
      </c>
    </row>
    <row r="486" spans="1:9" ht="15.75" customHeight="1" x14ac:dyDescent="0.2">
      <c r="A486" s="26">
        <v>485</v>
      </c>
      <c r="B486" s="24">
        <v>485</v>
      </c>
      <c r="C486" s="24">
        <v>41</v>
      </c>
      <c r="D486" s="24" t="str">
        <f>VLOOKUP(C486,[1]Course!$A$1:$C$229, 2, FALSE)</f>
        <v>Science 6</v>
      </c>
      <c r="E486" s="24">
        <v>66</v>
      </c>
      <c r="F486" s="24" t="s">
        <v>1103</v>
      </c>
      <c r="G486" s="24">
        <v>1</v>
      </c>
      <c r="H486" s="25">
        <v>0.8</v>
      </c>
      <c r="I486" s="24">
        <v>1</v>
      </c>
    </row>
    <row r="487" spans="1:9" ht="15.75" customHeight="1" x14ac:dyDescent="0.2">
      <c r="A487" s="26">
        <v>486</v>
      </c>
      <c r="B487" s="24">
        <v>486</v>
      </c>
      <c r="C487" s="24">
        <v>41</v>
      </c>
      <c r="D487" s="24" t="str">
        <f>VLOOKUP(C487,[1]Course!$A$1:$C$229, 2, FALSE)</f>
        <v>Science 6</v>
      </c>
      <c r="E487" s="24">
        <v>67</v>
      </c>
      <c r="F487" s="24" t="s">
        <v>1102</v>
      </c>
      <c r="G487" s="24">
        <v>1</v>
      </c>
      <c r="H487" s="25">
        <v>0.8</v>
      </c>
      <c r="I487" s="24">
        <v>1</v>
      </c>
    </row>
    <row r="488" spans="1:9" ht="15.75" customHeight="1" x14ac:dyDescent="0.2">
      <c r="A488" s="26">
        <v>487</v>
      </c>
      <c r="B488" s="24">
        <v>487</v>
      </c>
      <c r="C488" s="24">
        <v>41</v>
      </c>
      <c r="D488" s="24" t="str">
        <f>VLOOKUP(C488,[1]Course!$A$1:$C$229, 2, FALSE)</f>
        <v>Science 6</v>
      </c>
      <c r="E488" s="24">
        <v>68</v>
      </c>
      <c r="F488" s="24" t="s">
        <v>1101</v>
      </c>
      <c r="G488" s="24">
        <v>1</v>
      </c>
      <c r="H488" s="25">
        <v>0.8</v>
      </c>
      <c r="I488" s="24">
        <v>1</v>
      </c>
    </row>
    <row r="489" spans="1:9" ht="15.75" customHeight="1" x14ac:dyDescent="0.2">
      <c r="A489" s="26">
        <v>488</v>
      </c>
      <c r="B489" s="24">
        <v>488</v>
      </c>
      <c r="C489" s="24">
        <v>41</v>
      </c>
      <c r="D489" s="24" t="str">
        <f>VLOOKUP(C489,[1]Course!$A$1:$C$229, 2, FALSE)</f>
        <v>Science 6</v>
      </c>
      <c r="E489" s="24">
        <v>69</v>
      </c>
      <c r="F489" s="24" t="s">
        <v>1100</v>
      </c>
      <c r="G489" s="24">
        <v>1</v>
      </c>
      <c r="H489" s="25">
        <v>0.8</v>
      </c>
      <c r="I489" s="24">
        <v>1</v>
      </c>
    </row>
    <row r="490" spans="1:9" ht="15.75" customHeight="1" x14ac:dyDescent="0.2">
      <c r="A490" s="26">
        <v>489</v>
      </c>
      <c r="B490" s="24">
        <v>489</v>
      </c>
      <c r="C490" s="24">
        <v>41</v>
      </c>
      <c r="D490" s="24" t="str">
        <f>VLOOKUP(C490,[1]Course!$A$1:$C$229, 2, FALSE)</f>
        <v>Science 6</v>
      </c>
      <c r="E490" s="24">
        <v>70</v>
      </c>
      <c r="F490" s="24" t="s">
        <v>1099</v>
      </c>
      <c r="G490" s="24">
        <v>1</v>
      </c>
      <c r="H490" s="25">
        <v>0.8</v>
      </c>
      <c r="I490" s="24">
        <v>1</v>
      </c>
    </row>
    <row r="491" spans="1:9" ht="15.75" customHeight="1" x14ac:dyDescent="0.2">
      <c r="A491" s="26">
        <v>490</v>
      </c>
      <c r="B491" s="24">
        <v>490</v>
      </c>
      <c r="C491" s="24">
        <v>41</v>
      </c>
      <c r="D491" s="24" t="str">
        <f>VLOOKUP(C491,[1]Course!$A$1:$C$229, 2, FALSE)</f>
        <v>Science 6</v>
      </c>
      <c r="E491" s="24">
        <v>71</v>
      </c>
      <c r="F491" s="24" t="s">
        <v>1098</v>
      </c>
      <c r="G491" s="24">
        <v>1</v>
      </c>
      <c r="H491" s="25">
        <v>0.8</v>
      </c>
      <c r="I491" s="24">
        <v>1</v>
      </c>
    </row>
    <row r="492" spans="1:9" ht="15.75" customHeight="1" x14ac:dyDescent="0.2">
      <c r="A492" s="26">
        <v>491</v>
      </c>
      <c r="B492" s="24">
        <v>491</v>
      </c>
      <c r="C492" s="24">
        <v>41</v>
      </c>
      <c r="D492" s="24" t="str">
        <f>VLOOKUP(C492,[1]Course!$A$1:$C$229, 2, FALSE)</f>
        <v>Science 6</v>
      </c>
      <c r="E492" s="24">
        <v>72</v>
      </c>
      <c r="F492" s="24" t="s">
        <v>1097</v>
      </c>
      <c r="G492" s="24">
        <v>1</v>
      </c>
      <c r="H492" s="25">
        <v>0.8</v>
      </c>
      <c r="I492" s="24">
        <v>1</v>
      </c>
    </row>
    <row r="493" spans="1:9" ht="15.75" customHeight="1" x14ac:dyDescent="0.2">
      <c r="A493" s="26">
        <v>492</v>
      </c>
      <c r="B493" s="24">
        <v>492</v>
      </c>
      <c r="C493" s="24">
        <v>42</v>
      </c>
      <c r="D493" s="24">
        <f>VLOOKUP(C493,[1]Course!$A$1:$C$229, 2, FALSE)</f>
        <v>0</v>
      </c>
      <c r="E493" s="24">
        <v>61</v>
      </c>
      <c r="F493" s="24" t="s">
        <v>1096</v>
      </c>
      <c r="G493" s="24">
        <v>1</v>
      </c>
      <c r="H493" s="25">
        <v>0.8</v>
      </c>
      <c r="I493" s="24">
        <v>1</v>
      </c>
    </row>
    <row r="494" spans="1:9" ht="15.75" customHeight="1" x14ac:dyDescent="0.2">
      <c r="A494" s="26">
        <v>493</v>
      </c>
      <c r="B494" s="24">
        <v>493</v>
      </c>
      <c r="C494" s="24">
        <v>42</v>
      </c>
      <c r="D494" s="24">
        <f>VLOOKUP(C494,[1]Course!$A$1:$C$229, 2, FALSE)</f>
        <v>0</v>
      </c>
      <c r="E494" s="24">
        <v>62</v>
      </c>
      <c r="F494" s="24" t="s">
        <v>1095</v>
      </c>
      <c r="G494" s="24">
        <v>1</v>
      </c>
      <c r="H494" s="25">
        <v>0.8</v>
      </c>
      <c r="I494" s="24">
        <v>1</v>
      </c>
    </row>
    <row r="495" spans="1:9" ht="15.75" customHeight="1" x14ac:dyDescent="0.2">
      <c r="A495" s="26">
        <v>494</v>
      </c>
      <c r="B495" s="24">
        <v>494</v>
      </c>
      <c r="C495" s="24">
        <v>42</v>
      </c>
      <c r="D495" s="24">
        <f>VLOOKUP(C495,[1]Course!$A$1:$C$229, 2, FALSE)</f>
        <v>0</v>
      </c>
      <c r="E495" s="24">
        <v>63</v>
      </c>
      <c r="F495" s="24" t="s">
        <v>1094</v>
      </c>
      <c r="G495" s="24">
        <v>1</v>
      </c>
      <c r="H495" s="25">
        <v>0.8</v>
      </c>
      <c r="I495" s="24">
        <v>1</v>
      </c>
    </row>
    <row r="496" spans="1:9" ht="15.75" customHeight="1" x14ac:dyDescent="0.2">
      <c r="A496" s="26">
        <v>495</v>
      </c>
      <c r="B496" s="24">
        <v>495</v>
      </c>
      <c r="C496" s="24">
        <v>42</v>
      </c>
      <c r="D496" s="24">
        <f>VLOOKUP(C496,[1]Course!$A$1:$C$229, 2, FALSE)</f>
        <v>0</v>
      </c>
      <c r="E496" s="24">
        <v>64</v>
      </c>
      <c r="F496" s="24" t="s">
        <v>1093</v>
      </c>
      <c r="G496" s="24">
        <v>1</v>
      </c>
      <c r="H496" s="25">
        <v>0.8</v>
      </c>
      <c r="I496" s="24">
        <v>1</v>
      </c>
    </row>
    <row r="497" spans="1:9" ht="15.75" customHeight="1" x14ac:dyDescent="0.2">
      <c r="A497" s="26">
        <v>496</v>
      </c>
      <c r="B497" s="24">
        <v>496</v>
      </c>
      <c r="C497" s="24">
        <v>42</v>
      </c>
      <c r="D497" s="24">
        <f>VLOOKUP(C497,[1]Course!$A$1:$C$229, 2, FALSE)</f>
        <v>0</v>
      </c>
      <c r="E497" s="24">
        <v>65</v>
      </c>
      <c r="F497" s="24" t="s">
        <v>1092</v>
      </c>
      <c r="G497" s="24">
        <v>1</v>
      </c>
      <c r="H497" s="25">
        <v>0.8</v>
      </c>
      <c r="I497" s="24">
        <v>1</v>
      </c>
    </row>
    <row r="498" spans="1:9" ht="15.75" customHeight="1" x14ac:dyDescent="0.2">
      <c r="A498" s="26">
        <v>497</v>
      </c>
      <c r="B498" s="24">
        <v>497</v>
      </c>
      <c r="C498" s="24">
        <v>42</v>
      </c>
      <c r="D498" s="24">
        <f>VLOOKUP(C498,[1]Course!$A$1:$C$229, 2, FALSE)</f>
        <v>0</v>
      </c>
      <c r="E498" s="24">
        <v>66</v>
      </c>
      <c r="F498" s="24" t="s">
        <v>1091</v>
      </c>
      <c r="G498" s="24">
        <v>1</v>
      </c>
      <c r="H498" s="25">
        <v>0.8</v>
      </c>
      <c r="I498" s="24">
        <v>1</v>
      </c>
    </row>
    <row r="499" spans="1:9" ht="15.75" customHeight="1" x14ac:dyDescent="0.2">
      <c r="A499" s="26">
        <v>498</v>
      </c>
      <c r="B499" s="24">
        <v>498</v>
      </c>
      <c r="C499" s="24">
        <v>42</v>
      </c>
      <c r="D499" s="24">
        <f>VLOOKUP(C499,[1]Course!$A$1:$C$229, 2, FALSE)</f>
        <v>0</v>
      </c>
      <c r="E499" s="24">
        <v>67</v>
      </c>
      <c r="F499" s="24" t="s">
        <v>1090</v>
      </c>
      <c r="G499" s="24">
        <v>1</v>
      </c>
      <c r="H499" s="25">
        <v>0.8</v>
      </c>
      <c r="I499" s="24">
        <v>1</v>
      </c>
    </row>
    <row r="500" spans="1:9" ht="15.75" customHeight="1" x14ac:dyDescent="0.2">
      <c r="A500" s="26">
        <v>499</v>
      </c>
      <c r="B500" s="24">
        <v>499</v>
      </c>
      <c r="C500" s="24">
        <v>42</v>
      </c>
      <c r="D500" s="24">
        <f>VLOOKUP(C500,[1]Course!$A$1:$C$229, 2, FALSE)</f>
        <v>0</v>
      </c>
      <c r="E500" s="24">
        <v>68</v>
      </c>
      <c r="F500" s="24" t="s">
        <v>1089</v>
      </c>
      <c r="G500" s="24">
        <v>1</v>
      </c>
      <c r="H500" s="25">
        <v>0.8</v>
      </c>
      <c r="I500" s="24">
        <v>1</v>
      </c>
    </row>
    <row r="501" spans="1:9" ht="15.75" customHeight="1" x14ac:dyDescent="0.2">
      <c r="A501" s="26">
        <v>500</v>
      </c>
      <c r="B501" s="24">
        <v>500</v>
      </c>
      <c r="C501" s="24">
        <v>42</v>
      </c>
      <c r="D501" s="24">
        <f>VLOOKUP(C501,[1]Course!$A$1:$C$229, 2, FALSE)</f>
        <v>0</v>
      </c>
      <c r="E501" s="24">
        <v>69</v>
      </c>
      <c r="F501" s="24" t="s">
        <v>1088</v>
      </c>
      <c r="G501" s="24">
        <v>1</v>
      </c>
      <c r="H501" s="25">
        <v>0.8</v>
      </c>
      <c r="I501" s="24">
        <v>1</v>
      </c>
    </row>
    <row r="502" spans="1:9" ht="15.75" customHeight="1" x14ac:dyDescent="0.2">
      <c r="A502" s="26">
        <v>501</v>
      </c>
      <c r="B502" s="24">
        <v>501</v>
      </c>
      <c r="C502" s="24">
        <v>42</v>
      </c>
      <c r="D502" s="24">
        <f>VLOOKUP(C502,[1]Course!$A$1:$C$229, 2, FALSE)</f>
        <v>0</v>
      </c>
      <c r="E502" s="24">
        <v>70</v>
      </c>
      <c r="F502" s="24" t="s">
        <v>1087</v>
      </c>
      <c r="G502" s="24">
        <v>1</v>
      </c>
      <c r="H502" s="25">
        <v>0.8</v>
      </c>
      <c r="I502" s="24">
        <v>1</v>
      </c>
    </row>
    <row r="503" spans="1:9" ht="15.75" customHeight="1" x14ac:dyDescent="0.2">
      <c r="A503" s="26">
        <v>502</v>
      </c>
      <c r="B503" s="24">
        <v>502</v>
      </c>
      <c r="C503" s="24">
        <v>42</v>
      </c>
      <c r="D503" s="24">
        <f>VLOOKUP(C503,[1]Course!$A$1:$C$229, 2, FALSE)</f>
        <v>0</v>
      </c>
      <c r="E503" s="24">
        <v>71</v>
      </c>
      <c r="F503" s="24" t="s">
        <v>1086</v>
      </c>
      <c r="G503" s="24">
        <v>1</v>
      </c>
      <c r="H503" s="25">
        <v>0.8</v>
      </c>
      <c r="I503" s="24">
        <v>1</v>
      </c>
    </row>
    <row r="504" spans="1:9" ht="15.75" customHeight="1" x14ac:dyDescent="0.2">
      <c r="A504" s="26">
        <v>503</v>
      </c>
      <c r="B504" s="24">
        <v>503</v>
      </c>
      <c r="C504" s="24">
        <v>42</v>
      </c>
      <c r="D504" s="24">
        <f>VLOOKUP(C504,[1]Course!$A$1:$C$229, 2, FALSE)</f>
        <v>0</v>
      </c>
      <c r="E504" s="24">
        <v>72</v>
      </c>
      <c r="F504" s="24" t="s">
        <v>1085</v>
      </c>
      <c r="G504" s="24">
        <v>1</v>
      </c>
      <c r="H504" s="25">
        <v>0.8</v>
      </c>
      <c r="I504" s="24">
        <v>1</v>
      </c>
    </row>
    <row r="505" spans="1:9" ht="15.75" customHeight="1" x14ac:dyDescent="0.2">
      <c r="A505" s="26">
        <v>504</v>
      </c>
      <c r="B505" s="24">
        <v>504</v>
      </c>
      <c r="C505" s="24">
        <v>43</v>
      </c>
      <c r="D505" s="24">
        <f>VLOOKUP(C505,[1]Course!$A$1:$C$229, 2, FALSE)</f>
        <v>0</v>
      </c>
      <c r="E505" s="24">
        <v>61</v>
      </c>
      <c r="F505" s="24" t="s">
        <v>1084</v>
      </c>
      <c r="G505" s="24">
        <v>1</v>
      </c>
      <c r="H505" s="25">
        <v>0.8</v>
      </c>
      <c r="I505" s="24">
        <v>1</v>
      </c>
    </row>
    <row r="506" spans="1:9" ht="15.75" customHeight="1" x14ac:dyDescent="0.2">
      <c r="A506" s="26">
        <v>505</v>
      </c>
      <c r="B506" s="24">
        <v>505</v>
      </c>
      <c r="C506" s="24">
        <v>43</v>
      </c>
      <c r="D506" s="24">
        <f>VLOOKUP(C506,[1]Course!$A$1:$C$229, 2, FALSE)</f>
        <v>0</v>
      </c>
      <c r="E506" s="24">
        <v>62</v>
      </c>
      <c r="F506" s="24" t="s">
        <v>1083</v>
      </c>
      <c r="G506" s="24">
        <v>1</v>
      </c>
      <c r="H506" s="25">
        <v>0.8</v>
      </c>
      <c r="I506" s="24">
        <v>1</v>
      </c>
    </row>
    <row r="507" spans="1:9" ht="15.75" customHeight="1" x14ac:dyDescent="0.2">
      <c r="A507" s="26">
        <v>506</v>
      </c>
      <c r="B507" s="24">
        <v>506</v>
      </c>
      <c r="C507" s="24">
        <v>43</v>
      </c>
      <c r="D507" s="24">
        <f>VLOOKUP(C507,[1]Course!$A$1:$C$229, 2, FALSE)</f>
        <v>0</v>
      </c>
      <c r="E507" s="24">
        <v>63</v>
      </c>
      <c r="F507" s="24" t="s">
        <v>1082</v>
      </c>
      <c r="G507" s="24">
        <v>1</v>
      </c>
      <c r="H507" s="25">
        <v>0.8</v>
      </c>
      <c r="I507" s="24">
        <v>1</v>
      </c>
    </row>
    <row r="508" spans="1:9" ht="15.75" customHeight="1" x14ac:dyDescent="0.2">
      <c r="A508" s="26">
        <v>507</v>
      </c>
      <c r="B508" s="24">
        <v>507</v>
      </c>
      <c r="C508" s="24">
        <v>43</v>
      </c>
      <c r="D508" s="24">
        <f>VLOOKUP(C508,[1]Course!$A$1:$C$229, 2, FALSE)</f>
        <v>0</v>
      </c>
      <c r="E508" s="24">
        <v>64</v>
      </c>
      <c r="F508" s="24" t="s">
        <v>1081</v>
      </c>
      <c r="G508" s="24">
        <v>1</v>
      </c>
      <c r="H508" s="25">
        <v>0.8</v>
      </c>
      <c r="I508" s="24">
        <v>1</v>
      </c>
    </row>
    <row r="509" spans="1:9" ht="15.75" customHeight="1" x14ac:dyDescent="0.2">
      <c r="A509" s="26">
        <v>508</v>
      </c>
      <c r="B509" s="24">
        <v>508</v>
      </c>
      <c r="C509" s="24">
        <v>43</v>
      </c>
      <c r="D509" s="24">
        <f>VLOOKUP(C509,[1]Course!$A$1:$C$229, 2, FALSE)</f>
        <v>0</v>
      </c>
      <c r="E509" s="24">
        <v>65</v>
      </c>
      <c r="F509" s="24" t="s">
        <v>1080</v>
      </c>
      <c r="G509" s="24">
        <v>1</v>
      </c>
      <c r="H509" s="25">
        <v>0.8</v>
      </c>
      <c r="I509" s="24">
        <v>1</v>
      </c>
    </row>
    <row r="510" spans="1:9" ht="15.75" customHeight="1" x14ac:dyDescent="0.2">
      <c r="A510" s="26">
        <v>509</v>
      </c>
      <c r="B510" s="24">
        <v>509</v>
      </c>
      <c r="C510" s="24">
        <v>43</v>
      </c>
      <c r="D510" s="24">
        <f>VLOOKUP(C510,[1]Course!$A$1:$C$229, 2, FALSE)</f>
        <v>0</v>
      </c>
      <c r="E510" s="24">
        <v>66</v>
      </c>
      <c r="F510" s="24" t="s">
        <v>1079</v>
      </c>
      <c r="G510" s="24">
        <v>1</v>
      </c>
      <c r="H510" s="25">
        <v>0.8</v>
      </c>
      <c r="I510" s="24">
        <v>1</v>
      </c>
    </row>
    <row r="511" spans="1:9" ht="15.75" customHeight="1" x14ac:dyDescent="0.2">
      <c r="A511" s="26">
        <v>510</v>
      </c>
      <c r="B511" s="24">
        <v>510</v>
      </c>
      <c r="C511" s="24">
        <v>43</v>
      </c>
      <c r="D511" s="24">
        <f>VLOOKUP(C511,[1]Course!$A$1:$C$229, 2, FALSE)</f>
        <v>0</v>
      </c>
      <c r="E511" s="24">
        <v>67</v>
      </c>
      <c r="F511" s="24" t="s">
        <v>1078</v>
      </c>
      <c r="G511" s="24">
        <v>1</v>
      </c>
      <c r="H511" s="25">
        <v>0.8</v>
      </c>
      <c r="I511" s="24">
        <v>1</v>
      </c>
    </row>
    <row r="512" spans="1:9" ht="15.75" customHeight="1" x14ac:dyDescent="0.2">
      <c r="A512" s="26">
        <v>511</v>
      </c>
      <c r="B512" s="24">
        <v>511</v>
      </c>
      <c r="C512" s="24">
        <v>43</v>
      </c>
      <c r="D512" s="24">
        <f>VLOOKUP(C512,[1]Course!$A$1:$C$229, 2, FALSE)</f>
        <v>0</v>
      </c>
      <c r="E512" s="24">
        <v>68</v>
      </c>
      <c r="F512" s="24" t="s">
        <v>1077</v>
      </c>
      <c r="G512" s="24">
        <v>1</v>
      </c>
      <c r="H512" s="25">
        <v>0.8</v>
      </c>
      <c r="I512" s="24">
        <v>1</v>
      </c>
    </row>
    <row r="513" spans="1:9" ht="15.75" customHeight="1" x14ac:dyDescent="0.2">
      <c r="A513" s="26">
        <v>512</v>
      </c>
      <c r="B513" s="24">
        <v>512</v>
      </c>
      <c r="C513" s="24">
        <v>43</v>
      </c>
      <c r="D513" s="24">
        <f>VLOOKUP(C513,[1]Course!$A$1:$C$229, 2, FALSE)</f>
        <v>0</v>
      </c>
      <c r="E513" s="24">
        <v>69</v>
      </c>
      <c r="F513" s="24" t="s">
        <v>1076</v>
      </c>
      <c r="G513" s="24">
        <v>1</v>
      </c>
      <c r="H513" s="25">
        <v>0.8</v>
      </c>
      <c r="I513" s="24">
        <v>1</v>
      </c>
    </row>
    <row r="514" spans="1:9" ht="15.75" customHeight="1" x14ac:dyDescent="0.2">
      <c r="A514" s="26">
        <v>513</v>
      </c>
      <c r="B514" s="24">
        <v>513</v>
      </c>
      <c r="C514" s="24">
        <v>43</v>
      </c>
      <c r="D514" s="24">
        <f>VLOOKUP(C514,[1]Course!$A$1:$C$229, 2, FALSE)</f>
        <v>0</v>
      </c>
      <c r="E514" s="24">
        <v>70</v>
      </c>
      <c r="F514" s="24" t="s">
        <v>1075</v>
      </c>
      <c r="G514" s="24">
        <v>1</v>
      </c>
      <c r="H514" s="25">
        <v>0.8</v>
      </c>
      <c r="I514" s="24">
        <v>1</v>
      </c>
    </row>
    <row r="515" spans="1:9" ht="15.75" customHeight="1" x14ac:dyDescent="0.2">
      <c r="A515" s="26">
        <v>514</v>
      </c>
      <c r="B515" s="24">
        <v>514</v>
      </c>
      <c r="C515" s="24">
        <v>43</v>
      </c>
      <c r="D515" s="24">
        <f>VLOOKUP(C515,[1]Course!$A$1:$C$229, 2, FALSE)</f>
        <v>0</v>
      </c>
      <c r="E515" s="24">
        <v>71</v>
      </c>
      <c r="F515" s="24" t="s">
        <v>1074</v>
      </c>
      <c r="G515" s="24">
        <v>1</v>
      </c>
      <c r="H515" s="25">
        <v>0.8</v>
      </c>
      <c r="I515" s="24">
        <v>1</v>
      </c>
    </row>
    <row r="516" spans="1:9" ht="15.75" customHeight="1" x14ac:dyDescent="0.2">
      <c r="A516" s="26">
        <v>515</v>
      </c>
      <c r="B516" s="24">
        <v>515</v>
      </c>
      <c r="C516" s="24">
        <v>43</v>
      </c>
      <c r="D516" s="24">
        <f>VLOOKUP(C516,[1]Course!$A$1:$C$229, 2, FALSE)</f>
        <v>0</v>
      </c>
      <c r="E516" s="24">
        <v>72</v>
      </c>
      <c r="F516" s="24" t="s">
        <v>1073</v>
      </c>
      <c r="G516" s="24">
        <v>1</v>
      </c>
      <c r="H516" s="25">
        <v>0.8</v>
      </c>
      <c r="I516" s="24">
        <v>1</v>
      </c>
    </row>
    <row r="517" spans="1:9" ht="15.75" customHeight="1" x14ac:dyDescent="0.2">
      <c r="A517" s="26">
        <v>516</v>
      </c>
      <c r="B517" s="24">
        <v>516</v>
      </c>
      <c r="C517" s="24">
        <v>44</v>
      </c>
      <c r="D517" s="24">
        <f>VLOOKUP(C517,[1]Course!$A$1:$C$229, 2, FALSE)</f>
        <v>0</v>
      </c>
      <c r="E517" s="24">
        <v>73</v>
      </c>
      <c r="F517" s="24" t="s">
        <v>1072</v>
      </c>
      <c r="G517" s="24">
        <v>1</v>
      </c>
      <c r="H517" s="25">
        <v>0.8</v>
      </c>
      <c r="I517" s="24">
        <v>1</v>
      </c>
    </row>
    <row r="518" spans="1:9" ht="15.75" customHeight="1" x14ac:dyDescent="0.2">
      <c r="A518" s="26">
        <v>517</v>
      </c>
      <c r="B518" s="24">
        <v>517</v>
      </c>
      <c r="C518" s="24">
        <v>44</v>
      </c>
      <c r="D518" s="24">
        <f>VLOOKUP(C518,[1]Course!$A$1:$C$229, 2, FALSE)</f>
        <v>0</v>
      </c>
      <c r="E518" s="24">
        <v>74</v>
      </c>
      <c r="F518" s="24" t="s">
        <v>1071</v>
      </c>
      <c r="G518" s="24">
        <v>1</v>
      </c>
      <c r="H518" s="25">
        <v>0.8</v>
      </c>
      <c r="I518" s="24">
        <v>1</v>
      </c>
    </row>
    <row r="519" spans="1:9" ht="15.75" customHeight="1" x14ac:dyDescent="0.2">
      <c r="A519" s="26">
        <v>518</v>
      </c>
      <c r="B519" s="24">
        <v>518</v>
      </c>
      <c r="C519" s="24">
        <v>44</v>
      </c>
      <c r="D519" s="24">
        <f>VLOOKUP(C519,[1]Course!$A$1:$C$229, 2, FALSE)</f>
        <v>0</v>
      </c>
      <c r="E519" s="24">
        <v>75</v>
      </c>
      <c r="F519" s="24" t="s">
        <v>1070</v>
      </c>
      <c r="G519" s="24">
        <v>1</v>
      </c>
      <c r="H519" s="25">
        <v>0.8</v>
      </c>
      <c r="I519" s="24">
        <v>1</v>
      </c>
    </row>
    <row r="520" spans="1:9" ht="15.75" customHeight="1" x14ac:dyDescent="0.2">
      <c r="A520" s="26">
        <v>519</v>
      </c>
      <c r="B520" s="24">
        <v>519</v>
      </c>
      <c r="C520" s="24">
        <v>44</v>
      </c>
      <c r="D520" s="24">
        <f>VLOOKUP(C520,[1]Course!$A$1:$C$229, 2, FALSE)</f>
        <v>0</v>
      </c>
      <c r="E520" s="24">
        <v>76</v>
      </c>
      <c r="F520" s="24" t="s">
        <v>1069</v>
      </c>
      <c r="G520" s="24">
        <v>1</v>
      </c>
      <c r="H520" s="25">
        <v>0.8</v>
      </c>
      <c r="I520" s="24">
        <v>1</v>
      </c>
    </row>
    <row r="521" spans="1:9" ht="15.75" customHeight="1" x14ac:dyDescent="0.2">
      <c r="A521" s="26">
        <v>520</v>
      </c>
      <c r="B521" s="24">
        <v>520</v>
      </c>
      <c r="C521" s="24">
        <v>44</v>
      </c>
      <c r="D521" s="24">
        <f>VLOOKUP(C521,[1]Course!$A$1:$C$229, 2, FALSE)</f>
        <v>0</v>
      </c>
      <c r="E521" s="24">
        <v>77</v>
      </c>
      <c r="F521" s="24" t="s">
        <v>1068</v>
      </c>
      <c r="G521" s="24">
        <v>1</v>
      </c>
      <c r="H521" s="25">
        <v>0.8</v>
      </c>
      <c r="I521" s="24">
        <v>1</v>
      </c>
    </row>
    <row r="522" spans="1:9" ht="15.75" customHeight="1" x14ac:dyDescent="0.2">
      <c r="A522" s="26">
        <v>521</v>
      </c>
      <c r="B522" s="24">
        <v>521</v>
      </c>
      <c r="C522" s="24">
        <v>44</v>
      </c>
      <c r="D522" s="24">
        <f>VLOOKUP(C522,[1]Course!$A$1:$C$229, 2, FALSE)</f>
        <v>0</v>
      </c>
      <c r="E522" s="24">
        <v>78</v>
      </c>
      <c r="F522" s="24" t="s">
        <v>1067</v>
      </c>
      <c r="G522" s="24">
        <v>1</v>
      </c>
      <c r="H522" s="25">
        <v>0.8</v>
      </c>
      <c r="I522" s="24">
        <v>1</v>
      </c>
    </row>
    <row r="523" spans="1:9" ht="15.75" customHeight="1" x14ac:dyDescent="0.2">
      <c r="A523" s="26">
        <v>522</v>
      </c>
      <c r="B523" s="24">
        <v>522</v>
      </c>
      <c r="C523" s="24">
        <v>44</v>
      </c>
      <c r="D523" s="24">
        <f>VLOOKUP(C523,[1]Course!$A$1:$C$229, 2, FALSE)</f>
        <v>0</v>
      </c>
      <c r="E523" s="24">
        <v>79</v>
      </c>
      <c r="F523" s="24" t="s">
        <v>1066</v>
      </c>
      <c r="G523" s="24">
        <v>1</v>
      </c>
      <c r="H523" s="25">
        <v>0.8</v>
      </c>
      <c r="I523" s="24">
        <v>1</v>
      </c>
    </row>
    <row r="524" spans="1:9" ht="15.75" customHeight="1" x14ac:dyDescent="0.2">
      <c r="A524" s="26">
        <v>523</v>
      </c>
      <c r="B524" s="24">
        <v>523</v>
      </c>
      <c r="C524" s="24">
        <v>44</v>
      </c>
      <c r="D524" s="24">
        <f>VLOOKUP(C524,[1]Course!$A$1:$C$229, 2, FALSE)</f>
        <v>0</v>
      </c>
      <c r="E524" s="24">
        <v>80</v>
      </c>
      <c r="F524" s="24" t="s">
        <v>1065</v>
      </c>
      <c r="G524" s="24">
        <v>1</v>
      </c>
      <c r="H524" s="25">
        <v>0.8</v>
      </c>
      <c r="I524" s="24">
        <v>1</v>
      </c>
    </row>
    <row r="525" spans="1:9" ht="15.75" customHeight="1" x14ac:dyDescent="0.2">
      <c r="A525" s="26">
        <v>524</v>
      </c>
      <c r="B525" s="24">
        <v>524</v>
      </c>
      <c r="C525" s="24">
        <v>44</v>
      </c>
      <c r="D525" s="24">
        <f>VLOOKUP(C525,[1]Course!$A$1:$C$229, 2, FALSE)</f>
        <v>0</v>
      </c>
      <c r="E525" s="24">
        <v>81</v>
      </c>
      <c r="F525" s="24" t="s">
        <v>1064</v>
      </c>
      <c r="G525" s="24">
        <v>1</v>
      </c>
      <c r="H525" s="25">
        <v>0.8</v>
      </c>
      <c r="I525" s="24">
        <v>1</v>
      </c>
    </row>
    <row r="526" spans="1:9" ht="15.75" customHeight="1" x14ac:dyDescent="0.2">
      <c r="A526" s="26">
        <v>525</v>
      </c>
      <c r="B526" s="24">
        <v>525</v>
      </c>
      <c r="C526" s="24">
        <v>44</v>
      </c>
      <c r="D526" s="24">
        <f>VLOOKUP(C526,[1]Course!$A$1:$C$229, 2, FALSE)</f>
        <v>0</v>
      </c>
      <c r="E526" s="24">
        <v>82</v>
      </c>
      <c r="F526" s="24" t="s">
        <v>1063</v>
      </c>
      <c r="G526" s="24">
        <v>1</v>
      </c>
      <c r="H526" s="25">
        <v>0.8</v>
      </c>
      <c r="I526" s="24">
        <v>1</v>
      </c>
    </row>
    <row r="527" spans="1:9" ht="15.75" customHeight="1" x14ac:dyDescent="0.2">
      <c r="A527" s="26">
        <v>526</v>
      </c>
      <c r="B527" s="24">
        <v>526</v>
      </c>
      <c r="C527" s="24">
        <v>44</v>
      </c>
      <c r="D527" s="24">
        <f>VLOOKUP(C527,[1]Course!$A$1:$C$229, 2, FALSE)</f>
        <v>0</v>
      </c>
      <c r="E527" s="24">
        <v>83</v>
      </c>
      <c r="F527" s="24" t="s">
        <v>1062</v>
      </c>
      <c r="G527" s="24">
        <v>1</v>
      </c>
      <c r="H527" s="25">
        <v>0.8</v>
      </c>
      <c r="I527" s="24">
        <v>1</v>
      </c>
    </row>
    <row r="528" spans="1:9" ht="15.75" customHeight="1" x14ac:dyDescent="0.2">
      <c r="A528" s="26">
        <v>527</v>
      </c>
      <c r="B528" s="24">
        <v>527</v>
      </c>
      <c r="C528" s="24">
        <v>44</v>
      </c>
      <c r="D528" s="24">
        <f>VLOOKUP(C528,[1]Course!$A$1:$C$229, 2, FALSE)</f>
        <v>0</v>
      </c>
      <c r="E528" s="24">
        <v>84</v>
      </c>
      <c r="F528" s="24" t="s">
        <v>1061</v>
      </c>
      <c r="G528" s="24">
        <v>1</v>
      </c>
      <c r="H528" s="25">
        <v>0.8</v>
      </c>
      <c r="I528" s="24">
        <v>1</v>
      </c>
    </row>
    <row r="529" spans="1:9" ht="15.75" customHeight="1" x14ac:dyDescent="0.2">
      <c r="A529" s="26">
        <v>528</v>
      </c>
      <c r="B529" s="24">
        <v>528</v>
      </c>
      <c r="C529" s="24">
        <v>45</v>
      </c>
      <c r="D529" s="24">
        <f>VLOOKUP(C529,[1]Course!$A$1:$C$229, 2, FALSE)</f>
        <v>0</v>
      </c>
      <c r="E529" s="24">
        <v>73</v>
      </c>
      <c r="F529" s="24" t="s">
        <v>1060</v>
      </c>
      <c r="G529" s="24">
        <v>1</v>
      </c>
      <c r="H529" s="25">
        <v>0.8</v>
      </c>
      <c r="I529" s="24">
        <v>1</v>
      </c>
    </row>
    <row r="530" spans="1:9" ht="15.75" customHeight="1" x14ac:dyDescent="0.2">
      <c r="A530" s="26">
        <v>529</v>
      </c>
      <c r="B530" s="24">
        <v>529</v>
      </c>
      <c r="C530" s="24">
        <v>45</v>
      </c>
      <c r="D530" s="24">
        <f>VLOOKUP(C530,[1]Course!$A$1:$C$229, 2, FALSE)</f>
        <v>0</v>
      </c>
      <c r="E530" s="24">
        <v>74</v>
      </c>
      <c r="F530" s="24" t="s">
        <v>1059</v>
      </c>
      <c r="G530" s="24">
        <v>1</v>
      </c>
      <c r="H530" s="25">
        <v>0.8</v>
      </c>
      <c r="I530" s="24">
        <v>1</v>
      </c>
    </row>
    <row r="531" spans="1:9" ht="15.75" customHeight="1" x14ac:dyDescent="0.2">
      <c r="A531" s="26">
        <v>530</v>
      </c>
      <c r="B531" s="24">
        <v>530</v>
      </c>
      <c r="C531" s="24">
        <v>45</v>
      </c>
      <c r="D531" s="24">
        <f>VLOOKUP(C531,[1]Course!$A$1:$C$229, 2, FALSE)</f>
        <v>0</v>
      </c>
      <c r="E531" s="24">
        <v>75</v>
      </c>
      <c r="F531" s="24" t="s">
        <v>1058</v>
      </c>
      <c r="G531" s="24">
        <v>1</v>
      </c>
      <c r="H531" s="25">
        <v>0.8</v>
      </c>
      <c r="I531" s="24">
        <v>1</v>
      </c>
    </row>
    <row r="532" spans="1:9" ht="15.75" customHeight="1" x14ac:dyDescent="0.2">
      <c r="A532" s="26">
        <v>531</v>
      </c>
      <c r="B532" s="24">
        <v>531</v>
      </c>
      <c r="C532" s="24">
        <v>45</v>
      </c>
      <c r="D532" s="24">
        <f>VLOOKUP(C532,[1]Course!$A$1:$C$229, 2, FALSE)</f>
        <v>0</v>
      </c>
      <c r="E532" s="24">
        <v>76</v>
      </c>
      <c r="F532" s="24" t="s">
        <v>1057</v>
      </c>
      <c r="G532" s="24">
        <v>1</v>
      </c>
      <c r="H532" s="25">
        <v>0.8</v>
      </c>
      <c r="I532" s="24">
        <v>1</v>
      </c>
    </row>
    <row r="533" spans="1:9" ht="15.75" customHeight="1" x14ac:dyDescent="0.2">
      <c r="A533" s="26">
        <v>532</v>
      </c>
      <c r="B533" s="24">
        <v>532</v>
      </c>
      <c r="C533" s="24">
        <v>45</v>
      </c>
      <c r="D533" s="24">
        <f>VLOOKUP(C533,[1]Course!$A$1:$C$229, 2, FALSE)</f>
        <v>0</v>
      </c>
      <c r="E533" s="24">
        <v>77</v>
      </c>
      <c r="F533" s="24" t="s">
        <v>1056</v>
      </c>
      <c r="G533" s="24">
        <v>1</v>
      </c>
      <c r="H533" s="25">
        <v>0.8</v>
      </c>
      <c r="I533" s="24">
        <v>1</v>
      </c>
    </row>
    <row r="534" spans="1:9" ht="15.75" customHeight="1" x14ac:dyDescent="0.2">
      <c r="A534" s="26">
        <v>533</v>
      </c>
      <c r="B534" s="24">
        <v>533</v>
      </c>
      <c r="C534" s="24">
        <v>45</v>
      </c>
      <c r="D534" s="24">
        <f>VLOOKUP(C534,[1]Course!$A$1:$C$229, 2, FALSE)</f>
        <v>0</v>
      </c>
      <c r="E534" s="24">
        <v>78</v>
      </c>
      <c r="F534" s="24" t="s">
        <v>1055</v>
      </c>
      <c r="G534" s="24">
        <v>1</v>
      </c>
      <c r="H534" s="25">
        <v>0.8</v>
      </c>
      <c r="I534" s="24">
        <v>1</v>
      </c>
    </row>
    <row r="535" spans="1:9" ht="15.75" customHeight="1" x14ac:dyDescent="0.2">
      <c r="A535" s="26">
        <v>534</v>
      </c>
      <c r="B535" s="24">
        <v>534</v>
      </c>
      <c r="C535" s="24">
        <v>45</v>
      </c>
      <c r="D535" s="24">
        <f>VLOOKUP(C535,[1]Course!$A$1:$C$229, 2, FALSE)</f>
        <v>0</v>
      </c>
      <c r="E535" s="24">
        <v>79</v>
      </c>
      <c r="F535" s="24" t="s">
        <v>1054</v>
      </c>
      <c r="G535" s="24">
        <v>1</v>
      </c>
      <c r="H535" s="25">
        <v>0.8</v>
      </c>
      <c r="I535" s="24">
        <v>1</v>
      </c>
    </row>
    <row r="536" spans="1:9" ht="15.75" customHeight="1" x14ac:dyDescent="0.2">
      <c r="A536" s="26">
        <v>535</v>
      </c>
      <c r="B536" s="24">
        <v>535</v>
      </c>
      <c r="C536" s="24">
        <v>45</v>
      </c>
      <c r="D536" s="24">
        <f>VLOOKUP(C536,[1]Course!$A$1:$C$229, 2, FALSE)</f>
        <v>0</v>
      </c>
      <c r="E536" s="24">
        <v>80</v>
      </c>
      <c r="F536" s="24" t="s">
        <v>1053</v>
      </c>
      <c r="G536" s="24">
        <v>1</v>
      </c>
      <c r="H536" s="25">
        <v>0.8</v>
      </c>
      <c r="I536" s="24">
        <v>1</v>
      </c>
    </row>
    <row r="537" spans="1:9" ht="15.75" customHeight="1" x14ac:dyDescent="0.2">
      <c r="A537" s="26">
        <v>536</v>
      </c>
      <c r="B537" s="24">
        <v>536</v>
      </c>
      <c r="C537" s="24">
        <v>45</v>
      </c>
      <c r="D537" s="24">
        <f>VLOOKUP(C537,[1]Course!$A$1:$C$229, 2, FALSE)</f>
        <v>0</v>
      </c>
      <c r="E537" s="24">
        <v>81</v>
      </c>
      <c r="F537" s="24" t="s">
        <v>1052</v>
      </c>
      <c r="G537" s="24">
        <v>1</v>
      </c>
      <c r="H537" s="25">
        <v>0.8</v>
      </c>
      <c r="I537" s="24">
        <v>1</v>
      </c>
    </row>
    <row r="538" spans="1:9" ht="15.75" customHeight="1" x14ac:dyDescent="0.2">
      <c r="A538" s="26">
        <v>537</v>
      </c>
      <c r="B538" s="24">
        <v>537</v>
      </c>
      <c r="C538" s="24">
        <v>45</v>
      </c>
      <c r="D538" s="24">
        <f>VLOOKUP(C538,[1]Course!$A$1:$C$229, 2, FALSE)</f>
        <v>0</v>
      </c>
      <c r="E538" s="24">
        <v>82</v>
      </c>
      <c r="F538" s="24" t="s">
        <v>1051</v>
      </c>
      <c r="G538" s="24">
        <v>1</v>
      </c>
      <c r="H538" s="25">
        <v>0.8</v>
      </c>
      <c r="I538" s="24">
        <v>1</v>
      </c>
    </row>
    <row r="539" spans="1:9" ht="15.75" customHeight="1" x14ac:dyDescent="0.2">
      <c r="A539" s="26">
        <v>538</v>
      </c>
      <c r="B539" s="24">
        <v>538</v>
      </c>
      <c r="C539" s="24">
        <v>45</v>
      </c>
      <c r="D539" s="24">
        <f>VLOOKUP(C539,[1]Course!$A$1:$C$229, 2, FALSE)</f>
        <v>0</v>
      </c>
      <c r="E539" s="24">
        <v>83</v>
      </c>
      <c r="F539" s="24" t="s">
        <v>1050</v>
      </c>
      <c r="G539" s="24">
        <v>1</v>
      </c>
      <c r="H539" s="25">
        <v>0.8</v>
      </c>
      <c r="I539" s="24">
        <v>1</v>
      </c>
    </row>
    <row r="540" spans="1:9" ht="15.75" customHeight="1" x14ac:dyDescent="0.2">
      <c r="A540" s="26">
        <v>539</v>
      </c>
      <c r="B540" s="24">
        <v>539</v>
      </c>
      <c r="C540" s="24">
        <v>45</v>
      </c>
      <c r="D540" s="24">
        <f>VLOOKUP(C540,[1]Course!$A$1:$C$229, 2, FALSE)</f>
        <v>0</v>
      </c>
      <c r="E540" s="24">
        <v>84</v>
      </c>
      <c r="F540" s="24" t="s">
        <v>1049</v>
      </c>
      <c r="G540" s="24">
        <v>1</v>
      </c>
      <c r="H540" s="25">
        <v>0.8</v>
      </c>
      <c r="I540" s="24">
        <v>1</v>
      </c>
    </row>
    <row r="541" spans="1:9" ht="15.75" customHeight="1" x14ac:dyDescent="0.2">
      <c r="A541" s="26">
        <v>540</v>
      </c>
      <c r="B541" s="24">
        <v>540</v>
      </c>
      <c r="C541" s="24">
        <v>46</v>
      </c>
      <c r="D541" s="24">
        <f>VLOOKUP(C541,[1]Course!$A$1:$C$229, 2, FALSE)</f>
        <v>0</v>
      </c>
      <c r="E541" s="24">
        <v>73</v>
      </c>
      <c r="F541" s="24" t="s">
        <v>1048</v>
      </c>
      <c r="G541" s="24">
        <v>1</v>
      </c>
      <c r="H541" s="25">
        <v>0.8</v>
      </c>
      <c r="I541" s="24">
        <v>1</v>
      </c>
    </row>
    <row r="542" spans="1:9" ht="15.75" customHeight="1" x14ac:dyDescent="0.2">
      <c r="A542" s="26">
        <v>541</v>
      </c>
      <c r="B542" s="24">
        <v>541</v>
      </c>
      <c r="C542" s="24">
        <v>46</v>
      </c>
      <c r="D542" s="24">
        <f>VLOOKUP(C542,[1]Course!$A$1:$C$229, 2, FALSE)</f>
        <v>0</v>
      </c>
      <c r="E542" s="24">
        <v>74</v>
      </c>
      <c r="F542" s="24" t="s">
        <v>1047</v>
      </c>
      <c r="G542" s="24">
        <v>1</v>
      </c>
      <c r="H542" s="25">
        <v>0.8</v>
      </c>
      <c r="I542" s="24">
        <v>1</v>
      </c>
    </row>
    <row r="543" spans="1:9" ht="15.75" customHeight="1" x14ac:dyDescent="0.2">
      <c r="A543" s="26">
        <v>542</v>
      </c>
      <c r="B543" s="24">
        <v>542</v>
      </c>
      <c r="C543" s="24">
        <v>46</v>
      </c>
      <c r="D543" s="24">
        <f>VLOOKUP(C543,[1]Course!$A$1:$C$229, 2, FALSE)</f>
        <v>0</v>
      </c>
      <c r="E543" s="24">
        <v>75</v>
      </c>
      <c r="F543" s="24" t="s">
        <v>1046</v>
      </c>
      <c r="G543" s="24">
        <v>1</v>
      </c>
      <c r="H543" s="25">
        <v>0.8</v>
      </c>
      <c r="I543" s="24">
        <v>1</v>
      </c>
    </row>
    <row r="544" spans="1:9" ht="15.75" customHeight="1" x14ac:dyDescent="0.2">
      <c r="A544" s="26">
        <v>543</v>
      </c>
      <c r="B544" s="24">
        <v>543</v>
      </c>
      <c r="C544" s="24">
        <v>46</v>
      </c>
      <c r="D544" s="24">
        <f>VLOOKUP(C544,[1]Course!$A$1:$C$229, 2, FALSE)</f>
        <v>0</v>
      </c>
      <c r="E544" s="24">
        <v>76</v>
      </c>
      <c r="F544" s="24" t="s">
        <v>1045</v>
      </c>
      <c r="G544" s="24">
        <v>1</v>
      </c>
      <c r="H544" s="25">
        <v>0.8</v>
      </c>
      <c r="I544" s="24">
        <v>1</v>
      </c>
    </row>
    <row r="545" spans="1:9" ht="15.75" customHeight="1" x14ac:dyDescent="0.2">
      <c r="A545" s="26">
        <v>544</v>
      </c>
      <c r="B545" s="24">
        <v>544</v>
      </c>
      <c r="C545" s="24">
        <v>46</v>
      </c>
      <c r="D545" s="24">
        <f>VLOOKUP(C545,[1]Course!$A$1:$C$229, 2, FALSE)</f>
        <v>0</v>
      </c>
      <c r="E545" s="24">
        <v>77</v>
      </c>
      <c r="F545" s="24" t="s">
        <v>1044</v>
      </c>
      <c r="G545" s="24">
        <v>1</v>
      </c>
      <c r="H545" s="25">
        <v>0.8</v>
      </c>
      <c r="I545" s="24">
        <v>1</v>
      </c>
    </row>
    <row r="546" spans="1:9" ht="15.75" customHeight="1" x14ac:dyDescent="0.2">
      <c r="A546" s="26">
        <v>545</v>
      </c>
      <c r="B546" s="24">
        <v>545</v>
      </c>
      <c r="C546" s="24">
        <v>46</v>
      </c>
      <c r="D546" s="24">
        <f>VLOOKUP(C546,[1]Course!$A$1:$C$229, 2, FALSE)</f>
        <v>0</v>
      </c>
      <c r="E546" s="24">
        <v>78</v>
      </c>
      <c r="F546" s="24" t="s">
        <v>1043</v>
      </c>
      <c r="G546" s="24">
        <v>1</v>
      </c>
      <c r="H546" s="25">
        <v>0.8</v>
      </c>
      <c r="I546" s="24">
        <v>1</v>
      </c>
    </row>
    <row r="547" spans="1:9" ht="15.75" customHeight="1" x14ac:dyDescent="0.2">
      <c r="A547" s="26">
        <v>546</v>
      </c>
      <c r="B547" s="24">
        <v>546</v>
      </c>
      <c r="C547" s="24">
        <v>46</v>
      </c>
      <c r="D547" s="24">
        <f>VLOOKUP(C547,[1]Course!$A$1:$C$229, 2, FALSE)</f>
        <v>0</v>
      </c>
      <c r="E547" s="24">
        <v>79</v>
      </c>
      <c r="F547" s="24" t="s">
        <v>1042</v>
      </c>
      <c r="G547" s="24">
        <v>1</v>
      </c>
      <c r="H547" s="25">
        <v>0.8</v>
      </c>
      <c r="I547" s="24">
        <v>1</v>
      </c>
    </row>
    <row r="548" spans="1:9" ht="15.75" customHeight="1" x14ac:dyDescent="0.2">
      <c r="A548" s="26">
        <v>547</v>
      </c>
      <c r="B548" s="24">
        <v>547</v>
      </c>
      <c r="C548" s="24">
        <v>46</v>
      </c>
      <c r="D548" s="24">
        <f>VLOOKUP(C548,[1]Course!$A$1:$C$229, 2, FALSE)</f>
        <v>0</v>
      </c>
      <c r="E548" s="24">
        <v>80</v>
      </c>
      <c r="F548" s="24" t="s">
        <v>1041</v>
      </c>
      <c r="G548" s="24">
        <v>1</v>
      </c>
      <c r="H548" s="25">
        <v>0.8</v>
      </c>
      <c r="I548" s="24">
        <v>1</v>
      </c>
    </row>
    <row r="549" spans="1:9" ht="15.75" customHeight="1" x14ac:dyDescent="0.2">
      <c r="A549" s="26">
        <v>548</v>
      </c>
      <c r="B549" s="24">
        <v>548</v>
      </c>
      <c r="C549" s="24">
        <v>46</v>
      </c>
      <c r="D549" s="24">
        <f>VLOOKUP(C549,[1]Course!$A$1:$C$229, 2, FALSE)</f>
        <v>0</v>
      </c>
      <c r="E549" s="24">
        <v>81</v>
      </c>
      <c r="F549" s="24" t="s">
        <v>1040</v>
      </c>
      <c r="G549" s="24">
        <v>1</v>
      </c>
      <c r="H549" s="25">
        <v>0.8</v>
      </c>
      <c r="I549" s="24">
        <v>1</v>
      </c>
    </row>
    <row r="550" spans="1:9" ht="15.75" customHeight="1" x14ac:dyDescent="0.2">
      <c r="A550" s="26">
        <v>549</v>
      </c>
      <c r="B550" s="24">
        <v>549</v>
      </c>
      <c r="C550" s="24">
        <v>46</v>
      </c>
      <c r="D550" s="24">
        <f>VLOOKUP(C550,[1]Course!$A$1:$C$229, 2, FALSE)</f>
        <v>0</v>
      </c>
      <c r="E550" s="24">
        <v>82</v>
      </c>
      <c r="F550" s="24" t="s">
        <v>1039</v>
      </c>
      <c r="G550" s="24">
        <v>1</v>
      </c>
      <c r="H550" s="25">
        <v>0.8</v>
      </c>
      <c r="I550" s="24">
        <v>1</v>
      </c>
    </row>
    <row r="551" spans="1:9" ht="15.75" customHeight="1" x14ac:dyDescent="0.2">
      <c r="A551" s="26">
        <v>550</v>
      </c>
      <c r="B551" s="24">
        <v>550</v>
      </c>
      <c r="C551" s="24">
        <v>46</v>
      </c>
      <c r="D551" s="24">
        <f>VLOOKUP(C551,[1]Course!$A$1:$C$229, 2, FALSE)</f>
        <v>0</v>
      </c>
      <c r="E551" s="24">
        <v>83</v>
      </c>
      <c r="F551" s="24" t="s">
        <v>1038</v>
      </c>
      <c r="G551" s="24">
        <v>1</v>
      </c>
      <c r="H551" s="25">
        <v>0.8</v>
      </c>
      <c r="I551" s="24">
        <v>1</v>
      </c>
    </row>
    <row r="552" spans="1:9" ht="15.75" customHeight="1" x14ac:dyDescent="0.2">
      <c r="A552" s="26">
        <v>551</v>
      </c>
      <c r="B552" s="24">
        <v>551</v>
      </c>
      <c r="C552" s="24">
        <v>46</v>
      </c>
      <c r="D552" s="24">
        <f>VLOOKUP(C552,[1]Course!$A$1:$C$229, 2, FALSE)</f>
        <v>0</v>
      </c>
      <c r="E552" s="24">
        <v>84</v>
      </c>
      <c r="F552" s="24" t="s">
        <v>1037</v>
      </c>
      <c r="G552" s="24">
        <v>1</v>
      </c>
      <c r="H552" s="25">
        <v>0.8</v>
      </c>
      <c r="I552" s="24">
        <v>1</v>
      </c>
    </row>
    <row r="553" spans="1:9" ht="15.75" customHeight="1" x14ac:dyDescent="0.2">
      <c r="A553" s="26">
        <v>552</v>
      </c>
      <c r="B553" s="24">
        <v>552</v>
      </c>
      <c r="C553" s="24">
        <v>47</v>
      </c>
      <c r="D553" s="24">
        <f>VLOOKUP(C553,[1]Course!$A$1:$C$229, 2, FALSE)</f>
        <v>0</v>
      </c>
      <c r="E553" s="24">
        <v>73</v>
      </c>
      <c r="F553" s="24" t="s">
        <v>1036</v>
      </c>
      <c r="G553" s="24">
        <v>1</v>
      </c>
      <c r="H553" s="25">
        <v>0.9</v>
      </c>
      <c r="I553" s="24">
        <v>1</v>
      </c>
    </row>
    <row r="554" spans="1:9" ht="15.75" customHeight="1" x14ac:dyDescent="0.2">
      <c r="A554" s="26">
        <v>553</v>
      </c>
      <c r="B554" s="24">
        <v>553</v>
      </c>
      <c r="C554" s="24">
        <v>47</v>
      </c>
      <c r="D554" s="24">
        <f>VLOOKUP(C554,[1]Course!$A$1:$C$229, 2, FALSE)</f>
        <v>0</v>
      </c>
      <c r="E554" s="24">
        <v>74</v>
      </c>
      <c r="F554" s="24" t="s">
        <v>1035</v>
      </c>
      <c r="G554" s="24">
        <v>1</v>
      </c>
      <c r="H554" s="25">
        <v>0.9</v>
      </c>
      <c r="I554" s="24">
        <v>1</v>
      </c>
    </row>
    <row r="555" spans="1:9" ht="15.75" customHeight="1" x14ac:dyDescent="0.2">
      <c r="A555" s="26">
        <v>554</v>
      </c>
      <c r="B555" s="24">
        <v>554</v>
      </c>
      <c r="C555" s="24">
        <v>47</v>
      </c>
      <c r="D555" s="24">
        <f>VLOOKUP(C555,[1]Course!$A$1:$C$229, 2, FALSE)</f>
        <v>0</v>
      </c>
      <c r="E555" s="24">
        <v>75</v>
      </c>
      <c r="F555" s="24" t="s">
        <v>1034</v>
      </c>
      <c r="G555" s="24">
        <v>1</v>
      </c>
      <c r="H555" s="25">
        <v>0.9</v>
      </c>
      <c r="I555" s="24">
        <v>1</v>
      </c>
    </row>
    <row r="556" spans="1:9" ht="15.75" customHeight="1" x14ac:dyDescent="0.2">
      <c r="A556" s="26">
        <v>555</v>
      </c>
      <c r="B556" s="24">
        <v>555</v>
      </c>
      <c r="C556" s="24">
        <v>47</v>
      </c>
      <c r="D556" s="24">
        <f>VLOOKUP(C556,[1]Course!$A$1:$C$229, 2, FALSE)</f>
        <v>0</v>
      </c>
      <c r="E556" s="24">
        <v>76</v>
      </c>
      <c r="F556" s="24" t="s">
        <v>1033</v>
      </c>
      <c r="G556" s="24">
        <v>1</v>
      </c>
      <c r="H556" s="25">
        <v>0.9</v>
      </c>
      <c r="I556" s="24">
        <v>1</v>
      </c>
    </row>
    <row r="557" spans="1:9" ht="15.75" customHeight="1" x14ac:dyDescent="0.2">
      <c r="A557" s="26">
        <v>556</v>
      </c>
      <c r="B557" s="24">
        <v>556</v>
      </c>
      <c r="C557" s="24">
        <v>47</v>
      </c>
      <c r="D557" s="24">
        <f>VLOOKUP(C557,[1]Course!$A$1:$C$229, 2, FALSE)</f>
        <v>0</v>
      </c>
      <c r="E557" s="24">
        <v>77</v>
      </c>
      <c r="F557" s="24" t="s">
        <v>1032</v>
      </c>
      <c r="G557" s="24">
        <v>1</v>
      </c>
      <c r="H557" s="25">
        <v>0.9</v>
      </c>
      <c r="I557" s="24">
        <v>1</v>
      </c>
    </row>
    <row r="558" spans="1:9" ht="15.75" customHeight="1" x14ac:dyDescent="0.2">
      <c r="A558" s="26">
        <v>557</v>
      </c>
      <c r="B558" s="24">
        <v>557</v>
      </c>
      <c r="C558" s="24">
        <v>47</v>
      </c>
      <c r="D558" s="24">
        <f>VLOOKUP(C558,[1]Course!$A$1:$C$229, 2, FALSE)</f>
        <v>0</v>
      </c>
      <c r="E558" s="24">
        <v>78</v>
      </c>
      <c r="F558" s="24" t="s">
        <v>1031</v>
      </c>
      <c r="G558" s="24">
        <v>1</v>
      </c>
      <c r="H558" s="25">
        <v>0.9</v>
      </c>
      <c r="I558" s="24">
        <v>1</v>
      </c>
    </row>
    <row r="559" spans="1:9" ht="15.75" customHeight="1" x14ac:dyDescent="0.2">
      <c r="A559" s="26">
        <v>558</v>
      </c>
      <c r="B559" s="24">
        <v>558</v>
      </c>
      <c r="C559" s="24">
        <v>47</v>
      </c>
      <c r="D559" s="24">
        <f>VLOOKUP(C559,[1]Course!$A$1:$C$229, 2, FALSE)</f>
        <v>0</v>
      </c>
      <c r="E559" s="24">
        <v>79</v>
      </c>
      <c r="F559" s="24" t="s">
        <v>1030</v>
      </c>
      <c r="G559" s="24">
        <v>1</v>
      </c>
      <c r="H559" s="25">
        <v>0.9</v>
      </c>
      <c r="I559" s="24">
        <v>1</v>
      </c>
    </row>
    <row r="560" spans="1:9" ht="15.75" customHeight="1" x14ac:dyDescent="0.2">
      <c r="A560" s="26">
        <v>559</v>
      </c>
      <c r="B560" s="24">
        <v>559</v>
      </c>
      <c r="C560" s="24">
        <v>47</v>
      </c>
      <c r="D560" s="24">
        <f>VLOOKUP(C560,[1]Course!$A$1:$C$229, 2, FALSE)</f>
        <v>0</v>
      </c>
      <c r="E560" s="24">
        <v>80</v>
      </c>
      <c r="F560" s="24" t="s">
        <v>1029</v>
      </c>
      <c r="G560" s="24">
        <v>1</v>
      </c>
      <c r="H560" s="25">
        <v>0.9</v>
      </c>
      <c r="I560" s="24">
        <v>1</v>
      </c>
    </row>
    <row r="561" spans="1:9" ht="15.75" customHeight="1" x14ac:dyDescent="0.2">
      <c r="A561" s="26">
        <v>560</v>
      </c>
      <c r="B561" s="24">
        <v>560</v>
      </c>
      <c r="C561" s="24">
        <v>47</v>
      </c>
      <c r="D561" s="24">
        <f>VLOOKUP(C561,[1]Course!$A$1:$C$229, 2, FALSE)</f>
        <v>0</v>
      </c>
      <c r="E561" s="24">
        <v>81</v>
      </c>
      <c r="F561" s="24" t="s">
        <v>1028</v>
      </c>
      <c r="G561" s="24">
        <v>1</v>
      </c>
      <c r="H561" s="25">
        <v>0.9</v>
      </c>
      <c r="I561" s="24">
        <v>1</v>
      </c>
    </row>
    <row r="562" spans="1:9" ht="15.75" customHeight="1" x14ac:dyDescent="0.2">
      <c r="A562" s="26">
        <v>561</v>
      </c>
      <c r="B562" s="24">
        <v>561</v>
      </c>
      <c r="C562" s="24">
        <v>47</v>
      </c>
      <c r="D562" s="24">
        <f>VLOOKUP(C562,[1]Course!$A$1:$C$229, 2, FALSE)</f>
        <v>0</v>
      </c>
      <c r="E562" s="24">
        <v>82</v>
      </c>
      <c r="F562" s="24" t="s">
        <v>1027</v>
      </c>
      <c r="G562" s="24">
        <v>1</v>
      </c>
      <c r="H562" s="25">
        <v>0.9</v>
      </c>
      <c r="I562" s="24">
        <v>1</v>
      </c>
    </row>
    <row r="563" spans="1:9" ht="15.75" customHeight="1" x14ac:dyDescent="0.2">
      <c r="A563" s="26">
        <v>562</v>
      </c>
      <c r="B563" s="24">
        <v>562</v>
      </c>
      <c r="C563" s="24">
        <v>47</v>
      </c>
      <c r="D563" s="24">
        <f>VLOOKUP(C563,[1]Course!$A$1:$C$229, 2, FALSE)</f>
        <v>0</v>
      </c>
      <c r="E563" s="24">
        <v>83</v>
      </c>
      <c r="F563" s="24" t="s">
        <v>1026</v>
      </c>
      <c r="G563" s="24">
        <v>1</v>
      </c>
      <c r="H563" s="25">
        <v>0.9</v>
      </c>
      <c r="I563" s="24">
        <v>1</v>
      </c>
    </row>
    <row r="564" spans="1:9" ht="15.75" customHeight="1" x14ac:dyDescent="0.2">
      <c r="A564" s="26">
        <v>563</v>
      </c>
      <c r="B564" s="24">
        <v>563</v>
      </c>
      <c r="C564" s="24">
        <v>47</v>
      </c>
      <c r="D564" s="24">
        <f>VLOOKUP(C564,[1]Course!$A$1:$C$229, 2, FALSE)</f>
        <v>0</v>
      </c>
      <c r="E564" s="24">
        <v>84</v>
      </c>
      <c r="F564" s="24" t="s">
        <v>1025</v>
      </c>
      <c r="G564" s="24">
        <v>1</v>
      </c>
      <c r="H564" s="25">
        <v>0.9</v>
      </c>
      <c r="I564" s="24">
        <v>1</v>
      </c>
    </row>
    <row r="565" spans="1:9" ht="15.75" customHeight="1" x14ac:dyDescent="0.2">
      <c r="A565" s="26">
        <v>564</v>
      </c>
      <c r="B565" s="24">
        <v>564</v>
      </c>
      <c r="C565" s="24">
        <v>48</v>
      </c>
      <c r="D565" s="24">
        <f>VLOOKUP(C565,[1]Course!$A$1:$C$229, 2, FALSE)</f>
        <v>0</v>
      </c>
      <c r="E565" s="24">
        <v>74</v>
      </c>
      <c r="F565" s="24" t="s">
        <v>1024</v>
      </c>
      <c r="G565" s="24">
        <f t="shared" ref="G565:G570" si="0">1/6/2</f>
        <v>8.3333333333333329E-2</v>
      </c>
      <c r="H565" s="25">
        <v>0.8</v>
      </c>
      <c r="I565" s="24">
        <v>1</v>
      </c>
    </row>
    <row r="566" spans="1:9" ht="15.75" customHeight="1" x14ac:dyDescent="0.2">
      <c r="A566" s="26">
        <v>566</v>
      </c>
      <c r="B566" s="24">
        <v>566</v>
      </c>
      <c r="C566" s="24">
        <v>48</v>
      </c>
      <c r="D566" s="24">
        <f>VLOOKUP(C566,[1]Course!$A$1:$C$229, 2, FALSE)</f>
        <v>0</v>
      </c>
      <c r="E566" s="24">
        <v>76</v>
      </c>
      <c r="F566" s="24" t="s">
        <v>1023</v>
      </c>
      <c r="G566" s="24">
        <f t="shared" si="0"/>
        <v>8.3333333333333329E-2</v>
      </c>
      <c r="H566" s="25">
        <v>0.8</v>
      </c>
      <c r="I566" s="24">
        <v>1</v>
      </c>
    </row>
    <row r="567" spans="1:9" ht="15.75" customHeight="1" x14ac:dyDescent="0.2">
      <c r="A567" s="26">
        <v>568</v>
      </c>
      <c r="B567" s="24">
        <v>568</v>
      </c>
      <c r="C567" s="24">
        <v>48</v>
      </c>
      <c r="D567" s="24">
        <f>VLOOKUP(C567,[1]Course!$A$1:$C$229, 2, FALSE)</f>
        <v>0</v>
      </c>
      <c r="E567" s="24">
        <v>78</v>
      </c>
      <c r="F567" s="24" t="s">
        <v>1022</v>
      </c>
      <c r="G567" s="24">
        <f t="shared" si="0"/>
        <v>8.3333333333333329E-2</v>
      </c>
      <c r="H567" s="25">
        <v>0.8</v>
      </c>
      <c r="I567" s="24">
        <v>1</v>
      </c>
    </row>
    <row r="568" spans="1:9" ht="15.75" customHeight="1" x14ac:dyDescent="0.2">
      <c r="A568" s="26">
        <v>570</v>
      </c>
      <c r="B568" s="24">
        <v>570</v>
      </c>
      <c r="C568" s="24">
        <v>48</v>
      </c>
      <c r="D568" s="24">
        <f>VLOOKUP(C568,[1]Course!$A$1:$C$229, 2, FALSE)</f>
        <v>0</v>
      </c>
      <c r="E568" s="24">
        <v>80</v>
      </c>
      <c r="F568" s="24" t="s">
        <v>1021</v>
      </c>
      <c r="G568" s="24">
        <f t="shared" si="0"/>
        <v>8.3333333333333329E-2</v>
      </c>
      <c r="H568" s="25">
        <v>0.8</v>
      </c>
      <c r="I568" s="24">
        <v>1</v>
      </c>
    </row>
    <row r="569" spans="1:9" ht="15.75" customHeight="1" x14ac:dyDescent="0.2">
      <c r="A569" s="26">
        <v>572</v>
      </c>
      <c r="B569" s="24">
        <v>572</v>
      </c>
      <c r="C569" s="24">
        <v>48</v>
      </c>
      <c r="D569" s="24">
        <f>VLOOKUP(C569,[1]Course!$A$1:$C$229, 2, FALSE)</f>
        <v>0</v>
      </c>
      <c r="E569" s="24">
        <v>82</v>
      </c>
      <c r="F569" s="24" t="s">
        <v>1020</v>
      </c>
      <c r="G569" s="24">
        <f t="shared" si="0"/>
        <v>8.3333333333333329E-2</v>
      </c>
      <c r="H569" s="25">
        <v>0.8</v>
      </c>
      <c r="I569" s="24">
        <v>1</v>
      </c>
    </row>
    <row r="570" spans="1:9" ht="15.75" customHeight="1" x14ac:dyDescent="0.2">
      <c r="A570" s="26">
        <v>574</v>
      </c>
      <c r="B570" s="24">
        <v>574</v>
      </c>
      <c r="C570" s="24">
        <v>48</v>
      </c>
      <c r="D570" s="24">
        <f>VLOOKUP(C570,[1]Course!$A$1:$C$229, 2, FALSE)</f>
        <v>0</v>
      </c>
      <c r="E570" s="24">
        <v>84</v>
      </c>
      <c r="F570" s="24" t="s">
        <v>1019</v>
      </c>
      <c r="G570" s="24">
        <f t="shared" si="0"/>
        <v>8.3333333333333329E-2</v>
      </c>
      <c r="H570" s="25">
        <v>0.8</v>
      </c>
      <c r="I570" s="24">
        <v>1</v>
      </c>
    </row>
    <row r="571" spans="1:9" ht="15.75" customHeight="1" x14ac:dyDescent="0.2">
      <c r="A571" s="26">
        <v>575</v>
      </c>
      <c r="B571" s="24">
        <v>575</v>
      </c>
      <c r="C571" s="24">
        <v>49</v>
      </c>
      <c r="D571" s="24" t="str">
        <f>VLOOKUP(C571,[1]Course!$A$1:$C$229, 2, FALSE)</f>
        <v>Science 7</v>
      </c>
      <c r="E571" s="24">
        <v>73</v>
      </c>
      <c r="F571" s="24" t="s">
        <v>1018</v>
      </c>
      <c r="G571" s="24">
        <v>1</v>
      </c>
      <c r="H571" s="25">
        <v>0.8</v>
      </c>
      <c r="I571" s="24">
        <v>1</v>
      </c>
    </row>
    <row r="572" spans="1:9" ht="15.75" customHeight="1" x14ac:dyDescent="0.2">
      <c r="A572" s="26">
        <v>576</v>
      </c>
      <c r="B572" s="24">
        <v>576</v>
      </c>
      <c r="C572" s="24">
        <v>49</v>
      </c>
      <c r="D572" s="24" t="str">
        <f>VLOOKUP(C572,[1]Course!$A$1:$C$229, 2, FALSE)</f>
        <v>Science 7</v>
      </c>
      <c r="E572" s="24">
        <v>74</v>
      </c>
      <c r="F572" s="24" t="s">
        <v>1017</v>
      </c>
      <c r="G572" s="24">
        <v>1</v>
      </c>
      <c r="H572" s="25">
        <v>0.8</v>
      </c>
      <c r="I572" s="24">
        <v>1</v>
      </c>
    </row>
    <row r="573" spans="1:9" ht="15.75" customHeight="1" x14ac:dyDescent="0.2">
      <c r="A573" s="26">
        <v>577</v>
      </c>
      <c r="B573" s="24">
        <v>577</v>
      </c>
      <c r="C573" s="24">
        <v>49</v>
      </c>
      <c r="D573" s="24" t="str">
        <f>VLOOKUP(C573,[1]Course!$A$1:$C$229, 2, FALSE)</f>
        <v>Science 7</v>
      </c>
      <c r="E573" s="24">
        <v>75</v>
      </c>
      <c r="F573" s="24" t="s">
        <v>1016</v>
      </c>
      <c r="G573" s="24">
        <v>1</v>
      </c>
      <c r="H573" s="25">
        <v>0.8</v>
      </c>
      <c r="I573" s="24">
        <v>1</v>
      </c>
    </row>
    <row r="574" spans="1:9" ht="15.75" customHeight="1" x14ac:dyDescent="0.2">
      <c r="A574" s="26">
        <v>578</v>
      </c>
      <c r="B574" s="24">
        <v>578</v>
      </c>
      <c r="C574" s="24">
        <v>49</v>
      </c>
      <c r="D574" s="24" t="str">
        <f>VLOOKUP(C574,[1]Course!$A$1:$C$229, 2, FALSE)</f>
        <v>Science 7</v>
      </c>
      <c r="E574" s="24">
        <v>76</v>
      </c>
      <c r="F574" s="24" t="s">
        <v>1015</v>
      </c>
      <c r="G574" s="24">
        <v>1</v>
      </c>
      <c r="H574" s="25">
        <v>0.8</v>
      </c>
      <c r="I574" s="24">
        <v>1</v>
      </c>
    </row>
    <row r="575" spans="1:9" ht="15.75" customHeight="1" x14ac:dyDescent="0.2">
      <c r="A575" s="26">
        <v>579</v>
      </c>
      <c r="B575" s="24">
        <v>579</v>
      </c>
      <c r="C575" s="24">
        <v>49</v>
      </c>
      <c r="D575" s="24" t="str">
        <f>VLOOKUP(C575,[1]Course!$A$1:$C$229, 2, FALSE)</f>
        <v>Science 7</v>
      </c>
      <c r="E575" s="24">
        <v>77</v>
      </c>
      <c r="F575" s="24" t="s">
        <v>1014</v>
      </c>
      <c r="G575" s="24">
        <v>1</v>
      </c>
      <c r="H575" s="25">
        <v>0.8</v>
      </c>
      <c r="I575" s="24">
        <v>1</v>
      </c>
    </row>
    <row r="576" spans="1:9" ht="15.75" customHeight="1" x14ac:dyDescent="0.2">
      <c r="A576" s="26">
        <v>580</v>
      </c>
      <c r="B576" s="24">
        <v>580</v>
      </c>
      <c r="C576" s="24">
        <v>49</v>
      </c>
      <c r="D576" s="24" t="str">
        <f>VLOOKUP(C576,[1]Course!$A$1:$C$229, 2, FALSE)</f>
        <v>Science 7</v>
      </c>
      <c r="E576" s="24">
        <v>78</v>
      </c>
      <c r="F576" s="24" t="s">
        <v>1013</v>
      </c>
      <c r="G576" s="24">
        <v>1</v>
      </c>
      <c r="H576" s="25">
        <v>0.8</v>
      </c>
      <c r="I576" s="24">
        <v>1</v>
      </c>
    </row>
    <row r="577" spans="1:9" ht="15.75" customHeight="1" x14ac:dyDescent="0.2">
      <c r="A577" s="26">
        <v>581</v>
      </c>
      <c r="B577" s="24">
        <v>581</v>
      </c>
      <c r="C577" s="24">
        <v>49</v>
      </c>
      <c r="D577" s="24" t="str">
        <f>VLOOKUP(C577,[1]Course!$A$1:$C$229, 2, FALSE)</f>
        <v>Science 7</v>
      </c>
      <c r="E577" s="24">
        <v>79</v>
      </c>
      <c r="F577" s="24" t="s">
        <v>1012</v>
      </c>
      <c r="G577" s="24">
        <v>1</v>
      </c>
      <c r="H577" s="25">
        <v>0.8</v>
      </c>
      <c r="I577" s="24">
        <v>1</v>
      </c>
    </row>
    <row r="578" spans="1:9" ht="15.75" customHeight="1" x14ac:dyDescent="0.2">
      <c r="A578" s="26">
        <v>582</v>
      </c>
      <c r="B578" s="24">
        <v>582</v>
      </c>
      <c r="C578" s="24">
        <v>49</v>
      </c>
      <c r="D578" s="24" t="str">
        <f>VLOOKUP(C578,[1]Course!$A$1:$C$229, 2, FALSE)</f>
        <v>Science 7</v>
      </c>
      <c r="E578" s="24">
        <v>80</v>
      </c>
      <c r="F578" s="24" t="s">
        <v>1011</v>
      </c>
      <c r="G578" s="24">
        <v>1</v>
      </c>
      <c r="H578" s="25">
        <v>0.8</v>
      </c>
      <c r="I578" s="24">
        <v>1</v>
      </c>
    </row>
    <row r="579" spans="1:9" ht="15.75" customHeight="1" x14ac:dyDescent="0.2">
      <c r="A579" s="26">
        <v>583</v>
      </c>
      <c r="B579" s="24">
        <v>583</v>
      </c>
      <c r="C579" s="24">
        <v>49</v>
      </c>
      <c r="D579" s="24" t="str">
        <f>VLOOKUP(C579,[1]Course!$A$1:$C$229, 2, FALSE)</f>
        <v>Science 7</v>
      </c>
      <c r="E579" s="24">
        <v>81</v>
      </c>
      <c r="F579" s="24" t="s">
        <v>1010</v>
      </c>
      <c r="G579" s="24">
        <v>1</v>
      </c>
      <c r="H579" s="25">
        <v>0.8</v>
      </c>
      <c r="I579" s="24">
        <v>1</v>
      </c>
    </row>
    <row r="580" spans="1:9" ht="15.75" customHeight="1" x14ac:dyDescent="0.2">
      <c r="A580" s="26">
        <v>584</v>
      </c>
      <c r="B580" s="24">
        <v>584</v>
      </c>
      <c r="C580" s="24">
        <v>49</v>
      </c>
      <c r="D580" s="24" t="str">
        <f>VLOOKUP(C580,[1]Course!$A$1:$C$229, 2, FALSE)</f>
        <v>Science 7</v>
      </c>
      <c r="E580" s="24">
        <v>82</v>
      </c>
      <c r="F580" s="24" t="s">
        <v>1009</v>
      </c>
      <c r="G580" s="24">
        <v>1</v>
      </c>
      <c r="H580" s="25">
        <v>0.8</v>
      </c>
      <c r="I580" s="24">
        <v>1</v>
      </c>
    </row>
    <row r="581" spans="1:9" ht="15.75" customHeight="1" x14ac:dyDescent="0.2">
      <c r="A581" s="26">
        <v>585</v>
      </c>
      <c r="B581" s="24">
        <v>585</v>
      </c>
      <c r="C581" s="24">
        <v>49</v>
      </c>
      <c r="D581" s="24" t="str">
        <f>VLOOKUP(C581,[1]Course!$A$1:$C$229, 2, FALSE)</f>
        <v>Science 7</v>
      </c>
      <c r="E581" s="24">
        <v>83</v>
      </c>
      <c r="F581" s="24" t="s">
        <v>1008</v>
      </c>
      <c r="G581" s="24">
        <v>1</v>
      </c>
      <c r="H581" s="25">
        <v>0.8</v>
      </c>
      <c r="I581" s="24">
        <v>1</v>
      </c>
    </row>
    <row r="582" spans="1:9" ht="15.75" customHeight="1" x14ac:dyDescent="0.2">
      <c r="A582" s="26">
        <v>586</v>
      </c>
      <c r="B582" s="24">
        <v>586</v>
      </c>
      <c r="C582" s="24">
        <v>49</v>
      </c>
      <c r="D582" s="24" t="str">
        <f>VLOOKUP(C582,[1]Course!$A$1:$C$229, 2, FALSE)</f>
        <v>Science 7</v>
      </c>
      <c r="E582" s="24">
        <v>84</v>
      </c>
      <c r="F582" s="24" t="s">
        <v>1007</v>
      </c>
      <c r="G582" s="24">
        <v>1</v>
      </c>
      <c r="H582" s="25">
        <v>0.8</v>
      </c>
      <c r="I582" s="24">
        <v>1</v>
      </c>
    </row>
    <row r="583" spans="1:9" ht="15.75" customHeight="1" x14ac:dyDescent="0.2">
      <c r="A583" s="26">
        <v>587</v>
      </c>
      <c r="B583" s="24">
        <v>587</v>
      </c>
      <c r="C583" s="24">
        <v>50</v>
      </c>
      <c r="D583" s="24">
        <f>VLOOKUP(C583,[1]Course!$A$1:$C$229, 2, FALSE)</f>
        <v>0</v>
      </c>
      <c r="E583" s="24">
        <v>73</v>
      </c>
      <c r="F583" s="24" t="s">
        <v>1006</v>
      </c>
      <c r="G583" s="24">
        <v>1</v>
      </c>
      <c r="H583" s="25">
        <v>0.8</v>
      </c>
      <c r="I583" s="24">
        <v>1</v>
      </c>
    </row>
    <row r="584" spans="1:9" ht="15.75" customHeight="1" x14ac:dyDescent="0.2">
      <c r="A584" s="26">
        <v>588</v>
      </c>
      <c r="B584" s="24">
        <v>588</v>
      </c>
      <c r="C584" s="24">
        <v>50</v>
      </c>
      <c r="D584" s="24">
        <f>VLOOKUP(C584,[1]Course!$A$1:$C$229, 2, FALSE)</f>
        <v>0</v>
      </c>
      <c r="E584" s="24">
        <v>74</v>
      </c>
      <c r="F584" s="24" t="s">
        <v>1005</v>
      </c>
      <c r="G584" s="24">
        <v>1</v>
      </c>
      <c r="H584" s="25">
        <v>0.8</v>
      </c>
      <c r="I584" s="24">
        <v>1</v>
      </c>
    </row>
    <row r="585" spans="1:9" ht="15.75" customHeight="1" x14ac:dyDescent="0.2">
      <c r="A585" s="26">
        <v>589</v>
      </c>
      <c r="B585" s="24">
        <v>589</v>
      </c>
      <c r="C585" s="24">
        <v>50</v>
      </c>
      <c r="D585" s="24">
        <f>VLOOKUP(C585,[1]Course!$A$1:$C$229, 2, FALSE)</f>
        <v>0</v>
      </c>
      <c r="E585" s="24">
        <v>75</v>
      </c>
      <c r="F585" s="24" t="s">
        <v>1004</v>
      </c>
      <c r="G585" s="24">
        <v>1</v>
      </c>
      <c r="H585" s="25">
        <v>0.8</v>
      </c>
      <c r="I585" s="24">
        <v>1</v>
      </c>
    </row>
    <row r="586" spans="1:9" ht="15.75" customHeight="1" x14ac:dyDescent="0.2">
      <c r="A586" s="26">
        <v>590</v>
      </c>
      <c r="B586" s="24">
        <v>590</v>
      </c>
      <c r="C586" s="24">
        <v>50</v>
      </c>
      <c r="D586" s="24">
        <f>VLOOKUP(C586,[1]Course!$A$1:$C$229, 2, FALSE)</f>
        <v>0</v>
      </c>
      <c r="E586" s="24">
        <v>76</v>
      </c>
      <c r="F586" s="24" t="s">
        <v>1003</v>
      </c>
      <c r="G586" s="24">
        <v>1</v>
      </c>
      <c r="H586" s="25">
        <v>0.8</v>
      </c>
      <c r="I586" s="24">
        <v>1</v>
      </c>
    </row>
    <row r="587" spans="1:9" ht="15.75" customHeight="1" x14ac:dyDescent="0.2">
      <c r="A587" s="26">
        <v>591</v>
      </c>
      <c r="B587" s="24">
        <v>591</v>
      </c>
      <c r="C587" s="24">
        <v>50</v>
      </c>
      <c r="D587" s="24">
        <f>VLOOKUP(C587,[1]Course!$A$1:$C$229, 2, FALSE)</f>
        <v>0</v>
      </c>
      <c r="E587" s="24">
        <v>77</v>
      </c>
      <c r="F587" s="24" t="s">
        <v>1002</v>
      </c>
      <c r="G587" s="24">
        <v>1</v>
      </c>
      <c r="H587" s="25">
        <v>0.8</v>
      </c>
      <c r="I587" s="24">
        <v>1</v>
      </c>
    </row>
    <row r="588" spans="1:9" ht="15.75" customHeight="1" x14ac:dyDescent="0.2">
      <c r="A588" s="26">
        <v>592</v>
      </c>
      <c r="B588" s="24">
        <v>592</v>
      </c>
      <c r="C588" s="24">
        <v>50</v>
      </c>
      <c r="D588" s="24">
        <f>VLOOKUP(C588,[1]Course!$A$1:$C$229, 2, FALSE)</f>
        <v>0</v>
      </c>
      <c r="E588" s="24">
        <v>78</v>
      </c>
      <c r="F588" s="24" t="s">
        <v>1001</v>
      </c>
      <c r="G588" s="24">
        <v>1</v>
      </c>
      <c r="H588" s="25">
        <v>0.8</v>
      </c>
      <c r="I588" s="24">
        <v>1</v>
      </c>
    </row>
    <row r="589" spans="1:9" ht="15.75" customHeight="1" x14ac:dyDescent="0.2">
      <c r="A589" s="26">
        <v>593</v>
      </c>
      <c r="B589" s="24">
        <v>593</v>
      </c>
      <c r="C589" s="24">
        <v>51</v>
      </c>
      <c r="D589" s="24">
        <f>VLOOKUP(C589,[1]Course!$A$1:$C$229, 2, FALSE)</f>
        <v>0</v>
      </c>
      <c r="E589" s="24">
        <v>1</v>
      </c>
      <c r="F589" s="24" t="s">
        <v>1000</v>
      </c>
      <c r="G589" s="24">
        <v>1</v>
      </c>
      <c r="H589" s="25">
        <v>0.8</v>
      </c>
      <c r="I589" s="24">
        <v>1</v>
      </c>
    </row>
    <row r="590" spans="1:9" ht="15.75" customHeight="1" x14ac:dyDescent="0.2">
      <c r="A590" s="26">
        <v>594</v>
      </c>
      <c r="B590" s="24">
        <v>594</v>
      </c>
      <c r="C590" s="24">
        <v>51</v>
      </c>
      <c r="D590" s="24">
        <f>VLOOKUP(C590,[1]Course!$A$1:$C$229, 2, FALSE)</f>
        <v>0</v>
      </c>
      <c r="E590" s="24">
        <v>2</v>
      </c>
      <c r="F590" s="24" t="s">
        <v>999</v>
      </c>
      <c r="G590" s="24">
        <v>1</v>
      </c>
      <c r="H590" s="25">
        <v>0.8</v>
      </c>
      <c r="I590" s="24">
        <v>1</v>
      </c>
    </row>
    <row r="591" spans="1:9" ht="15.75" customHeight="1" x14ac:dyDescent="0.2">
      <c r="A591" s="26">
        <v>595</v>
      </c>
      <c r="B591" s="24">
        <v>595</v>
      </c>
      <c r="C591" s="24">
        <v>51</v>
      </c>
      <c r="D591" s="24">
        <f>VLOOKUP(C591,[1]Course!$A$1:$C$229, 2, FALSE)</f>
        <v>0</v>
      </c>
      <c r="E591" s="24">
        <v>3</v>
      </c>
      <c r="F591" s="24" t="s">
        <v>998</v>
      </c>
      <c r="G591" s="24">
        <v>1</v>
      </c>
      <c r="H591" s="25">
        <v>0.8</v>
      </c>
      <c r="I591" s="24">
        <v>1</v>
      </c>
    </row>
    <row r="592" spans="1:9" ht="15.75" customHeight="1" x14ac:dyDescent="0.2">
      <c r="A592" s="26">
        <v>596</v>
      </c>
      <c r="B592" s="24">
        <v>596</v>
      </c>
      <c r="C592" s="24">
        <v>52</v>
      </c>
      <c r="D592" s="24">
        <f>VLOOKUP(C592,[1]Course!$A$1:$C$229, 2, FALSE)</f>
        <v>0</v>
      </c>
      <c r="E592" s="24">
        <v>73</v>
      </c>
      <c r="F592" s="24" t="s">
        <v>997</v>
      </c>
      <c r="G592" s="24">
        <v>1</v>
      </c>
      <c r="H592" s="25">
        <v>0.8</v>
      </c>
      <c r="I592" s="24">
        <v>1</v>
      </c>
    </row>
    <row r="593" spans="1:9" ht="15.75" customHeight="1" x14ac:dyDescent="0.2">
      <c r="A593" s="26">
        <v>597</v>
      </c>
      <c r="B593" s="24">
        <v>597</v>
      </c>
      <c r="C593" s="24">
        <v>52</v>
      </c>
      <c r="D593" s="24">
        <f>VLOOKUP(C593,[1]Course!$A$1:$C$229, 2, FALSE)</f>
        <v>0</v>
      </c>
      <c r="E593" s="24">
        <v>74</v>
      </c>
      <c r="F593" s="24" t="s">
        <v>996</v>
      </c>
      <c r="G593" s="24">
        <v>1</v>
      </c>
      <c r="H593" s="25">
        <v>0.8</v>
      </c>
      <c r="I593" s="24">
        <v>1</v>
      </c>
    </row>
    <row r="594" spans="1:9" ht="15.75" customHeight="1" x14ac:dyDescent="0.2">
      <c r="A594" s="26">
        <v>598</v>
      </c>
      <c r="B594" s="24">
        <v>598</v>
      </c>
      <c r="C594" s="24">
        <v>52</v>
      </c>
      <c r="D594" s="24">
        <f>VLOOKUP(C594,[1]Course!$A$1:$C$229, 2, FALSE)</f>
        <v>0</v>
      </c>
      <c r="E594" s="24">
        <v>75</v>
      </c>
      <c r="F594" s="24" t="s">
        <v>995</v>
      </c>
      <c r="G594" s="24">
        <v>1</v>
      </c>
      <c r="H594" s="25">
        <v>0.8</v>
      </c>
      <c r="I594" s="24">
        <v>1</v>
      </c>
    </row>
    <row r="595" spans="1:9" ht="15.75" customHeight="1" x14ac:dyDescent="0.2">
      <c r="A595" s="26">
        <v>599</v>
      </c>
      <c r="B595" s="24">
        <v>599</v>
      </c>
      <c r="C595" s="24">
        <v>52</v>
      </c>
      <c r="D595" s="24">
        <f>VLOOKUP(C595,[1]Course!$A$1:$C$229, 2, FALSE)</f>
        <v>0</v>
      </c>
      <c r="E595" s="24">
        <v>76</v>
      </c>
      <c r="F595" s="24" t="s">
        <v>994</v>
      </c>
      <c r="G595" s="24">
        <v>1</v>
      </c>
      <c r="H595" s="25">
        <v>0.8</v>
      </c>
      <c r="I595" s="24">
        <v>1</v>
      </c>
    </row>
    <row r="596" spans="1:9" ht="15.75" customHeight="1" x14ac:dyDescent="0.2">
      <c r="A596" s="26">
        <v>600</v>
      </c>
      <c r="B596" s="24">
        <v>600</v>
      </c>
      <c r="C596" s="24">
        <v>52</v>
      </c>
      <c r="D596" s="24">
        <f>VLOOKUP(C596,[1]Course!$A$1:$C$229, 2, FALSE)</f>
        <v>0</v>
      </c>
      <c r="E596" s="24">
        <v>77</v>
      </c>
      <c r="F596" s="24" t="s">
        <v>993</v>
      </c>
      <c r="G596" s="24">
        <v>1</v>
      </c>
      <c r="H596" s="25">
        <v>0.8</v>
      </c>
      <c r="I596" s="24">
        <v>1</v>
      </c>
    </row>
    <row r="597" spans="1:9" ht="15.75" customHeight="1" x14ac:dyDescent="0.2">
      <c r="A597" s="26">
        <v>601</v>
      </c>
      <c r="B597" s="24">
        <v>601</v>
      </c>
      <c r="C597" s="24">
        <v>52</v>
      </c>
      <c r="D597" s="24">
        <f>VLOOKUP(C597,[1]Course!$A$1:$C$229, 2, FALSE)</f>
        <v>0</v>
      </c>
      <c r="E597" s="24">
        <v>78</v>
      </c>
      <c r="F597" s="24" t="s">
        <v>992</v>
      </c>
      <c r="G597" s="24">
        <v>1</v>
      </c>
      <c r="H597" s="25">
        <v>0.8</v>
      </c>
      <c r="I597" s="24">
        <v>1</v>
      </c>
    </row>
    <row r="598" spans="1:9" ht="15.75" customHeight="1" x14ac:dyDescent="0.2">
      <c r="A598" s="26">
        <v>602</v>
      </c>
      <c r="B598" s="24">
        <v>602</v>
      </c>
      <c r="C598" s="24">
        <v>52</v>
      </c>
      <c r="D598" s="24">
        <f>VLOOKUP(C598,[1]Course!$A$1:$C$229, 2, FALSE)</f>
        <v>0</v>
      </c>
      <c r="E598" s="24">
        <v>79</v>
      </c>
      <c r="F598" s="24" t="s">
        <v>991</v>
      </c>
      <c r="G598" s="24">
        <v>1</v>
      </c>
      <c r="H598" s="25">
        <v>0.8</v>
      </c>
      <c r="I598" s="24">
        <v>1</v>
      </c>
    </row>
    <row r="599" spans="1:9" ht="15.75" customHeight="1" x14ac:dyDescent="0.2">
      <c r="A599" s="26">
        <v>603</v>
      </c>
      <c r="B599" s="24">
        <v>603</v>
      </c>
      <c r="C599" s="24">
        <v>52</v>
      </c>
      <c r="D599" s="24">
        <f>VLOOKUP(C599,[1]Course!$A$1:$C$229, 2, FALSE)</f>
        <v>0</v>
      </c>
      <c r="E599" s="24">
        <v>80</v>
      </c>
      <c r="F599" s="24" t="s">
        <v>990</v>
      </c>
      <c r="G599" s="24">
        <v>1</v>
      </c>
      <c r="H599" s="25">
        <v>0.8</v>
      </c>
      <c r="I599" s="24">
        <v>1</v>
      </c>
    </row>
    <row r="600" spans="1:9" ht="15.75" customHeight="1" x14ac:dyDescent="0.2">
      <c r="A600" s="26">
        <v>604</v>
      </c>
      <c r="B600" s="24">
        <v>604</v>
      </c>
      <c r="C600" s="24">
        <v>52</v>
      </c>
      <c r="D600" s="24">
        <f>VLOOKUP(C600,[1]Course!$A$1:$C$229, 2, FALSE)</f>
        <v>0</v>
      </c>
      <c r="E600" s="24">
        <v>81</v>
      </c>
      <c r="F600" s="24" t="s">
        <v>989</v>
      </c>
      <c r="G600" s="24">
        <v>1</v>
      </c>
      <c r="H600" s="25">
        <v>0.8</v>
      </c>
      <c r="I600" s="24">
        <v>1</v>
      </c>
    </row>
    <row r="601" spans="1:9" ht="15.75" customHeight="1" x14ac:dyDescent="0.2">
      <c r="A601" s="26">
        <v>605</v>
      </c>
      <c r="B601" s="24">
        <v>605</v>
      </c>
      <c r="C601" s="24">
        <v>52</v>
      </c>
      <c r="D601" s="24">
        <f>VLOOKUP(C601,[1]Course!$A$1:$C$229, 2, FALSE)</f>
        <v>0</v>
      </c>
      <c r="E601" s="24">
        <v>82</v>
      </c>
      <c r="F601" s="24" t="s">
        <v>988</v>
      </c>
      <c r="G601" s="24">
        <v>1</v>
      </c>
      <c r="H601" s="25">
        <v>0.8</v>
      </c>
      <c r="I601" s="24">
        <v>1</v>
      </c>
    </row>
    <row r="602" spans="1:9" ht="15.75" customHeight="1" x14ac:dyDescent="0.2">
      <c r="A602" s="26">
        <v>606</v>
      </c>
      <c r="B602" s="24">
        <v>606</v>
      </c>
      <c r="C602" s="24">
        <v>52</v>
      </c>
      <c r="D602" s="24">
        <f>VLOOKUP(C602,[1]Course!$A$1:$C$229, 2, FALSE)</f>
        <v>0</v>
      </c>
      <c r="E602" s="24">
        <v>83</v>
      </c>
      <c r="F602" s="24" t="s">
        <v>987</v>
      </c>
      <c r="G602" s="24">
        <v>1</v>
      </c>
      <c r="H602" s="25">
        <v>0.8</v>
      </c>
      <c r="I602" s="24">
        <v>1</v>
      </c>
    </row>
    <row r="603" spans="1:9" ht="15.75" customHeight="1" x14ac:dyDescent="0.2">
      <c r="A603" s="26">
        <v>607</v>
      </c>
      <c r="B603" s="24">
        <v>607</v>
      </c>
      <c r="C603" s="24">
        <v>52</v>
      </c>
      <c r="D603" s="24">
        <f>VLOOKUP(C603,[1]Course!$A$1:$C$229, 2, FALSE)</f>
        <v>0</v>
      </c>
      <c r="E603" s="24">
        <v>84</v>
      </c>
      <c r="F603" s="24" t="s">
        <v>986</v>
      </c>
      <c r="G603" s="24">
        <v>1</v>
      </c>
      <c r="H603" s="25">
        <v>0.8</v>
      </c>
      <c r="I603" s="24">
        <v>1</v>
      </c>
    </row>
    <row r="604" spans="1:9" ht="15.75" customHeight="1" x14ac:dyDescent="0.2">
      <c r="A604" s="26">
        <v>608</v>
      </c>
      <c r="B604" s="24">
        <v>608</v>
      </c>
      <c r="C604" s="24">
        <v>53</v>
      </c>
      <c r="D604" s="24">
        <f>VLOOKUP(C604,[1]Course!$A$1:$C$229, 2, FALSE)</f>
        <v>0</v>
      </c>
      <c r="E604" s="24">
        <v>85</v>
      </c>
      <c r="F604" s="24" t="s">
        <v>985</v>
      </c>
      <c r="G604" s="24">
        <v>1</v>
      </c>
      <c r="H604" s="25">
        <v>0.8</v>
      </c>
      <c r="I604" s="24">
        <v>1</v>
      </c>
    </row>
    <row r="605" spans="1:9" ht="15.75" customHeight="1" x14ac:dyDescent="0.2">
      <c r="A605" s="26">
        <v>609</v>
      </c>
      <c r="B605" s="24">
        <v>609</v>
      </c>
      <c r="C605" s="24">
        <v>53</v>
      </c>
      <c r="D605" s="24">
        <f>VLOOKUP(C605,[1]Course!$A$1:$C$229, 2, FALSE)</f>
        <v>0</v>
      </c>
      <c r="E605" s="24">
        <v>86</v>
      </c>
      <c r="F605" s="24" t="s">
        <v>984</v>
      </c>
      <c r="G605" s="24">
        <v>1</v>
      </c>
      <c r="H605" s="25">
        <v>0.8</v>
      </c>
      <c r="I605" s="24">
        <v>1</v>
      </c>
    </row>
    <row r="606" spans="1:9" ht="15.75" customHeight="1" x14ac:dyDescent="0.2">
      <c r="A606" s="26">
        <v>610</v>
      </c>
      <c r="B606" s="24">
        <v>610</v>
      </c>
      <c r="C606" s="24">
        <v>53</v>
      </c>
      <c r="D606" s="24">
        <f>VLOOKUP(C606,[1]Course!$A$1:$C$229, 2, FALSE)</f>
        <v>0</v>
      </c>
      <c r="E606" s="24">
        <v>87</v>
      </c>
      <c r="F606" s="24" t="s">
        <v>983</v>
      </c>
      <c r="G606" s="24">
        <v>1</v>
      </c>
      <c r="H606" s="25">
        <v>0.8</v>
      </c>
      <c r="I606" s="24">
        <v>1</v>
      </c>
    </row>
    <row r="607" spans="1:9" ht="15.75" customHeight="1" x14ac:dyDescent="0.2">
      <c r="A607" s="26">
        <v>611</v>
      </c>
      <c r="B607" s="24">
        <v>611</v>
      </c>
      <c r="C607" s="24">
        <v>53</v>
      </c>
      <c r="D607" s="24">
        <f>VLOOKUP(C607,[1]Course!$A$1:$C$229, 2, FALSE)</f>
        <v>0</v>
      </c>
      <c r="E607" s="24">
        <v>88</v>
      </c>
      <c r="F607" s="24" t="s">
        <v>982</v>
      </c>
      <c r="G607" s="24">
        <v>1</v>
      </c>
      <c r="H607" s="25">
        <v>0.8</v>
      </c>
      <c r="I607" s="24">
        <v>1</v>
      </c>
    </row>
    <row r="608" spans="1:9" ht="15.75" customHeight="1" x14ac:dyDescent="0.2">
      <c r="A608" s="26">
        <v>612</v>
      </c>
      <c r="B608" s="24">
        <v>612</v>
      </c>
      <c r="C608" s="24">
        <v>53</v>
      </c>
      <c r="D608" s="24">
        <f>VLOOKUP(C608,[1]Course!$A$1:$C$229, 2, FALSE)</f>
        <v>0</v>
      </c>
      <c r="E608" s="24">
        <v>89</v>
      </c>
      <c r="F608" s="24" t="s">
        <v>981</v>
      </c>
      <c r="G608" s="24">
        <v>1</v>
      </c>
      <c r="H608" s="25">
        <v>0.8</v>
      </c>
      <c r="I608" s="24">
        <v>1</v>
      </c>
    </row>
    <row r="609" spans="1:9" ht="15.75" customHeight="1" x14ac:dyDescent="0.2">
      <c r="A609" s="26">
        <v>613</v>
      </c>
      <c r="B609" s="24">
        <v>613</v>
      </c>
      <c r="C609" s="24">
        <v>53</v>
      </c>
      <c r="D609" s="24">
        <f>VLOOKUP(C609,[1]Course!$A$1:$C$229, 2, FALSE)</f>
        <v>0</v>
      </c>
      <c r="E609" s="24">
        <v>90</v>
      </c>
      <c r="F609" s="24" t="s">
        <v>980</v>
      </c>
      <c r="G609" s="24">
        <v>1</v>
      </c>
      <c r="H609" s="25">
        <v>0.8</v>
      </c>
      <c r="I609" s="24">
        <v>1</v>
      </c>
    </row>
    <row r="610" spans="1:9" ht="15.75" customHeight="1" x14ac:dyDescent="0.2">
      <c r="A610" s="26">
        <v>614</v>
      </c>
      <c r="B610" s="24">
        <v>614</v>
      </c>
      <c r="C610" s="24">
        <v>53</v>
      </c>
      <c r="D610" s="24">
        <f>VLOOKUP(C610,[1]Course!$A$1:$C$229, 2, FALSE)</f>
        <v>0</v>
      </c>
      <c r="E610" s="24">
        <v>91</v>
      </c>
      <c r="F610" s="24" t="s">
        <v>979</v>
      </c>
      <c r="G610" s="24">
        <v>1</v>
      </c>
      <c r="H610" s="25">
        <v>0.8</v>
      </c>
      <c r="I610" s="24">
        <v>1</v>
      </c>
    </row>
    <row r="611" spans="1:9" ht="15.75" customHeight="1" x14ac:dyDescent="0.2">
      <c r="A611" s="26">
        <v>615</v>
      </c>
      <c r="B611" s="24">
        <v>615</v>
      </c>
      <c r="C611" s="24">
        <v>53</v>
      </c>
      <c r="D611" s="24">
        <f>VLOOKUP(C611,[1]Course!$A$1:$C$229, 2, FALSE)</f>
        <v>0</v>
      </c>
      <c r="E611" s="24">
        <v>92</v>
      </c>
      <c r="F611" s="24" t="s">
        <v>978</v>
      </c>
      <c r="G611" s="24">
        <v>1</v>
      </c>
      <c r="H611" s="25">
        <v>0.8</v>
      </c>
      <c r="I611" s="24">
        <v>1</v>
      </c>
    </row>
    <row r="612" spans="1:9" ht="15.75" customHeight="1" x14ac:dyDescent="0.2">
      <c r="A612" s="26">
        <v>616</v>
      </c>
      <c r="B612" s="24">
        <v>616</v>
      </c>
      <c r="C612" s="24">
        <v>53</v>
      </c>
      <c r="D612" s="24">
        <f>VLOOKUP(C612,[1]Course!$A$1:$C$229, 2, FALSE)</f>
        <v>0</v>
      </c>
      <c r="E612" s="24">
        <v>93</v>
      </c>
      <c r="F612" s="24" t="s">
        <v>977</v>
      </c>
      <c r="G612" s="24">
        <v>1</v>
      </c>
      <c r="H612" s="25">
        <v>0.8</v>
      </c>
      <c r="I612" s="24">
        <v>1</v>
      </c>
    </row>
    <row r="613" spans="1:9" ht="15.75" customHeight="1" x14ac:dyDescent="0.2">
      <c r="A613" s="26">
        <v>617</v>
      </c>
      <c r="B613" s="24">
        <v>617</v>
      </c>
      <c r="C613" s="24">
        <v>53</v>
      </c>
      <c r="D613" s="24">
        <f>VLOOKUP(C613,[1]Course!$A$1:$C$229, 2, FALSE)</f>
        <v>0</v>
      </c>
      <c r="E613" s="24">
        <v>94</v>
      </c>
      <c r="F613" s="24" t="s">
        <v>976</v>
      </c>
      <c r="G613" s="24">
        <v>1</v>
      </c>
      <c r="H613" s="25">
        <v>0.8</v>
      </c>
      <c r="I613" s="24">
        <v>1</v>
      </c>
    </row>
    <row r="614" spans="1:9" ht="15.75" customHeight="1" x14ac:dyDescent="0.2">
      <c r="A614" s="26">
        <v>618</v>
      </c>
      <c r="B614" s="24">
        <v>618</v>
      </c>
      <c r="C614" s="24">
        <v>53</v>
      </c>
      <c r="D614" s="24">
        <f>VLOOKUP(C614,[1]Course!$A$1:$C$229, 2, FALSE)</f>
        <v>0</v>
      </c>
      <c r="E614" s="24">
        <v>95</v>
      </c>
      <c r="F614" s="24" t="s">
        <v>975</v>
      </c>
      <c r="G614" s="24">
        <v>1</v>
      </c>
      <c r="H614" s="25">
        <v>0.8</v>
      </c>
      <c r="I614" s="24">
        <v>1</v>
      </c>
    </row>
    <row r="615" spans="1:9" ht="15.75" customHeight="1" x14ac:dyDescent="0.2">
      <c r="A615" s="26">
        <v>619</v>
      </c>
      <c r="B615" s="24">
        <v>619</v>
      </c>
      <c r="C615" s="24">
        <v>53</v>
      </c>
      <c r="D615" s="24">
        <f>VLOOKUP(C615,[1]Course!$A$1:$C$229, 2, FALSE)</f>
        <v>0</v>
      </c>
      <c r="E615" s="24">
        <v>96</v>
      </c>
      <c r="F615" s="24" t="s">
        <v>974</v>
      </c>
      <c r="G615" s="24">
        <v>1</v>
      </c>
      <c r="H615" s="25">
        <v>0.8</v>
      </c>
      <c r="I615" s="24">
        <v>1</v>
      </c>
    </row>
    <row r="616" spans="1:9" ht="15.75" customHeight="1" x14ac:dyDescent="0.2">
      <c r="A616" s="26">
        <v>620</v>
      </c>
      <c r="B616" s="24">
        <v>620</v>
      </c>
      <c r="C616" s="24">
        <v>54</v>
      </c>
      <c r="D616" s="24">
        <f>VLOOKUP(C616,[1]Course!$A$1:$C$229, 2, FALSE)</f>
        <v>0</v>
      </c>
      <c r="E616" s="24">
        <v>85</v>
      </c>
      <c r="F616" s="24" t="s">
        <v>973</v>
      </c>
      <c r="G616" s="24">
        <v>1</v>
      </c>
      <c r="H616" s="25">
        <v>0.8</v>
      </c>
      <c r="I616" s="24">
        <v>1</v>
      </c>
    </row>
    <row r="617" spans="1:9" ht="15.75" customHeight="1" x14ac:dyDescent="0.2">
      <c r="A617" s="26">
        <v>621</v>
      </c>
      <c r="B617" s="24">
        <v>621</v>
      </c>
      <c r="C617" s="24">
        <v>54</v>
      </c>
      <c r="D617" s="24">
        <f>VLOOKUP(C617,[1]Course!$A$1:$C$229, 2, FALSE)</f>
        <v>0</v>
      </c>
      <c r="E617" s="24">
        <v>86</v>
      </c>
      <c r="F617" s="24" t="s">
        <v>972</v>
      </c>
      <c r="G617" s="24">
        <v>1</v>
      </c>
      <c r="H617" s="25">
        <v>0.8</v>
      </c>
      <c r="I617" s="24">
        <v>1</v>
      </c>
    </row>
    <row r="618" spans="1:9" ht="15.75" customHeight="1" x14ac:dyDescent="0.2">
      <c r="A618" s="26">
        <v>622</v>
      </c>
      <c r="B618" s="24">
        <v>622</v>
      </c>
      <c r="C618" s="24">
        <v>54</v>
      </c>
      <c r="D618" s="24">
        <f>VLOOKUP(C618,[1]Course!$A$1:$C$229, 2, FALSE)</f>
        <v>0</v>
      </c>
      <c r="E618" s="24">
        <v>87</v>
      </c>
      <c r="F618" s="24" t="s">
        <v>971</v>
      </c>
      <c r="G618" s="24">
        <v>1</v>
      </c>
      <c r="H618" s="25">
        <v>0.8</v>
      </c>
      <c r="I618" s="24">
        <v>1</v>
      </c>
    </row>
    <row r="619" spans="1:9" ht="15.75" customHeight="1" x14ac:dyDescent="0.2">
      <c r="A619" s="26">
        <v>623</v>
      </c>
      <c r="B619" s="24">
        <v>623</v>
      </c>
      <c r="C619" s="24">
        <v>54</v>
      </c>
      <c r="D619" s="24">
        <f>VLOOKUP(C619,[1]Course!$A$1:$C$229, 2, FALSE)</f>
        <v>0</v>
      </c>
      <c r="E619" s="24">
        <v>88</v>
      </c>
      <c r="F619" s="24" t="s">
        <v>970</v>
      </c>
      <c r="G619" s="24">
        <v>1</v>
      </c>
      <c r="H619" s="25">
        <v>0.8</v>
      </c>
      <c r="I619" s="24">
        <v>1</v>
      </c>
    </row>
    <row r="620" spans="1:9" ht="15.75" customHeight="1" x14ac:dyDescent="0.2">
      <c r="A620" s="26">
        <v>624</v>
      </c>
      <c r="B620" s="24">
        <v>624</v>
      </c>
      <c r="C620" s="24">
        <v>54</v>
      </c>
      <c r="D620" s="24">
        <f>VLOOKUP(C620,[1]Course!$A$1:$C$229, 2, FALSE)</f>
        <v>0</v>
      </c>
      <c r="E620" s="24">
        <v>89</v>
      </c>
      <c r="F620" s="24" t="s">
        <v>969</v>
      </c>
      <c r="G620" s="24">
        <v>1</v>
      </c>
      <c r="H620" s="25">
        <v>0.8</v>
      </c>
      <c r="I620" s="24">
        <v>1</v>
      </c>
    </row>
    <row r="621" spans="1:9" ht="15.75" customHeight="1" x14ac:dyDescent="0.2">
      <c r="A621" s="26">
        <v>625</v>
      </c>
      <c r="B621" s="24">
        <v>625</v>
      </c>
      <c r="C621" s="24">
        <v>54</v>
      </c>
      <c r="D621" s="24">
        <f>VLOOKUP(C621,[1]Course!$A$1:$C$229, 2, FALSE)</f>
        <v>0</v>
      </c>
      <c r="E621" s="24">
        <v>90</v>
      </c>
      <c r="F621" s="24" t="s">
        <v>968</v>
      </c>
      <c r="G621" s="24">
        <v>1</v>
      </c>
      <c r="H621" s="25">
        <v>0.8</v>
      </c>
      <c r="I621" s="24">
        <v>1</v>
      </c>
    </row>
    <row r="622" spans="1:9" ht="15.75" customHeight="1" x14ac:dyDescent="0.2">
      <c r="A622" s="26">
        <v>626</v>
      </c>
      <c r="B622" s="24">
        <v>626</v>
      </c>
      <c r="C622" s="24">
        <v>54</v>
      </c>
      <c r="D622" s="24">
        <f>VLOOKUP(C622,[1]Course!$A$1:$C$229, 2, FALSE)</f>
        <v>0</v>
      </c>
      <c r="E622" s="24">
        <v>91</v>
      </c>
      <c r="F622" s="24" t="s">
        <v>967</v>
      </c>
      <c r="G622" s="24">
        <v>1</v>
      </c>
      <c r="H622" s="25">
        <v>0.8</v>
      </c>
      <c r="I622" s="24">
        <v>1</v>
      </c>
    </row>
    <row r="623" spans="1:9" ht="15.75" customHeight="1" x14ac:dyDescent="0.2">
      <c r="A623" s="26">
        <v>627</v>
      </c>
      <c r="B623" s="24">
        <v>627</v>
      </c>
      <c r="C623" s="24">
        <v>54</v>
      </c>
      <c r="D623" s="24">
        <f>VLOOKUP(C623,[1]Course!$A$1:$C$229, 2, FALSE)</f>
        <v>0</v>
      </c>
      <c r="E623" s="24">
        <v>92</v>
      </c>
      <c r="F623" s="24" t="s">
        <v>966</v>
      </c>
      <c r="G623" s="24">
        <v>1</v>
      </c>
      <c r="H623" s="25">
        <v>0.8</v>
      </c>
      <c r="I623" s="24">
        <v>1</v>
      </c>
    </row>
    <row r="624" spans="1:9" ht="15.75" customHeight="1" x14ac:dyDescent="0.2">
      <c r="A624" s="26">
        <v>628</v>
      </c>
      <c r="B624" s="24">
        <v>628</v>
      </c>
      <c r="C624" s="24">
        <v>54</v>
      </c>
      <c r="D624" s="24">
        <f>VLOOKUP(C624,[1]Course!$A$1:$C$229, 2, FALSE)</f>
        <v>0</v>
      </c>
      <c r="E624" s="24">
        <v>93</v>
      </c>
      <c r="F624" s="24" t="s">
        <v>965</v>
      </c>
      <c r="G624" s="24">
        <v>1</v>
      </c>
      <c r="H624" s="25">
        <v>0.8</v>
      </c>
      <c r="I624" s="24">
        <v>1</v>
      </c>
    </row>
    <row r="625" spans="1:9" ht="15.75" customHeight="1" x14ac:dyDescent="0.2">
      <c r="A625" s="26">
        <v>629</v>
      </c>
      <c r="B625" s="24">
        <v>629</v>
      </c>
      <c r="C625" s="24">
        <v>54</v>
      </c>
      <c r="D625" s="24">
        <f>VLOOKUP(C625,[1]Course!$A$1:$C$229, 2, FALSE)</f>
        <v>0</v>
      </c>
      <c r="E625" s="24">
        <v>94</v>
      </c>
      <c r="F625" s="24" t="s">
        <v>964</v>
      </c>
      <c r="G625" s="24">
        <v>1</v>
      </c>
      <c r="H625" s="25">
        <v>0.8</v>
      </c>
      <c r="I625" s="24">
        <v>1</v>
      </c>
    </row>
    <row r="626" spans="1:9" ht="15.75" customHeight="1" x14ac:dyDescent="0.2">
      <c r="A626" s="26">
        <v>630</v>
      </c>
      <c r="B626" s="24">
        <v>630</v>
      </c>
      <c r="C626" s="24">
        <v>54</v>
      </c>
      <c r="D626" s="24">
        <f>VLOOKUP(C626,[1]Course!$A$1:$C$229, 2, FALSE)</f>
        <v>0</v>
      </c>
      <c r="E626" s="24">
        <v>95</v>
      </c>
      <c r="F626" s="24" t="s">
        <v>963</v>
      </c>
      <c r="G626" s="24">
        <v>1</v>
      </c>
      <c r="H626" s="25">
        <v>0.8</v>
      </c>
      <c r="I626" s="24">
        <v>1</v>
      </c>
    </row>
    <row r="627" spans="1:9" ht="15.75" customHeight="1" x14ac:dyDescent="0.2">
      <c r="A627" s="26">
        <v>631</v>
      </c>
      <c r="B627" s="24">
        <v>631</v>
      </c>
      <c r="C627" s="24">
        <v>54</v>
      </c>
      <c r="D627" s="24">
        <f>VLOOKUP(C627,[1]Course!$A$1:$C$229, 2, FALSE)</f>
        <v>0</v>
      </c>
      <c r="E627" s="24">
        <v>96</v>
      </c>
      <c r="F627" s="24" t="s">
        <v>962</v>
      </c>
      <c r="G627" s="24">
        <v>1</v>
      </c>
      <c r="H627" s="25">
        <v>0.8</v>
      </c>
      <c r="I627" s="24">
        <v>1</v>
      </c>
    </row>
    <row r="628" spans="1:9" ht="15.75" customHeight="1" x14ac:dyDescent="0.2">
      <c r="A628" s="26">
        <v>632</v>
      </c>
      <c r="B628" s="24">
        <v>632</v>
      </c>
      <c r="C628" s="24">
        <v>55</v>
      </c>
      <c r="D628" s="24">
        <f>VLOOKUP(C628,[1]Course!$A$1:$C$229, 2, FALSE)</f>
        <v>0</v>
      </c>
      <c r="E628" s="24">
        <v>85</v>
      </c>
      <c r="F628" s="24" t="s">
        <v>961</v>
      </c>
      <c r="G628" s="24">
        <v>1</v>
      </c>
      <c r="H628" s="25">
        <v>0.9</v>
      </c>
      <c r="I628" s="24">
        <v>1</v>
      </c>
    </row>
    <row r="629" spans="1:9" ht="15.75" customHeight="1" x14ac:dyDescent="0.2">
      <c r="A629" s="26">
        <v>633</v>
      </c>
      <c r="B629" s="24">
        <v>633</v>
      </c>
      <c r="C629" s="24">
        <v>55</v>
      </c>
      <c r="D629" s="24">
        <f>VLOOKUP(C629,[1]Course!$A$1:$C$229, 2, FALSE)</f>
        <v>0</v>
      </c>
      <c r="E629" s="24">
        <v>86</v>
      </c>
      <c r="F629" s="24" t="s">
        <v>960</v>
      </c>
      <c r="G629" s="24">
        <v>1</v>
      </c>
      <c r="H629" s="25">
        <v>0.9</v>
      </c>
      <c r="I629" s="24">
        <v>1</v>
      </c>
    </row>
    <row r="630" spans="1:9" ht="15.75" customHeight="1" x14ac:dyDescent="0.2">
      <c r="A630" s="26">
        <v>634</v>
      </c>
      <c r="B630" s="24">
        <v>634</v>
      </c>
      <c r="C630" s="24">
        <v>55</v>
      </c>
      <c r="D630" s="24">
        <f>VLOOKUP(C630,[1]Course!$A$1:$C$229, 2, FALSE)</f>
        <v>0</v>
      </c>
      <c r="E630" s="24">
        <v>87</v>
      </c>
      <c r="F630" s="24" t="s">
        <v>959</v>
      </c>
      <c r="G630" s="24">
        <v>1</v>
      </c>
      <c r="H630" s="25">
        <v>0.9</v>
      </c>
      <c r="I630" s="24">
        <v>1</v>
      </c>
    </row>
    <row r="631" spans="1:9" ht="15.75" customHeight="1" x14ac:dyDescent="0.2">
      <c r="A631" s="26">
        <v>635</v>
      </c>
      <c r="B631" s="24">
        <v>635</v>
      </c>
      <c r="C631" s="24">
        <v>55</v>
      </c>
      <c r="D631" s="24">
        <f>VLOOKUP(C631,[1]Course!$A$1:$C$229, 2, FALSE)</f>
        <v>0</v>
      </c>
      <c r="E631" s="24">
        <v>88</v>
      </c>
      <c r="F631" s="24" t="s">
        <v>958</v>
      </c>
      <c r="G631" s="24">
        <v>1</v>
      </c>
      <c r="H631" s="25">
        <v>0.9</v>
      </c>
      <c r="I631" s="24">
        <v>1</v>
      </c>
    </row>
    <row r="632" spans="1:9" ht="15.75" customHeight="1" x14ac:dyDescent="0.2">
      <c r="A632" s="26">
        <v>636</v>
      </c>
      <c r="B632" s="24">
        <v>636</v>
      </c>
      <c r="C632" s="24">
        <v>55</v>
      </c>
      <c r="D632" s="24">
        <f>VLOOKUP(C632,[1]Course!$A$1:$C$229, 2, FALSE)</f>
        <v>0</v>
      </c>
      <c r="E632" s="24">
        <v>89</v>
      </c>
      <c r="F632" s="24" t="s">
        <v>957</v>
      </c>
      <c r="G632" s="24">
        <v>1</v>
      </c>
      <c r="H632" s="25">
        <v>0.9</v>
      </c>
      <c r="I632" s="24">
        <v>1</v>
      </c>
    </row>
    <row r="633" spans="1:9" ht="15.75" customHeight="1" x14ac:dyDescent="0.2">
      <c r="A633" s="26">
        <v>637</v>
      </c>
      <c r="B633" s="24">
        <v>637</v>
      </c>
      <c r="C633" s="24">
        <v>55</v>
      </c>
      <c r="D633" s="24">
        <f>VLOOKUP(C633,[1]Course!$A$1:$C$229, 2, FALSE)</f>
        <v>0</v>
      </c>
      <c r="E633" s="24">
        <v>90</v>
      </c>
      <c r="F633" s="24" t="s">
        <v>956</v>
      </c>
      <c r="G633" s="24">
        <v>1</v>
      </c>
      <c r="H633" s="25">
        <v>0.9</v>
      </c>
      <c r="I633" s="24">
        <v>1</v>
      </c>
    </row>
    <row r="634" spans="1:9" ht="15.75" customHeight="1" x14ac:dyDescent="0.2">
      <c r="A634" s="26">
        <v>638</v>
      </c>
      <c r="B634" s="24">
        <v>638</v>
      </c>
      <c r="C634" s="24">
        <v>55</v>
      </c>
      <c r="D634" s="24">
        <f>VLOOKUP(C634,[1]Course!$A$1:$C$229, 2, FALSE)</f>
        <v>0</v>
      </c>
      <c r="E634" s="24">
        <v>91</v>
      </c>
      <c r="F634" s="24" t="s">
        <v>955</v>
      </c>
      <c r="G634" s="24">
        <v>1</v>
      </c>
      <c r="H634" s="25">
        <v>0.9</v>
      </c>
      <c r="I634" s="24">
        <v>1</v>
      </c>
    </row>
    <row r="635" spans="1:9" ht="15.75" customHeight="1" x14ac:dyDescent="0.2">
      <c r="A635" s="26">
        <v>639</v>
      </c>
      <c r="B635" s="24">
        <v>639</v>
      </c>
      <c r="C635" s="24">
        <v>55</v>
      </c>
      <c r="D635" s="24">
        <f>VLOOKUP(C635,[1]Course!$A$1:$C$229, 2, FALSE)</f>
        <v>0</v>
      </c>
      <c r="E635" s="24">
        <v>92</v>
      </c>
      <c r="F635" s="24" t="s">
        <v>954</v>
      </c>
      <c r="G635" s="24">
        <v>1</v>
      </c>
      <c r="H635" s="25">
        <v>0.9</v>
      </c>
      <c r="I635" s="24">
        <v>1</v>
      </c>
    </row>
    <row r="636" spans="1:9" ht="15.75" customHeight="1" x14ac:dyDescent="0.2">
      <c r="A636" s="26">
        <v>640</v>
      </c>
      <c r="B636" s="24">
        <v>640</v>
      </c>
      <c r="C636" s="24">
        <v>55</v>
      </c>
      <c r="D636" s="24">
        <f>VLOOKUP(C636,[1]Course!$A$1:$C$229, 2, FALSE)</f>
        <v>0</v>
      </c>
      <c r="E636" s="24">
        <v>93</v>
      </c>
      <c r="F636" s="24" t="s">
        <v>953</v>
      </c>
      <c r="G636" s="24">
        <v>1</v>
      </c>
      <c r="H636" s="25">
        <v>0.9</v>
      </c>
      <c r="I636" s="24">
        <v>1</v>
      </c>
    </row>
    <row r="637" spans="1:9" ht="15.75" customHeight="1" x14ac:dyDescent="0.2">
      <c r="A637" s="26">
        <v>641</v>
      </c>
      <c r="B637" s="24">
        <v>641</v>
      </c>
      <c r="C637" s="24">
        <v>55</v>
      </c>
      <c r="D637" s="24">
        <f>VLOOKUP(C637,[1]Course!$A$1:$C$229, 2, FALSE)</f>
        <v>0</v>
      </c>
      <c r="E637" s="24">
        <v>94</v>
      </c>
      <c r="F637" s="24" t="s">
        <v>952</v>
      </c>
      <c r="G637" s="24">
        <v>1</v>
      </c>
      <c r="H637" s="25">
        <v>0.9</v>
      </c>
      <c r="I637" s="24">
        <v>1</v>
      </c>
    </row>
    <row r="638" spans="1:9" ht="15.75" customHeight="1" x14ac:dyDescent="0.2">
      <c r="A638" s="26">
        <v>642</v>
      </c>
      <c r="B638" s="24">
        <v>642</v>
      </c>
      <c r="C638" s="24">
        <v>55</v>
      </c>
      <c r="D638" s="24">
        <f>VLOOKUP(C638,[1]Course!$A$1:$C$229, 2, FALSE)</f>
        <v>0</v>
      </c>
      <c r="E638" s="24">
        <v>95</v>
      </c>
      <c r="F638" s="24" t="s">
        <v>951</v>
      </c>
      <c r="G638" s="24">
        <v>1</v>
      </c>
      <c r="H638" s="25">
        <v>0.9</v>
      </c>
      <c r="I638" s="24">
        <v>1</v>
      </c>
    </row>
    <row r="639" spans="1:9" ht="15.75" customHeight="1" x14ac:dyDescent="0.2">
      <c r="A639" s="26">
        <v>643</v>
      </c>
      <c r="B639" s="24">
        <v>643</v>
      </c>
      <c r="C639" s="24">
        <v>55</v>
      </c>
      <c r="D639" s="24">
        <f>VLOOKUP(C639,[1]Course!$A$1:$C$229, 2, FALSE)</f>
        <v>0</v>
      </c>
      <c r="E639" s="24">
        <v>96</v>
      </c>
      <c r="F639" s="24" t="s">
        <v>950</v>
      </c>
      <c r="G639" s="24">
        <v>1</v>
      </c>
      <c r="H639" s="25">
        <v>0.9</v>
      </c>
      <c r="I639" s="24">
        <v>1</v>
      </c>
    </row>
    <row r="640" spans="1:9" ht="15.75" customHeight="1" x14ac:dyDescent="0.2">
      <c r="A640" s="26">
        <v>644</v>
      </c>
      <c r="B640" s="24">
        <v>644</v>
      </c>
      <c r="C640" s="24">
        <v>56</v>
      </c>
      <c r="D640" s="24">
        <f>VLOOKUP(C640,[1]Course!$A$1:$C$229, 2, FALSE)</f>
        <v>0</v>
      </c>
      <c r="E640" s="24">
        <v>86</v>
      </c>
      <c r="F640" s="24" t="s">
        <v>949</v>
      </c>
      <c r="G640" s="24">
        <f t="shared" ref="G640:G645" si="1">1/6/2</f>
        <v>8.3333333333333329E-2</v>
      </c>
      <c r="H640" s="25">
        <v>0.8</v>
      </c>
      <c r="I640" s="24">
        <v>1</v>
      </c>
    </row>
    <row r="641" spans="1:9" ht="15.75" customHeight="1" x14ac:dyDescent="0.2">
      <c r="A641" s="26">
        <v>646</v>
      </c>
      <c r="B641" s="24">
        <v>646</v>
      </c>
      <c r="C641" s="24">
        <v>56</v>
      </c>
      <c r="D641" s="24">
        <f>VLOOKUP(C641,[1]Course!$A$1:$C$229, 2, FALSE)</f>
        <v>0</v>
      </c>
      <c r="E641" s="24">
        <v>88</v>
      </c>
      <c r="F641" s="24" t="s">
        <v>948</v>
      </c>
      <c r="G641" s="24">
        <f t="shared" si="1"/>
        <v>8.3333333333333329E-2</v>
      </c>
      <c r="H641" s="25">
        <v>0.8</v>
      </c>
      <c r="I641" s="24">
        <v>1</v>
      </c>
    </row>
    <row r="642" spans="1:9" ht="15.75" customHeight="1" x14ac:dyDescent="0.2">
      <c r="A642" s="26">
        <v>648</v>
      </c>
      <c r="B642" s="24">
        <v>648</v>
      </c>
      <c r="C642" s="24">
        <v>56</v>
      </c>
      <c r="D642" s="24">
        <f>VLOOKUP(C642,[1]Course!$A$1:$C$229, 2, FALSE)</f>
        <v>0</v>
      </c>
      <c r="E642" s="24">
        <v>90</v>
      </c>
      <c r="F642" s="24" t="s">
        <v>947</v>
      </c>
      <c r="G642" s="24">
        <f t="shared" si="1"/>
        <v>8.3333333333333329E-2</v>
      </c>
      <c r="H642" s="25">
        <v>0.8</v>
      </c>
      <c r="I642" s="24">
        <v>1</v>
      </c>
    </row>
    <row r="643" spans="1:9" ht="15.75" customHeight="1" x14ac:dyDescent="0.2">
      <c r="A643" s="26">
        <v>650</v>
      </c>
      <c r="B643" s="24">
        <v>650</v>
      </c>
      <c r="C643" s="24">
        <v>56</v>
      </c>
      <c r="D643" s="24">
        <f>VLOOKUP(C643,[1]Course!$A$1:$C$229, 2, FALSE)</f>
        <v>0</v>
      </c>
      <c r="E643" s="24">
        <v>92</v>
      </c>
      <c r="F643" s="24" t="s">
        <v>946</v>
      </c>
      <c r="G643" s="24">
        <f t="shared" si="1"/>
        <v>8.3333333333333329E-2</v>
      </c>
      <c r="H643" s="25">
        <v>0.8</v>
      </c>
      <c r="I643" s="24">
        <v>1</v>
      </c>
    </row>
    <row r="644" spans="1:9" ht="15.75" customHeight="1" x14ac:dyDescent="0.2">
      <c r="A644" s="26">
        <v>652</v>
      </c>
      <c r="B644" s="24">
        <v>652</v>
      </c>
      <c r="C644" s="24">
        <v>56</v>
      </c>
      <c r="D644" s="24">
        <f>VLOOKUP(C644,[1]Course!$A$1:$C$229, 2, FALSE)</f>
        <v>0</v>
      </c>
      <c r="E644" s="24">
        <v>94</v>
      </c>
      <c r="F644" s="24" t="s">
        <v>945</v>
      </c>
      <c r="G644" s="24">
        <f t="shared" si="1"/>
        <v>8.3333333333333329E-2</v>
      </c>
      <c r="H644" s="25">
        <v>0.8</v>
      </c>
      <c r="I644" s="24">
        <v>1</v>
      </c>
    </row>
    <row r="645" spans="1:9" ht="15.75" customHeight="1" x14ac:dyDescent="0.2">
      <c r="A645" s="26">
        <v>654</v>
      </c>
      <c r="B645" s="24">
        <v>654</v>
      </c>
      <c r="C645" s="24">
        <v>56</v>
      </c>
      <c r="D645" s="24">
        <f>VLOOKUP(C645,[1]Course!$A$1:$C$229, 2, FALSE)</f>
        <v>0</v>
      </c>
      <c r="E645" s="24">
        <v>96</v>
      </c>
      <c r="F645" s="24" t="s">
        <v>944</v>
      </c>
      <c r="G645" s="24">
        <f t="shared" si="1"/>
        <v>8.3333333333333329E-2</v>
      </c>
      <c r="H645" s="25">
        <v>0.8</v>
      </c>
      <c r="I645" s="24">
        <v>1</v>
      </c>
    </row>
    <row r="646" spans="1:9" ht="15.75" customHeight="1" x14ac:dyDescent="0.2">
      <c r="A646" s="26">
        <v>655</v>
      </c>
      <c r="B646" s="24">
        <v>655</v>
      </c>
      <c r="C646" s="24">
        <v>57</v>
      </c>
      <c r="D646" s="24" t="str">
        <f>VLOOKUP(C646,[1]Course!$A$1:$C$229, 2, FALSE)</f>
        <v>Science 8</v>
      </c>
      <c r="E646" s="24">
        <v>85</v>
      </c>
      <c r="F646" s="24" t="s">
        <v>943</v>
      </c>
      <c r="G646" s="24">
        <v>1</v>
      </c>
      <c r="H646" s="25">
        <v>0.8</v>
      </c>
      <c r="I646" s="24">
        <v>1</v>
      </c>
    </row>
    <row r="647" spans="1:9" ht="15.75" customHeight="1" x14ac:dyDescent="0.2">
      <c r="A647" s="26">
        <v>656</v>
      </c>
      <c r="B647" s="24">
        <v>656</v>
      </c>
      <c r="C647" s="24">
        <v>57</v>
      </c>
      <c r="D647" s="24" t="str">
        <f>VLOOKUP(C647,[1]Course!$A$1:$C$229, 2, FALSE)</f>
        <v>Science 8</v>
      </c>
      <c r="E647" s="24">
        <v>86</v>
      </c>
      <c r="F647" s="24" t="s">
        <v>942</v>
      </c>
      <c r="G647" s="24">
        <v>1</v>
      </c>
      <c r="H647" s="25">
        <v>0.8</v>
      </c>
      <c r="I647" s="24">
        <v>1</v>
      </c>
    </row>
    <row r="648" spans="1:9" ht="15.75" customHeight="1" x14ac:dyDescent="0.2">
      <c r="A648" s="26">
        <v>657</v>
      </c>
      <c r="B648" s="24">
        <v>657</v>
      </c>
      <c r="C648" s="24">
        <v>57</v>
      </c>
      <c r="D648" s="24" t="str">
        <f>VLOOKUP(C648,[1]Course!$A$1:$C$229, 2, FALSE)</f>
        <v>Science 8</v>
      </c>
      <c r="E648" s="24">
        <v>87</v>
      </c>
      <c r="F648" s="24" t="s">
        <v>941</v>
      </c>
      <c r="G648" s="24">
        <v>1</v>
      </c>
      <c r="H648" s="25">
        <v>0.8</v>
      </c>
      <c r="I648" s="24">
        <v>1</v>
      </c>
    </row>
    <row r="649" spans="1:9" ht="15.75" customHeight="1" x14ac:dyDescent="0.2">
      <c r="A649" s="26">
        <v>658</v>
      </c>
      <c r="B649" s="24">
        <v>658</v>
      </c>
      <c r="C649" s="24">
        <v>57</v>
      </c>
      <c r="D649" s="24" t="str">
        <f>VLOOKUP(C649,[1]Course!$A$1:$C$229, 2, FALSE)</f>
        <v>Science 8</v>
      </c>
      <c r="E649" s="24">
        <v>88</v>
      </c>
      <c r="F649" s="24" t="s">
        <v>940</v>
      </c>
      <c r="G649" s="24">
        <v>1</v>
      </c>
      <c r="H649" s="25">
        <v>0.8</v>
      </c>
      <c r="I649" s="24">
        <v>1</v>
      </c>
    </row>
    <row r="650" spans="1:9" ht="15.75" customHeight="1" x14ac:dyDescent="0.2">
      <c r="A650" s="26">
        <v>659</v>
      </c>
      <c r="B650" s="24">
        <v>659</v>
      </c>
      <c r="C650" s="24">
        <v>57</v>
      </c>
      <c r="D650" s="24" t="str">
        <f>VLOOKUP(C650,[1]Course!$A$1:$C$229, 2, FALSE)</f>
        <v>Science 8</v>
      </c>
      <c r="E650" s="24">
        <v>89</v>
      </c>
      <c r="F650" s="24" t="s">
        <v>939</v>
      </c>
      <c r="G650" s="24">
        <v>1</v>
      </c>
      <c r="H650" s="25">
        <v>0.8</v>
      </c>
      <c r="I650" s="24">
        <v>1</v>
      </c>
    </row>
    <row r="651" spans="1:9" ht="15.75" customHeight="1" x14ac:dyDescent="0.2">
      <c r="A651" s="26">
        <v>660</v>
      </c>
      <c r="B651" s="24">
        <v>660</v>
      </c>
      <c r="C651" s="24">
        <v>57</v>
      </c>
      <c r="D651" s="24" t="str">
        <f>VLOOKUP(C651,[1]Course!$A$1:$C$229, 2, FALSE)</f>
        <v>Science 8</v>
      </c>
      <c r="E651" s="24">
        <v>90</v>
      </c>
      <c r="F651" s="24" t="s">
        <v>938</v>
      </c>
      <c r="G651" s="24">
        <v>1</v>
      </c>
      <c r="H651" s="25">
        <v>0.8</v>
      </c>
      <c r="I651" s="24">
        <v>1</v>
      </c>
    </row>
    <row r="652" spans="1:9" ht="15.75" customHeight="1" x14ac:dyDescent="0.2">
      <c r="A652" s="26">
        <v>661</v>
      </c>
      <c r="B652" s="24">
        <v>661</v>
      </c>
      <c r="C652" s="24">
        <v>57</v>
      </c>
      <c r="D652" s="24" t="str">
        <f>VLOOKUP(C652,[1]Course!$A$1:$C$229, 2, FALSE)</f>
        <v>Science 8</v>
      </c>
      <c r="E652" s="24">
        <v>91</v>
      </c>
      <c r="F652" s="24" t="s">
        <v>937</v>
      </c>
      <c r="G652" s="24">
        <v>1</v>
      </c>
      <c r="H652" s="25">
        <v>0.8</v>
      </c>
      <c r="I652" s="24">
        <v>1</v>
      </c>
    </row>
    <row r="653" spans="1:9" ht="15.75" customHeight="1" x14ac:dyDescent="0.2">
      <c r="A653" s="26">
        <v>662</v>
      </c>
      <c r="B653" s="24">
        <v>662</v>
      </c>
      <c r="C653" s="24">
        <v>57</v>
      </c>
      <c r="D653" s="24" t="str">
        <f>VLOOKUP(C653,[1]Course!$A$1:$C$229, 2, FALSE)</f>
        <v>Science 8</v>
      </c>
      <c r="E653" s="24">
        <v>92</v>
      </c>
      <c r="F653" s="24" t="s">
        <v>936</v>
      </c>
      <c r="G653" s="24">
        <v>1</v>
      </c>
      <c r="H653" s="25">
        <v>0.8</v>
      </c>
      <c r="I653" s="24">
        <v>1</v>
      </c>
    </row>
    <row r="654" spans="1:9" ht="15.75" customHeight="1" x14ac:dyDescent="0.2">
      <c r="A654" s="26">
        <v>663</v>
      </c>
      <c r="B654" s="24">
        <v>663</v>
      </c>
      <c r="C654" s="24">
        <v>57</v>
      </c>
      <c r="D654" s="24" t="str">
        <f>VLOOKUP(C654,[1]Course!$A$1:$C$229, 2, FALSE)</f>
        <v>Science 8</v>
      </c>
      <c r="E654" s="24">
        <v>93</v>
      </c>
      <c r="F654" s="24" t="s">
        <v>935</v>
      </c>
      <c r="G654" s="24">
        <v>1</v>
      </c>
      <c r="H654" s="25">
        <v>0.8</v>
      </c>
      <c r="I654" s="24">
        <v>1</v>
      </c>
    </row>
    <row r="655" spans="1:9" ht="15.75" customHeight="1" x14ac:dyDescent="0.2">
      <c r="A655" s="26">
        <v>664</v>
      </c>
      <c r="B655" s="24">
        <v>664</v>
      </c>
      <c r="C655" s="24">
        <v>57</v>
      </c>
      <c r="D655" s="24" t="str">
        <f>VLOOKUP(C655,[1]Course!$A$1:$C$229, 2, FALSE)</f>
        <v>Science 8</v>
      </c>
      <c r="E655" s="24">
        <v>94</v>
      </c>
      <c r="F655" s="24" t="s">
        <v>934</v>
      </c>
      <c r="G655" s="24">
        <v>1</v>
      </c>
      <c r="H655" s="25">
        <v>0.8</v>
      </c>
      <c r="I655" s="24">
        <v>1</v>
      </c>
    </row>
    <row r="656" spans="1:9" ht="15.75" customHeight="1" x14ac:dyDescent="0.2">
      <c r="A656" s="26">
        <v>665</v>
      </c>
      <c r="B656" s="24">
        <v>665</v>
      </c>
      <c r="C656" s="24">
        <v>57</v>
      </c>
      <c r="D656" s="24" t="str">
        <f>VLOOKUP(C656,[1]Course!$A$1:$C$229, 2, FALSE)</f>
        <v>Science 8</v>
      </c>
      <c r="E656" s="24">
        <v>95</v>
      </c>
      <c r="F656" s="24" t="s">
        <v>933</v>
      </c>
      <c r="G656" s="24">
        <v>1</v>
      </c>
      <c r="H656" s="25">
        <v>0.8</v>
      </c>
      <c r="I656" s="24">
        <v>1</v>
      </c>
    </row>
    <row r="657" spans="1:9" ht="15.75" customHeight="1" x14ac:dyDescent="0.2">
      <c r="A657" s="26">
        <v>666</v>
      </c>
      <c r="B657" s="24">
        <v>666</v>
      </c>
      <c r="C657" s="24">
        <v>57</v>
      </c>
      <c r="D657" s="24" t="str">
        <f>VLOOKUP(C657,[1]Course!$A$1:$C$229, 2, FALSE)</f>
        <v>Science 8</v>
      </c>
      <c r="E657" s="24">
        <v>96</v>
      </c>
      <c r="F657" s="24" t="s">
        <v>932</v>
      </c>
      <c r="G657" s="24">
        <v>1</v>
      </c>
      <c r="H657" s="25">
        <v>0.8</v>
      </c>
      <c r="I657" s="24">
        <v>1</v>
      </c>
    </row>
    <row r="658" spans="1:9" ht="15.75" customHeight="1" x14ac:dyDescent="0.2">
      <c r="A658" s="26">
        <v>667</v>
      </c>
      <c r="B658" s="24">
        <v>667</v>
      </c>
      <c r="C658" s="24">
        <v>58</v>
      </c>
      <c r="D658" s="24">
        <f>VLOOKUP(C658,[1]Course!$A$1:$C$229, 2, FALSE)</f>
        <v>0</v>
      </c>
      <c r="E658" s="24">
        <v>97</v>
      </c>
      <c r="F658" s="24" t="s">
        <v>931</v>
      </c>
      <c r="G658" s="24">
        <v>1</v>
      </c>
      <c r="H658" s="25">
        <v>0.8</v>
      </c>
      <c r="I658" s="24">
        <v>1</v>
      </c>
    </row>
    <row r="659" spans="1:9" ht="15.75" customHeight="1" x14ac:dyDescent="0.2">
      <c r="A659" s="26">
        <v>668</v>
      </c>
      <c r="B659" s="24">
        <v>668</v>
      </c>
      <c r="C659" s="24">
        <v>58</v>
      </c>
      <c r="D659" s="24">
        <f>VLOOKUP(C659,[1]Course!$A$1:$C$229, 2, FALSE)</f>
        <v>0</v>
      </c>
      <c r="E659" s="24">
        <v>98</v>
      </c>
      <c r="F659" s="24" t="s">
        <v>930</v>
      </c>
      <c r="G659" s="24">
        <v>1</v>
      </c>
      <c r="H659" s="25">
        <v>0.8</v>
      </c>
      <c r="I659" s="24">
        <v>1</v>
      </c>
    </row>
    <row r="660" spans="1:9" ht="15.75" customHeight="1" x14ac:dyDescent="0.2">
      <c r="A660" s="26">
        <v>669</v>
      </c>
      <c r="B660" s="24">
        <v>669</v>
      </c>
      <c r="C660" s="24">
        <v>58</v>
      </c>
      <c r="D660" s="24">
        <f>VLOOKUP(C660,[1]Course!$A$1:$C$229, 2, FALSE)</f>
        <v>0</v>
      </c>
      <c r="E660" s="24">
        <v>99</v>
      </c>
      <c r="F660" s="24" t="s">
        <v>929</v>
      </c>
      <c r="G660" s="24">
        <v>1</v>
      </c>
      <c r="H660" s="25">
        <v>0.8</v>
      </c>
      <c r="I660" s="24">
        <v>1</v>
      </c>
    </row>
    <row r="661" spans="1:9" ht="15.75" customHeight="1" x14ac:dyDescent="0.2">
      <c r="A661" s="26">
        <v>670</v>
      </c>
      <c r="B661" s="24">
        <v>670</v>
      </c>
      <c r="C661" s="24">
        <v>58</v>
      </c>
      <c r="D661" s="24">
        <f>VLOOKUP(C661,[1]Course!$A$1:$C$229, 2, FALSE)</f>
        <v>0</v>
      </c>
      <c r="E661" s="24">
        <v>100</v>
      </c>
      <c r="F661" s="24" t="s">
        <v>928</v>
      </c>
      <c r="G661" s="24">
        <v>1</v>
      </c>
      <c r="H661" s="25">
        <v>0.8</v>
      </c>
      <c r="I661" s="24">
        <v>1</v>
      </c>
    </row>
    <row r="662" spans="1:9" ht="15.75" customHeight="1" x14ac:dyDescent="0.2">
      <c r="A662" s="26">
        <v>671</v>
      </c>
      <c r="B662" s="24">
        <v>671</v>
      </c>
      <c r="C662" s="24">
        <v>58</v>
      </c>
      <c r="D662" s="24">
        <f>VLOOKUP(C662,[1]Course!$A$1:$C$229, 2, FALSE)</f>
        <v>0</v>
      </c>
      <c r="E662" s="24">
        <v>101</v>
      </c>
      <c r="F662" s="24" t="s">
        <v>927</v>
      </c>
      <c r="G662" s="24">
        <v>1</v>
      </c>
      <c r="H662" s="25">
        <v>0.8</v>
      </c>
      <c r="I662" s="24">
        <v>1</v>
      </c>
    </row>
    <row r="663" spans="1:9" ht="15.75" customHeight="1" x14ac:dyDescent="0.2">
      <c r="A663" s="26">
        <v>672</v>
      </c>
      <c r="B663" s="24">
        <v>672</v>
      </c>
      <c r="C663" s="24">
        <v>58</v>
      </c>
      <c r="D663" s="24">
        <f>VLOOKUP(C663,[1]Course!$A$1:$C$229, 2, FALSE)</f>
        <v>0</v>
      </c>
      <c r="E663" s="24">
        <v>102</v>
      </c>
      <c r="F663" s="24" t="s">
        <v>926</v>
      </c>
      <c r="G663" s="24">
        <v>1</v>
      </c>
      <c r="H663" s="25">
        <v>0.8</v>
      </c>
      <c r="I663" s="24">
        <v>1</v>
      </c>
    </row>
    <row r="664" spans="1:9" ht="15.75" customHeight="1" x14ac:dyDescent="0.2">
      <c r="A664" s="26">
        <v>673</v>
      </c>
      <c r="B664" s="24">
        <v>673</v>
      </c>
      <c r="C664" s="24">
        <v>58</v>
      </c>
      <c r="D664" s="24">
        <f>VLOOKUP(C664,[1]Course!$A$1:$C$229, 2, FALSE)</f>
        <v>0</v>
      </c>
      <c r="E664" s="24">
        <v>103</v>
      </c>
      <c r="F664" s="24" t="s">
        <v>925</v>
      </c>
      <c r="G664" s="24">
        <v>1</v>
      </c>
      <c r="H664" s="25">
        <v>0.8</v>
      </c>
      <c r="I664" s="24">
        <v>1</v>
      </c>
    </row>
    <row r="665" spans="1:9" ht="15.75" customHeight="1" x14ac:dyDescent="0.2">
      <c r="A665" s="26">
        <v>674</v>
      </c>
      <c r="B665" s="24">
        <v>674</v>
      </c>
      <c r="C665" s="24">
        <v>58</v>
      </c>
      <c r="D665" s="24">
        <f>VLOOKUP(C665,[1]Course!$A$1:$C$229, 2, FALSE)</f>
        <v>0</v>
      </c>
      <c r="E665" s="24">
        <v>104</v>
      </c>
      <c r="F665" s="24" t="s">
        <v>924</v>
      </c>
      <c r="G665" s="24">
        <v>1</v>
      </c>
      <c r="H665" s="25">
        <v>0.8</v>
      </c>
      <c r="I665" s="24">
        <v>1</v>
      </c>
    </row>
    <row r="666" spans="1:9" ht="15.75" customHeight="1" x14ac:dyDescent="0.2">
      <c r="A666" s="26">
        <v>675</v>
      </c>
      <c r="B666" s="24">
        <v>675</v>
      </c>
      <c r="C666" s="24">
        <v>58</v>
      </c>
      <c r="D666" s="24">
        <f>VLOOKUP(C666,[1]Course!$A$1:$C$229, 2, FALSE)</f>
        <v>0</v>
      </c>
      <c r="E666" s="24">
        <v>105</v>
      </c>
      <c r="F666" s="24" t="s">
        <v>923</v>
      </c>
      <c r="G666" s="24">
        <v>1</v>
      </c>
      <c r="H666" s="25">
        <v>0.8</v>
      </c>
      <c r="I666" s="24">
        <v>1</v>
      </c>
    </row>
    <row r="667" spans="1:9" ht="15.75" customHeight="1" x14ac:dyDescent="0.2">
      <c r="A667" s="26">
        <v>676</v>
      </c>
      <c r="B667" s="24">
        <v>676</v>
      </c>
      <c r="C667" s="24">
        <v>58</v>
      </c>
      <c r="D667" s="24">
        <f>VLOOKUP(C667,[1]Course!$A$1:$C$229, 2, FALSE)</f>
        <v>0</v>
      </c>
      <c r="E667" s="24">
        <v>106</v>
      </c>
      <c r="F667" s="24" t="s">
        <v>922</v>
      </c>
      <c r="G667" s="24">
        <v>1</v>
      </c>
      <c r="H667" s="25">
        <v>0.8</v>
      </c>
      <c r="I667" s="24">
        <v>1</v>
      </c>
    </row>
    <row r="668" spans="1:9" ht="15.75" customHeight="1" x14ac:dyDescent="0.2">
      <c r="A668" s="26">
        <v>677</v>
      </c>
      <c r="B668" s="24">
        <v>677</v>
      </c>
      <c r="C668" s="24">
        <v>58</v>
      </c>
      <c r="D668" s="24">
        <f>VLOOKUP(C668,[1]Course!$A$1:$C$229, 2, FALSE)</f>
        <v>0</v>
      </c>
      <c r="E668" s="24">
        <v>107</v>
      </c>
      <c r="F668" s="24" t="s">
        <v>921</v>
      </c>
      <c r="G668" s="24">
        <v>1</v>
      </c>
      <c r="H668" s="25">
        <v>0.8</v>
      </c>
      <c r="I668" s="24">
        <v>1</v>
      </c>
    </row>
    <row r="669" spans="1:9" ht="15.75" customHeight="1" x14ac:dyDescent="0.2">
      <c r="A669" s="26">
        <v>678</v>
      </c>
      <c r="B669" s="24">
        <v>678</v>
      </c>
      <c r="C669" s="24">
        <v>58</v>
      </c>
      <c r="D669" s="24">
        <f>VLOOKUP(C669,[1]Course!$A$1:$C$229, 2, FALSE)</f>
        <v>0</v>
      </c>
      <c r="E669" s="24">
        <v>108</v>
      </c>
      <c r="F669" s="24" t="s">
        <v>920</v>
      </c>
      <c r="G669" s="24">
        <v>1</v>
      </c>
      <c r="H669" s="25">
        <v>0.8</v>
      </c>
      <c r="I669" s="24">
        <v>1</v>
      </c>
    </row>
    <row r="670" spans="1:9" ht="15.75" customHeight="1" x14ac:dyDescent="0.2">
      <c r="A670" s="26">
        <v>679</v>
      </c>
      <c r="B670" s="24">
        <v>679</v>
      </c>
      <c r="C670" s="24">
        <v>59</v>
      </c>
      <c r="D670" s="24" t="s">
        <v>374</v>
      </c>
      <c r="E670" s="24">
        <v>97</v>
      </c>
      <c r="F670" s="24" t="s">
        <v>385</v>
      </c>
      <c r="G670" s="24">
        <v>1</v>
      </c>
      <c r="H670" s="25">
        <v>0.8</v>
      </c>
      <c r="I670" s="24">
        <v>1</v>
      </c>
    </row>
    <row r="671" spans="1:9" ht="15.75" customHeight="1" x14ac:dyDescent="0.2">
      <c r="A671" s="26">
        <v>680</v>
      </c>
      <c r="B671" s="24">
        <v>680</v>
      </c>
      <c r="C671" s="24">
        <v>59</v>
      </c>
      <c r="D671" s="24" t="s">
        <v>374</v>
      </c>
      <c r="E671" s="24">
        <v>98</v>
      </c>
      <c r="F671" s="24" t="s">
        <v>384</v>
      </c>
      <c r="G671" s="24">
        <v>1</v>
      </c>
      <c r="H671" s="25">
        <v>0.8</v>
      </c>
      <c r="I671" s="24">
        <v>1</v>
      </c>
    </row>
    <row r="672" spans="1:9" ht="15.75" customHeight="1" x14ac:dyDescent="0.2">
      <c r="A672" s="26">
        <v>681</v>
      </c>
      <c r="B672" s="24">
        <v>681</v>
      </c>
      <c r="C672" s="24">
        <v>59</v>
      </c>
      <c r="D672" s="24" t="s">
        <v>374</v>
      </c>
      <c r="E672" s="24">
        <v>99</v>
      </c>
      <c r="F672" s="24" t="s">
        <v>383</v>
      </c>
      <c r="G672" s="24">
        <v>1</v>
      </c>
      <c r="H672" s="25">
        <v>0.8</v>
      </c>
      <c r="I672" s="24">
        <v>1</v>
      </c>
    </row>
    <row r="673" spans="1:9" ht="15.75" customHeight="1" x14ac:dyDescent="0.2">
      <c r="A673" s="26">
        <v>682</v>
      </c>
      <c r="B673" s="24">
        <v>682</v>
      </c>
      <c r="C673" s="24">
        <v>59</v>
      </c>
      <c r="D673" s="24" t="s">
        <v>374</v>
      </c>
      <c r="E673" s="24">
        <v>100</v>
      </c>
      <c r="F673" s="24" t="s">
        <v>382</v>
      </c>
      <c r="G673" s="24">
        <v>1</v>
      </c>
      <c r="H673" s="25">
        <v>0.8</v>
      </c>
      <c r="I673" s="24">
        <v>1</v>
      </c>
    </row>
    <row r="674" spans="1:9" ht="15.75" customHeight="1" x14ac:dyDescent="0.2">
      <c r="A674" s="26">
        <v>683</v>
      </c>
      <c r="B674" s="24">
        <v>683</v>
      </c>
      <c r="C674" s="24">
        <v>59</v>
      </c>
      <c r="D674" s="24" t="s">
        <v>374</v>
      </c>
      <c r="E674" s="24">
        <v>101</v>
      </c>
      <c r="F674" s="24" t="s">
        <v>381</v>
      </c>
      <c r="G674" s="24">
        <v>1</v>
      </c>
      <c r="H674" s="25">
        <v>0.8</v>
      </c>
      <c r="I674" s="24">
        <v>1</v>
      </c>
    </row>
    <row r="675" spans="1:9" ht="15.75" customHeight="1" x14ac:dyDescent="0.2">
      <c r="A675" s="26">
        <v>684</v>
      </c>
      <c r="B675" s="24">
        <v>684</v>
      </c>
      <c r="C675" s="24">
        <v>59</v>
      </c>
      <c r="D675" s="24" t="s">
        <v>374</v>
      </c>
      <c r="E675" s="24">
        <v>102</v>
      </c>
      <c r="F675" s="24" t="s">
        <v>380</v>
      </c>
      <c r="G675" s="24">
        <v>1</v>
      </c>
      <c r="H675" s="25">
        <v>0.8</v>
      </c>
      <c r="I675" s="24">
        <v>1</v>
      </c>
    </row>
    <row r="676" spans="1:9" ht="15.75" customHeight="1" x14ac:dyDescent="0.2">
      <c r="A676" s="26">
        <v>685</v>
      </c>
      <c r="B676" s="24">
        <v>685</v>
      </c>
      <c r="C676" s="24">
        <v>59</v>
      </c>
      <c r="D676" s="24" t="s">
        <v>374</v>
      </c>
      <c r="E676" s="24">
        <v>103</v>
      </c>
      <c r="F676" s="24" t="s">
        <v>379</v>
      </c>
      <c r="G676" s="24">
        <v>1</v>
      </c>
      <c r="H676" s="25">
        <v>0.8</v>
      </c>
      <c r="I676" s="24">
        <v>1</v>
      </c>
    </row>
    <row r="677" spans="1:9" ht="15.75" customHeight="1" x14ac:dyDescent="0.2">
      <c r="A677" s="26">
        <v>686</v>
      </c>
      <c r="B677" s="24">
        <v>686</v>
      </c>
      <c r="C677" s="24">
        <v>59</v>
      </c>
      <c r="D677" s="24" t="s">
        <v>374</v>
      </c>
      <c r="E677" s="24">
        <v>104</v>
      </c>
      <c r="F677" s="24" t="s">
        <v>378</v>
      </c>
      <c r="G677" s="24">
        <v>1</v>
      </c>
      <c r="H677" s="25">
        <v>0.8</v>
      </c>
      <c r="I677" s="24">
        <v>1</v>
      </c>
    </row>
    <row r="678" spans="1:9" ht="15.75" customHeight="1" x14ac:dyDescent="0.2">
      <c r="A678" s="26">
        <v>687</v>
      </c>
      <c r="B678" s="24">
        <v>687</v>
      </c>
      <c r="C678" s="24">
        <v>59</v>
      </c>
      <c r="D678" s="24" t="s">
        <v>374</v>
      </c>
      <c r="E678" s="24">
        <v>105</v>
      </c>
      <c r="F678" s="24" t="s">
        <v>377</v>
      </c>
      <c r="G678" s="24">
        <v>1</v>
      </c>
      <c r="H678" s="25">
        <v>0.8</v>
      </c>
      <c r="I678" s="24">
        <v>1</v>
      </c>
    </row>
    <row r="679" spans="1:9" ht="15.75" customHeight="1" x14ac:dyDescent="0.2">
      <c r="A679" s="26">
        <v>688</v>
      </c>
      <c r="B679" s="24">
        <v>688</v>
      </c>
      <c r="C679" s="24">
        <v>59</v>
      </c>
      <c r="D679" s="24" t="s">
        <v>374</v>
      </c>
      <c r="E679" s="24">
        <v>106</v>
      </c>
      <c r="F679" s="24" t="s">
        <v>376</v>
      </c>
      <c r="G679" s="24">
        <v>1</v>
      </c>
      <c r="H679" s="25">
        <v>0.8</v>
      </c>
      <c r="I679" s="24">
        <v>1</v>
      </c>
    </row>
    <row r="680" spans="1:9" ht="15.75" customHeight="1" x14ac:dyDescent="0.2">
      <c r="A680" s="26">
        <v>689</v>
      </c>
      <c r="B680" s="24">
        <v>689</v>
      </c>
      <c r="C680" s="24">
        <v>59</v>
      </c>
      <c r="D680" s="24" t="s">
        <v>374</v>
      </c>
      <c r="E680" s="24">
        <v>107</v>
      </c>
      <c r="F680" s="24" t="s">
        <v>375</v>
      </c>
      <c r="G680" s="24">
        <v>1</v>
      </c>
      <c r="H680" s="25">
        <v>0.8</v>
      </c>
      <c r="I680" s="24">
        <v>1</v>
      </c>
    </row>
    <row r="681" spans="1:9" ht="15.75" customHeight="1" x14ac:dyDescent="0.2">
      <c r="A681" s="26">
        <v>690</v>
      </c>
      <c r="B681" s="24">
        <v>690</v>
      </c>
      <c r="C681" s="24">
        <v>59</v>
      </c>
      <c r="D681" s="24" t="s">
        <v>374</v>
      </c>
      <c r="E681" s="24">
        <v>108</v>
      </c>
      <c r="F681" s="24" t="s">
        <v>373</v>
      </c>
      <c r="G681" s="24">
        <v>1</v>
      </c>
      <c r="H681" s="25">
        <v>0.8</v>
      </c>
      <c r="I681" s="24">
        <v>1</v>
      </c>
    </row>
    <row r="682" spans="1:9" ht="15.75" customHeight="1" x14ac:dyDescent="0.2">
      <c r="A682" s="26">
        <v>691</v>
      </c>
      <c r="B682" s="24">
        <v>691</v>
      </c>
      <c r="C682" s="24">
        <v>60</v>
      </c>
      <c r="D682" s="24" t="str">
        <f>VLOOKUP(C682,[1]Course!$A$1:$C$229, 2, FALSE)</f>
        <v>Biblical Studies I: New Testament Survey</v>
      </c>
      <c r="E682" s="24">
        <v>97</v>
      </c>
      <c r="F682" s="24" t="s">
        <v>919</v>
      </c>
      <c r="G682" s="24">
        <v>1</v>
      </c>
      <c r="H682" s="25">
        <v>0.8</v>
      </c>
      <c r="I682" s="24">
        <v>1</v>
      </c>
    </row>
    <row r="683" spans="1:9" ht="15.75" customHeight="1" x14ac:dyDescent="0.2">
      <c r="A683" s="26">
        <v>692</v>
      </c>
      <c r="B683" s="24">
        <v>692</v>
      </c>
      <c r="C683" s="24">
        <v>60</v>
      </c>
      <c r="D683" s="24" t="str">
        <f>VLOOKUP(C683,[1]Course!$A$1:$C$229, 2, FALSE)</f>
        <v>Biblical Studies I: New Testament Survey</v>
      </c>
      <c r="E683" s="24">
        <v>98</v>
      </c>
      <c r="F683" s="24" t="s">
        <v>918</v>
      </c>
      <c r="G683" s="24">
        <v>1</v>
      </c>
      <c r="H683" s="25">
        <v>0.8</v>
      </c>
      <c r="I683" s="24">
        <v>1</v>
      </c>
    </row>
    <row r="684" spans="1:9" ht="15.75" customHeight="1" x14ac:dyDescent="0.2">
      <c r="A684" s="26">
        <v>693</v>
      </c>
      <c r="B684" s="24">
        <v>693</v>
      </c>
      <c r="C684" s="24">
        <v>60</v>
      </c>
      <c r="D684" s="24" t="str">
        <f>VLOOKUP(C684,[1]Course!$A$1:$C$229, 2, FALSE)</f>
        <v>Biblical Studies I: New Testament Survey</v>
      </c>
      <c r="E684" s="24">
        <v>99</v>
      </c>
      <c r="F684" s="24" t="s">
        <v>917</v>
      </c>
      <c r="G684" s="24">
        <v>1</v>
      </c>
      <c r="H684" s="25">
        <v>0.8</v>
      </c>
      <c r="I684" s="24">
        <v>1</v>
      </c>
    </row>
    <row r="685" spans="1:9" ht="15.75" customHeight="1" x14ac:dyDescent="0.2">
      <c r="A685" s="26">
        <v>694</v>
      </c>
      <c r="B685" s="24">
        <v>694</v>
      </c>
      <c r="C685" s="24">
        <v>60</v>
      </c>
      <c r="D685" s="24" t="str">
        <f>VLOOKUP(C685,[1]Course!$A$1:$C$229, 2, FALSE)</f>
        <v>Biblical Studies I: New Testament Survey</v>
      </c>
      <c r="E685" s="24">
        <v>100</v>
      </c>
      <c r="F685" s="24" t="s">
        <v>916</v>
      </c>
      <c r="G685" s="24">
        <v>1</v>
      </c>
      <c r="H685" s="25">
        <v>0.8</v>
      </c>
      <c r="I685" s="24">
        <v>1</v>
      </c>
    </row>
    <row r="686" spans="1:9" ht="15.75" customHeight="1" x14ac:dyDescent="0.2">
      <c r="A686" s="26">
        <v>695</v>
      </c>
      <c r="B686" s="24">
        <v>695</v>
      </c>
      <c r="C686" s="24">
        <v>60</v>
      </c>
      <c r="D686" s="24" t="str">
        <f>VLOOKUP(C686,[1]Course!$A$1:$C$229, 2, FALSE)</f>
        <v>Biblical Studies I: New Testament Survey</v>
      </c>
      <c r="E686" s="24">
        <v>101</v>
      </c>
      <c r="F686" s="24" t="s">
        <v>915</v>
      </c>
      <c r="G686" s="24">
        <v>1</v>
      </c>
      <c r="H686" s="25">
        <v>0.8</v>
      </c>
      <c r="I686" s="24">
        <v>1</v>
      </c>
    </row>
    <row r="687" spans="1:9" ht="15.75" customHeight="1" x14ac:dyDescent="0.2">
      <c r="A687" s="26">
        <v>696</v>
      </c>
      <c r="B687" s="24">
        <v>696</v>
      </c>
      <c r="C687" s="24">
        <v>60</v>
      </c>
      <c r="D687" s="24" t="str">
        <f>VLOOKUP(C687,[1]Course!$A$1:$C$229, 2, FALSE)</f>
        <v>Biblical Studies I: New Testament Survey</v>
      </c>
      <c r="E687" s="24">
        <v>102</v>
      </c>
      <c r="F687" s="24" t="s">
        <v>914</v>
      </c>
      <c r="G687" s="24">
        <v>1</v>
      </c>
      <c r="H687" s="25">
        <v>0.8</v>
      </c>
      <c r="I687" s="24">
        <v>1</v>
      </c>
    </row>
    <row r="688" spans="1:9" ht="15.75" customHeight="1" x14ac:dyDescent="0.2">
      <c r="A688" s="26">
        <v>697</v>
      </c>
      <c r="B688" s="24">
        <v>697</v>
      </c>
      <c r="C688" s="24">
        <v>61</v>
      </c>
      <c r="D688" s="24">
        <f>VLOOKUP(C688,[1]Course!$A$1:$C$229, 2, FALSE)</f>
        <v>0</v>
      </c>
      <c r="E688" s="24">
        <v>97</v>
      </c>
      <c r="F688" s="24" t="s">
        <v>913</v>
      </c>
      <c r="G688" s="24">
        <v>1</v>
      </c>
      <c r="H688" s="25">
        <v>0.8</v>
      </c>
      <c r="I688" s="24">
        <v>1</v>
      </c>
    </row>
    <row r="689" spans="1:9" ht="15.75" customHeight="1" x14ac:dyDescent="0.2">
      <c r="A689" s="26">
        <v>698</v>
      </c>
      <c r="B689" s="24">
        <v>698</v>
      </c>
      <c r="C689" s="24">
        <v>61</v>
      </c>
      <c r="D689" s="24">
        <f>VLOOKUP(C689,[1]Course!$A$1:$C$229, 2, FALSE)</f>
        <v>0</v>
      </c>
      <c r="E689" s="24">
        <v>98</v>
      </c>
      <c r="F689" s="24" t="s">
        <v>912</v>
      </c>
      <c r="G689" s="24">
        <v>1</v>
      </c>
      <c r="H689" s="25">
        <v>0.8</v>
      </c>
      <c r="I689" s="24">
        <v>1</v>
      </c>
    </row>
    <row r="690" spans="1:9" ht="15.75" customHeight="1" x14ac:dyDescent="0.2">
      <c r="A690" s="26">
        <v>699</v>
      </c>
      <c r="B690" s="24">
        <v>699</v>
      </c>
      <c r="C690" s="24">
        <v>61</v>
      </c>
      <c r="D690" s="24">
        <f>VLOOKUP(C690,[1]Course!$A$1:$C$229, 2, FALSE)</f>
        <v>0</v>
      </c>
      <c r="E690" s="24">
        <v>99</v>
      </c>
      <c r="F690" s="24" t="s">
        <v>911</v>
      </c>
      <c r="G690" s="24">
        <v>1</v>
      </c>
      <c r="H690" s="25">
        <v>0.8</v>
      </c>
      <c r="I690" s="24">
        <v>1</v>
      </c>
    </row>
    <row r="691" spans="1:9" ht="15.75" customHeight="1" x14ac:dyDescent="0.2">
      <c r="A691" s="26">
        <v>700</v>
      </c>
      <c r="B691" s="24">
        <v>700</v>
      </c>
      <c r="C691" s="24">
        <v>61</v>
      </c>
      <c r="D691" s="24">
        <f>VLOOKUP(C691,[1]Course!$A$1:$C$229, 2, FALSE)</f>
        <v>0</v>
      </c>
      <c r="E691" s="24">
        <v>100</v>
      </c>
      <c r="F691" s="24" t="s">
        <v>910</v>
      </c>
      <c r="G691" s="24">
        <v>1</v>
      </c>
      <c r="H691" s="25">
        <v>0.8</v>
      </c>
      <c r="I691" s="24">
        <v>1</v>
      </c>
    </row>
    <row r="692" spans="1:9" ht="15.75" customHeight="1" x14ac:dyDescent="0.2">
      <c r="A692" s="26">
        <v>701</v>
      </c>
      <c r="B692" s="24">
        <v>701</v>
      </c>
      <c r="C692" s="24">
        <v>61</v>
      </c>
      <c r="D692" s="24">
        <f>VLOOKUP(C692,[1]Course!$A$1:$C$229, 2, FALSE)</f>
        <v>0</v>
      </c>
      <c r="E692" s="24">
        <v>101</v>
      </c>
      <c r="F692" s="24" t="s">
        <v>909</v>
      </c>
      <c r="G692" s="24">
        <v>1</v>
      </c>
      <c r="H692" s="25">
        <v>0.8</v>
      </c>
      <c r="I692" s="24">
        <v>1</v>
      </c>
    </row>
    <row r="693" spans="1:9" ht="15.75" customHeight="1" x14ac:dyDescent="0.2">
      <c r="A693" s="26">
        <v>702</v>
      </c>
      <c r="B693" s="24">
        <v>702</v>
      </c>
      <c r="C693" s="24">
        <v>61</v>
      </c>
      <c r="D693" s="24">
        <f>VLOOKUP(C693,[1]Course!$A$1:$C$229, 2, FALSE)</f>
        <v>0</v>
      </c>
      <c r="E693" s="24">
        <v>102</v>
      </c>
      <c r="F693" s="24" t="s">
        <v>908</v>
      </c>
      <c r="G693" s="24">
        <v>1</v>
      </c>
      <c r="H693" s="25">
        <v>0.8</v>
      </c>
      <c r="I693" s="24">
        <v>1</v>
      </c>
    </row>
    <row r="694" spans="1:9" ht="15.75" customHeight="1" x14ac:dyDescent="0.2">
      <c r="A694" s="26">
        <v>703</v>
      </c>
      <c r="B694" s="24">
        <v>703</v>
      </c>
      <c r="C694" s="24">
        <v>61</v>
      </c>
      <c r="D694" s="24">
        <f>VLOOKUP(C694,[1]Course!$A$1:$C$229, 2, FALSE)</f>
        <v>0</v>
      </c>
      <c r="E694" s="24">
        <v>103</v>
      </c>
      <c r="F694" s="24" t="s">
        <v>907</v>
      </c>
      <c r="G694" s="24">
        <v>1</v>
      </c>
      <c r="H694" s="25">
        <v>0.8</v>
      </c>
      <c r="I694" s="24">
        <v>1</v>
      </c>
    </row>
    <row r="695" spans="1:9" ht="15.75" customHeight="1" x14ac:dyDescent="0.2">
      <c r="A695" s="26">
        <v>704</v>
      </c>
      <c r="B695" s="24">
        <v>704</v>
      </c>
      <c r="C695" s="24">
        <v>61</v>
      </c>
      <c r="D695" s="24">
        <f>VLOOKUP(C695,[1]Course!$A$1:$C$229, 2, FALSE)</f>
        <v>0</v>
      </c>
      <c r="E695" s="24">
        <v>104</v>
      </c>
      <c r="F695" s="24" t="s">
        <v>906</v>
      </c>
      <c r="G695" s="24">
        <v>1</v>
      </c>
      <c r="H695" s="25">
        <v>0.8</v>
      </c>
      <c r="I695" s="24">
        <v>1</v>
      </c>
    </row>
    <row r="696" spans="1:9" ht="15.75" customHeight="1" x14ac:dyDescent="0.2">
      <c r="A696" s="26">
        <v>705</v>
      </c>
      <c r="B696" s="24">
        <v>705</v>
      </c>
      <c r="C696" s="24">
        <v>61</v>
      </c>
      <c r="D696" s="24">
        <f>VLOOKUP(C696,[1]Course!$A$1:$C$229, 2, FALSE)</f>
        <v>0</v>
      </c>
      <c r="E696" s="24">
        <v>105</v>
      </c>
      <c r="F696" s="24" t="s">
        <v>905</v>
      </c>
      <c r="G696" s="24">
        <v>1</v>
      </c>
      <c r="H696" s="25">
        <v>0.8</v>
      </c>
      <c r="I696" s="24">
        <v>1</v>
      </c>
    </row>
    <row r="697" spans="1:9" ht="15.75" customHeight="1" x14ac:dyDescent="0.2">
      <c r="A697" s="26">
        <v>706</v>
      </c>
      <c r="B697" s="24">
        <v>706</v>
      </c>
      <c r="C697" s="24">
        <v>61</v>
      </c>
      <c r="D697" s="24">
        <f>VLOOKUP(C697,[1]Course!$A$1:$C$229, 2, FALSE)</f>
        <v>0</v>
      </c>
      <c r="E697" s="24">
        <v>106</v>
      </c>
      <c r="F697" s="24" t="s">
        <v>904</v>
      </c>
      <c r="G697" s="24">
        <v>1</v>
      </c>
      <c r="H697" s="25">
        <v>0.8</v>
      </c>
      <c r="I697" s="24">
        <v>1</v>
      </c>
    </row>
    <row r="698" spans="1:9" ht="15.75" customHeight="1" x14ac:dyDescent="0.2">
      <c r="A698" s="26">
        <v>707</v>
      </c>
      <c r="B698" s="24">
        <v>707</v>
      </c>
      <c r="C698" s="24">
        <v>61</v>
      </c>
      <c r="D698" s="24">
        <f>VLOOKUP(C698,[1]Course!$A$1:$C$229, 2, FALSE)</f>
        <v>0</v>
      </c>
      <c r="E698" s="24">
        <v>107</v>
      </c>
      <c r="F698" s="24" t="s">
        <v>903</v>
      </c>
      <c r="G698" s="24">
        <v>1</v>
      </c>
      <c r="H698" s="25">
        <v>0.8</v>
      </c>
      <c r="I698" s="24">
        <v>1</v>
      </c>
    </row>
    <row r="699" spans="1:9" ht="15.75" customHeight="1" x14ac:dyDescent="0.2">
      <c r="A699" s="26">
        <v>708</v>
      </c>
      <c r="B699" s="24">
        <v>708</v>
      </c>
      <c r="C699" s="24">
        <v>61</v>
      </c>
      <c r="D699" s="24">
        <f>VLOOKUP(C699,[1]Course!$A$1:$C$229, 2, FALSE)</f>
        <v>0</v>
      </c>
      <c r="E699" s="24">
        <v>108</v>
      </c>
      <c r="F699" s="24" t="s">
        <v>902</v>
      </c>
      <c r="G699" s="24">
        <v>1</v>
      </c>
      <c r="H699" s="25">
        <v>0.8</v>
      </c>
      <c r="I699" s="24">
        <v>1</v>
      </c>
    </row>
    <row r="700" spans="1:9" ht="15.75" customHeight="1" x14ac:dyDescent="0.2">
      <c r="A700" s="26">
        <v>709</v>
      </c>
      <c r="B700" s="24">
        <v>709</v>
      </c>
      <c r="C700" s="24">
        <v>62</v>
      </c>
      <c r="D700" s="24">
        <f>VLOOKUP(C700,[1]Course!$A$1:$C$229, 2, FALSE)</f>
        <v>0</v>
      </c>
      <c r="E700" s="24">
        <v>97</v>
      </c>
      <c r="F700" s="24" t="s">
        <v>901</v>
      </c>
      <c r="G700" s="24">
        <v>1</v>
      </c>
      <c r="H700" s="25">
        <v>0.8</v>
      </c>
      <c r="I700" s="24">
        <v>1</v>
      </c>
    </row>
    <row r="701" spans="1:9" ht="15.75" customHeight="1" x14ac:dyDescent="0.2">
      <c r="A701" s="26">
        <v>710</v>
      </c>
      <c r="B701" s="24">
        <v>710</v>
      </c>
      <c r="C701" s="24">
        <v>62</v>
      </c>
      <c r="D701" s="24">
        <f>VLOOKUP(C701,[1]Course!$A$1:$C$229, 2, FALSE)</f>
        <v>0</v>
      </c>
      <c r="E701" s="24">
        <v>98</v>
      </c>
      <c r="F701" s="24" t="s">
        <v>900</v>
      </c>
      <c r="G701" s="24">
        <v>1</v>
      </c>
      <c r="H701" s="25">
        <v>0.8</v>
      </c>
      <c r="I701" s="24">
        <v>1</v>
      </c>
    </row>
    <row r="702" spans="1:9" ht="15.75" customHeight="1" x14ac:dyDescent="0.2">
      <c r="A702" s="26">
        <v>711</v>
      </c>
      <c r="B702" s="24">
        <v>711</v>
      </c>
      <c r="C702" s="24">
        <v>62</v>
      </c>
      <c r="D702" s="24">
        <f>VLOOKUP(C702,[1]Course!$A$1:$C$229, 2, FALSE)</f>
        <v>0</v>
      </c>
      <c r="E702" s="24">
        <v>99</v>
      </c>
      <c r="F702" s="24" t="s">
        <v>899</v>
      </c>
      <c r="G702" s="24">
        <v>1</v>
      </c>
      <c r="H702" s="25">
        <v>0.8</v>
      </c>
      <c r="I702" s="24">
        <v>1</v>
      </c>
    </row>
    <row r="703" spans="1:9" ht="15.75" customHeight="1" x14ac:dyDescent="0.2">
      <c r="A703" s="26">
        <v>712</v>
      </c>
      <c r="B703" s="24">
        <v>712</v>
      </c>
      <c r="C703" s="24">
        <v>62</v>
      </c>
      <c r="D703" s="24">
        <f>VLOOKUP(C703,[1]Course!$A$1:$C$229, 2, FALSE)</f>
        <v>0</v>
      </c>
      <c r="E703" s="24">
        <v>100</v>
      </c>
      <c r="F703" s="24" t="s">
        <v>898</v>
      </c>
      <c r="G703" s="24">
        <v>1</v>
      </c>
      <c r="H703" s="25">
        <v>0.8</v>
      </c>
      <c r="I703" s="24">
        <v>1</v>
      </c>
    </row>
    <row r="704" spans="1:9" ht="15.75" customHeight="1" x14ac:dyDescent="0.2">
      <c r="A704" s="26">
        <v>713</v>
      </c>
      <c r="B704" s="24">
        <v>713</v>
      </c>
      <c r="C704" s="24">
        <v>62</v>
      </c>
      <c r="D704" s="24">
        <f>VLOOKUP(C704,[1]Course!$A$1:$C$229, 2, FALSE)</f>
        <v>0</v>
      </c>
      <c r="E704" s="24">
        <v>101</v>
      </c>
      <c r="F704" s="24" t="s">
        <v>897</v>
      </c>
      <c r="G704" s="24">
        <v>1</v>
      </c>
      <c r="H704" s="25">
        <v>0.8</v>
      </c>
      <c r="I704" s="24">
        <v>1</v>
      </c>
    </row>
    <row r="705" spans="1:9" ht="15.75" customHeight="1" x14ac:dyDescent="0.2">
      <c r="A705" s="26">
        <v>714</v>
      </c>
      <c r="B705" s="24">
        <v>714</v>
      </c>
      <c r="C705" s="24">
        <v>62</v>
      </c>
      <c r="D705" s="24">
        <f>VLOOKUP(C705,[1]Course!$A$1:$C$229, 2, FALSE)</f>
        <v>0</v>
      </c>
      <c r="E705" s="24">
        <v>102</v>
      </c>
      <c r="F705" s="24" t="s">
        <v>896</v>
      </c>
      <c r="G705" s="24">
        <v>1</v>
      </c>
      <c r="H705" s="25">
        <v>0.8</v>
      </c>
      <c r="I705" s="24">
        <v>1</v>
      </c>
    </row>
    <row r="706" spans="1:9" ht="15.75" customHeight="1" x14ac:dyDescent="0.2">
      <c r="A706" s="26">
        <v>715</v>
      </c>
      <c r="B706" s="24">
        <v>715</v>
      </c>
      <c r="C706" s="24">
        <v>62</v>
      </c>
      <c r="D706" s="24">
        <f>VLOOKUP(C706,[1]Course!$A$1:$C$229, 2, FALSE)</f>
        <v>0</v>
      </c>
      <c r="E706" s="24">
        <v>103</v>
      </c>
      <c r="F706" s="24" t="s">
        <v>895</v>
      </c>
      <c r="G706" s="24">
        <v>1</v>
      </c>
      <c r="H706" s="25">
        <v>0.8</v>
      </c>
      <c r="I706" s="24">
        <v>1</v>
      </c>
    </row>
    <row r="707" spans="1:9" ht="15.75" customHeight="1" x14ac:dyDescent="0.2">
      <c r="A707" s="26">
        <v>716</v>
      </c>
      <c r="B707" s="24">
        <v>716</v>
      </c>
      <c r="C707" s="24">
        <v>62</v>
      </c>
      <c r="D707" s="24">
        <f>VLOOKUP(C707,[1]Course!$A$1:$C$229, 2, FALSE)</f>
        <v>0</v>
      </c>
      <c r="E707" s="24">
        <v>104</v>
      </c>
      <c r="F707" s="24" t="s">
        <v>894</v>
      </c>
      <c r="G707" s="24">
        <v>1</v>
      </c>
      <c r="H707" s="25">
        <v>0.8</v>
      </c>
      <c r="I707" s="24">
        <v>1</v>
      </c>
    </row>
    <row r="708" spans="1:9" ht="15.75" customHeight="1" x14ac:dyDescent="0.2">
      <c r="A708" s="26">
        <v>717</v>
      </c>
      <c r="B708" s="24">
        <v>717</v>
      </c>
      <c r="C708" s="24">
        <v>62</v>
      </c>
      <c r="D708" s="24">
        <f>VLOOKUP(C708,[1]Course!$A$1:$C$229, 2, FALSE)</f>
        <v>0</v>
      </c>
      <c r="E708" s="24">
        <v>105</v>
      </c>
      <c r="F708" s="24" t="s">
        <v>893</v>
      </c>
      <c r="G708" s="24">
        <v>1</v>
      </c>
      <c r="H708" s="25">
        <v>0.8</v>
      </c>
      <c r="I708" s="24">
        <v>1</v>
      </c>
    </row>
    <row r="709" spans="1:9" ht="15.75" customHeight="1" x14ac:dyDescent="0.2">
      <c r="A709" s="26">
        <v>718</v>
      </c>
      <c r="B709" s="24">
        <v>718</v>
      </c>
      <c r="C709" s="24">
        <v>62</v>
      </c>
      <c r="D709" s="24">
        <f>VLOOKUP(C709,[1]Course!$A$1:$C$229, 2, FALSE)</f>
        <v>0</v>
      </c>
      <c r="E709" s="24">
        <v>106</v>
      </c>
      <c r="F709" s="24" t="s">
        <v>892</v>
      </c>
      <c r="G709" s="24">
        <v>1</v>
      </c>
      <c r="H709" s="25">
        <v>0.8</v>
      </c>
      <c r="I709" s="24">
        <v>1</v>
      </c>
    </row>
    <row r="710" spans="1:9" ht="15.75" customHeight="1" x14ac:dyDescent="0.2">
      <c r="A710" s="26">
        <v>719</v>
      </c>
      <c r="B710" s="24">
        <v>719</v>
      </c>
      <c r="C710" s="24">
        <v>62</v>
      </c>
      <c r="D710" s="24">
        <f>VLOOKUP(C710,[1]Course!$A$1:$C$229, 2, FALSE)</f>
        <v>0</v>
      </c>
      <c r="E710" s="24">
        <v>107</v>
      </c>
      <c r="F710" s="24" t="s">
        <v>891</v>
      </c>
      <c r="G710" s="24">
        <v>1</v>
      </c>
      <c r="H710" s="25">
        <v>0.8</v>
      </c>
      <c r="I710" s="24">
        <v>1</v>
      </c>
    </row>
    <row r="711" spans="1:9" ht="15.75" customHeight="1" x14ac:dyDescent="0.2">
      <c r="A711" s="26">
        <v>720</v>
      </c>
      <c r="B711" s="24">
        <v>720</v>
      </c>
      <c r="C711" s="24">
        <v>62</v>
      </c>
      <c r="D711" s="24">
        <f>VLOOKUP(C711,[1]Course!$A$1:$C$229, 2, FALSE)</f>
        <v>0</v>
      </c>
      <c r="E711" s="24">
        <v>108</v>
      </c>
      <c r="F711" s="24" t="s">
        <v>890</v>
      </c>
      <c r="G711" s="24">
        <v>1</v>
      </c>
      <c r="H711" s="25">
        <v>0.8</v>
      </c>
      <c r="I711" s="24">
        <v>1</v>
      </c>
    </row>
    <row r="712" spans="1:9" ht="15.75" customHeight="1" x14ac:dyDescent="0.2">
      <c r="A712" s="26">
        <v>721</v>
      </c>
      <c r="B712" s="24">
        <v>721</v>
      </c>
      <c r="C712" s="24">
        <v>63</v>
      </c>
      <c r="D712" s="24">
        <f>VLOOKUP(C712,[1]Course!$A$1:$C$229, 2, FALSE)</f>
        <v>0</v>
      </c>
      <c r="E712" s="24">
        <v>97</v>
      </c>
      <c r="F712" s="24" t="s">
        <v>889</v>
      </c>
      <c r="G712" s="24">
        <v>1</v>
      </c>
      <c r="H712" s="25">
        <v>0.8</v>
      </c>
      <c r="I712" s="24">
        <v>1</v>
      </c>
    </row>
    <row r="713" spans="1:9" ht="15.75" customHeight="1" x14ac:dyDescent="0.2">
      <c r="A713" s="26">
        <v>722</v>
      </c>
      <c r="B713" s="24">
        <v>722</v>
      </c>
      <c r="C713" s="24">
        <v>63</v>
      </c>
      <c r="D713" s="24">
        <f>VLOOKUP(C713,[1]Course!$A$1:$C$229, 2, FALSE)</f>
        <v>0</v>
      </c>
      <c r="E713" s="24">
        <v>98</v>
      </c>
      <c r="F713" s="24" t="s">
        <v>888</v>
      </c>
      <c r="G713" s="24">
        <v>1</v>
      </c>
      <c r="H713" s="25">
        <v>0.8</v>
      </c>
      <c r="I713" s="24">
        <v>1</v>
      </c>
    </row>
    <row r="714" spans="1:9" ht="15.75" customHeight="1" x14ac:dyDescent="0.2">
      <c r="A714" s="26">
        <v>723</v>
      </c>
      <c r="B714" s="24">
        <v>723</v>
      </c>
      <c r="C714" s="24">
        <v>63</v>
      </c>
      <c r="D714" s="24">
        <f>VLOOKUP(C714,[1]Course!$A$1:$C$229, 2, FALSE)</f>
        <v>0</v>
      </c>
      <c r="E714" s="24">
        <v>99</v>
      </c>
      <c r="F714" s="24" t="s">
        <v>887</v>
      </c>
      <c r="G714" s="24">
        <v>1</v>
      </c>
      <c r="H714" s="25">
        <v>0.8</v>
      </c>
      <c r="I714" s="24">
        <v>1</v>
      </c>
    </row>
    <row r="715" spans="1:9" ht="15.75" customHeight="1" x14ac:dyDescent="0.2">
      <c r="A715" s="26">
        <v>724</v>
      </c>
      <c r="B715" s="24">
        <v>724</v>
      </c>
      <c r="C715" s="24">
        <v>63</v>
      </c>
      <c r="D715" s="24">
        <f>VLOOKUP(C715,[1]Course!$A$1:$C$229, 2, FALSE)</f>
        <v>0</v>
      </c>
      <c r="E715" s="24">
        <v>100</v>
      </c>
      <c r="F715" s="24" t="s">
        <v>886</v>
      </c>
      <c r="G715" s="24">
        <v>1</v>
      </c>
      <c r="H715" s="25">
        <v>0.8</v>
      </c>
      <c r="I715" s="24">
        <v>1</v>
      </c>
    </row>
    <row r="716" spans="1:9" ht="15.75" customHeight="1" x14ac:dyDescent="0.2">
      <c r="A716" s="26">
        <v>725</v>
      </c>
      <c r="B716" s="24">
        <v>725</v>
      </c>
      <c r="C716" s="24">
        <v>63</v>
      </c>
      <c r="D716" s="24">
        <f>VLOOKUP(C716,[1]Course!$A$1:$C$229, 2, FALSE)</f>
        <v>0</v>
      </c>
      <c r="E716" s="24">
        <v>101</v>
      </c>
      <c r="F716" s="24" t="s">
        <v>885</v>
      </c>
      <c r="G716" s="24">
        <v>1</v>
      </c>
      <c r="H716" s="25">
        <v>0.8</v>
      </c>
      <c r="I716" s="24">
        <v>1</v>
      </c>
    </row>
    <row r="717" spans="1:9" ht="15.75" customHeight="1" x14ac:dyDescent="0.2">
      <c r="A717" s="26">
        <v>726</v>
      </c>
      <c r="B717" s="24">
        <v>726</v>
      </c>
      <c r="C717" s="24">
        <v>63</v>
      </c>
      <c r="D717" s="24">
        <f>VLOOKUP(C717,[1]Course!$A$1:$C$229, 2, FALSE)</f>
        <v>0</v>
      </c>
      <c r="E717" s="24">
        <v>102</v>
      </c>
      <c r="F717" s="24" t="s">
        <v>884</v>
      </c>
      <c r="G717" s="24">
        <v>1</v>
      </c>
      <c r="H717" s="25">
        <v>0.8</v>
      </c>
      <c r="I717" s="24">
        <v>1</v>
      </c>
    </row>
    <row r="718" spans="1:9" ht="15.75" customHeight="1" x14ac:dyDescent="0.2">
      <c r="A718" s="26">
        <v>727</v>
      </c>
      <c r="B718" s="24">
        <v>727</v>
      </c>
      <c r="C718" s="24">
        <v>63</v>
      </c>
      <c r="D718" s="24">
        <f>VLOOKUP(C718,[1]Course!$A$1:$C$229, 2, FALSE)</f>
        <v>0</v>
      </c>
      <c r="E718" s="24">
        <v>103</v>
      </c>
      <c r="F718" s="24" t="s">
        <v>883</v>
      </c>
      <c r="G718" s="24">
        <v>1</v>
      </c>
      <c r="H718" s="25">
        <v>0.8</v>
      </c>
      <c r="I718" s="24">
        <v>1</v>
      </c>
    </row>
    <row r="719" spans="1:9" ht="15.75" customHeight="1" x14ac:dyDescent="0.2">
      <c r="A719" s="26">
        <v>728</v>
      </c>
      <c r="B719" s="24">
        <v>728</v>
      </c>
      <c r="C719" s="24">
        <v>63</v>
      </c>
      <c r="D719" s="24">
        <f>VLOOKUP(C719,[1]Course!$A$1:$C$229, 2, FALSE)</f>
        <v>0</v>
      </c>
      <c r="E719" s="24">
        <v>104</v>
      </c>
      <c r="F719" s="24" t="s">
        <v>882</v>
      </c>
      <c r="G719" s="24">
        <v>1</v>
      </c>
      <c r="H719" s="25">
        <v>0.8</v>
      </c>
      <c r="I719" s="24">
        <v>1</v>
      </c>
    </row>
    <row r="720" spans="1:9" ht="15.75" customHeight="1" x14ac:dyDescent="0.2">
      <c r="A720" s="26">
        <v>729</v>
      </c>
      <c r="B720" s="24">
        <v>729</v>
      </c>
      <c r="C720" s="24">
        <v>63</v>
      </c>
      <c r="D720" s="24">
        <f>VLOOKUP(C720,[1]Course!$A$1:$C$229, 2, FALSE)</f>
        <v>0</v>
      </c>
      <c r="E720" s="24">
        <v>105</v>
      </c>
      <c r="F720" s="24" t="s">
        <v>881</v>
      </c>
      <c r="G720" s="24">
        <v>1</v>
      </c>
      <c r="H720" s="25">
        <v>0.8</v>
      </c>
      <c r="I720" s="24">
        <v>1</v>
      </c>
    </row>
    <row r="721" spans="1:9" ht="15.75" customHeight="1" x14ac:dyDescent="0.2">
      <c r="A721" s="26">
        <v>730</v>
      </c>
      <c r="B721" s="24">
        <v>730</v>
      </c>
      <c r="C721" s="24">
        <v>63</v>
      </c>
      <c r="D721" s="24">
        <f>VLOOKUP(C721,[1]Course!$A$1:$C$229, 2, FALSE)</f>
        <v>0</v>
      </c>
      <c r="E721" s="24">
        <v>106</v>
      </c>
      <c r="F721" s="24" t="s">
        <v>880</v>
      </c>
      <c r="G721" s="24">
        <v>1</v>
      </c>
      <c r="H721" s="25">
        <v>0.8</v>
      </c>
      <c r="I721" s="24">
        <v>1</v>
      </c>
    </row>
    <row r="722" spans="1:9" ht="15.75" customHeight="1" x14ac:dyDescent="0.2">
      <c r="A722" s="26">
        <v>731</v>
      </c>
      <c r="B722" s="24">
        <v>731</v>
      </c>
      <c r="C722" s="24">
        <v>63</v>
      </c>
      <c r="D722" s="24">
        <f>VLOOKUP(C722,[1]Course!$A$1:$C$229, 2, FALSE)</f>
        <v>0</v>
      </c>
      <c r="E722" s="24">
        <v>107</v>
      </c>
      <c r="F722" s="24" t="s">
        <v>879</v>
      </c>
      <c r="G722" s="24">
        <v>1</v>
      </c>
      <c r="H722" s="25">
        <v>0.8</v>
      </c>
      <c r="I722" s="24">
        <v>1</v>
      </c>
    </row>
    <row r="723" spans="1:9" ht="15.75" customHeight="1" x14ac:dyDescent="0.2">
      <c r="A723" s="26">
        <v>732</v>
      </c>
      <c r="B723" s="24">
        <v>732</v>
      </c>
      <c r="C723" s="24">
        <v>63</v>
      </c>
      <c r="D723" s="24">
        <f>VLOOKUP(C723,[1]Course!$A$1:$C$229, 2, FALSE)</f>
        <v>0</v>
      </c>
      <c r="E723" s="24">
        <v>108</v>
      </c>
      <c r="F723" s="24" t="s">
        <v>878</v>
      </c>
      <c r="G723" s="24">
        <v>1</v>
      </c>
      <c r="H723" s="25">
        <v>0.8</v>
      </c>
      <c r="I723" s="24">
        <v>1</v>
      </c>
    </row>
    <row r="724" spans="1:9" ht="15.75" customHeight="1" x14ac:dyDescent="0.2">
      <c r="A724" s="26">
        <v>733</v>
      </c>
      <c r="B724" s="24">
        <v>733</v>
      </c>
      <c r="C724" s="24">
        <v>64</v>
      </c>
      <c r="D724" s="24">
        <f>VLOOKUP(C724,[1]Course!$A$1:$C$229, 2, FALSE)</f>
        <v>0</v>
      </c>
      <c r="E724" s="24">
        <v>1</v>
      </c>
      <c r="F724" s="24" t="s">
        <v>877</v>
      </c>
      <c r="G724" s="24">
        <v>1</v>
      </c>
      <c r="H724" s="25">
        <v>0.8</v>
      </c>
      <c r="I724" s="24">
        <v>1</v>
      </c>
    </row>
    <row r="725" spans="1:9" ht="15.75" customHeight="1" x14ac:dyDescent="0.2">
      <c r="A725" s="26">
        <v>734</v>
      </c>
      <c r="B725" s="24">
        <v>734</v>
      </c>
      <c r="C725" s="24">
        <v>64</v>
      </c>
      <c r="D725" s="24">
        <f>VLOOKUP(C725,[1]Course!$A$1:$C$229, 2, FALSE)</f>
        <v>0</v>
      </c>
      <c r="E725" s="24">
        <v>2</v>
      </c>
      <c r="F725" s="24" t="s">
        <v>876</v>
      </c>
      <c r="G725" s="24">
        <v>1</v>
      </c>
      <c r="H725" s="25">
        <v>0.8</v>
      </c>
      <c r="I725" s="24">
        <v>1</v>
      </c>
    </row>
    <row r="726" spans="1:9" ht="15.75" customHeight="1" x14ac:dyDescent="0.2">
      <c r="A726" s="26">
        <v>735</v>
      </c>
      <c r="B726" s="24">
        <v>735</v>
      </c>
      <c r="C726" s="24">
        <v>65</v>
      </c>
      <c r="D726" s="24">
        <f>VLOOKUP(C726,[1]Course!$A$1:$C$229, 2, FALSE)</f>
        <v>0</v>
      </c>
      <c r="E726" s="24">
        <v>1</v>
      </c>
      <c r="F726" s="24" t="s">
        <v>875</v>
      </c>
      <c r="G726" s="24">
        <v>1</v>
      </c>
      <c r="H726" s="25">
        <v>0.8</v>
      </c>
      <c r="I726" s="24">
        <v>1</v>
      </c>
    </row>
    <row r="727" spans="1:9" ht="15.75" customHeight="1" x14ac:dyDescent="0.2">
      <c r="A727" s="26">
        <v>736</v>
      </c>
      <c r="B727" s="24">
        <v>736</v>
      </c>
      <c r="C727" s="24">
        <v>65</v>
      </c>
      <c r="D727" s="24">
        <f>VLOOKUP(C727,[1]Course!$A$1:$C$229, 2, FALSE)</f>
        <v>0</v>
      </c>
      <c r="E727" s="24">
        <v>2</v>
      </c>
      <c r="F727" s="24" t="s">
        <v>874</v>
      </c>
      <c r="G727" s="24">
        <v>1</v>
      </c>
      <c r="H727" s="25">
        <v>0.8</v>
      </c>
      <c r="I727" s="24">
        <v>1</v>
      </c>
    </row>
    <row r="728" spans="1:9" ht="15.75" customHeight="1" x14ac:dyDescent="0.2">
      <c r="A728" s="26">
        <v>737</v>
      </c>
      <c r="B728" s="24">
        <v>737</v>
      </c>
      <c r="C728" s="24">
        <v>65</v>
      </c>
      <c r="D728" s="24">
        <f>VLOOKUP(C728,[1]Course!$A$1:$C$229, 2, FALSE)</f>
        <v>0</v>
      </c>
      <c r="E728" s="24">
        <v>3</v>
      </c>
      <c r="F728" s="24" t="s">
        <v>873</v>
      </c>
      <c r="G728" s="24">
        <v>1</v>
      </c>
      <c r="H728" s="25">
        <v>0.8</v>
      </c>
      <c r="I728" s="24">
        <v>1</v>
      </c>
    </row>
    <row r="729" spans="1:9" ht="15.75" customHeight="1" x14ac:dyDescent="0.2">
      <c r="A729" s="26">
        <v>738</v>
      </c>
      <c r="B729" s="24">
        <v>738</v>
      </c>
      <c r="C729" s="24">
        <v>65</v>
      </c>
      <c r="D729" s="24">
        <f>VLOOKUP(C729,[1]Course!$A$1:$C$229, 2, FALSE)</f>
        <v>0</v>
      </c>
      <c r="E729" s="24">
        <v>4</v>
      </c>
      <c r="F729" s="24" t="s">
        <v>872</v>
      </c>
      <c r="G729" s="24">
        <v>1</v>
      </c>
      <c r="H729" s="25">
        <v>0.8</v>
      </c>
      <c r="I729" s="24">
        <v>1</v>
      </c>
    </row>
    <row r="730" spans="1:9" ht="15.75" customHeight="1" x14ac:dyDescent="0.2">
      <c r="A730" s="26">
        <v>739</v>
      </c>
      <c r="B730" s="24">
        <v>739</v>
      </c>
      <c r="C730" s="24">
        <v>65</v>
      </c>
      <c r="D730" s="24">
        <f>VLOOKUP(C730,[1]Course!$A$1:$C$229, 2, FALSE)</f>
        <v>0</v>
      </c>
      <c r="E730" s="24">
        <v>5</v>
      </c>
      <c r="F730" s="24" t="s">
        <v>871</v>
      </c>
      <c r="G730" s="24">
        <v>1</v>
      </c>
      <c r="H730" s="25">
        <v>0.8</v>
      </c>
      <c r="I730" s="24">
        <v>1</v>
      </c>
    </row>
    <row r="731" spans="1:9" ht="15.75" customHeight="1" x14ac:dyDescent="0.2">
      <c r="A731" s="26">
        <v>740</v>
      </c>
      <c r="B731" s="24">
        <v>740</v>
      </c>
      <c r="C731" s="24">
        <v>65</v>
      </c>
      <c r="D731" s="24">
        <f>VLOOKUP(C731,[1]Course!$A$1:$C$229, 2, FALSE)</f>
        <v>0</v>
      </c>
      <c r="E731" s="24">
        <v>6</v>
      </c>
      <c r="F731" s="24" t="s">
        <v>870</v>
      </c>
      <c r="G731" s="24">
        <v>1</v>
      </c>
      <c r="H731" s="25">
        <v>0.8</v>
      </c>
      <c r="I731" s="24">
        <v>1</v>
      </c>
    </row>
    <row r="732" spans="1:9" ht="15.75" customHeight="1" x14ac:dyDescent="0.2">
      <c r="A732" s="26">
        <v>741</v>
      </c>
      <c r="B732" s="24">
        <v>741</v>
      </c>
      <c r="C732" s="24">
        <v>65</v>
      </c>
      <c r="D732" s="24">
        <f>VLOOKUP(C732,[1]Course!$A$1:$C$229, 2, FALSE)</f>
        <v>0</v>
      </c>
      <c r="E732" s="24">
        <v>7</v>
      </c>
      <c r="F732" s="24" t="s">
        <v>869</v>
      </c>
      <c r="G732" s="24">
        <v>1</v>
      </c>
      <c r="H732" s="25">
        <v>0.8</v>
      </c>
      <c r="I732" s="24">
        <v>1</v>
      </c>
    </row>
    <row r="733" spans="1:9" ht="15.75" customHeight="1" x14ac:dyDescent="0.2">
      <c r="A733" s="26">
        <v>742</v>
      </c>
      <c r="B733" s="24">
        <v>742</v>
      </c>
      <c r="C733" s="24">
        <v>65</v>
      </c>
      <c r="D733" s="24">
        <f>VLOOKUP(C733,[1]Course!$A$1:$C$229, 2, FALSE)</f>
        <v>0</v>
      </c>
      <c r="E733" s="24">
        <v>8</v>
      </c>
      <c r="F733" s="24" t="s">
        <v>868</v>
      </c>
      <c r="G733" s="24">
        <v>1</v>
      </c>
      <c r="H733" s="25">
        <v>0.8</v>
      </c>
      <c r="I733" s="24">
        <v>1</v>
      </c>
    </row>
    <row r="734" spans="1:9" ht="15.75" customHeight="1" x14ac:dyDescent="0.2">
      <c r="A734" s="26">
        <v>743</v>
      </c>
      <c r="B734" s="24">
        <v>743</v>
      </c>
      <c r="C734" s="24">
        <v>65</v>
      </c>
      <c r="D734" s="24">
        <f>VLOOKUP(C734,[1]Course!$A$1:$C$229, 2, FALSE)</f>
        <v>0</v>
      </c>
      <c r="E734" s="24">
        <v>9</v>
      </c>
      <c r="F734" s="24" t="s">
        <v>867</v>
      </c>
      <c r="G734" s="24">
        <v>1</v>
      </c>
      <c r="H734" s="25">
        <v>0.8</v>
      </c>
      <c r="I734" s="24">
        <v>1</v>
      </c>
    </row>
    <row r="735" spans="1:9" ht="15.75" customHeight="1" x14ac:dyDescent="0.2">
      <c r="A735" s="26">
        <v>744</v>
      </c>
      <c r="B735" s="24">
        <v>744</v>
      </c>
      <c r="C735" s="24">
        <v>65</v>
      </c>
      <c r="D735" s="24">
        <f>VLOOKUP(C735,[1]Course!$A$1:$C$229, 2, FALSE)</f>
        <v>0</v>
      </c>
      <c r="E735" s="24">
        <v>10</v>
      </c>
      <c r="F735" s="24" t="s">
        <v>866</v>
      </c>
      <c r="G735" s="24">
        <v>1</v>
      </c>
      <c r="H735" s="25">
        <v>0.8</v>
      </c>
      <c r="I735" s="24">
        <v>1</v>
      </c>
    </row>
    <row r="736" spans="1:9" ht="15.75" customHeight="1" x14ac:dyDescent="0.2">
      <c r="A736" s="26">
        <v>745</v>
      </c>
      <c r="B736" s="24">
        <v>745</v>
      </c>
      <c r="C736" s="24">
        <v>65</v>
      </c>
      <c r="D736" s="24">
        <f>VLOOKUP(C736,[1]Course!$A$1:$C$229, 2, FALSE)</f>
        <v>0</v>
      </c>
      <c r="E736" s="24">
        <v>11</v>
      </c>
      <c r="F736" s="24" t="s">
        <v>865</v>
      </c>
      <c r="G736" s="24">
        <v>1</v>
      </c>
      <c r="H736" s="25">
        <v>0.8</v>
      </c>
      <c r="I736" s="24">
        <v>1</v>
      </c>
    </row>
    <row r="737" spans="1:9" ht="15.75" customHeight="1" x14ac:dyDescent="0.2">
      <c r="A737" s="26">
        <v>746</v>
      </c>
      <c r="B737" s="24">
        <v>746</v>
      </c>
      <c r="C737" s="24">
        <v>65</v>
      </c>
      <c r="D737" s="24">
        <f>VLOOKUP(C737,[1]Course!$A$1:$C$229, 2, FALSE)</f>
        <v>0</v>
      </c>
      <c r="E737" s="24">
        <v>12</v>
      </c>
      <c r="F737" s="24" t="s">
        <v>864</v>
      </c>
      <c r="G737" s="24">
        <v>1</v>
      </c>
      <c r="H737" s="25">
        <v>0.8</v>
      </c>
      <c r="I737" s="24">
        <v>1</v>
      </c>
    </row>
    <row r="738" spans="1:9" ht="15.75" customHeight="1" x14ac:dyDescent="0.2">
      <c r="A738" s="26">
        <v>747</v>
      </c>
      <c r="B738" s="24">
        <v>747</v>
      </c>
      <c r="C738" s="24">
        <v>66</v>
      </c>
      <c r="D738" s="24">
        <f>VLOOKUP(C738,[1]Course!$A$1:$C$229, 2, FALSE)</f>
        <v>0</v>
      </c>
      <c r="E738" s="24">
        <v>97</v>
      </c>
      <c r="F738" s="24" t="s">
        <v>863</v>
      </c>
      <c r="G738" s="24">
        <v>1</v>
      </c>
      <c r="H738" s="25">
        <v>0.8</v>
      </c>
      <c r="I738" s="24">
        <v>1</v>
      </c>
    </row>
    <row r="739" spans="1:9" ht="15.75" customHeight="1" x14ac:dyDescent="0.2">
      <c r="A739" s="26">
        <v>748</v>
      </c>
      <c r="B739" s="24">
        <v>748</v>
      </c>
      <c r="C739" s="24">
        <v>66</v>
      </c>
      <c r="D739" s="24">
        <f>VLOOKUP(C739,[1]Course!$A$1:$C$229, 2, FALSE)</f>
        <v>0</v>
      </c>
      <c r="E739" s="24">
        <v>98</v>
      </c>
      <c r="F739" s="24" t="s">
        <v>862</v>
      </c>
      <c r="G739" s="24">
        <v>1</v>
      </c>
      <c r="H739" s="25">
        <v>0.8</v>
      </c>
      <c r="I739" s="24">
        <v>1</v>
      </c>
    </row>
    <row r="740" spans="1:9" ht="15.75" customHeight="1" x14ac:dyDescent="0.2">
      <c r="A740" s="26">
        <v>749</v>
      </c>
      <c r="B740" s="24">
        <v>749</v>
      </c>
      <c r="C740" s="24">
        <v>66</v>
      </c>
      <c r="D740" s="24">
        <f>VLOOKUP(C740,[1]Course!$A$1:$C$229, 2, FALSE)</f>
        <v>0</v>
      </c>
      <c r="E740" s="24">
        <v>99</v>
      </c>
      <c r="F740" s="24" t="s">
        <v>861</v>
      </c>
      <c r="G740" s="24">
        <v>1</v>
      </c>
      <c r="H740" s="25">
        <v>0.8</v>
      </c>
      <c r="I740" s="24">
        <v>1</v>
      </c>
    </row>
    <row r="741" spans="1:9" ht="15.75" customHeight="1" x14ac:dyDescent="0.2">
      <c r="A741" s="26">
        <v>750</v>
      </c>
      <c r="B741" s="24">
        <v>750</v>
      </c>
      <c r="C741" s="24">
        <v>66</v>
      </c>
      <c r="D741" s="24">
        <f>VLOOKUP(C741,[1]Course!$A$1:$C$229, 2, FALSE)</f>
        <v>0</v>
      </c>
      <c r="E741" s="24">
        <v>100</v>
      </c>
      <c r="F741" s="24" t="s">
        <v>860</v>
      </c>
      <c r="G741" s="24">
        <v>1</v>
      </c>
      <c r="H741" s="25">
        <v>0.8</v>
      </c>
      <c r="I741" s="24">
        <v>1</v>
      </c>
    </row>
    <row r="742" spans="1:9" ht="15.75" customHeight="1" x14ac:dyDescent="0.2">
      <c r="A742" s="26">
        <v>751</v>
      </c>
      <c r="B742" s="24">
        <v>751</v>
      </c>
      <c r="C742" s="24">
        <v>66</v>
      </c>
      <c r="D742" s="24">
        <f>VLOOKUP(C742,[1]Course!$A$1:$C$229, 2, FALSE)</f>
        <v>0</v>
      </c>
      <c r="E742" s="24">
        <v>101</v>
      </c>
      <c r="F742" s="24" t="s">
        <v>859</v>
      </c>
      <c r="G742" s="24">
        <v>1</v>
      </c>
      <c r="H742" s="25">
        <v>0.8</v>
      </c>
      <c r="I742" s="24">
        <v>1</v>
      </c>
    </row>
    <row r="743" spans="1:9" ht="15.75" customHeight="1" x14ac:dyDescent="0.2">
      <c r="A743" s="26">
        <v>752</v>
      </c>
      <c r="B743" s="24">
        <v>752</v>
      </c>
      <c r="C743" s="24">
        <v>66</v>
      </c>
      <c r="D743" s="24">
        <f>VLOOKUP(C743,[1]Course!$A$1:$C$229, 2, FALSE)</f>
        <v>0</v>
      </c>
      <c r="E743" s="24">
        <v>102</v>
      </c>
      <c r="F743" s="24" t="s">
        <v>858</v>
      </c>
      <c r="G743" s="24">
        <v>1</v>
      </c>
      <c r="H743" s="25">
        <v>0.8</v>
      </c>
      <c r="I743" s="24">
        <v>1</v>
      </c>
    </row>
    <row r="744" spans="1:9" ht="15.75" customHeight="1" x14ac:dyDescent="0.2">
      <c r="A744" s="26">
        <v>753</v>
      </c>
      <c r="B744" s="24">
        <v>753</v>
      </c>
      <c r="C744" s="24">
        <v>66</v>
      </c>
      <c r="D744" s="24">
        <f>VLOOKUP(C744,[1]Course!$A$1:$C$229, 2, FALSE)</f>
        <v>0</v>
      </c>
      <c r="E744" s="24">
        <v>103</v>
      </c>
      <c r="F744" s="24" t="s">
        <v>857</v>
      </c>
      <c r="G744" s="24">
        <v>1</v>
      </c>
      <c r="H744" s="25">
        <v>0.8</v>
      </c>
      <c r="I744" s="24">
        <v>1</v>
      </c>
    </row>
    <row r="745" spans="1:9" ht="15.75" customHeight="1" x14ac:dyDescent="0.2">
      <c r="A745" s="26">
        <v>754</v>
      </c>
      <c r="B745" s="24">
        <v>754</v>
      </c>
      <c r="C745" s="24">
        <v>66</v>
      </c>
      <c r="D745" s="24">
        <f>VLOOKUP(C745,[1]Course!$A$1:$C$229, 2, FALSE)</f>
        <v>0</v>
      </c>
      <c r="E745" s="24">
        <v>104</v>
      </c>
      <c r="F745" s="24" t="s">
        <v>856</v>
      </c>
      <c r="G745" s="24">
        <v>1</v>
      </c>
      <c r="H745" s="25">
        <v>0.8</v>
      </c>
      <c r="I745" s="24">
        <v>1</v>
      </c>
    </row>
    <row r="746" spans="1:9" ht="15.75" customHeight="1" x14ac:dyDescent="0.2">
      <c r="A746" s="26">
        <v>755</v>
      </c>
      <c r="B746" s="24">
        <v>755</v>
      </c>
      <c r="C746" s="24">
        <v>66</v>
      </c>
      <c r="D746" s="24">
        <f>VLOOKUP(C746,[1]Course!$A$1:$C$229, 2, FALSE)</f>
        <v>0</v>
      </c>
      <c r="E746" s="24">
        <v>105</v>
      </c>
      <c r="F746" s="24" t="s">
        <v>855</v>
      </c>
      <c r="G746" s="24">
        <v>1</v>
      </c>
      <c r="H746" s="25">
        <v>0.8</v>
      </c>
      <c r="I746" s="24">
        <v>1</v>
      </c>
    </row>
    <row r="747" spans="1:9" ht="15.75" customHeight="1" x14ac:dyDescent="0.2">
      <c r="A747" s="26">
        <v>756</v>
      </c>
      <c r="B747" s="24">
        <v>756</v>
      </c>
      <c r="C747" s="24">
        <v>66</v>
      </c>
      <c r="D747" s="24">
        <f>VLOOKUP(C747,[1]Course!$A$1:$C$229, 2, FALSE)</f>
        <v>0</v>
      </c>
      <c r="E747" s="24">
        <v>106</v>
      </c>
      <c r="F747" s="24" t="s">
        <v>854</v>
      </c>
      <c r="G747" s="24">
        <v>1</v>
      </c>
      <c r="H747" s="25">
        <v>0.8</v>
      </c>
      <c r="I747" s="24">
        <v>1</v>
      </c>
    </row>
    <row r="748" spans="1:9" ht="15.75" customHeight="1" x14ac:dyDescent="0.2">
      <c r="A748" s="26">
        <v>757</v>
      </c>
      <c r="B748" s="24">
        <v>757</v>
      </c>
      <c r="C748" s="24">
        <v>66</v>
      </c>
      <c r="D748" s="24">
        <f>VLOOKUP(C748,[1]Course!$A$1:$C$229, 2, FALSE)</f>
        <v>0</v>
      </c>
      <c r="E748" s="24">
        <v>107</v>
      </c>
      <c r="F748" s="24" t="s">
        <v>853</v>
      </c>
      <c r="G748" s="24">
        <v>1</v>
      </c>
      <c r="H748" s="25">
        <v>0.8</v>
      </c>
      <c r="I748" s="24">
        <v>1</v>
      </c>
    </row>
    <row r="749" spans="1:9" ht="15.75" customHeight="1" x14ac:dyDescent="0.2">
      <c r="A749" s="26">
        <v>758</v>
      </c>
      <c r="B749" s="24">
        <v>758</v>
      </c>
      <c r="C749" s="24">
        <v>66</v>
      </c>
      <c r="D749" s="24">
        <f>VLOOKUP(C749,[1]Course!$A$1:$C$229, 2, FALSE)</f>
        <v>0</v>
      </c>
      <c r="E749" s="24">
        <v>108</v>
      </c>
      <c r="F749" s="24" t="s">
        <v>852</v>
      </c>
      <c r="G749" s="24">
        <v>1</v>
      </c>
      <c r="H749" s="25">
        <v>0.8</v>
      </c>
      <c r="I749" s="24">
        <v>1</v>
      </c>
    </row>
    <row r="750" spans="1:9" ht="15.75" customHeight="1" x14ac:dyDescent="0.2">
      <c r="A750" s="26">
        <v>759</v>
      </c>
      <c r="B750" s="24">
        <v>759</v>
      </c>
      <c r="C750" s="24">
        <v>67</v>
      </c>
      <c r="D750" s="24">
        <f>VLOOKUP(C750,[1]Course!$A$1:$C$229, 2, FALSE)</f>
        <v>0</v>
      </c>
      <c r="E750" s="24">
        <v>1</v>
      </c>
      <c r="F750" s="24" t="s">
        <v>851</v>
      </c>
      <c r="G750" s="24">
        <v>1</v>
      </c>
      <c r="H750" s="25">
        <v>0.8</v>
      </c>
      <c r="I750" s="24">
        <v>1</v>
      </c>
    </row>
    <row r="751" spans="1:9" ht="15.75" customHeight="1" x14ac:dyDescent="0.2">
      <c r="A751" s="26">
        <v>760</v>
      </c>
      <c r="B751" s="24">
        <v>760</v>
      </c>
      <c r="C751" s="24">
        <v>67</v>
      </c>
      <c r="D751" s="24">
        <f>VLOOKUP(C751,[1]Course!$A$1:$C$229, 2, FALSE)</f>
        <v>0</v>
      </c>
      <c r="E751" s="24">
        <v>2</v>
      </c>
      <c r="F751" s="24" t="s">
        <v>850</v>
      </c>
      <c r="G751" s="24">
        <v>1</v>
      </c>
      <c r="H751" s="25">
        <v>0.8</v>
      </c>
      <c r="I751" s="24">
        <v>1</v>
      </c>
    </row>
    <row r="752" spans="1:9" ht="15.75" customHeight="1" x14ac:dyDescent="0.2">
      <c r="A752" s="26">
        <v>761</v>
      </c>
      <c r="B752" s="24">
        <v>761</v>
      </c>
      <c r="C752" s="24">
        <v>67</v>
      </c>
      <c r="D752" s="24">
        <f>VLOOKUP(C752,[1]Course!$A$1:$C$229, 2, FALSE)</f>
        <v>0</v>
      </c>
      <c r="E752" s="24">
        <v>3</v>
      </c>
      <c r="F752" s="24" t="s">
        <v>849</v>
      </c>
      <c r="G752" s="24">
        <v>1</v>
      </c>
      <c r="H752" s="25">
        <v>0.8</v>
      </c>
      <c r="I752" s="24">
        <v>1</v>
      </c>
    </row>
    <row r="753" spans="1:9" ht="15.75" customHeight="1" x14ac:dyDescent="0.2">
      <c r="A753" s="26">
        <v>762</v>
      </c>
      <c r="B753" s="24">
        <v>762</v>
      </c>
      <c r="C753" s="24">
        <v>67</v>
      </c>
      <c r="D753" s="24">
        <f>VLOOKUP(C753,[1]Course!$A$1:$C$229, 2, FALSE)</f>
        <v>0</v>
      </c>
      <c r="E753" s="24">
        <v>4</v>
      </c>
      <c r="F753" s="24" t="s">
        <v>848</v>
      </c>
      <c r="G753" s="24">
        <v>1</v>
      </c>
      <c r="H753" s="25">
        <v>0.8</v>
      </c>
      <c r="I753" s="24">
        <v>1</v>
      </c>
    </row>
    <row r="754" spans="1:9" ht="15.75" customHeight="1" x14ac:dyDescent="0.2">
      <c r="A754" s="26">
        <v>763</v>
      </c>
      <c r="B754" s="24">
        <v>763</v>
      </c>
      <c r="C754" s="24">
        <v>67</v>
      </c>
      <c r="D754" s="24">
        <f>VLOOKUP(C754,[1]Course!$A$1:$C$229, 2, FALSE)</f>
        <v>0</v>
      </c>
      <c r="E754" s="24">
        <v>5</v>
      </c>
      <c r="F754" s="24" t="s">
        <v>847</v>
      </c>
      <c r="G754" s="24">
        <v>1</v>
      </c>
      <c r="H754" s="25">
        <v>0.8</v>
      </c>
      <c r="I754" s="24">
        <v>1</v>
      </c>
    </row>
    <row r="755" spans="1:9" ht="15.75" customHeight="1" x14ac:dyDescent="0.2">
      <c r="A755" s="26">
        <v>764</v>
      </c>
      <c r="B755" s="24">
        <v>764</v>
      </c>
      <c r="C755" s="24">
        <v>67</v>
      </c>
      <c r="D755" s="24">
        <f>VLOOKUP(C755,[1]Course!$A$1:$C$229, 2, FALSE)</f>
        <v>0</v>
      </c>
      <c r="E755" s="24">
        <v>6</v>
      </c>
      <c r="F755" s="24" t="s">
        <v>846</v>
      </c>
      <c r="G755" s="24">
        <v>1</v>
      </c>
      <c r="H755" s="25">
        <v>0.8</v>
      </c>
      <c r="I755" s="24">
        <v>1</v>
      </c>
    </row>
    <row r="756" spans="1:9" ht="15.75" customHeight="1" x14ac:dyDescent="0.2">
      <c r="A756" s="26">
        <v>765</v>
      </c>
      <c r="B756" s="24">
        <v>765</v>
      </c>
      <c r="C756" s="24">
        <v>67</v>
      </c>
      <c r="D756" s="24">
        <f>VLOOKUP(C756,[1]Course!$A$1:$C$229, 2, FALSE)</f>
        <v>0</v>
      </c>
      <c r="E756" s="24">
        <v>7</v>
      </c>
      <c r="F756" s="24" t="s">
        <v>845</v>
      </c>
      <c r="G756" s="24">
        <v>1</v>
      </c>
      <c r="H756" s="25">
        <v>0.8</v>
      </c>
      <c r="I756" s="24">
        <v>1</v>
      </c>
    </row>
    <row r="757" spans="1:9" ht="15.75" customHeight="1" x14ac:dyDescent="0.2">
      <c r="A757" s="26">
        <v>766</v>
      </c>
      <c r="B757" s="24">
        <v>766</v>
      </c>
      <c r="C757" s="24">
        <v>67</v>
      </c>
      <c r="D757" s="24">
        <f>VLOOKUP(C757,[1]Course!$A$1:$C$229, 2, FALSE)</f>
        <v>0</v>
      </c>
      <c r="E757" s="24">
        <v>8</v>
      </c>
      <c r="F757" s="24" t="s">
        <v>844</v>
      </c>
      <c r="G757" s="24">
        <v>1</v>
      </c>
      <c r="H757" s="25">
        <v>0.8</v>
      </c>
      <c r="I757" s="24">
        <v>1</v>
      </c>
    </row>
    <row r="758" spans="1:9" ht="15.75" customHeight="1" x14ac:dyDescent="0.2">
      <c r="A758" s="26">
        <v>767</v>
      </c>
      <c r="B758" s="24">
        <v>767</v>
      </c>
      <c r="C758" s="24">
        <v>67</v>
      </c>
      <c r="D758" s="24">
        <f>VLOOKUP(C758,[1]Course!$A$1:$C$229, 2, FALSE)</f>
        <v>0</v>
      </c>
      <c r="E758" s="24">
        <v>9</v>
      </c>
      <c r="F758" s="24" t="s">
        <v>843</v>
      </c>
      <c r="G758" s="24">
        <v>1</v>
      </c>
      <c r="H758" s="25">
        <v>0.8</v>
      </c>
      <c r="I758" s="24">
        <v>1</v>
      </c>
    </row>
    <row r="759" spans="1:9" ht="15.75" customHeight="1" x14ac:dyDescent="0.2">
      <c r="A759" s="26">
        <v>768</v>
      </c>
      <c r="B759" s="24">
        <v>768</v>
      </c>
      <c r="C759" s="24">
        <v>67</v>
      </c>
      <c r="D759" s="24">
        <f>VLOOKUP(C759,[1]Course!$A$1:$C$229, 2, FALSE)</f>
        <v>0</v>
      </c>
      <c r="E759" s="24">
        <v>10</v>
      </c>
      <c r="F759" s="24" t="s">
        <v>842</v>
      </c>
      <c r="G759" s="24">
        <v>1</v>
      </c>
      <c r="H759" s="25">
        <v>0.8</v>
      </c>
      <c r="I759" s="24">
        <v>1</v>
      </c>
    </row>
    <row r="760" spans="1:9" ht="15.75" customHeight="1" x14ac:dyDescent="0.2">
      <c r="A760" s="26">
        <v>769</v>
      </c>
      <c r="B760" s="24">
        <v>769</v>
      </c>
      <c r="C760" s="24">
        <v>68</v>
      </c>
      <c r="D760" s="24">
        <f>VLOOKUP(C760,[1]Course!$A$1:$C$229, 2, FALSE)</f>
        <v>0</v>
      </c>
      <c r="E760" s="24">
        <v>97</v>
      </c>
      <c r="F760" s="24" t="s">
        <v>841</v>
      </c>
      <c r="G760" s="24">
        <v>1</v>
      </c>
      <c r="H760" s="25">
        <v>0.9</v>
      </c>
      <c r="I760" s="24">
        <v>1</v>
      </c>
    </row>
    <row r="761" spans="1:9" ht="15.75" customHeight="1" x14ac:dyDescent="0.2">
      <c r="A761" s="26">
        <v>770</v>
      </c>
      <c r="B761" s="24">
        <v>770</v>
      </c>
      <c r="C761" s="24">
        <v>68</v>
      </c>
      <c r="D761" s="24">
        <f>VLOOKUP(C761,[1]Course!$A$1:$C$229, 2, FALSE)</f>
        <v>0</v>
      </c>
      <c r="E761" s="24">
        <v>98</v>
      </c>
      <c r="F761" s="24" t="s">
        <v>840</v>
      </c>
      <c r="G761" s="24">
        <v>1</v>
      </c>
      <c r="H761" s="25">
        <v>0.9</v>
      </c>
      <c r="I761" s="24">
        <v>1</v>
      </c>
    </row>
    <row r="762" spans="1:9" ht="15.75" customHeight="1" x14ac:dyDescent="0.2">
      <c r="A762" s="26">
        <v>771</v>
      </c>
      <c r="B762" s="24">
        <v>771</v>
      </c>
      <c r="C762" s="24">
        <v>68</v>
      </c>
      <c r="D762" s="24">
        <f>VLOOKUP(C762,[1]Course!$A$1:$C$229, 2, FALSE)</f>
        <v>0</v>
      </c>
      <c r="E762" s="24">
        <v>99</v>
      </c>
      <c r="F762" s="24" t="s">
        <v>839</v>
      </c>
      <c r="G762" s="24">
        <v>1</v>
      </c>
      <c r="H762" s="25">
        <v>0.9</v>
      </c>
      <c r="I762" s="24">
        <v>1</v>
      </c>
    </row>
    <row r="763" spans="1:9" ht="15.75" customHeight="1" x14ac:dyDescent="0.2">
      <c r="A763" s="26">
        <v>772</v>
      </c>
      <c r="B763" s="24">
        <v>772</v>
      </c>
      <c r="C763" s="24">
        <v>68</v>
      </c>
      <c r="D763" s="24">
        <f>VLOOKUP(C763,[1]Course!$A$1:$C$229, 2, FALSE)</f>
        <v>0</v>
      </c>
      <c r="E763" s="24">
        <v>100</v>
      </c>
      <c r="F763" s="24" t="s">
        <v>838</v>
      </c>
      <c r="G763" s="24">
        <v>1</v>
      </c>
      <c r="H763" s="25">
        <v>0.9</v>
      </c>
      <c r="I763" s="24">
        <v>1</v>
      </c>
    </row>
    <row r="764" spans="1:9" ht="15.75" customHeight="1" x14ac:dyDescent="0.2">
      <c r="A764" s="26">
        <v>773</v>
      </c>
      <c r="B764" s="24">
        <v>773</v>
      </c>
      <c r="C764" s="24">
        <v>68</v>
      </c>
      <c r="D764" s="24">
        <f>VLOOKUP(C764,[1]Course!$A$1:$C$229, 2, FALSE)</f>
        <v>0</v>
      </c>
      <c r="E764" s="24">
        <v>101</v>
      </c>
      <c r="F764" s="24" t="s">
        <v>837</v>
      </c>
      <c r="G764" s="24">
        <v>1</v>
      </c>
      <c r="H764" s="25">
        <v>0.9</v>
      </c>
      <c r="I764" s="24">
        <v>1</v>
      </c>
    </row>
    <row r="765" spans="1:9" ht="15.75" customHeight="1" x14ac:dyDescent="0.2">
      <c r="A765" s="26">
        <v>774</v>
      </c>
      <c r="B765" s="24">
        <v>774</v>
      </c>
      <c r="C765" s="24">
        <v>68</v>
      </c>
      <c r="D765" s="24">
        <f>VLOOKUP(C765,[1]Course!$A$1:$C$229, 2, FALSE)</f>
        <v>0</v>
      </c>
      <c r="E765" s="24">
        <v>102</v>
      </c>
      <c r="F765" s="24" t="s">
        <v>836</v>
      </c>
      <c r="G765" s="24">
        <v>1</v>
      </c>
      <c r="H765" s="25">
        <v>0.9</v>
      </c>
      <c r="I765" s="24">
        <v>1</v>
      </c>
    </row>
    <row r="766" spans="1:9" ht="15.75" customHeight="1" x14ac:dyDescent="0.2">
      <c r="A766" s="26">
        <v>775</v>
      </c>
      <c r="B766" s="24">
        <v>775</v>
      </c>
      <c r="C766" s="24">
        <v>68</v>
      </c>
      <c r="D766" s="24">
        <f>VLOOKUP(C766,[1]Course!$A$1:$C$229, 2, FALSE)</f>
        <v>0</v>
      </c>
      <c r="E766" s="24">
        <v>103</v>
      </c>
      <c r="F766" s="24" t="s">
        <v>835</v>
      </c>
      <c r="G766" s="24">
        <v>1</v>
      </c>
      <c r="H766" s="25">
        <v>0.9</v>
      </c>
      <c r="I766" s="24">
        <v>1</v>
      </c>
    </row>
    <row r="767" spans="1:9" ht="15.75" customHeight="1" x14ac:dyDescent="0.2">
      <c r="A767" s="26">
        <v>776</v>
      </c>
      <c r="B767" s="24">
        <v>776</v>
      </c>
      <c r="C767" s="24">
        <v>68</v>
      </c>
      <c r="D767" s="24">
        <f>VLOOKUP(C767,[1]Course!$A$1:$C$229, 2, FALSE)</f>
        <v>0</v>
      </c>
      <c r="E767" s="24">
        <v>104</v>
      </c>
      <c r="F767" s="24" t="s">
        <v>834</v>
      </c>
      <c r="G767" s="24">
        <v>1</v>
      </c>
      <c r="H767" s="25">
        <v>0.9</v>
      </c>
      <c r="I767" s="24">
        <v>1</v>
      </c>
    </row>
    <row r="768" spans="1:9" ht="15.75" customHeight="1" x14ac:dyDescent="0.2">
      <c r="A768" s="26">
        <v>777</v>
      </c>
      <c r="B768" s="24">
        <v>777</v>
      </c>
      <c r="C768" s="24">
        <v>68</v>
      </c>
      <c r="D768" s="24">
        <f>VLOOKUP(C768,[1]Course!$A$1:$C$229, 2, FALSE)</f>
        <v>0</v>
      </c>
      <c r="E768" s="24">
        <v>105</v>
      </c>
      <c r="F768" s="24" t="s">
        <v>833</v>
      </c>
      <c r="G768" s="24">
        <v>1</v>
      </c>
      <c r="H768" s="25">
        <v>0.9</v>
      </c>
      <c r="I768" s="24">
        <v>1</v>
      </c>
    </row>
    <row r="769" spans="1:9" ht="15.75" customHeight="1" x14ac:dyDescent="0.2">
      <c r="A769" s="26">
        <v>778</v>
      </c>
      <c r="B769" s="24">
        <v>778</v>
      </c>
      <c r="C769" s="24">
        <v>68</v>
      </c>
      <c r="D769" s="24">
        <f>VLOOKUP(C769,[1]Course!$A$1:$C$229, 2, FALSE)</f>
        <v>0</v>
      </c>
      <c r="E769" s="24">
        <v>106</v>
      </c>
      <c r="F769" s="24" t="s">
        <v>832</v>
      </c>
      <c r="G769" s="24">
        <v>1</v>
      </c>
      <c r="H769" s="25">
        <v>0.9</v>
      </c>
      <c r="I769" s="24">
        <v>1</v>
      </c>
    </row>
    <row r="770" spans="1:9" ht="15.75" customHeight="1" x14ac:dyDescent="0.2">
      <c r="A770" s="26">
        <v>779</v>
      </c>
      <c r="B770" s="24">
        <v>779</v>
      </c>
      <c r="C770" s="24">
        <v>68</v>
      </c>
      <c r="D770" s="24">
        <f>VLOOKUP(C770,[1]Course!$A$1:$C$229, 2, FALSE)</f>
        <v>0</v>
      </c>
      <c r="E770" s="24">
        <v>107</v>
      </c>
      <c r="F770" s="24" t="s">
        <v>831</v>
      </c>
      <c r="G770" s="24">
        <v>1</v>
      </c>
      <c r="H770" s="25">
        <v>0.9</v>
      </c>
      <c r="I770" s="24">
        <v>1</v>
      </c>
    </row>
    <row r="771" spans="1:9" ht="15.75" customHeight="1" x14ac:dyDescent="0.2">
      <c r="A771" s="26">
        <v>780</v>
      </c>
      <c r="B771" s="24">
        <v>780</v>
      </c>
      <c r="C771" s="24">
        <v>68</v>
      </c>
      <c r="D771" s="24">
        <f>VLOOKUP(C771,[1]Course!$A$1:$C$229, 2, FALSE)</f>
        <v>0</v>
      </c>
      <c r="E771" s="24">
        <v>108</v>
      </c>
      <c r="F771" s="24" t="s">
        <v>830</v>
      </c>
      <c r="G771" s="24">
        <v>1</v>
      </c>
      <c r="H771" s="25">
        <v>0.9</v>
      </c>
      <c r="I771" s="24">
        <v>1</v>
      </c>
    </row>
    <row r="772" spans="1:9" ht="15.75" customHeight="1" x14ac:dyDescent="0.2">
      <c r="A772" s="26">
        <v>781</v>
      </c>
      <c r="B772" s="24">
        <v>781</v>
      </c>
      <c r="C772" s="24">
        <v>69</v>
      </c>
      <c r="D772" s="24">
        <f>VLOOKUP(C772,[1]Course!$A$1:$C$229, 2, FALSE)</f>
        <v>0</v>
      </c>
      <c r="E772" s="24">
        <v>1</v>
      </c>
      <c r="F772" s="24" t="s">
        <v>829</v>
      </c>
      <c r="G772" s="24">
        <v>1</v>
      </c>
      <c r="H772" s="25">
        <v>0.8</v>
      </c>
      <c r="I772" s="24">
        <v>1</v>
      </c>
    </row>
    <row r="773" spans="1:9" ht="15.75" customHeight="1" x14ac:dyDescent="0.2">
      <c r="A773" s="26">
        <v>782</v>
      </c>
      <c r="B773" s="24">
        <v>782</v>
      </c>
      <c r="C773" s="24">
        <v>69</v>
      </c>
      <c r="D773" s="24">
        <f>VLOOKUP(C773,[1]Course!$A$1:$C$229, 2, FALSE)</f>
        <v>0</v>
      </c>
      <c r="E773" s="24">
        <v>2</v>
      </c>
      <c r="F773" s="24" t="s">
        <v>828</v>
      </c>
      <c r="G773" s="24">
        <v>1</v>
      </c>
      <c r="H773" s="25">
        <v>0.8</v>
      </c>
      <c r="I773" s="24">
        <v>1</v>
      </c>
    </row>
    <row r="774" spans="1:9" ht="15.75" customHeight="1" x14ac:dyDescent="0.2">
      <c r="A774" s="26">
        <v>783</v>
      </c>
      <c r="B774" s="24">
        <v>783</v>
      </c>
      <c r="C774" s="24">
        <v>69</v>
      </c>
      <c r="D774" s="24">
        <f>VLOOKUP(C774,[1]Course!$A$1:$C$229, 2, FALSE)</f>
        <v>0</v>
      </c>
      <c r="E774" s="24">
        <v>3</v>
      </c>
      <c r="F774" s="24" t="s">
        <v>827</v>
      </c>
      <c r="G774" s="24">
        <v>1</v>
      </c>
      <c r="H774" s="25">
        <v>0.8</v>
      </c>
      <c r="I774" s="24">
        <v>1</v>
      </c>
    </row>
    <row r="775" spans="1:9" ht="15.75" customHeight="1" x14ac:dyDescent="0.2">
      <c r="A775" s="26">
        <v>784</v>
      </c>
      <c r="B775" s="24">
        <v>784</v>
      </c>
      <c r="C775" s="24">
        <v>69</v>
      </c>
      <c r="D775" s="24">
        <f>VLOOKUP(C775,[1]Course!$A$1:$C$229, 2, FALSE)</f>
        <v>0</v>
      </c>
      <c r="E775" s="24">
        <v>4</v>
      </c>
      <c r="F775" s="24" t="s">
        <v>826</v>
      </c>
      <c r="G775" s="24">
        <v>1</v>
      </c>
      <c r="H775" s="25">
        <v>0.8</v>
      </c>
      <c r="I775" s="24">
        <v>1</v>
      </c>
    </row>
    <row r="776" spans="1:9" ht="15.75" customHeight="1" x14ac:dyDescent="0.2">
      <c r="A776" s="26">
        <v>785</v>
      </c>
      <c r="B776" s="24">
        <v>785</v>
      </c>
      <c r="C776" s="24">
        <v>69</v>
      </c>
      <c r="D776" s="24">
        <f>VLOOKUP(C776,[1]Course!$A$1:$C$229, 2, FALSE)</f>
        <v>0</v>
      </c>
      <c r="E776" s="24">
        <v>5</v>
      </c>
      <c r="F776" s="24" t="s">
        <v>825</v>
      </c>
      <c r="G776" s="24">
        <v>1</v>
      </c>
      <c r="H776" s="25">
        <v>0.8</v>
      </c>
      <c r="I776" s="24">
        <v>1</v>
      </c>
    </row>
    <row r="777" spans="1:9" ht="15.75" customHeight="1" x14ac:dyDescent="0.2">
      <c r="A777" s="26">
        <v>786</v>
      </c>
      <c r="B777" s="24">
        <v>786</v>
      </c>
      <c r="C777" s="24">
        <v>69</v>
      </c>
      <c r="D777" s="24">
        <f>VLOOKUP(C777,[1]Course!$A$1:$C$229, 2, FALSE)</f>
        <v>0</v>
      </c>
      <c r="E777" s="24">
        <v>6</v>
      </c>
      <c r="F777" s="24" t="s">
        <v>824</v>
      </c>
      <c r="G777" s="24">
        <v>1</v>
      </c>
      <c r="H777" s="25">
        <v>0.8</v>
      </c>
      <c r="I777" s="24">
        <v>1</v>
      </c>
    </row>
    <row r="778" spans="1:9" ht="15.75" customHeight="1" x14ac:dyDescent="0.2">
      <c r="A778" s="26">
        <v>787</v>
      </c>
      <c r="B778" s="24">
        <v>787</v>
      </c>
      <c r="C778" s="24">
        <v>70</v>
      </c>
      <c r="D778" s="24">
        <f>VLOOKUP(C778,[1]Course!$A$1:$C$229, 2, FALSE)</f>
        <v>0</v>
      </c>
      <c r="E778" s="24">
        <v>5</v>
      </c>
      <c r="F778" s="24" t="s">
        <v>823</v>
      </c>
      <c r="G778" s="24">
        <v>1</v>
      </c>
      <c r="H778" s="25">
        <v>0.8</v>
      </c>
      <c r="I778" s="24">
        <v>1</v>
      </c>
    </row>
    <row r="779" spans="1:9" ht="15.75" customHeight="1" x14ac:dyDescent="0.2">
      <c r="A779" s="26">
        <v>788</v>
      </c>
      <c r="B779" s="24">
        <v>788</v>
      </c>
      <c r="C779" s="24">
        <v>70</v>
      </c>
      <c r="D779" s="24">
        <f>VLOOKUP(C779,[1]Course!$A$1:$C$229, 2, FALSE)</f>
        <v>0</v>
      </c>
      <c r="E779" s="24">
        <v>6</v>
      </c>
      <c r="F779" s="24" t="s">
        <v>822</v>
      </c>
      <c r="G779" s="24">
        <v>1</v>
      </c>
      <c r="H779" s="25">
        <v>0.8</v>
      </c>
      <c r="I779" s="24">
        <v>1</v>
      </c>
    </row>
    <row r="780" spans="1:9" ht="15.75" customHeight="1" x14ac:dyDescent="0.2">
      <c r="A780" s="26">
        <v>789</v>
      </c>
      <c r="B780" s="24">
        <v>789</v>
      </c>
      <c r="C780" s="24">
        <v>71</v>
      </c>
      <c r="D780" s="24">
        <f>VLOOKUP(C780,[1]Course!$A$1:$C$229, 2, FALSE)</f>
        <v>0</v>
      </c>
      <c r="E780" s="24">
        <v>5</v>
      </c>
      <c r="F780" s="24" t="s">
        <v>823</v>
      </c>
      <c r="G780" s="24">
        <v>1</v>
      </c>
      <c r="H780" s="25">
        <v>0.8</v>
      </c>
      <c r="I780" s="24">
        <v>1</v>
      </c>
    </row>
    <row r="781" spans="1:9" ht="15.75" customHeight="1" x14ac:dyDescent="0.2">
      <c r="A781" s="26">
        <v>790</v>
      </c>
      <c r="B781" s="24">
        <v>790</v>
      </c>
      <c r="C781" s="24">
        <v>71</v>
      </c>
      <c r="D781" s="24">
        <f>VLOOKUP(C781,[1]Course!$A$1:$C$229, 2, FALSE)</f>
        <v>0</v>
      </c>
      <c r="E781" s="24">
        <v>6</v>
      </c>
      <c r="F781" s="24" t="s">
        <v>822</v>
      </c>
      <c r="G781" s="24">
        <v>1</v>
      </c>
      <c r="H781" s="25">
        <v>0.8</v>
      </c>
      <c r="I781" s="24">
        <v>1</v>
      </c>
    </row>
    <row r="782" spans="1:9" ht="15.75" customHeight="1" x14ac:dyDescent="0.2">
      <c r="A782" s="26">
        <v>791</v>
      </c>
      <c r="B782" s="24">
        <v>791</v>
      </c>
      <c r="C782" s="24">
        <v>72</v>
      </c>
      <c r="D782" s="24">
        <f>VLOOKUP(C782,[1]Course!$A$1:$C$229, 2, FALSE)</f>
        <v>0</v>
      </c>
      <c r="E782" s="24">
        <v>1</v>
      </c>
      <c r="F782" s="24" t="s">
        <v>821</v>
      </c>
      <c r="G782" s="24">
        <v>1</v>
      </c>
      <c r="H782" s="25">
        <v>0.8</v>
      </c>
      <c r="I782" s="24">
        <v>1</v>
      </c>
    </row>
    <row r="783" spans="1:9" ht="15.75" customHeight="1" x14ac:dyDescent="0.2">
      <c r="A783" s="26">
        <v>792</v>
      </c>
      <c r="B783" s="24">
        <v>792</v>
      </c>
      <c r="C783" s="24">
        <v>72</v>
      </c>
      <c r="D783" s="24">
        <f>VLOOKUP(C783,[1]Course!$A$1:$C$229, 2, FALSE)</f>
        <v>0</v>
      </c>
      <c r="E783" s="24">
        <v>2</v>
      </c>
      <c r="F783" s="24" t="s">
        <v>820</v>
      </c>
      <c r="G783" s="24">
        <v>1</v>
      </c>
      <c r="H783" s="25">
        <v>0.8</v>
      </c>
      <c r="I783" s="24">
        <v>1</v>
      </c>
    </row>
    <row r="784" spans="1:9" ht="15.75" customHeight="1" x14ac:dyDescent="0.2">
      <c r="A784" s="26">
        <v>793</v>
      </c>
      <c r="B784" s="24">
        <v>793</v>
      </c>
      <c r="C784" s="24">
        <v>72</v>
      </c>
      <c r="D784" s="24">
        <f>VLOOKUP(C784,[1]Course!$A$1:$C$229, 2, FALSE)</f>
        <v>0</v>
      </c>
      <c r="E784" s="24">
        <v>3</v>
      </c>
      <c r="F784" s="24" t="s">
        <v>819</v>
      </c>
      <c r="G784" s="24">
        <v>1</v>
      </c>
      <c r="H784" s="25">
        <v>0.8</v>
      </c>
      <c r="I784" s="24">
        <v>1</v>
      </c>
    </row>
    <row r="785" spans="1:9" ht="15.75" customHeight="1" x14ac:dyDescent="0.2">
      <c r="A785" s="26">
        <v>794</v>
      </c>
      <c r="B785" s="24">
        <v>794</v>
      </c>
      <c r="C785" s="24">
        <v>72</v>
      </c>
      <c r="D785" s="24">
        <f>VLOOKUP(C785,[1]Course!$A$1:$C$229, 2, FALSE)</f>
        <v>0</v>
      </c>
      <c r="E785" s="24">
        <v>4</v>
      </c>
      <c r="F785" s="24" t="s">
        <v>818</v>
      </c>
      <c r="G785" s="24">
        <v>1</v>
      </c>
      <c r="H785" s="25">
        <v>0.8</v>
      </c>
      <c r="I785" s="24">
        <v>1</v>
      </c>
    </row>
    <row r="786" spans="1:9" ht="15.75" customHeight="1" x14ac:dyDescent="0.2">
      <c r="A786" s="26">
        <v>795</v>
      </c>
      <c r="B786" s="24">
        <v>795</v>
      </c>
      <c r="C786" s="24">
        <v>72</v>
      </c>
      <c r="D786" s="24">
        <f>VLOOKUP(C786,[1]Course!$A$1:$C$229, 2, FALSE)</f>
        <v>0</v>
      </c>
      <c r="E786" s="24">
        <v>5</v>
      </c>
      <c r="F786" s="24" t="s">
        <v>817</v>
      </c>
      <c r="G786" s="24">
        <v>1</v>
      </c>
      <c r="H786" s="25">
        <v>0.8</v>
      </c>
      <c r="I786" s="24">
        <v>1</v>
      </c>
    </row>
    <row r="787" spans="1:9" ht="15.75" customHeight="1" x14ac:dyDescent="0.2">
      <c r="A787" s="26">
        <v>796</v>
      </c>
      <c r="B787" s="24">
        <v>796</v>
      </c>
      <c r="C787" s="24">
        <v>72</v>
      </c>
      <c r="D787" s="24">
        <f>VLOOKUP(C787,[1]Course!$A$1:$C$229, 2, FALSE)</f>
        <v>0</v>
      </c>
      <c r="E787" s="24">
        <v>6</v>
      </c>
      <c r="F787" s="24" t="s">
        <v>816</v>
      </c>
      <c r="G787" s="24">
        <v>1</v>
      </c>
      <c r="H787" s="25">
        <v>0.8</v>
      </c>
      <c r="I787" s="24">
        <v>1</v>
      </c>
    </row>
    <row r="788" spans="1:9" ht="15.75" customHeight="1" x14ac:dyDescent="0.2">
      <c r="A788" s="26">
        <v>797</v>
      </c>
      <c r="B788" s="24">
        <v>797</v>
      </c>
      <c r="C788" s="24">
        <v>73</v>
      </c>
      <c r="D788" s="24">
        <f>VLOOKUP(C788,[1]Course!$A$1:$C$229, 2, FALSE)</f>
        <v>0</v>
      </c>
      <c r="E788" s="24">
        <v>1</v>
      </c>
      <c r="F788" s="24" t="s">
        <v>815</v>
      </c>
      <c r="G788" s="24">
        <v>1</v>
      </c>
      <c r="H788" s="25">
        <v>0.8</v>
      </c>
      <c r="I788" s="24">
        <v>1</v>
      </c>
    </row>
    <row r="789" spans="1:9" ht="15.75" customHeight="1" x14ac:dyDescent="0.2">
      <c r="A789" s="26">
        <v>798</v>
      </c>
      <c r="B789" s="24">
        <v>798</v>
      </c>
      <c r="C789" s="24">
        <v>73</v>
      </c>
      <c r="D789" s="24">
        <f>VLOOKUP(C789,[1]Course!$A$1:$C$229, 2, FALSE)</f>
        <v>0</v>
      </c>
      <c r="E789" s="24">
        <v>2</v>
      </c>
      <c r="F789" s="24" t="s">
        <v>814</v>
      </c>
      <c r="G789" s="24">
        <v>1</v>
      </c>
      <c r="H789" s="25">
        <v>0.8</v>
      </c>
      <c r="I789" s="24">
        <v>1</v>
      </c>
    </row>
    <row r="790" spans="1:9" ht="15.75" customHeight="1" x14ac:dyDescent="0.2">
      <c r="A790" s="26">
        <v>799</v>
      </c>
      <c r="B790" s="24">
        <v>799</v>
      </c>
      <c r="C790" s="24">
        <v>73</v>
      </c>
      <c r="D790" s="24">
        <f>VLOOKUP(C790,[1]Course!$A$1:$C$229, 2, FALSE)</f>
        <v>0</v>
      </c>
      <c r="E790" s="24">
        <v>3</v>
      </c>
      <c r="F790" s="24" t="s">
        <v>813</v>
      </c>
      <c r="G790" s="24">
        <v>1</v>
      </c>
      <c r="H790" s="25">
        <v>0.8</v>
      </c>
      <c r="I790" s="24">
        <v>1</v>
      </c>
    </row>
    <row r="791" spans="1:9" ht="15.75" customHeight="1" x14ac:dyDescent="0.2">
      <c r="A791" s="26">
        <v>800</v>
      </c>
      <c r="B791" s="24">
        <v>800</v>
      </c>
      <c r="C791" s="24">
        <v>73</v>
      </c>
      <c r="D791" s="24">
        <f>VLOOKUP(C791,[1]Course!$A$1:$C$229, 2, FALSE)</f>
        <v>0</v>
      </c>
      <c r="E791" s="24">
        <v>4</v>
      </c>
      <c r="F791" s="24" t="s">
        <v>812</v>
      </c>
      <c r="G791" s="24">
        <v>1</v>
      </c>
      <c r="H791" s="25">
        <v>0.8</v>
      </c>
      <c r="I791" s="24">
        <v>1</v>
      </c>
    </row>
    <row r="792" spans="1:9" ht="15.75" customHeight="1" x14ac:dyDescent="0.2">
      <c r="A792" s="26">
        <v>801</v>
      </c>
      <c r="B792" s="24">
        <v>801</v>
      </c>
      <c r="C792" s="24">
        <v>146</v>
      </c>
      <c r="D792" s="24">
        <f>VLOOKUP(C792,[1]Course!$A$1:$C$229, 2, FALSE)</f>
        <v>0</v>
      </c>
      <c r="E792" s="24">
        <v>98</v>
      </c>
      <c r="F792" s="24" t="s">
        <v>811</v>
      </c>
      <c r="G792" s="24">
        <f t="shared" ref="G792:G797" si="2">1/6</f>
        <v>0.16666666666666666</v>
      </c>
      <c r="H792" s="25">
        <v>0.8</v>
      </c>
      <c r="I792" s="24">
        <v>1</v>
      </c>
    </row>
    <row r="793" spans="1:9" ht="15.75" customHeight="1" x14ac:dyDescent="0.2">
      <c r="A793" s="26">
        <v>803</v>
      </c>
      <c r="B793" s="24">
        <v>803</v>
      </c>
      <c r="C793" s="24">
        <v>146</v>
      </c>
      <c r="D793" s="24">
        <f>VLOOKUP(C793,[1]Course!$A$1:$C$229, 2, FALSE)</f>
        <v>0</v>
      </c>
      <c r="E793" s="24">
        <v>100</v>
      </c>
      <c r="F793" s="24" t="s">
        <v>810</v>
      </c>
      <c r="G793" s="24">
        <f t="shared" si="2"/>
        <v>0.16666666666666666</v>
      </c>
      <c r="H793" s="25">
        <v>0.8</v>
      </c>
      <c r="I793" s="24">
        <v>1</v>
      </c>
    </row>
    <row r="794" spans="1:9" ht="15.75" customHeight="1" x14ac:dyDescent="0.2">
      <c r="A794" s="26">
        <v>805</v>
      </c>
      <c r="B794" s="24">
        <v>805</v>
      </c>
      <c r="C794" s="24">
        <v>146</v>
      </c>
      <c r="D794" s="24">
        <f>VLOOKUP(C794,[1]Course!$A$1:$C$229, 2, FALSE)</f>
        <v>0</v>
      </c>
      <c r="E794" s="24">
        <v>102</v>
      </c>
      <c r="F794" s="24" t="s">
        <v>809</v>
      </c>
      <c r="G794" s="24">
        <f t="shared" si="2"/>
        <v>0.16666666666666666</v>
      </c>
      <c r="H794" s="25">
        <v>0.8</v>
      </c>
      <c r="I794" s="24">
        <v>1</v>
      </c>
    </row>
    <row r="795" spans="1:9" ht="15.75" customHeight="1" x14ac:dyDescent="0.2">
      <c r="A795" s="26">
        <v>807</v>
      </c>
      <c r="B795" s="24">
        <v>807</v>
      </c>
      <c r="C795" s="24">
        <v>146</v>
      </c>
      <c r="D795" s="24">
        <f>VLOOKUP(C795,[1]Course!$A$1:$C$229, 2, FALSE)</f>
        <v>0</v>
      </c>
      <c r="E795" s="24">
        <v>104</v>
      </c>
      <c r="F795" s="24" t="s">
        <v>808</v>
      </c>
      <c r="G795" s="24">
        <f t="shared" si="2"/>
        <v>0.16666666666666666</v>
      </c>
      <c r="H795" s="25">
        <v>0.8</v>
      </c>
      <c r="I795" s="24">
        <v>1</v>
      </c>
    </row>
    <row r="796" spans="1:9" ht="15.75" customHeight="1" x14ac:dyDescent="0.2">
      <c r="A796" s="26">
        <v>809</v>
      </c>
      <c r="B796" s="24">
        <v>809</v>
      </c>
      <c r="C796" s="24">
        <v>146</v>
      </c>
      <c r="D796" s="24">
        <f>VLOOKUP(C796,[1]Course!$A$1:$C$229, 2, FALSE)</f>
        <v>0</v>
      </c>
      <c r="E796" s="24">
        <v>106</v>
      </c>
      <c r="F796" s="24" t="s">
        <v>807</v>
      </c>
      <c r="G796" s="24">
        <f t="shared" si="2"/>
        <v>0.16666666666666666</v>
      </c>
      <c r="H796" s="25">
        <v>0.8</v>
      </c>
      <c r="I796" s="24">
        <v>1</v>
      </c>
    </row>
    <row r="797" spans="1:9" ht="15.75" customHeight="1" x14ac:dyDescent="0.2">
      <c r="A797" s="26">
        <v>811</v>
      </c>
      <c r="B797" s="24">
        <v>811</v>
      </c>
      <c r="C797" s="24">
        <v>146</v>
      </c>
      <c r="D797" s="24">
        <f>VLOOKUP(C797,[1]Course!$A$1:$C$229, 2, FALSE)</f>
        <v>0</v>
      </c>
      <c r="E797" s="24">
        <v>108</v>
      </c>
      <c r="F797" s="24" t="s">
        <v>399</v>
      </c>
      <c r="G797" s="24">
        <f t="shared" si="2"/>
        <v>0.16666666666666666</v>
      </c>
      <c r="H797" s="25">
        <v>0.8</v>
      </c>
      <c r="I797" s="24">
        <v>1</v>
      </c>
    </row>
    <row r="798" spans="1:9" ht="15.75" customHeight="1" x14ac:dyDescent="0.2">
      <c r="A798" s="26">
        <v>812</v>
      </c>
      <c r="B798" s="24">
        <v>812</v>
      </c>
      <c r="C798" s="24">
        <v>74</v>
      </c>
      <c r="D798" s="24">
        <f>VLOOKUP(C798,[1]Course!$A$1:$C$229, 2, FALSE)</f>
        <v>0</v>
      </c>
      <c r="E798" s="24">
        <v>1</v>
      </c>
      <c r="F798" s="24" t="s">
        <v>806</v>
      </c>
      <c r="G798" s="24">
        <v>0.2</v>
      </c>
      <c r="H798" s="25">
        <v>0.8</v>
      </c>
      <c r="I798" s="24">
        <v>1</v>
      </c>
    </row>
    <row r="799" spans="1:9" ht="15.75" customHeight="1" x14ac:dyDescent="0.2">
      <c r="A799" s="26">
        <v>813</v>
      </c>
      <c r="B799" s="24">
        <v>813</v>
      </c>
      <c r="C799" s="24">
        <v>74</v>
      </c>
      <c r="D799" s="24">
        <f>VLOOKUP(C799,[1]Course!$A$1:$C$229, 2, FALSE)</f>
        <v>0</v>
      </c>
      <c r="E799" s="24">
        <v>2</v>
      </c>
      <c r="F799" s="24" t="s">
        <v>805</v>
      </c>
      <c r="G799" s="24">
        <v>0.2</v>
      </c>
      <c r="H799" s="25">
        <v>0.8</v>
      </c>
      <c r="I799" s="24">
        <v>1</v>
      </c>
    </row>
    <row r="800" spans="1:9" ht="15.75" customHeight="1" x14ac:dyDescent="0.2">
      <c r="A800" s="26">
        <v>814</v>
      </c>
      <c r="B800" s="24">
        <v>814</v>
      </c>
      <c r="C800" s="24">
        <v>74</v>
      </c>
      <c r="D800" s="24">
        <f>VLOOKUP(C800,[1]Course!$A$1:$C$229, 2, FALSE)</f>
        <v>0</v>
      </c>
      <c r="E800" s="24">
        <v>3</v>
      </c>
      <c r="F800" s="24" t="s">
        <v>804</v>
      </c>
      <c r="G800" s="24">
        <v>0.2</v>
      </c>
      <c r="H800" s="25">
        <v>0.8</v>
      </c>
      <c r="I800" s="24">
        <v>1</v>
      </c>
    </row>
    <row r="801" spans="1:9" ht="15.75" customHeight="1" x14ac:dyDescent="0.2">
      <c r="A801" s="26">
        <v>815</v>
      </c>
      <c r="B801" s="24">
        <v>815</v>
      </c>
      <c r="C801" s="24">
        <v>74</v>
      </c>
      <c r="D801" s="24">
        <f>VLOOKUP(C801,[1]Course!$A$1:$C$229, 2, FALSE)</f>
        <v>0</v>
      </c>
      <c r="E801" s="24">
        <v>4</v>
      </c>
      <c r="F801" s="24" t="s">
        <v>803</v>
      </c>
      <c r="G801" s="24">
        <v>0.2</v>
      </c>
      <c r="H801" s="25">
        <v>0.8</v>
      </c>
      <c r="I801" s="24">
        <v>1</v>
      </c>
    </row>
    <row r="802" spans="1:9" ht="15.75" customHeight="1" x14ac:dyDescent="0.2">
      <c r="A802" s="26">
        <v>816</v>
      </c>
      <c r="B802" s="24">
        <v>816</v>
      </c>
      <c r="C802" s="24">
        <v>74</v>
      </c>
      <c r="D802" s="24">
        <f>VLOOKUP(C802,[1]Course!$A$1:$C$229, 2, FALSE)</f>
        <v>0</v>
      </c>
      <c r="E802" s="24">
        <v>5</v>
      </c>
      <c r="F802" s="24" t="s">
        <v>802</v>
      </c>
      <c r="G802" s="24">
        <v>0.2</v>
      </c>
      <c r="H802" s="25">
        <v>0.8</v>
      </c>
      <c r="I802" s="24">
        <v>1</v>
      </c>
    </row>
    <row r="803" spans="1:9" ht="15.75" customHeight="1" x14ac:dyDescent="0.2">
      <c r="A803" s="26">
        <v>817</v>
      </c>
      <c r="B803" s="24">
        <v>817</v>
      </c>
      <c r="C803" s="24">
        <v>75</v>
      </c>
      <c r="D803" s="24" t="str">
        <f>VLOOKUP(C803,[1]Course!$A$1:$C$229, 2, FALSE)</f>
        <v>Science 9</v>
      </c>
      <c r="E803" s="24">
        <v>97</v>
      </c>
      <c r="F803" s="24" t="s">
        <v>801</v>
      </c>
      <c r="G803" s="24">
        <f t="shared" ref="G803:G814" si="3">1/12</f>
        <v>8.3333333333333329E-2</v>
      </c>
      <c r="H803" s="25">
        <v>0.8</v>
      </c>
      <c r="I803" s="24">
        <v>1</v>
      </c>
    </row>
    <row r="804" spans="1:9" ht="15.75" customHeight="1" x14ac:dyDescent="0.2">
      <c r="A804" s="26">
        <v>818</v>
      </c>
      <c r="B804" s="24">
        <v>818</v>
      </c>
      <c r="C804" s="24">
        <v>75</v>
      </c>
      <c r="D804" s="24" t="str">
        <f>VLOOKUP(C804,[1]Course!$A$1:$C$229, 2, FALSE)</f>
        <v>Science 9</v>
      </c>
      <c r="E804" s="24">
        <v>98</v>
      </c>
      <c r="F804" s="24" t="s">
        <v>800</v>
      </c>
      <c r="G804" s="24">
        <f t="shared" si="3"/>
        <v>8.3333333333333329E-2</v>
      </c>
      <c r="H804" s="25">
        <v>0.8</v>
      </c>
      <c r="I804" s="24">
        <v>1</v>
      </c>
    </row>
    <row r="805" spans="1:9" ht="15.75" customHeight="1" x14ac:dyDescent="0.2">
      <c r="A805" s="26">
        <v>819</v>
      </c>
      <c r="B805" s="24">
        <v>819</v>
      </c>
      <c r="C805" s="24">
        <v>75</v>
      </c>
      <c r="D805" s="24" t="str">
        <f>VLOOKUP(C805,[1]Course!$A$1:$C$229, 2, FALSE)</f>
        <v>Science 9</v>
      </c>
      <c r="E805" s="24">
        <v>99</v>
      </c>
      <c r="F805" s="24" t="s">
        <v>799</v>
      </c>
      <c r="G805" s="24">
        <f t="shared" si="3"/>
        <v>8.3333333333333329E-2</v>
      </c>
      <c r="H805" s="25">
        <v>0.8</v>
      </c>
      <c r="I805" s="24">
        <v>1</v>
      </c>
    </row>
    <row r="806" spans="1:9" ht="15.75" customHeight="1" x14ac:dyDescent="0.2">
      <c r="A806" s="26">
        <v>820</v>
      </c>
      <c r="B806" s="24">
        <v>820</v>
      </c>
      <c r="C806" s="24">
        <v>75</v>
      </c>
      <c r="D806" s="24" t="str">
        <f>VLOOKUP(C806,[1]Course!$A$1:$C$229, 2, FALSE)</f>
        <v>Science 9</v>
      </c>
      <c r="E806" s="24">
        <v>100</v>
      </c>
      <c r="F806" s="24" t="s">
        <v>798</v>
      </c>
      <c r="G806" s="24">
        <f t="shared" si="3"/>
        <v>8.3333333333333329E-2</v>
      </c>
      <c r="H806" s="25">
        <v>0.8</v>
      </c>
      <c r="I806" s="24">
        <v>1</v>
      </c>
    </row>
    <row r="807" spans="1:9" ht="15.75" customHeight="1" x14ac:dyDescent="0.2">
      <c r="A807" s="26">
        <v>821</v>
      </c>
      <c r="B807" s="24">
        <v>821</v>
      </c>
      <c r="C807" s="24">
        <v>75</v>
      </c>
      <c r="D807" s="24" t="str">
        <f>VLOOKUP(C807,[1]Course!$A$1:$C$229, 2, FALSE)</f>
        <v>Science 9</v>
      </c>
      <c r="E807" s="24">
        <v>101</v>
      </c>
      <c r="F807" s="24" t="s">
        <v>797</v>
      </c>
      <c r="G807" s="24">
        <f t="shared" si="3"/>
        <v>8.3333333333333329E-2</v>
      </c>
      <c r="H807" s="25">
        <v>0.8</v>
      </c>
      <c r="I807" s="24">
        <v>1</v>
      </c>
    </row>
    <row r="808" spans="1:9" ht="15.75" customHeight="1" x14ac:dyDescent="0.2">
      <c r="A808" s="26">
        <v>822</v>
      </c>
      <c r="B808" s="24">
        <v>822</v>
      </c>
      <c r="C808" s="24">
        <v>75</v>
      </c>
      <c r="D808" s="24" t="str">
        <f>VLOOKUP(C808,[1]Course!$A$1:$C$229, 2, FALSE)</f>
        <v>Science 9</v>
      </c>
      <c r="E808" s="24">
        <v>102</v>
      </c>
      <c r="F808" s="24" t="s">
        <v>796</v>
      </c>
      <c r="G808" s="24">
        <f t="shared" si="3"/>
        <v>8.3333333333333329E-2</v>
      </c>
      <c r="H808" s="25">
        <v>0.8</v>
      </c>
      <c r="I808" s="24">
        <v>1</v>
      </c>
    </row>
    <row r="809" spans="1:9" ht="15.75" customHeight="1" x14ac:dyDescent="0.2">
      <c r="A809" s="26">
        <v>823</v>
      </c>
      <c r="B809" s="24">
        <v>823</v>
      </c>
      <c r="C809" s="24">
        <v>75</v>
      </c>
      <c r="D809" s="24" t="str">
        <f>VLOOKUP(C809,[1]Course!$A$1:$C$229, 2, FALSE)</f>
        <v>Science 9</v>
      </c>
      <c r="E809" s="24">
        <v>103</v>
      </c>
      <c r="F809" s="24" t="s">
        <v>795</v>
      </c>
      <c r="G809" s="24">
        <f t="shared" si="3"/>
        <v>8.3333333333333329E-2</v>
      </c>
      <c r="H809" s="25">
        <v>0.8</v>
      </c>
      <c r="I809" s="24">
        <v>1</v>
      </c>
    </row>
    <row r="810" spans="1:9" ht="15.75" customHeight="1" x14ac:dyDescent="0.2">
      <c r="A810" s="26">
        <v>824</v>
      </c>
      <c r="B810" s="24">
        <v>824</v>
      </c>
      <c r="C810" s="24">
        <v>75</v>
      </c>
      <c r="D810" s="24" t="str">
        <f>VLOOKUP(C810,[1]Course!$A$1:$C$229, 2, FALSE)</f>
        <v>Science 9</v>
      </c>
      <c r="E810" s="24">
        <v>104</v>
      </c>
      <c r="F810" s="24" t="s">
        <v>794</v>
      </c>
      <c r="G810" s="24">
        <f t="shared" si="3"/>
        <v>8.3333333333333329E-2</v>
      </c>
      <c r="H810" s="25">
        <v>0.8</v>
      </c>
      <c r="I810" s="24">
        <v>1</v>
      </c>
    </row>
    <row r="811" spans="1:9" ht="15.75" customHeight="1" x14ac:dyDescent="0.2">
      <c r="A811" s="26">
        <v>825</v>
      </c>
      <c r="B811" s="24">
        <v>825</v>
      </c>
      <c r="C811" s="24">
        <v>75</v>
      </c>
      <c r="D811" s="24" t="str">
        <f>VLOOKUP(C811,[1]Course!$A$1:$C$229, 2, FALSE)</f>
        <v>Science 9</v>
      </c>
      <c r="E811" s="24">
        <v>105</v>
      </c>
      <c r="F811" s="24" t="s">
        <v>793</v>
      </c>
      <c r="G811" s="24">
        <f t="shared" si="3"/>
        <v>8.3333333333333329E-2</v>
      </c>
      <c r="H811" s="25">
        <v>0.8</v>
      </c>
      <c r="I811" s="24">
        <v>1</v>
      </c>
    </row>
    <row r="812" spans="1:9" ht="15.75" customHeight="1" x14ac:dyDescent="0.2">
      <c r="A812" s="26">
        <v>826</v>
      </c>
      <c r="B812" s="24">
        <v>826</v>
      </c>
      <c r="C812" s="24">
        <v>75</v>
      </c>
      <c r="D812" s="24" t="str">
        <f>VLOOKUP(C812,[1]Course!$A$1:$C$229, 2, FALSE)</f>
        <v>Science 9</v>
      </c>
      <c r="E812" s="24">
        <v>106</v>
      </c>
      <c r="F812" s="24" t="s">
        <v>792</v>
      </c>
      <c r="G812" s="24">
        <f t="shared" si="3"/>
        <v>8.3333333333333329E-2</v>
      </c>
      <c r="H812" s="25">
        <v>0.8</v>
      </c>
      <c r="I812" s="24">
        <v>1</v>
      </c>
    </row>
    <row r="813" spans="1:9" ht="15.75" customHeight="1" x14ac:dyDescent="0.2">
      <c r="A813" s="26">
        <v>827</v>
      </c>
      <c r="B813" s="24">
        <v>827</v>
      </c>
      <c r="C813" s="24">
        <v>75</v>
      </c>
      <c r="D813" s="24" t="str">
        <f>VLOOKUP(C813,[1]Course!$A$1:$C$229, 2, FALSE)</f>
        <v>Science 9</v>
      </c>
      <c r="E813" s="24">
        <v>107</v>
      </c>
      <c r="F813" s="24" t="s">
        <v>791</v>
      </c>
      <c r="G813" s="24">
        <f t="shared" si="3"/>
        <v>8.3333333333333329E-2</v>
      </c>
      <c r="H813" s="25">
        <v>0.8</v>
      </c>
      <c r="I813" s="24">
        <v>1</v>
      </c>
    </row>
    <row r="814" spans="1:9" ht="15.75" customHeight="1" x14ac:dyDescent="0.2">
      <c r="A814" s="26">
        <v>828</v>
      </c>
      <c r="B814" s="24">
        <v>828</v>
      </c>
      <c r="C814" s="24">
        <v>75</v>
      </c>
      <c r="D814" s="24" t="str">
        <f>VLOOKUP(C814,[1]Course!$A$1:$C$229, 2, FALSE)</f>
        <v>Science 9</v>
      </c>
      <c r="E814" s="24">
        <v>108</v>
      </c>
      <c r="F814" s="24" t="s">
        <v>790</v>
      </c>
      <c r="G814" s="24">
        <f t="shared" si="3"/>
        <v>8.3333333333333329E-2</v>
      </c>
      <c r="H814" s="25">
        <v>0.8</v>
      </c>
      <c r="I814" s="24">
        <v>1</v>
      </c>
    </row>
    <row r="815" spans="1:9" ht="15.75" customHeight="1" x14ac:dyDescent="0.2">
      <c r="A815" s="26">
        <v>829</v>
      </c>
      <c r="B815" s="24">
        <v>829</v>
      </c>
      <c r="C815" s="24">
        <v>76</v>
      </c>
      <c r="D815" s="24">
        <f>VLOOKUP(C815,[1]Course!$A$1:$C$229, 2, FALSE)</f>
        <v>0</v>
      </c>
      <c r="E815" s="24">
        <v>1</v>
      </c>
      <c r="F815" s="24" t="s">
        <v>789</v>
      </c>
      <c r="G815" s="24">
        <f t="shared" ref="G815:G826" si="4">1/6</f>
        <v>0.16666666666666666</v>
      </c>
      <c r="H815" s="25">
        <v>0.8</v>
      </c>
      <c r="I815" s="24">
        <v>1</v>
      </c>
    </row>
    <row r="816" spans="1:9" ht="15.75" customHeight="1" x14ac:dyDescent="0.2">
      <c r="A816" s="26">
        <v>830</v>
      </c>
      <c r="B816" s="24">
        <v>830</v>
      </c>
      <c r="C816" s="24">
        <v>76</v>
      </c>
      <c r="D816" s="24">
        <f>VLOOKUP(C816,[1]Course!$A$1:$C$229, 2, FALSE)</f>
        <v>0</v>
      </c>
      <c r="E816" s="24">
        <v>2</v>
      </c>
      <c r="F816" s="24" t="s">
        <v>788</v>
      </c>
      <c r="G816" s="24">
        <f t="shared" si="4"/>
        <v>0.16666666666666666</v>
      </c>
      <c r="H816" s="25">
        <v>0.8</v>
      </c>
      <c r="I816" s="24">
        <v>1</v>
      </c>
    </row>
    <row r="817" spans="1:9" ht="15.75" customHeight="1" x14ac:dyDescent="0.2">
      <c r="A817" s="26">
        <v>831</v>
      </c>
      <c r="B817" s="24">
        <v>831</v>
      </c>
      <c r="C817" s="24">
        <v>76</v>
      </c>
      <c r="D817" s="24">
        <f>VLOOKUP(C817,[1]Course!$A$1:$C$229, 2, FALSE)</f>
        <v>0</v>
      </c>
      <c r="E817" s="24">
        <v>3</v>
      </c>
      <c r="F817" s="24" t="s">
        <v>787</v>
      </c>
      <c r="G817" s="24">
        <f t="shared" si="4"/>
        <v>0.16666666666666666</v>
      </c>
      <c r="H817" s="25">
        <v>0.8</v>
      </c>
      <c r="I817" s="24">
        <v>1</v>
      </c>
    </row>
    <row r="818" spans="1:9" ht="15.75" customHeight="1" x14ac:dyDescent="0.2">
      <c r="A818" s="26">
        <v>832</v>
      </c>
      <c r="B818" s="24">
        <v>832</v>
      </c>
      <c r="C818" s="24">
        <v>76</v>
      </c>
      <c r="D818" s="24">
        <f>VLOOKUP(C818,[1]Course!$A$1:$C$229, 2, FALSE)</f>
        <v>0</v>
      </c>
      <c r="E818" s="24">
        <v>4</v>
      </c>
      <c r="F818" s="24" t="s">
        <v>786</v>
      </c>
      <c r="G818" s="24">
        <f t="shared" si="4"/>
        <v>0.16666666666666666</v>
      </c>
      <c r="H818" s="25">
        <v>0.8</v>
      </c>
      <c r="I818" s="24">
        <v>1</v>
      </c>
    </row>
    <row r="819" spans="1:9" ht="15.75" customHeight="1" x14ac:dyDescent="0.2">
      <c r="A819" s="26">
        <v>833</v>
      </c>
      <c r="B819" s="24">
        <v>833</v>
      </c>
      <c r="C819" s="24">
        <v>76</v>
      </c>
      <c r="D819" s="24">
        <f>VLOOKUP(C819,[1]Course!$A$1:$C$229, 2, FALSE)</f>
        <v>0</v>
      </c>
      <c r="E819" s="24">
        <v>5</v>
      </c>
      <c r="F819" s="24" t="s">
        <v>785</v>
      </c>
      <c r="G819" s="24">
        <f t="shared" si="4"/>
        <v>0.16666666666666666</v>
      </c>
      <c r="H819" s="25">
        <v>0.8</v>
      </c>
      <c r="I819" s="24">
        <v>1</v>
      </c>
    </row>
    <row r="820" spans="1:9" ht="15.75" customHeight="1" x14ac:dyDescent="0.2">
      <c r="A820" s="26">
        <v>834</v>
      </c>
      <c r="B820" s="24">
        <v>834</v>
      </c>
      <c r="C820" s="24">
        <v>76</v>
      </c>
      <c r="D820" s="24">
        <f>VLOOKUP(C820,[1]Course!$A$1:$C$229, 2, FALSE)</f>
        <v>0</v>
      </c>
      <c r="E820" s="24">
        <v>6</v>
      </c>
      <c r="F820" s="24" t="s">
        <v>784</v>
      </c>
      <c r="G820" s="24">
        <f t="shared" si="4"/>
        <v>0.16666666666666666</v>
      </c>
      <c r="H820" s="25">
        <v>0.8</v>
      </c>
      <c r="I820" s="24">
        <v>1</v>
      </c>
    </row>
    <row r="821" spans="1:9" ht="15.75" customHeight="1" x14ac:dyDescent="0.2">
      <c r="A821" s="26">
        <v>835</v>
      </c>
      <c r="B821" s="24">
        <v>835</v>
      </c>
      <c r="C821" s="24">
        <v>77</v>
      </c>
      <c r="D821" s="24">
        <f>VLOOKUP(C821,[1]Course!$A$1:$C$229, 2, FALSE)</f>
        <v>0</v>
      </c>
      <c r="E821" s="24">
        <v>1</v>
      </c>
      <c r="F821" s="24" t="s">
        <v>783</v>
      </c>
      <c r="G821" s="24">
        <f t="shared" si="4"/>
        <v>0.16666666666666666</v>
      </c>
      <c r="H821" s="25">
        <v>0.8</v>
      </c>
      <c r="I821" s="24">
        <v>1</v>
      </c>
    </row>
    <row r="822" spans="1:9" ht="15.75" customHeight="1" x14ac:dyDescent="0.2">
      <c r="A822" s="26">
        <v>836</v>
      </c>
      <c r="B822" s="24">
        <v>836</v>
      </c>
      <c r="C822" s="24">
        <v>77</v>
      </c>
      <c r="D822" s="24">
        <f>VLOOKUP(C822,[1]Course!$A$1:$C$229, 2, FALSE)</f>
        <v>0</v>
      </c>
      <c r="E822" s="24">
        <v>2</v>
      </c>
      <c r="F822" s="24" t="s">
        <v>782</v>
      </c>
      <c r="G822" s="24">
        <f t="shared" si="4"/>
        <v>0.16666666666666666</v>
      </c>
      <c r="H822" s="25">
        <v>0.8</v>
      </c>
      <c r="I822" s="24">
        <v>1</v>
      </c>
    </row>
    <row r="823" spans="1:9" ht="15.75" customHeight="1" x14ac:dyDescent="0.2">
      <c r="A823" s="26">
        <v>837</v>
      </c>
      <c r="B823" s="24">
        <v>837</v>
      </c>
      <c r="C823" s="24">
        <v>77</v>
      </c>
      <c r="D823" s="24">
        <f>VLOOKUP(C823,[1]Course!$A$1:$C$229, 2, FALSE)</f>
        <v>0</v>
      </c>
      <c r="E823" s="24">
        <v>3</v>
      </c>
      <c r="F823" s="24" t="s">
        <v>781</v>
      </c>
      <c r="G823" s="24">
        <f t="shared" si="4"/>
        <v>0.16666666666666666</v>
      </c>
      <c r="H823" s="25">
        <v>0.8</v>
      </c>
      <c r="I823" s="24">
        <v>1</v>
      </c>
    </row>
    <row r="824" spans="1:9" ht="15.75" customHeight="1" x14ac:dyDescent="0.2">
      <c r="A824" s="26">
        <v>838</v>
      </c>
      <c r="B824" s="24">
        <v>838</v>
      </c>
      <c r="C824" s="24">
        <v>77</v>
      </c>
      <c r="D824" s="24">
        <f>VLOOKUP(C824,[1]Course!$A$1:$C$229, 2, FALSE)</f>
        <v>0</v>
      </c>
      <c r="E824" s="24">
        <v>4</v>
      </c>
      <c r="F824" s="24" t="s">
        <v>780</v>
      </c>
      <c r="G824" s="24">
        <f t="shared" si="4"/>
        <v>0.16666666666666666</v>
      </c>
      <c r="H824" s="25">
        <v>0.8</v>
      </c>
      <c r="I824" s="24">
        <v>1</v>
      </c>
    </row>
    <row r="825" spans="1:9" ht="15.75" customHeight="1" x14ac:dyDescent="0.2">
      <c r="A825" s="26">
        <v>839</v>
      </c>
      <c r="B825" s="24">
        <v>839</v>
      </c>
      <c r="C825" s="24">
        <v>77</v>
      </c>
      <c r="D825" s="24">
        <f>VLOOKUP(C825,[1]Course!$A$1:$C$229, 2, FALSE)</f>
        <v>0</v>
      </c>
      <c r="E825" s="24">
        <v>5</v>
      </c>
      <c r="F825" s="24" t="s">
        <v>779</v>
      </c>
      <c r="G825" s="24">
        <f t="shared" si="4"/>
        <v>0.16666666666666666</v>
      </c>
      <c r="H825" s="25">
        <v>0.8</v>
      </c>
      <c r="I825" s="24">
        <v>1</v>
      </c>
    </row>
    <row r="826" spans="1:9" ht="15.75" customHeight="1" x14ac:dyDescent="0.2">
      <c r="A826" s="26">
        <v>840</v>
      </c>
      <c r="B826" s="24">
        <v>840</v>
      </c>
      <c r="C826" s="24">
        <v>77</v>
      </c>
      <c r="D826" s="24">
        <f>VLOOKUP(C826,[1]Course!$A$1:$C$229, 2, FALSE)</f>
        <v>0</v>
      </c>
      <c r="E826" s="24">
        <v>6</v>
      </c>
      <c r="F826" s="24" t="s">
        <v>778</v>
      </c>
      <c r="G826" s="24">
        <f t="shared" si="4"/>
        <v>0.16666666666666666</v>
      </c>
      <c r="H826" s="25">
        <v>0.8</v>
      </c>
      <c r="I826" s="24">
        <v>1</v>
      </c>
    </row>
    <row r="827" spans="1:9" ht="15.75" customHeight="1" x14ac:dyDescent="0.2">
      <c r="A827" s="26">
        <v>1298</v>
      </c>
      <c r="B827" s="24">
        <v>841</v>
      </c>
      <c r="C827" s="24">
        <v>78</v>
      </c>
      <c r="D827" s="24">
        <f>VLOOKUP(C827,[1]Course!$A$1:$C$229, 2, FALSE)</f>
        <v>0</v>
      </c>
      <c r="E827" s="24">
        <v>1</v>
      </c>
      <c r="F827" s="24" t="s">
        <v>777</v>
      </c>
      <c r="G827" s="24">
        <f t="shared" ref="G827:G836" si="5">1/10</f>
        <v>0.1</v>
      </c>
      <c r="H827" s="25">
        <v>0.8</v>
      </c>
      <c r="I827" s="24">
        <v>0</v>
      </c>
    </row>
    <row r="828" spans="1:9" ht="15.75" customHeight="1" x14ac:dyDescent="0.2">
      <c r="A828" s="26">
        <v>1299</v>
      </c>
      <c r="B828" s="24">
        <v>842</v>
      </c>
      <c r="C828" s="24">
        <v>78</v>
      </c>
      <c r="D828" s="24">
        <f>VLOOKUP(C828,[1]Course!$A$1:$C$229, 2, FALSE)</f>
        <v>0</v>
      </c>
      <c r="E828" s="24">
        <v>2</v>
      </c>
      <c r="F828" s="24" t="s">
        <v>776</v>
      </c>
      <c r="G828" s="24">
        <f t="shared" si="5"/>
        <v>0.1</v>
      </c>
      <c r="H828" s="25">
        <v>0.8</v>
      </c>
      <c r="I828" s="24">
        <v>0</v>
      </c>
    </row>
    <row r="829" spans="1:9" ht="15.75" customHeight="1" x14ac:dyDescent="0.2">
      <c r="A829" s="26">
        <v>1300</v>
      </c>
      <c r="B829" s="24">
        <v>843</v>
      </c>
      <c r="C829" s="24">
        <v>78</v>
      </c>
      <c r="D829" s="24">
        <f>VLOOKUP(C829,[1]Course!$A$1:$C$229, 2, FALSE)</f>
        <v>0</v>
      </c>
      <c r="E829" s="24">
        <v>3</v>
      </c>
      <c r="F829" s="24" t="s">
        <v>775</v>
      </c>
      <c r="G829" s="24">
        <f t="shared" si="5"/>
        <v>0.1</v>
      </c>
      <c r="H829" s="25">
        <v>0.8</v>
      </c>
      <c r="I829" s="24">
        <v>0</v>
      </c>
    </row>
    <row r="830" spans="1:9" ht="15.75" customHeight="1" x14ac:dyDescent="0.2">
      <c r="A830" s="26">
        <v>1301</v>
      </c>
      <c r="B830" s="24">
        <v>844</v>
      </c>
      <c r="C830" s="24">
        <v>78</v>
      </c>
      <c r="D830" s="24">
        <f>VLOOKUP(C830,[1]Course!$A$1:$C$229, 2, FALSE)</f>
        <v>0</v>
      </c>
      <c r="E830" s="24">
        <v>4</v>
      </c>
      <c r="F830" s="24" t="s">
        <v>774</v>
      </c>
      <c r="G830" s="24">
        <f t="shared" si="5"/>
        <v>0.1</v>
      </c>
      <c r="H830" s="25">
        <v>0.8</v>
      </c>
      <c r="I830" s="24">
        <v>0</v>
      </c>
    </row>
    <row r="831" spans="1:9" ht="15.75" customHeight="1" x14ac:dyDescent="0.2">
      <c r="A831" s="26">
        <v>1302</v>
      </c>
      <c r="B831" s="24">
        <v>829</v>
      </c>
      <c r="C831" s="24">
        <v>78</v>
      </c>
      <c r="D831" s="24">
        <f>VLOOKUP(C831,[1]Course!$A$1:$C$229, 2, FALSE)</f>
        <v>0</v>
      </c>
      <c r="E831" s="24">
        <v>1</v>
      </c>
      <c r="G831" s="24">
        <f t="shared" si="5"/>
        <v>0.1</v>
      </c>
      <c r="H831" s="25">
        <v>0.8</v>
      </c>
      <c r="I831" s="24">
        <v>0</v>
      </c>
    </row>
    <row r="832" spans="1:9" ht="15.75" customHeight="1" x14ac:dyDescent="0.2">
      <c r="A832" s="26">
        <v>1303</v>
      </c>
      <c r="B832" s="24">
        <v>830</v>
      </c>
      <c r="C832" s="24">
        <v>78</v>
      </c>
      <c r="D832" s="24">
        <f>VLOOKUP(C832,[1]Course!$A$1:$C$229, 2, FALSE)</f>
        <v>0</v>
      </c>
      <c r="E832" s="24">
        <v>2</v>
      </c>
      <c r="G832" s="24">
        <f t="shared" si="5"/>
        <v>0.1</v>
      </c>
      <c r="H832" s="25">
        <v>0.8</v>
      </c>
      <c r="I832" s="24">
        <v>0</v>
      </c>
    </row>
    <row r="833" spans="1:9" ht="15.75" customHeight="1" x14ac:dyDescent="0.2">
      <c r="A833" s="26">
        <v>1304</v>
      </c>
      <c r="B833" s="24">
        <v>831</v>
      </c>
      <c r="C833" s="24">
        <v>78</v>
      </c>
      <c r="D833" s="24">
        <f>VLOOKUP(C833,[1]Course!$A$1:$C$229, 2, FALSE)</f>
        <v>0</v>
      </c>
      <c r="E833" s="24">
        <v>3</v>
      </c>
      <c r="G833" s="24">
        <f t="shared" si="5"/>
        <v>0.1</v>
      </c>
      <c r="H833" s="25">
        <v>0.8</v>
      </c>
      <c r="I833" s="24">
        <v>0</v>
      </c>
    </row>
    <row r="834" spans="1:9" ht="15.75" customHeight="1" x14ac:dyDescent="0.2">
      <c r="A834" s="26">
        <v>1305</v>
      </c>
      <c r="B834" s="24">
        <v>832</v>
      </c>
      <c r="C834" s="24">
        <v>78</v>
      </c>
      <c r="D834" s="24">
        <f>VLOOKUP(C834,[1]Course!$A$1:$C$229, 2, FALSE)</f>
        <v>0</v>
      </c>
      <c r="E834" s="24">
        <v>4</v>
      </c>
      <c r="G834" s="24">
        <f t="shared" si="5"/>
        <v>0.1</v>
      </c>
      <c r="H834" s="25">
        <v>0.8</v>
      </c>
      <c r="I834" s="24">
        <v>0</v>
      </c>
    </row>
    <row r="835" spans="1:9" ht="15.75" customHeight="1" x14ac:dyDescent="0.2">
      <c r="A835" s="26">
        <v>1306</v>
      </c>
      <c r="B835" s="24">
        <v>833</v>
      </c>
      <c r="C835" s="24">
        <v>78</v>
      </c>
      <c r="D835" s="24">
        <f>VLOOKUP(C835,[1]Course!$A$1:$C$229, 2, FALSE)</f>
        <v>0</v>
      </c>
      <c r="E835" s="24">
        <v>5</v>
      </c>
      <c r="G835" s="24">
        <f t="shared" si="5"/>
        <v>0.1</v>
      </c>
      <c r="H835" s="25">
        <v>0.8</v>
      </c>
      <c r="I835" s="24">
        <v>0</v>
      </c>
    </row>
    <row r="836" spans="1:9" ht="15.75" customHeight="1" x14ac:dyDescent="0.2">
      <c r="A836" s="26">
        <v>1307</v>
      </c>
      <c r="B836" s="24">
        <v>834</v>
      </c>
      <c r="C836" s="24">
        <v>78</v>
      </c>
      <c r="D836" s="24">
        <f>VLOOKUP(C836,[1]Course!$A$1:$C$229, 2, FALSE)</f>
        <v>0</v>
      </c>
      <c r="E836" s="24">
        <v>6</v>
      </c>
      <c r="G836" s="24">
        <f t="shared" si="5"/>
        <v>0.1</v>
      </c>
      <c r="H836" s="25">
        <v>0.8</v>
      </c>
      <c r="I836" s="24">
        <v>0</v>
      </c>
    </row>
    <row r="837" spans="1:9" ht="15.75" customHeight="1" x14ac:dyDescent="0.2">
      <c r="A837" s="26">
        <v>845</v>
      </c>
      <c r="B837" s="24">
        <v>845</v>
      </c>
      <c r="C837" s="24">
        <v>79</v>
      </c>
      <c r="D837" s="24">
        <f>VLOOKUP(C837,[1]Course!$A$1:$C$229, 2, FALSE)</f>
        <v>0</v>
      </c>
      <c r="E837" s="24">
        <v>97</v>
      </c>
      <c r="F837" s="24" t="s">
        <v>773</v>
      </c>
      <c r="G837" s="24">
        <v>1</v>
      </c>
      <c r="H837" s="25">
        <v>0.8</v>
      </c>
      <c r="I837" s="24">
        <v>1</v>
      </c>
    </row>
    <row r="838" spans="1:9" ht="15.75" customHeight="1" x14ac:dyDescent="0.2">
      <c r="A838" s="26">
        <v>846</v>
      </c>
      <c r="B838" s="24">
        <v>846</v>
      </c>
      <c r="C838" s="24">
        <v>79</v>
      </c>
      <c r="D838" s="24">
        <f>VLOOKUP(C838,[1]Course!$A$1:$C$229, 2, FALSE)</f>
        <v>0</v>
      </c>
      <c r="E838" s="24">
        <v>98</v>
      </c>
      <c r="F838" s="24" t="s">
        <v>772</v>
      </c>
      <c r="G838" s="24">
        <v>1</v>
      </c>
      <c r="H838" s="25">
        <v>0.8</v>
      </c>
      <c r="I838" s="24">
        <v>1</v>
      </c>
    </row>
    <row r="839" spans="1:9" ht="15.75" customHeight="1" x14ac:dyDescent="0.2">
      <c r="A839" s="26">
        <v>847</v>
      </c>
      <c r="B839" s="24">
        <v>847</v>
      </c>
      <c r="C839" s="24">
        <v>79</v>
      </c>
      <c r="D839" s="24">
        <f>VLOOKUP(C839,[1]Course!$A$1:$C$229, 2, FALSE)</f>
        <v>0</v>
      </c>
      <c r="E839" s="24">
        <v>99</v>
      </c>
      <c r="F839" s="24" t="s">
        <v>771</v>
      </c>
      <c r="G839" s="24">
        <v>1</v>
      </c>
      <c r="H839" s="25">
        <v>0.8</v>
      </c>
      <c r="I839" s="24">
        <v>1</v>
      </c>
    </row>
    <row r="840" spans="1:9" ht="15.75" customHeight="1" x14ac:dyDescent="0.2">
      <c r="A840" s="26">
        <v>848</v>
      </c>
      <c r="B840" s="24">
        <v>848</v>
      </c>
      <c r="C840" s="24">
        <v>79</v>
      </c>
      <c r="D840" s="24">
        <f>VLOOKUP(C840,[1]Course!$A$1:$C$229, 2, FALSE)</f>
        <v>0</v>
      </c>
      <c r="E840" s="24">
        <v>100</v>
      </c>
      <c r="F840" s="24" t="s">
        <v>770</v>
      </c>
      <c r="G840" s="24">
        <v>1</v>
      </c>
      <c r="H840" s="25">
        <v>0.8</v>
      </c>
      <c r="I840" s="24">
        <v>1</v>
      </c>
    </row>
    <row r="841" spans="1:9" ht="15.75" customHeight="1" x14ac:dyDescent="0.2">
      <c r="A841" s="26">
        <v>849</v>
      </c>
      <c r="B841" s="24">
        <v>849</v>
      </c>
      <c r="C841" s="24">
        <v>79</v>
      </c>
      <c r="D841" s="24">
        <f>VLOOKUP(C841,[1]Course!$A$1:$C$229, 2, FALSE)</f>
        <v>0</v>
      </c>
      <c r="E841" s="24">
        <v>101</v>
      </c>
      <c r="F841" s="24" t="s">
        <v>769</v>
      </c>
      <c r="G841" s="24">
        <v>1</v>
      </c>
      <c r="H841" s="25">
        <v>0.8</v>
      </c>
      <c r="I841" s="24">
        <v>1</v>
      </c>
    </row>
    <row r="842" spans="1:9" ht="15.75" customHeight="1" x14ac:dyDescent="0.2">
      <c r="A842" s="26">
        <v>850</v>
      </c>
      <c r="B842" s="24">
        <v>850</v>
      </c>
      <c r="C842" s="24">
        <v>79</v>
      </c>
      <c r="D842" s="24">
        <f>VLOOKUP(C842,[1]Course!$A$1:$C$229, 2, FALSE)</f>
        <v>0</v>
      </c>
      <c r="E842" s="24">
        <v>102</v>
      </c>
      <c r="F842" s="24" t="s">
        <v>768</v>
      </c>
      <c r="G842" s="24">
        <v>1</v>
      </c>
      <c r="H842" s="25">
        <v>0.8</v>
      </c>
      <c r="I842" s="24">
        <v>1</v>
      </c>
    </row>
    <row r="843" spans="1:9" ht="15.75" customHeight="1" x14ac:dyDescent="0.2">
      <c r="A843" s="26">
        <v>851</v>
      </c>
      <c r="B843" s="24">
        <v>851</v>
      </c>
      <c r="C843" s="24">
        <v>79</v>
      </c>
      <c r="D843" s="24">
        <f>VLOOKUP(C843,[1]Course!$A$1:$C$229, 2, FALSE)</f>
        <v>0</v>
      </c>
      <c r="E843" s="24">
        <v>103</v>
      </c>
      <c r="F843" s="24" t="s">
        <v>767</v>
      </c>
      <c r="G843" s="24">
        <v>1</v>
      </c>
      <c r="H843" s="25">
        <v>0.8</v>
      </c>
      <c r="I843" s="24">
        <v>1</v>
      </c>
    </row>
    <row r="844" spans="1:9" ht="15.75" customHeight="1" x14ac:dyDescent="0.2">
      <c r="A844" s="26">
        <v>852</v>
      </c>
      <c r="B844" s="24">
        <v>852</v>
      </c>
      <c r="C844" s="24">
        <v>79</v>
      </c>
      <c r="D844" s="24">
        <f>VLOOKUP(C844,[1]Course!$A$1:$C$229, 2, FALSE)</f>
        <v>0</v>
      </c>
      <c r="E844" s="24">
        <v>104</v>
      </c>
      <c r="F844" s="24" t="s">
        <v>766</v>
      </c>
      <c r="G844" s="24">
        <v>1</v>
      </c>
      <c r="H844" s="25">
        <v>0.8</v>
      </c>
      <c r="I844" s="24">
        <v>1</v>
      </c>
    </row>
    <row r="845" spans="1:9" ht="15.75" customHeight="1" x14ac:dyDescent="0.2">
      <c r="A845" s="26">
        <v>853</v>
      </c>
      <c r="B845" s="24">
        <v>853</v>
      </c>
      <c r="C845" s="24">
        <v>79</v>
      </c>
      <c r="D845" s="24">
        <f>VLOOKUP(C845,[1]Course!$A$1:$C$229, 2, FALSE)</f>
        <v>0</v>
      </c>
      <c r="E845" s="24">
        <v>105</v>
      </c>
      <c r="F845" s="24" t="s">
        <v>765</v>
      </c>
      <c r="G845" s="24">
        <v>1</v>
      </c>
      <c r="H845" s="25">
        <v>0.8</v>
      </c>
      <c r="I845" s="24">
        <v>1</v>
      </c>
    </row>
    <row r="846" spans="1:9" ht="15.75" customHeight="1" x14ac:dyDescent="0.2">
      <c r="A846" s="26">
        <v>854</v>
      </c>
      <c r="B846" s="24">
        <v>854</v>
      </c>
      <c r="C846" s="24">
        <v>79</v>
      </c>
      <c r="D846" s="24">
        <f>VLOOKUP(C846,[1]Course!$A$1:$C$229, 2, FALSE)</f>
        <v>0</v>
      </c>
      <c r="E846" s="24">
        <v>106</v>
      </c>
      <c r="F846" s="24" t="s">
        <v>764</v>
      </c>
      <c r="G846" s="24">
        <v>1</v>
      </c>
      <c r="H846" s="25">
        <v>0.8</v>
      </c>
      <c r="I846" s="24">
        <v>1</v>
      </c>
    </row>
    <row r="847" spans="1:9" ht="15.75" customHeight="1" x14ac:dyDescent="0.2">
      <c r="A847" s="26">
        <v>855</v>
      </c>
      <c r="B847" s="24">
        <v>855</v>
      </c>
      <c r="C847" s="24">
        <v>79</v>
      </c>
      <c r="D847" s="24">
        <f>VLOOKUP(C847,[1]Course!$A$1:$C$229, 2, FALSE)</f>
        <v>0</v>
      </c>
      <c r="E847" s="24">
        <v>107</v>
      </c>
      <c r="F847" s="24" t="s">
        <v>763</v>
      </c>
      <c r="G847" s="24">
        <v>1</v>
      </c>
      <c r="H847" s="25">
        <v>0.8</v>
      </c>
      <c r="I847" s="24">
        <v>1</v>
      </c>
    </row>
    <row r="848" spans="1:9" ht="15.75" customHeight="1" x14ac:dyDescent="0.2">
      <c r="A848" s="26">
        <v>856</v>
      </c>
      <c r="B848" s="24">
        <v>856</v>
      </c>
      <c r="C848" s="24">
        <v>79</v>
      </c>
      <c r="D848" s="24">
        <f>VLOOKUP(C848,[1]Course!$A$1:$C$229, 2, FALSE)</f>
        <v>0</v>
      </c>
      <c r="E848" s="24">
        <v>108</v>
      </c>
      <c r="F848" s="24" t="s">
        <v>762</v>
      </c>
      <c r="G848" s="24">
        <v>1</v>
      </c>
      <c r="H848" s="25">
        <v>0.8</v>
      </c>
      <c r="I848" s="24">
        <v>1</v>
      </c>
    </row>
    <row r="849" spans="1:10" ht="15.75" customHeight="1" x14ac:dyDescent="0.2">
      <c r="A849" s="26">
        <v>857</v>
      </c>
      <c r="B849" s="24">
        <v>857</v>
      </c>
      <c r="C849" s="24">
        <v>80</v>
      </c>
      <c r="D849" s="24">
        <f>VLOOKUP(C849,[1]Course!$A$1:$C$229, 2, FALSE)</f>
        <v>0</v>
      </c>
      <c r="E849" s="24">
        <v>97</v>
      </c>
      <c r="F849" s="24" t="s">
        <v>761</v>
      </c>
      <c r="G849" s="24">
        <v>1</v>
      </c>
      <c r="H849" s="25">
        <v>0.8</v>
      </c>
      <c r="I849" s="24">
        <v>1</v>
      </c>
    </row>
    <row r="850" spans="1:10" ht="15.75" customHeight="1" x14ac:dyDescent="0.2">
      <c r="A850" s="26">
        <v>858</v>
      </c>
      <c r="B850" s="24">
        <v>858</v>
      </c>
      <c r="C850" s="24">
        <v>80</v>
      </c>
      <c r="D850" s="24">
        <f>VLOOKUP(C850,[1]Course!$A$1:$C$229, 2, FALSE)</f>
        <v>0</v>
      </c>
      <c r="E850" s="24">
        <v>98</v>
      </c>
      <c r="F850" s="24" t="s">
        <v>760</v>
      </c>
      <c r="G850" s="24">
        <v>1</v>
      </c>
      <c r="H850" s="25">
        <v>0.8</v>
      </c>
      <c r="I850" s="24">
        <v>1</v>
      </c>
    </row>
    <row r="851" spans="1:10" ht="15.75" customHeight="1" x14ac:dyDescent="0.2">
      <c r="A851" s="26">
        <v>859</v>
      </c>
      <c r="B851" s="24">
        <v>859</v>
      </c>
      <c r="C851" s="24">
        <v>80</v>
      </c>
      <c r="D851" s="24">
        <f>VLOOKUP(C851,[1]Course!$A$1:$C$229, 2, FALSE)</f>
        <v>0</v>
      </c>
      <c r="E851" s="24">
        <v>99</v>
      </c>
      <c r="F851" s="24" t="s">
        <v>759</v>
      </c>
      <c r="G851" s="24">
        <v>1</v>
      </c>
      <c r="H851" s="25">
        <v>0.8</v>
      </c>
      <c r="I851" s="24">
        <v>1</v>
      </c>
    </row>
    <row r="852" spans="1:10" ht="15.75" customHeight="1" x14ac:dyDescent="0.2">
      <c r="A852" s="26">
        <v>860</v>
      </c>
      <c r="B852" s="24">
        <v>860</v>
      </c>
      <c r="C852" s="24">
        <v>80</v>
      </c>
      <c r="D852" s="24">
        <f>VLOOKUP(C852,[1]Course!$A$1:$C$229, 2, FALSE)</f>
        <v>0</v>
      </c>
      <c r="E852" s="24">
        <v>100</v>
      </c>
      <c r="F852" s="24" t="s">
        <v>758</v>
      </c>
      <c r="G852" s="24">
        <v>1</v>
      </c>
      <c r="H852" s="25">
        <v>0.8</v>
      </c>
      <c r="I852" s="24">
        <v>1</v>
      </c>
    </row>
    <row r="853" spans="1:10" ht="15.75" customHeight="1" x14ac:dyDescent="0.2">
      <c r="A853" s="26">
        <v>861</v>
      </c>
      <c r="B853" s="24">
        <v>861</v>
      </c>
      <c r="C853" s="24">
        <v>80</v>
      </c>
      <c r="D853" s="24">
        <f>VLOOKUP(C853,[1]Course!$A$1:$C$229, 2, FALSE)</f>
        <v>0</v>
      </c>
      <c r="E853" s="24">
        <v>101</v>
      </c>
      <c r="F853" s="24" t="s">
        <v>757</v>
      </c>
      <c r="G853" s="24">
        <v>1</v>
      </c>
      <c r="H853" s="25">
        <v>0.8</v>
      </c>
      <c r="I853" s="24">
        <v>1</v>
      </c>
    </row>
    <row r="854" spans="1:10" ht="15.75" customHeight="1" x14ac:dyDescent="0.2">
      <c r="A854" s="26">
        <v>862</v>
      </c>
      <c r="B854" s="24">
        <v>862</v>
      </c>
      <c r="C854" s="24">
        <v>80</v>
      </c>
      <c r="D854" s="24">
        <f>VLOOKUP(C854,[1]Course!$A$1:$C$229, 2, FALSE)</f>
        <v>0</v>
      </c>
      <c r="E854" s="24">
        <v>102</v>
      </c>
      <c r="F854" s="24" t="s">
        <v>756</v>
      </c>
      <c r="G854" s="24">
        <v>1</v>
      </c>
      <c r="H854" s="25">
        <v>0.8</v>
      </c>
      <c r="I854" s="24">
        <v>1</v>
      </c>
    </row>
    <row r="855" spans="1:10" ht="15.75" customHeight="1" x14ac:dyDescent="0.2">
      <c r="A855" s="26">
        <v>863</v>
      </c>
      <c r="B855" s="24">
        <v>863</v>
      </c>
      <c r="C855" s="24">
        <v>80</v>
      </c>
      <c r="D855" s="24">
        <f>VLOOKUP(C855,[1]Course!$A$1:$C$229, 2, FALSE)</f>
        <v>0</v>
      </c>
      <c r="E855" s="24">
        <v>103</v>
      </c>
      <c r="F855" s="24" t="s">
        <v>755</v>
      </c>
      <c r="G855" s="24">
        <v>1</v>
      </c>
      <c r="H855" s="25">
        <v>0.8</v>
      </c>
      <c r="I855" s="24">
        <v>1</v>
      </c>
    </row>
    <row r="856" spans="1:10" ht="15.75" customHeight="1" x14ac:dyDescent="0.2">
      <c r="A856" s="26">
        <v>864</v>
      </c>
      <c r="B856" s="24">
        <v>864</v>
      </c>
      <c r="C856" s="24">
        <v>80</v>
      </c>
      <c r="D856" s="24">
        <f>VLOOKUP(C856,[1]Course!$A$1:$C$229, 2, FALSE)</f>
        <v>0</v>
      </c>
      <c r="E856" s="24">
        <v>104</v>
      </c>
      <c r="F856" s="24" t="s">
        <v>754</v>
      </c>
      <c r="G856" s="24">
        <v>1</v>
      </c>
      <c r="H856" s="25">
        <v>0.8</v>
      </c>
      <c r="I856" s="24">
        <v>1</v>
      </c>
    </row>
    <row r="857" spans="1:10" ht="15.75" customHeight="1" x14ac:dyDescent="0.2">
      <c r="A857" s="26">
        <v>865</v>
      </c>
      <c r="B857" s="24">
        <v>865</v>
      </c>
      <c r="C857" s="24">
        <v>80</v>
      </c>
      <c r="D857" s="24">
        <f>VLOOKUP(C857,[1]Course!$A$1:$C$229, 2, FALSE)</f>
        <v>0</v>
      </c>
      <c r="E857" s="24">
        <v>105</v>
      </c>
      <c r="F857" s="24" t="s">
        <v>753</v>
      </c>
      <c r="G857" s="24">
        <v>1</v>
      </c>
      <c r="H857" s="25">
        <v>0.8</v>
      </c>
      <c r="I857" s="24">
        <v>1</v>
      </c>
    </row>
    <row r="858" spans="1:10" ht="15.75" customHeight="1" x14ac:dyDescent="0.2">
      <c r="A858" s="26">
        <v>866</v>
      </c>
      <c r="B858" s="24">
        <v>866</v>
      </c>
      <c r="C858" s="24">
        <v>80</v>
      </c>
      <c r="D858" s="24">
        <f>VLOOKUP(C858,[1]Course!$A$1:$C$229, 2, FALSE)</f>
        <v>0</v>
      </c>
      <c r="E858" s="24">
        <v>106</v>
      </c>
      <c r="F858" s="24" t="s">
        <v>752</v>
      </c>
      <c r="G858" s="24">
        <v>1</v>
      </c>
      <c r="H858" s="25">
        <v>0.8</v>
      </c>
      <c r="I858" s="24">
        <v>1</v>
      </c>
    </row>
    <row r="859" spans="1:10" ht="15.75" customHeight="1" x14ac:dyDescent="0.2">
      <c r="A859" s="26">
        <v>867</v>
      </c>
      <c r="B859" s="24">
        <v>867</v>
      </c>
      <c r="C859" s="24">
        <v>80</v>
      </c>
      <c r="D859" s="24">
        <f>VLOOKUP(C859,[1]Course!$A$1:$C$229, 2, FALSE)</f>
        <v>0</v>
      </c>
      <c r="E859" s="24">
        <v>107</v>
      </c>
      <c r="F859" s="24" t="s">
        <v>751</v>
      </c>
      <c r="G859" s="24">
        <v>1</v>
      </c>
      <c r="H859" s="25">
        <v>0.8</v>
      </c>
      <c r="I859" s="24">
        <v>1</v>
      </c>
    </row>
    <row r="860" spans="1:10" ht="15.75" customHeight="1" x14ac:dyDescent="0.2">
      <c r="A860" s="26">
        <v>868</v>
      </c>
      <c r="B860" s="24">
        <v>868</v>
      </c>
      <c r="C860" s="24">
        <v>80</v>
      </c>
      <c r="D860" s="24">
        <f>VLOOKUP(C860,[1]Course!$A$1:$C$229, 2, FALSE)</f>
        <v>0</v>
      </c>
      <c r="E860" s="24">
        <v>108</v>
      </c>
      <c r="F860" s="24" t="s">
        <v>750</v>
      </c>
      <c r="G860" s="24">
        <v>1</v>
      </c>
      <c r="H860" s="25">
        <v>0.8</v>
      </c>
      <c r="I860" s="24">
        <v>1</v>
      </c>
    </row>
    <row r="861" spans="1:10" ht="15.75" customHeight="1" x14ac:dyDescent="0.2">
      <c r="A861" s="26">
        <v>869</v>
      </c>
      <c r="B861" s="24">
        <v>869</v>
      </c>
      <c r="C861" s="27">
        <v>81</v>
      </c>
      <c r="D861" s="27">
        <f>VLOOKUP(C861,[1]Course!$A$1:$C$229, 2, FALSE)</f>
        <v>0</v>
      </c>
      <c r="E861" s="27">
        <v>1</v>
      </c>
      <c r="F861" s="27" t="s">
        <v>749</v>
      </c>
      <c r="G861" s="28">
        <v>0.25</v>
      </c>
      <c r="H861" s="25">
        <v>0.8</v>
      </c>
      <c r="I861" s="24">
        <v>1</v>
      </c>
      <c r="J861" s="24" t="s">
        <v>748</v>
      </c>
    </row>
    <row r="862" spans="1:10" ht="15.75" customHeight="1" x14ac:dyDescent="0.2">
      <c r="A862" s="26">
        <v>870</v>
      </c>
      <c r="B862" s="24">
        <v>870</v>
      </c>
      <c r="C862" s="27">
        <v>81</v>
      </c>
      <c r="D862" s="27">
        <f>VLOOKUP(C862,[1]Course!$A$1:$C$229, 2, FALSE)</f>
        <v>0</v>
      </c>
      <c r="E862" s="27">
        <v>2</v>
      </c>
      <c r="F862" s="27" t="s">
        <v>747</v>
      </c>
      <c r="G862" s="28">
        <v>0.25</v>
      </c>
      <c r="H862" s="25">
        <v>0.8</v>
      </c>
      <c r="I862" s="24">
        <v>1</v>
      </c>
    </row>
    <row r="863" spans="1:10" ht="15.75" customHeight="1" x14ac:dyDescent="0.2">
      <c r="A863" s="26">
        <v>871</v>
      </c>
      <c r="B863" s="24">
        <v>871</v>
      </c>
      <c r="C863" s="24">
        <v>81</v>
      </c>
      <c r="D863" s="24">
        <f>VLOOKUP(C863,[1]Course!$A$1:$C$229, 2, FALSE)</f>
        <v>0</v>
      </c>
      <c r="E863" s="24">
        <v>97</v>
      </c>
      <c r="F863" s="24" t="s">
        <v>746</v>
      </c>
      <c r="G863" s="28">
        <f t="shared" ref="G863:G868" si="6">0.5/6</f>
        <v>8.3333333333333329E-2</v>
      </c>
      <c r="H863" s="25">
        <v>0.8</v>
      </c>
      <c r="I863" s="24">
        <v>1</v>
      </c>
    </row>
    <row r="864" spans="1:10" ht="15.75" customHeight="1" x14ac:dyDescent="0.2">
      <c r="A864" s="26">
        <v>872</v>
      </c>
      <c r="B864" s="24">
        <v>872</v>
      </c>
      <c r="C864" s="24">
        <v>81</v>
      </c>
      <c r="D864" s="24">
        <f>VLOOKUP(C864,[1]Course!$A$1:$C$229, 2, FALSE)</f>
        <v>0</v>
      </c>
      <c r="E864" s="24">
        <v>98</v>
      </c>
      <c r="F864" s="24" t="s">
        <v>745</v>
      </c>
      <c r="G864" s="28">
        <f t="shared" si="6"/>
        <v>8.3333333333333329E-2</v>
      </c>
      <c r="H864" s="25">
        <v>0.8</v>
      </c>
      <c r="I864" s="24">
        <v>1</v>
      </c>
    </row>
    <row r="865" spans="1:9" ht="15.75" customHeight="1" x14ac:dyDescent="0.2">
      <c r="A865" s="26">
        <v>873</v>
      </c>
      <c r="B865" s="24">
        <v>873</v>
      </c>
      <c r="C865" s="24">
        <v>81</v>
      </c>
      <c r="D865" s="24">
        <f>VLOOKUP(C865,[1]Course!$A$1:$C$229, 2, FALSE)</f>
        <v>0</v>
      </c>
      <c r="E865" s="24">
        <v>99</v>
      </c>
      <c r="F865" s="24" t="s">
        <v>744</v>
      </c>
      <c r="G865" s="28">
        <f t="shared" si="6"/>
        <v>8.3333333333333329E-2</v>
      </c>
      <c r="H865" s="25">
        <v>0.8</v>
      </c>
      <c r="I865" s="24">
        <v>1</v>
      </c>
    </row>
    <row r="866" spans="1:9" ht="15.75" customHeight="1" x14ac:dyDescent="0.2">
      <c r="A866" s="26">
        <v>874</v>
      </c>
      <c r="B866" s="24">
        <v>874</v>
      </c>
      <c r="C866" s="24">
        <v>81</v>
      </c>
      <c r="D866" s="24">
        <f>VLOOKUP(C866,[1]Course!$A$1:$C$229, 2, FALSE)</f>
        <v>0</v>
      </c>
      <c r="E866" s="24">
        <v>100</v>
      </c>
      <c r="F866" s="24" t="s">
        <v>743</v>
      </c>
      <c r="G866" s="28">
        <f t="shared" si="6"/>
        <v>8.3333333333333329E-2</v>
      </c>
      <c r="H866" s="25">
        <v>0.8</v>
      </c>
      <c r="I866" s="24">
        <v>1</v>
      </c>
    </row>
    <row r="867" spans="1:9" ht="15.75" customHeight="1" x14ac:dyDescent="0.2">
      <c r="A867" s="26">
        <v>875</v>
      </c>
      <c r="B867" s="24">
        <v>875</v>
      </c>
      <c r="C867" s="24">
        <v>81</v>
      </c>
      <c r="D867" s="24">
        <f>VLOOKUP(C867,[1]Course!$A$1:$C$229, 2, FALSE)</f>
        <v>0</v>
      </c>
      <c r="E867" s="24">
        <v>101</v>
      </c>
      <c r="F867" s="24" t="s">
        <v>742</v>
      </c>
      <c r="G867" s="28">
        <f t="shared" si="6"/>
        <v>8.3333333333333329E-2</v>
      </c>
      <c r="H867" s="25">
        <v>0.8</v>
      </c>
      <c r="I867" s="24">
        <v>1</v>
      </c>
    </row>
    <row r="868" spans="1:9" ht="15.75" customHeight="1" x14ac:dyDescent="0.2">
      <c r="A868" s="26">
        <v>876</v>
      </c>
      <c r="B868" s="24">
        <v>876</v>
      </c>
      <c r="C868" s="24">
        <v>81</v>
      </c>
      <c r="D868" s="24">
        <f>VLOOKUP(C868,[1]Course!$A$1:$C$229, 2, FALSE)</f>
        <v>0</v>
      </c>
      <c r="E868" s="24">
        <v>102</v>
      </c>
      <c r="F868" s="24" t="s">
        <v>741</v>
      </c>
      <c r="G868" s="28">
        <f t="shared" si="6"/>
        <v>8.3333333333333329E-2</v>
      </c>
      <c r="H868" s="25">
        <v>0.8</v>
      </c>
      <c r="I868" s="24">
        <v>1</v>
      </c>
    </row>
    <row r="869" spans="1:9" ht="15.75" customHeight="1" x14ac:dyDescent="0.2">
      <c r="A869" s="26">
        <v>877</v>
      </c>
      <c r="B869" s="24">
        <v>877</v>
      </c>
      <c r="C869" s="24">
        <v>82</v>
      </c>
      <c r="D869" s="24">
        <f>VLOOKUP(C869,[1]Course!$A$1:$C$229, 2, FALSE)</f>
        <v>0</v>
      </c>
      <c r="E869" s="24">
        <v>1</v>
      </c>
      <c r="F869" s="24" t="s">
        <v>740</v>
      </c>
      <c r="G869" s="24">
        <v>1</v>
      </c>
      <c r="H869" s="25">
        <v>0.8</v>
      </c>
      <c r="I869" s="24">
        <v>1</v>
      </c>
    </row>
    <row r="870" spans="1:9" ht="15.75" customHeight="1" x14ac:dyDescent="0.2">
      <c r="A870" s="26">
        <v>878</v>
      </c>
      <c r="B870" s="24">
        <v>878</v>
      </c>
      <c r="C870" s="24">
        <v>82</v>
      </c>
      <c r="D870" s="24">
        <f>VLOOKUP(C870,[1]Course!$A$1:$C$229, 2, FALSE)</f>
        <v>0</v>
      </c>
      <c r="E870" s="24">
        <v>2</v>
      </c>
      <c r="F870" s="24" t="s">
        <v>739</v>
      </c>
      <c r="G870" s="24">
        <v>1</v>
      </c>
      <c r="H870" s="25">
        <v>0.8</v>
      </c>
      <c r="I870" s="24">
        <v>1</v>
      </c>
    </row>
    <row r="871" spans="1:9" ht="15.75" customHeight="1" x14ac:dyDescent="0.2">
      <c r="A871" s="26">
        <v>879</v>
      </c>
      <c r="B871" s="24">
        <v>879</v>
      </c>
      <c r="C871" s="24">
        <v>82</v>
      </c>
      <c r="D871" s="24">
        <f>VLOOKUP(C871,[1]Course!$A$1:$C$229, 2, FALSE)</f>
        <v>0</v>
      </c>
      <c r="E871" s="24">
        <v>3</v>
      </c>
      <c r="F871" s="24" t="s">
        <v>738</v>
      </c>
      <c r="G871" s="24">
        <v>1</v>
      </c>
      <c r="H871" s="25">
        <v>0.8</v>
      </c>
      <c r="I871" s="24">
        <v>1</v>
      </c>
    </row>
    <row r="872" spans="1:9" ht="15.75" customHeight="1" x14ac:dyDescent="0.2">
      <c r="A872" s="26">
        <v>880</v>
      </c>
      <c r="B872" s="24">
        <v>880</v>
      </c>
      <c r="C872" s="24">
        <v>82</v>
      </c>
      <c r="D872" s="24">
        <f>VLOOKUP(C872,[1]Course!$A$1:$C$229, 2, FALSE)</f>
        <v>0</v>
      </c>
      <c r="E872" s="24">
        <v>4</v>
      </c>
      <c r="F872" s="24" t="s">
        <v>737</v>
      </c>
      <c r="G872" s="24">
        <v>1</v>
      </c>
      <c r="H872" s="25">
        <v>0.8</v>
      </c>
      <c r="I872" s="24">
        <v>1</v>
      </c>
    </row>
    <row r="873" spans="1:9" ht="15.75" customHeight="1" x14ac:dyDescent="0.2">
      <c r="A873" s="26">
        <v>881</v>
      </c>
      <c r="B873" s="24">
        <v>881</v>
      </c>
      <c r="C873" s="24">
        <v>82</v>
      </c>
      <c r="D873" s="24">
        <f>VLOOKUP(C873,[1]Course!$A$1:$C$229, 2, FALSE)</f>
        <v>0</v>
      </c>
      <c r="E873" s="24">
        <v>5</v>
      </c>
      <c r="F873" s="24" t="s">
        <v>736</v>
      </c>
      <c r="G873" s="24">
        <v>1</v>
      </c>
      <c r="H873" s="25">
        <v>0.8</v>
      </c>
      <c r="I873" s="24">
        <v>1</v>
      </c>
    </row>
    <row r="874" spans="1:9" ht="15.75" customHeight="1" x14ac:dyDescent="0.2">
      <c r="A874" s="26">
        <v>882</v>
      </c>
      <c r="B874" s="24">
        <v>882</v>
      </c>
      <c r="C874" s="24">
        <v>82</v>
      </c>
      <c r="D874" s="24">
        <f>VLOOKUP(C874,[1]Course!$A$1:$C$229, 2, FALSE)</f>
        <v>0</v>
      </c>
      <c r="E874" s="24">
        <v>6</v>
      </c>
      <c r="F874" s="24" t="s">
        <v>735</v>
      </c>
      <c r="G874" s="24">
        <v>1</v>
      </c>
      <c r="H874" s="25">
        <v>0.8</v>
      </c>
      <c r="I874" s="24">
        <v>1</v>
      </c>
    </row>
    <row r="875" spans="1:9" ht="15.75" customHeight="1" x14ac:dyDescent="0.2">
      <c r="A875" s="26">
        <v>883</v>
      </c>
      <c r="B875" s="24">
        <v>883</v>
      </c>
      <c r="C875" s="24">
        <v>83</v>
      </c>
      <c r="D875" s="24" t="str">
        <f>VLOOKUP(C875,[1]Course!$A$1:$C$229, 2, FALSE)</f>
        <v>Successful Living</v>
      </c>
      <c r="E875" s="24">
        <v>1</v>
      </c>
      <c r="F875" s="24" t="s">
        <v>734</v>
      </c>
      <c r="G875" s="24">
        <v>1</v>
      </c>
      <c r="H875" s="25">
        <v>0.8</v>
      </c>
      <c r="I875" s="24">
        <v>1</v>
      </c>
    </row>
    <row r="876" spans="1:9" ht="15.75" customHeight="1" x14ac:dyDescent="0.2">
      <c r="A876" s="26">
        <v>884</v>
      </c>
      <c r="B876" s="24">
        <v>884</v>
      </c>
      <c r="C876" s="24">
        <v>83</v>
      </c>
      <c r="D876" s="24" t="str">
        <f>VLOOKUP(C876,[1]Course!$A$1:$C$229, 2, FALSE)</f>
        <v>Successful Living</v>
      </c>
      <c r="E876" s="24">
        <v>2</v>
      </c>
      <c r="F876" s="24" t="s">
        <v>733</v>
      </c>
      <c r="G876" s="24">
        <v>1</v>
      </c>
      <c r="H876" s="25">
        <v>0.8</v>
      </c>
      <c r="I876" s="24">
        <v>1</v>
      </c>
    </row>
    <row r="877" spans="1:9" ht="15.75" customHeight="1" x14ac:dyDescent="0.2">
      <c r="A877" s="26">
        <v>885</v>
      </c>
      <c r="B877" s="24">
        <v>885</v>
      </c>
      <c r="C877" s="24">
        <v>83</v>
      </c>
      <c r="D877" s="24" t="str">
        <f>VLOOKUP(C877,[1]Course!$A$1:$C$229, 2, FALSE)</f>
        <v>Successful Living</v>
      </c>
      <c r="E877" s="24">
        <v>3</v>
      </c>
      <c r="F877" s="24" t="s">
        <v>732</v>
      </c>
      <c r="G877" s="24">
        <v>1</v>
      </c>
      <c r="H877" s="25">
        <v>0.8</v>
      </c>
      <c r="I877" s="24">
        <v>1</v>
      </c>
    </row>
    <row r="878" spans="1:9" ht="15.75" customHeight="1" x14ac:dyDescent="0.2">
      <c r="A878" s="26">
        <v>886</v>
      </c>
      <c r="B878" s="24">
        <v>886</v>
      </c>
      <c r="C878" s="24">
        <v>83</v>
      </c>
      <c r="D878" s="24" t="str">
        <f>VLOOKUP(C878,[1]Course!$A$1:$C$229, 2, FALSE)</f>
        <v>Successful Living</v>
      </c>
      <c r="E878" s="24">
        <v>4</v>
      </c>
      <c r="F878" s="24" t="s">
        <v>731</v>
      </c>
      <c r="G878" s="24">
        <v>1</v>
      </c>
      <c r="H878" s="25">
        <v>0.8</v>
      </c>
      <c r="I878" s="24">
        <v>1</v>
      </c>
    </row>
    <row r="879" spans="1:9" ht="15.75" customHeight="1" x14ac:dyDescent="0.2">
      <c r="A879" s="26">
        <v>887</v>
      </c>
      <c r="B879" s="24">
        <v>887</v>
      </c>
      <c r="C879" s="24">
        <v>83</v>
      </c>
      <c r="D879" s="24" t="str">
        <f>VLOOKUP(C879,[1]Course!$A$1:$C$229, 2, FALSE)</f>
        <v>Successful Living</v>
      </c>
      <c r="E879" s="24">
        <v>5</v>
      </c>
      <c r="F879" s="24" t="s">
        <v>730</v>
      </c>
      <c r="G879" s="24">
        <v>1</v>
      </c>
      <c r="H879" s="25">
        <v>0.8</v>
      </c>
      <c r="I879" s="24">
        <v>1</v>
      </c>
    </row>
    <row r="880" spans="1:9" ht="15.75" customHeight="1" x14ac:dyDescent="0.2">
      <c r="A880" s="26">
        <v>888</v>
      </c>
      <c r="B880" s="24">
        <v>888</v>
      </c>
      <c r="C880" s="24">
        <v>83</v>
      </c>
      <c r="D880" s="24" t="str">
        <f>VLOOKUP(C880,[1]Course!$A$1:$C$229, 2, FALSE)</f>
        <v>Successful Living</v>
      </c>
      <c r="E880" s="24">
        <v>6</v>
      </c>
      <c r="F880" s="24" t="s">
        <v>729</v>
      </c>
      <c r="G880" s="24">
        <v>1</v>
      </c>
      <c r="H880" s="25">
        <v>0.8</v>
      </c>
      <c r="I880" s="24">
        <v>1</v>
      </c>
    </row>
    <row r="881" spans="1:9" ht="15.75" customHeight="1" x14ac:dyDescent="0.2">
      <c r="A881" s="26">
        <v>889</v>
      </c>
      <c r="B881" s="24">
        <v>889</v>
      </c>
      <c r="C881" s="24">
        <v>83</v>
      </c>
      <c r="D881" s="24" t="str">
        <f>VLOOKUP(C881,[1]Course!$A$1:$C$229, 2, FALSE)</f>
        <v>Successful Living</v>
      </c>
      <c r="E881" s="24">
        <v>7</v>
      </c>
      <c r="F881" s="24" t="s">
        <v>728</v>
      </c>
      <c r="G881" s="24">
        <v>1</v>
      </c>
      <c r="H881" s="25">
        <v>0.8</v>
      </c>
      <c r="I881" s="24">
        <v>1</v>
      </c>
    </row>
    <row r="882" spans="1:9" ht="15.75" customHeight="1" x14ac:dyDescent="0.2">
      <c r="A882" s="26">
        <v>890</v>
      </c>
      <c r="B882" s="24">
        <v>890</v>
      </c>
      <c r="C882" s="24">
        <v>83</v>
      </c>
      <c r="D882" s="24" t="str">
        <f>VLOOKUP(C882,[1]Course!$A$1:$C$229, 2, FALSE)</f>
        <v>Successful Living</v>
      </c>
      <c r="E882" s="24">
        <v>8</v>
      </c>
      <c r="F882" s="24" t="s">
        <v>727</v>
      </c>
      <c r="G882" s="24">
        <v>1</v>
      </c>
      <c r="H882" s="25">
        <v>0.8</v>
      </c>
      <c r="I882" s="24">
        <v>1</v>
      </c>
    </row>
    <row r="883" spans="1:9" ht="15.75" customHeight="1" x14ac:dyDescent="0.2">
      <c r="A883" s="26">
        <v>891</v>
      </c>
      <c r="B883" s="24">
        <v>891</v>
      </c>
      <c r="C883" s="24">
        <v>83</v>
      </c>
      <c r="D883" s="24" t="str">
        <f>VLOOKUP(C883,[1]Course!$A$1:$C$229, 2, FALSE)</f>
        <v>Successful Living</v>
      </c>
      <c r="E883" s="24">
        <v>9</v>
      </c>
      <c r="F883" s="24" t="s">
        <v>726</v>
      </c>
      <c r="G883" s="24">
        <v>1</v>
      </c>
      <c r="H883" s="25">
        <v>0.8</v>
      </c>
      <c r="I883" s="24">
        <v>1</v>
      </c>
    </row>
    <row r="884" spans="1:9" ht="15.75" customHeight="1" x14ac:dyDescent="0.2">
      <c r="A884" s="26">
        <v>892</v>
      </c>
      <c r="B884" s="24">
        <v>892</v>
      </c>
      <c r="C884" s="24">
        <v>83</v>
      </c>
      <c r="D884" s="24" t="str">
        <f>VLOOKUP(C884,[1]Course!$A$1:$C$229, 2, FALSE)</f>
        <v>Successful Living</v>
      </c>
      <c r="E884" s="24">
        <v>10</v>
      </c>
      <c r="F884" s="24" t="s">
        <v>725</v>
      </c>
      <c r="G884" s="24">
        <v>1</v>
      </c>
      <c r="H884" s="25">
        <v>0.8</v>
      </c>
      <c r="I884" s="24">
        <v>1</v>
      </c>
    </row>
    <row r="885" spans="1:9" ht="15.75" customHeight="1" x14ac:dyDescent="0.2">
      <c r="A885" s="26">
        <v>893</v>
      </c>
      <c r="B885" s="24">
        <v>893</v>
      </c>
      <c r="C885" s="24">
        <v>83</v>
      </c>
      <c r="D885" s="24" t="str">
        <f>VLOOKUP(C885,[1]Course!$A$1:$C$229, 2, FALSE)</f>
        <v>Successful Living</v>
      </c>
      <c r="E885" s="24">
        <v>11</v>
      </c>
      <c r="F885" s="24" t="s">
        <v>724</v>
      </c>
      <c r="G885" s="24">
        <v>1</v>
      </c>
      <c r="H885" s="25">
        <v>0.8</v>
      </c>
      <c r="I885" s="24">
        <v>1</v>
      </c>
    </row>
    <row r="886" spans="1:9" ht="15.75" customHeight="1" x14ac:dyDescent="0.2">
      <c r="A886" s="26">
        <v>894</v>
      </c>
      <c r="B886" s="24">
        <v>894</v>
      </c>
      <c r="C886" s="24">
        <v>83</v>
      </c>
      <c r="D886" s="24" t="str">
        <f>VLOOKUP(C886,[1]Course!$A$1:$C$229, 2, FALSE)</f>
        <v>Successful Living</v>
      </c>
      <c r="E886" s="24">
        <v>12</v>
      </c>
      <c r="F886" s="24" t="s">
        <v>723</v>
      </c>
      <c r="G886" s="24">
        <v>1</v>
      </c>
      <c r="H886" s="25">
        <v>0.8</v>
      </c>
      <c r="I886" s="24">
        <v>1</v>
      </c>
    </row>
    <row r="887" spans="1:9" ht="15.75" customHeight="1" x14ac:dyDescent="0.2">
      <c r="A887" s="26">
        <v>895</v>
      </c>
      <c r="B887" s="24">
        <v>895</v>
      </c>
      <c r="C887" s="24">
        <v>85</v>
      </c>
      <c r="D887" s="24">
        <f>VLOOKUP(C887,[1]Course!$A$1:$C$229, 2, FALSE)</f>
        <v>0</v>
      </c>
      <c r="E887" s="24">
        <v>1</v>
      </c>
      <c r="F887" s="24" t="s">
        <v>722</v>
      </c>
      <c r="G887" s="24">
        <v>1</v>
      </c>
      <c r="H887" s="25">
        <v>0.8</v>
      </c>
      <c r="I887" s="24">
        <v>1</v>
      </c>
    </row>
    <row r="888" spans="1:9" ht="15.75" customHeight="1" x14ac:dyDescent="0.2">
      <c r="A888" s="26">
        <v>896</v>
      </c>
      <c r="B888" s="24">
        <v>896</v>
      </c>
      <c r="C888" s="24">
        <v>85</v>
      </c>
      <c r="D888" s="24">
        <f>VLOOKUP(C888,[1]Course!$A$1:$C$229, 2, FALSE)</f>
        <v>0</v>
      </c>
      <c r="E888" s="24">
        <v>2</v>
      </c>
      <c r="F888" s="24" t="s">
        <v>721</v>
      </c>
      <c r="G888" s="24">
        <v>1</v>
      </c>
      <c r="H888" s="25">
        <v>0.8</v>
      </c>
      <c r="I888" s="24">
        <v>1</v>
      </c>
    </row>
    <row r="889" spans="1:9" ht="15.75" customHeight="1" x14ac:dyDescent="0.2">
      <c r="A889" s="26">
        <v>897</v>
      </c>
      <c r="B889" s="24">
        <v>897</v>
      </c>
      <c r="C889" s="24">
        <v>85</v>
      </c>
      <c r="D889" s="24">
        <f>VLOOKUP(C889,[1]Course!$A$1:$C$229, 2, FALSE)</f>
        <v>0</v>
      </c>
      <c r="E889" s="24">
        <v>3</v>
      </c>
      <c r="F889" s="24" t="s">
        <v>720</v>
      </c>
      <c r="G889" s="24">
        <v>1</v>
      </c>
      <c r="H889" s="25">
        <v>0.8</v>
      </c>
      <c r="I889" s="24">
        <v>1</v>
      </c>
    </row>
    <row r="890" spans="1:9" ht="15.75" customHeight="1" x14ac:dyDescent="0.2">
      <c r="A890" s="26">
        <v>898</v>
      </c>
      <c r="B890" s="24">
        <v>898</v>
      </c>
      <c r="C890" s="24">
        <v>85</v>
      </c>
      <c r="D890" s="24">
        <f>VLOOKUP(C890,[1]Course!$A$1:$C$229, 2, FALSE)</f>
        <v>0</v>
      </c>
      <c r="E890" s="24">
        <v>4</v>
      </c>
      <c r="F890" s="24" t="s">
        <v>719</v>
      </c>
      <c r="G890" s="24">
        <v>1</v>
      </c>
      <c r="H890" s="25">
        <v>0.8</v>
      </c>
      <c r="I890" s="24">
        <v>1</v>
      </c>
    </row>
    <row r="891" spans="1:9" ht="15.75" customHeight="1" x14ac:dyDescent="0.2">
      <c r="A891" s="26">
        <v>899</v>
      </c>
      <c r="B891" s="24">
        <v>899</v>
      </c>
      <c r="C891" s="24">
        <v>85</v>
      </c>
      <c r="D891" s="24">
        <f>VLOOKUP(C891,[1]Course!$A$1:$C$229, 2, FALSE)</f>
        <v>0</v>
      </c>
      <c r="E891" s="24">
        <v>5</v>
      </c>
      <c r="F891" s="24" t="s">
        <v>718</v>
      </c>
      <c r="G891" s="24">
        <v>1</v>
      </c>
      <c r="H891" s="25">
        <v>0.8</v>
      </c>
      <c r="I891" s="24">
        <v>1</v>
      </c>
    </row>
    <row r="892" spans="1:9" ht="15.75" customHeight="1" x14ac:dyDescent="0.2">
      <c r="A892" s="26">
        <v>900</v>
      </c>
      <c r="B892" s="24">
        <v>900</v>
      </c>
      <c r="C892" s="24">
        <v>85</v>
      </c>
      <c r="D892" s="24">
        <f>VLOOKUP(C892,[1]Course!$A$1:$C$229, 2, FALSE)</f>
        <v>0</v>
      </c>
      <c r="E892" s="24">
        <v>6</v>
      </c>
      <c r="F892" s="24" t="s">
        <v>717</v>
      </c>
      <c r="G892" s="24">
        <v>1</v>
      </c>
      <c r="H892" s="25">
        <v>0.8</v>
      </c>
      <c r="I892" s="24">
        <v>1</v>
      </c>
    </row>
    <row r="893" spans="1:9" ht="15.75" customHeight="1" x14ac:dyDescent="0.2">
      <c r="A893" s="26">
        <v>901</v>
      </c>
      <c r="B893" s="24">
        <v>901</v>
      </c>
      <c r="C893" s="24">
        <v>85</v>
      </c>
      <c r="D893" s="24">
        <f>VLOOKUP(C893,[1]Course!$A$1:$C$229, 2, FALSE)</f>
        <v>0</v>
      </c>
      <c r="E893" s="24">
        <v>7</v>
      </c>
      <c r="F893" s="24" t="s">
        <v>716</v>
      </c>
      <c r="G893" s="24">
        <v>1</v>
      </c>
      <c r="H893" s="25">
        <v>0.8</v>
      </c>
      <c r="I893" s="24">
        <v>1</v>
      </c>
    </row>
    <row r="894" spans="1:9" ht="15.75" customHeight="1" x14ac:dyDescent="0.2">
      <c r="A894" s="26">
        <v>902</v>
      </c>
      <c r="B894" s="24">
        <v>902</v>
      </c>
      <c r="C894" s="24">
        <v>85</v>
      </c>
      <c r="D894" s="24">
        <f>VLOOKUP(C894,[1]Course!$A$1:$C$229, 2, FALSE)</f>
        <v>0</v>
      </c>
      <c r="E894" s="24">
        <v>8</v>
      </c>
      <c r="F894" s="24" t="s">
        <v>715</v>
      </c>
      <c r="G894" s="24">
        <v>1</v>
      </c>
      <c r="H894" s="25">
        <v>0.8</v>
      </c>
      <c r="I894" s="24">
        <v>1</v>
      </c>
    </row>
    <row r="895" spans="1:9" ht="15.75" customHeight="1" x14ac:dyDescent="0.2">
      <c r="A895" s="26">
        <v>903</v>
      </c>
      <c r="B895" s="24">
        <v>903</v>
      </c>
      <c r="C895" s="24">
        <v>86</v>
      </c>
      <c r="D895" s="24">
        <f>VLOOKUP(C895,[1]Course!$A$1:$C$229, 2, FALSE)</f>
        <v>0</v>
      </c>
      <c r="E895" s="24">
        <v>109</v>
      </c>
      <c r="F895" s="24" t="s">
        <v>714</v>
      </c>
      <c r="G895" s="24">
        <v>1</v>
      </c>
      <c r="H895" s="25">
        <v>0.8</v>
      </c>
      <c r="I895" s="24">
        <v>1</v>
      </c>
    </row>
    <row r="896" spans="1:9" ht="15.75" customHeight="1" x14ac:dyDescent="0.2">
      <c r="A896" s="26">
        <v>904</v>
      </c>
      <c r="B896" s="24">
        <v>904</v>
      </c>
      <c r="C896" s="24">
        <v>86</v>
      </c>
      <c r="D896" s="24">
        <f>VLOOKUP(C896,[1]Course!$A$1:$C$229, 2, FALSE)</f>
        <v>0</v>
      </c>
      <c r="E896" s="24">
        <v>110</v>
      </c>
      <c r="F896" s="24" t="s">
        <v>713</v>
      </c>
      <c r="G896" s="24">
        <v>1</v>
      </c>
      <c r="H896" s="25">
        <v>0.8</v>
      </c>
      <c r="I896" s="24">
        <v>1</v>
      </c>
    </row>
    <row r="897" spans="1:9" ht="15.75" customHeight="1" x14ac:dyDescent="0.2">
      <c r="A897" s="26">
        <v>905</v>
      </c>
      <c r="B897" s="24">
        <v>905</v>
      </c>
      <c r="C897" s="24">
        <v>86</v>
      </c>
      <c r="D897" s="24">
        <f>VLOOKUP(C897,[1]Course!$A$1:$C$229, 2, FALSE)</f>
        <v>0</v>
      </c>
      <c r="E897" s="24">
        <v>111</v>
      </c>
      <c r="F897" s="24" t="s">
        <v>712</v>
      </c>
      <c r="G897" s="24">
        <v>1</v>
      </c>
      <c r="H897" s="25">
        <v>0.8</v>
      </c>
      <c r="I897" s="24">
        <v>1</v>
      </c>
    </row>
    <row r="898" spans="1:9" ht="15.75" customHeight="1" x14ac:dyDescent="0.2">
      <c r="A898" s="26">
        <v>906</v>
      </c>
      <c r="B898" s="24">
        <v>906</v>
      </c>
      <c r="C898" s="24">
        <v>86</v>
      </c>
      <c r="D898" s="24">
        <f>VLOOKUP(C898,[1]Course!$A$1:$C$229, 2, FALSE)</f>
        <v>0</v>
      </c>
      <c r="E898" s="24">
        <v>112</v>
      </c>
      <c r="F898" s="24" t="s">
        <v>711</v>
      </c>
      <c r="G898" s="24">
        <v>1</v>
      </c>
      <c r="H898" s="25">
        <v>0.8</v>
      </c>
      <c r="I898" s="24">
        <v>1</v>
      </c>
    </row>
    <row r="899" spans="1:9" ht="15.75" customHeight="1" x14ac:dyDescent="0.2">
      <c r="A899" s="26">
        <v>907</v>
      </c>
      <c r="B899" s="24">
        <v>907</v>
      </c>
      <c r="C899" s="24">
        <v>86</v>
      </c>
      <c r="D899" s="24">
        <f>VLOOKUP(C899,[1]Course!$A$1:$C$229, 2, FALSE)</f>
        <v>0</v>
      </c>
      <c r="E899" s="24">
        <v>113</v>
      </c>
      <c r="F899" s="24" t="s">
        <v>710</v>
      </c>
      <c r="G899" s="24">
        <v>1</v>
      </c>
      <c r="H899" s="25">
        <v>0.8</v>
      </c>
      <c r="I899" s="24">
        <v>1</v>
      </c>
    </row>
    <row r="900" spans="1:9" ht="15.75" customHeight="1" x14ac:dyDescent="0.2">
      <c r="A900" s="26">
        <v>908</v>
      </c>
      <c r="B900" s="24">
        <v>908</v>
      </c>
      <c r="C900" s="24">
        <v>86</v>
      </c>
      <c r="D900" s="24">
        <f>VLOOKUP(C900,[1]Course!$A$1:$C$229, 2, FALSE)</f>
        <v>0</v>
      </c>
      <c r="E900" s="24">
        <v>114</v>
      </c>
      <c r="F900" s="24" t="s">
        <v>709</v>
      </c>
      <c r="G900" s="24">
        <v>1</v>
      </c>
      <c r="H900" s="25">
        <v>0.8</v>
      </c>
      <c r="I900" s="24">
        <v>1</v>
      </c>
    </row>
    <row r="901" spans="1:9" ht="15.75" customHeight="1" x14ac:dyDescent="0.2">
      <c r="A901" s="26">
        <v>909</v>
      </c>
      <c r="B901" s="24">
        <v>909</v>
      </c>
      <c r="C901" s="24">
        <v>86</v>
      </c>
      <c r="D901" s="24">
        <f>VLOOKUP(C901,[1]Course!$A$1:$C$229, 2, FALSE)</f>
        <v>0</v>
      </c>
      <c r="E901" s="24">
        <v>115</v>
      </c>
      <c r="F901" s="24" t="s">
        <v>708</v>
      </c>
      <c r="G901" s="24">
        <v>1</v>
      </c>
      <c r="H901" s="25">
        <v>0.8</v>
      </c>
      <c r="I901" s="24">
        <v>1</v>
      </c>
    </row>
    <row r="902" spans="1:9" ht="15.75" customHeight="1" x14ac:dyDescent="0.2">
      <c r="A902" s="26">
        <v>910</v>
      </c>
      <c r="B902" s="24">
        <v>910</v>
      </c>
      <c r="C902" s="24">
        <v>86</v>
      </c>
      <c r="D902" s="24">
        <f>VLOOKUP(C902,[1]Course!$A$1:$C$229, 2, FALSE)</f>
        <v>0</v>
      </c>
      <c r="E902" s="24">
        <v>116</v>
      </c>
      <c r="F902" s="24" t="s">
        <v>707</v>
      </c>
      <c r="G902" s="24">
        <v>1</v>
      </c>
      <c r="H902" s="25">
        <v>0.8</v>
      </c>
      <c r="I902" s="24">
        <v>1</v>
      </c>
    </row>
    <row r="903" spans="1:9" ht="15.75" customHeight="1" x14ac:dyDescent="0.2">
      <c r="A903" s="26">
        <v>911</v>
      </c>
      <c r="B903" s="24">
        <v>911</v>
      </c>
      <c r="C903" s="24">
        <v>86</v>
      </c>
      <c r="D903" s="24">
        <f>VLOOKUP(C903,[1]Course!$A$1:$C$229, 2, FALSE)</f>
        <v>0</v>
      </c>
      <c r="E903" s="24">
        <v>117</v>
      </c>
      <c r="F903" s="24" t="s">
        <v>706</v>
      </c>
      <c r="G903" s="24">
        <v>1</v>
      </c>
      <c r="H903" s="25">
        <v>0.8</v>
      </c>
      <c r="I903" s="24">
        <v>1</v>
      </c>
    </row>
    <row r="904" spans="1:9" ht="15.75" customHeight="1" x14ac:dyDescent="0.2">
      <c r="A904" s="26">
        <v>912</v>
      </c>
      <c r="B904" s="24">
        <v>912</v>
      </c>
      <c r="C904" s="24">
        <v>86</v>
      </c>
      <c r="D904" s="24">
        <f>VLOOKUP(C904,[1]Course!$A$1:$C$229, 2, FALSE)</f>
        <v>0</v>
      </c>
      <c r="E904" s="24">
        <v>118</v>
      </c>
      <c r="F904" s="24" t="s">
        <v>705</v>
      </c>
      <c r="G904" s="24">
        <v>1</v>
      </c>
      <c r="H904" s="25">
        <v>0.8</v>
      </c>
      <c r="I904" s="24">
        <v>1</v>
      </c>
    </row>
    <row r="905" spans="1:9" ht="15.75" customHeight="1" x14ac:dyDescent="0.2">
      <c r="A905" s="26">
        <v>913</v>
      </c>
      <c r="B905" s="24">
        <v>913</v>
      </c>
      <c r="C905" s="24">
        <v>86</v>
      </c>
      <c r="D905" s="24">
        <f>VLOOKUP(C905,[1]Course!$A$1:$C$229, 2, FALSE)</f>
        <v>0</v>
      </c>
      <c r="E905" s="24">
        <v>119</v>
      </c>
      <c r="F905" s="24" t="s">
        <v>704</v>
      </c>
      <c r="G905" s="24">
        <v>1</v>
      </c>
      <c r="H905" s="25">
        <v>0.8</v>
      </c>
      <c r="I905" s="24">
        <v>1</v>
      </c>
    </row>
    <row r="906" spans="1:9" ht="15.75" customHeight="1" x14ac:dyDescent="0.2">
      <c r="A906" s="26">
        <v>914</v>
      </c>
      <c r="B906" s="24">
        <v>914</v>
      </c>
      <c r="C906" s="24">
        <v>86</v>
      </c>
      <c r="D906" s="24">
        <f>VLOOKUP(C906,[1]Course!$A$1:$C$229, 2, FALSE)</f>
        <v>0</v>
      </c>
      <c r="E906" s="24">
        <v>120</v>
      </c>
      <c r="F906" s="24" t="s">
        <v>703</v>
      </c>
      <c r="G906" s="24">
        <v>1</v>
      </c>
      <c r="H906" s="25">
        <v>0.8</v>
      </c>
      <c r="I906" s="24">
        <v>1</v>
      </c>
    </row>
    <row r="907" spans="1:9" ht="15.75" customHeight="1" x14ac:dyDescent="0.2">
      <c r="A907" s="26">
        <v>915</v>
      </c>
      <c r="B907" s="24">
        <v>915</v>
      </c>
      <c r="C907" s="24">
        <v>87</v>
      </c>
      <c r="D907" s="24">
        <f>VLOOKUP(C907,[1]Course!$A$1:$C$229, 2, FALSE)</f>
        <v>0</v>
      </c>
      <c r="E907" s="24">
        <v>109</v>
      </c>
      <c r="F907" s="24" t="s">
        <v>702</v>
      </c>
      <c r="G907" s="24">
        <v>1</v>
      </c>
      <c r="H907" s="25">
        <v>0.8</v>
      </c>
      <c r="I907" s="24">
        <v>1</v>
      </c>
    </row>
    <row r="908" spans="1:9" ht="15.75" customHeight="1" x14ac:dyDescent="0.2">
      <c r="A908" s="26">
        <v>916</v>
      </c>
      <c r="B908" s="24">
        <v>916</v>
      </c>
      <c r="C908" s="24">
        <v>87</v>
      </c>
      <c r="D908" s="24">
        <f>VLOOKUP(C908,[1]Course!$A$1:$C$229, 2, FALSE)</f>
        <v>0</v>
      </c>
      <c r="E908" s="24">
        <v>110</v>
      </c>
      <c r="F908" s="24" t="s">
        <v>701</v>
      </c>
      <c r="G908" s="24">
        <v>1</v>
      </c>
      <c r="H908" s="25">
        <v>0.8</v>
      </c>
      <c r="I908" s="24">
        <v>1</v>
      </c>
    </row>
    <row r="909" spans="1:9" ht="15.75" customHeight="1" x14ac:dyDescent="0.2">
      <c r="A909" s="26">
        <v>917</v>
      </c>
      <c r="B909" s="24">
        <v>917</v>
      </c>
      <c r="C909" s="24">
        <v>87</v>
      </c>
      <c r="D909" s="24">
        <f>VLOOKUP(C909,[1]Course!$A$1:$C$229, 2, FALSE)</f>
        <v>0</v>
      </c>
      <c r="E909" s="24">
        <v>111</v>
      </c>
      <c r="F909" s="24" t="s">
        <v>700</v>
      </c>
      <c r="G909" s="24">
        <v>1</v>
      </c>
      <c r="H909" s="25">
        <v>0.8</v>
      </c>
      <c r="I909" s="24">
        <v>1</v>
      </c>
    </row>
    <row r="910" spans="1:9" ht="15.75" customHeight="1" x14ac:dyDescent="0.2">
      <c r="A910" s="26">
        <v>918</v>
      </c>
      <c r="B910" s="24">
        <v>918</v>
      </c>
      <c r="C910" s="24">
        <v>87</v>
      </c>
      <c r="D910" s="24">
        <f>VLOOKUP(C910,[1]Course!$A$1:$C$229, 2, FALSE)</f>
        <v>0</v>
      </c>
      <c r="E910" s="24">
        <v>112</v>
      </c>
      <c r="F910" s="24" t="s">
        <v>699</v>
      </c>
      <c r="G910" s="24">
        <v>1</v>
      </c>
      <c r="H910" s="25">
        <v>0.8</v>
      </c>
      <c r="I910" s="24">
        <v>1</v>
      </c>
    </row>
    <row r="911" spans="1:9" ht="15.75" customHeight="1" x14ac:dyDescent="0.2">
      <c r="A911" s="26">
        <v>919</v>
      </c>
      <c r="B911" s="24">
        <v>919</v>
      </c>
      <c r="C911" s="24">
        <v>87</v>
      </c>
      <c r="D911" s="24">
        <f>VLOOKUP(C911,[1]Course!$A$1:$C$229, 2, FALSE)</f>
        <v>0</v>
      </c>
      <c r="E911" s="24">
        <v>113</v>
      </c>
      <c r="F911" s="24" t="s">
        <v>698</v>
      </c>
      <c r="G911" s="24">
        <v>1</v>
      </c>
      <c r="H911" s="25">
        <v>0.8</v>
      </c>
      <c r="I911" s="24">
        <v>1</v>
      </c>
    </row>
    <row r="912" spans="1:9" ht="15.75" customHeight="1" x14ac:dyDescent="0.2">
      <c r="A912" s="26">
        <v>920</v>
      </c>
      <c r="B912" s="24">
        <v>920</v>
      </c>
      <c r="C912" s="24">
        <v>87</v>
      </c>
      <c r="D912" s="24">
        <f>VLOOKUP(C912,[1]Course!$A$1:$C$229, 2, FALSE)</f>
        <v>0</v>
      </c>
      <c r="E912" s="24">
        <v>114</v>
      </c>
      <c r="F912" s="24" t="s">
        <v>697</v>
      </c>
      <c r="G912" s="24">
        <v>1</v>
      </c>
      <c r="H912" s="25">
        <v>0.8</v>
      </c>
      <c r="I912" s="24">
        <v>1</v>
      </c>
    </row>
    <row r="913" spans="1:9" ht="15.75" customHeight="1" x14ac:dyDescent="0.2">
      <c r="A913" s="26">
        <v>921</v>
      </c>
      <c r="B913" s="24">
        <v>921</v>
      </c>
      <c r="C913" s="24">
        <v>87</v>
      </c>
      <c r="D913" s="24">
        <f>VLOOKUP(C913,[1]Course!$A$1:$C$229, 2, FALSE)</f>
        <v>0</v>
      </c>
      <c r="E913" s="24">
        <v>115</v>
      </c>
      <c r="F913" s="24" t="s">
        <v>696</v>
      </c>
      <c r="G913" s="24">
        <v>1</v>
      </c>
      <c r="H913" s="25">
        <v>0.8</v>
      </c>
      <c r="I913" s="24">
        <v>1</v>
      </c>
    </row>
    <row r="914" spans="1:9" ht="15.75" customHeight="1" x14ac:dyDescent="0.2">
      <c r="A914" s="26">
        <v>922</v>
      </c>
      <c r="B914" s="24">
        <v>922</v>
      </c>
      <c r="C914" s="24">
        <v>87</v>
      </c>
      <c r="D914" s="24">
        <f>VLOOKUP(C914,[1]Course!$A$1:$C$229, 2, FALSE)</f>
        <v>0</v>
      </c>
      <c r="E914" s="24">
        <v>116</v>
      </c>
      <c r="F914" s="24" t="s">
        <v>695</v>
      </c>
      <c r="G914" s="24">
        <v>1</v>
      </c>
      <c r="H914" s="25">
        <v>0.8</v>
      </c>
      <c r="I914" s="24">
        <v>1</v>
      </c>
    </row>
    <row r="915" spans="1:9" ht="15.75" customHeight="1" x14ac:dyDescent="0.2">
      <c r="A915" s="26">
        <v>923</v>
      </c>
      <c r="B915" s="24">
        <v>923</v>
      </c>
      <c r="C915" s="24">
        <v>87</v>
      </c>
      <c r="D915" s="24">
        <f>VLOOKUP(C915,[1]Course!$A$1:$C$229, 2, FALSE)</f>
        <v>0</v>
      </c>
      <c r="E915" s="24">
        <v>117</v>
      </c>
      <c r="F915" s="24" t="s">
        <v>694</v>
      </c>
      <c r="G915" s="24">
        <v>1</v>
      </c>
      <c r="H915" s="25">
        <v>0.8</v>
      </c>
      <c r="I915" s="24">
        <v>1</v>
      </c>
    </row>
    <row r="916" spans="1:9" ht="15.75" customHeight="1" x14ac:dyDescent="0.2">
      <c r="A916" s="26">
        <v>924</v>
      </c>
      <c r="B916" s="24">
        <v>924</v>
      </c>
      <c r="C916" s="24">
        <v>87</v>
      </c>
      <c r="D916" s="24">
        <f>VLOOKUP(C916,[1]Course!$A$1:$C$229, 2, FALSE)</f>
        <v>0</v>
      </c>
      <c r="E916" s="24">
        <v>118</v>
      </c>
      <c r="F916" s="24" t="s">
        <v>693</v>
      </c>
      <c r="G916" s="24">
        <v>1</v>
      </c>
      <c r="H916" s="25">
        <v>0.8</v>
      </c>
      <c r="I916" s="24">
        <v>1</v>
      </c>
    </row>
    <row r="917" spans="1:9" ht="15.75" customHeight="1" x14ac:dyDescent="0.2">
      <c r="A917" s="26">
        <v>925</v>
      </c>
      <c r="B917" s="24">
        <v>925</v>
      </c>
      <c r="C917" s="24">
        <v>87</v>
      </c>
      <c r="D917" s="24">
        <f>VLOOKUP(C917,[1]Course!$A$1:$C$229, 2, FALSE)</f>
        <v>0</v>
      </c>
      <c r="E917" s="24">
        <v>119</v>
      </c>
      <c r="F917" s="24" t="s">
        <v>692</v>
      </c>
      <c r="G917" s="24">
        <v>1</v>
      </c>
      <c r="H917" s="25">
        <v>0.8</v>
      </c>
      <c r="I917" s="24">
        <v>1</v>
      </c>
    </row>
    <row r="918" spans="1:9" ht="15.75" customHeight="1" x14ac:dyDescent="0.2">
      <c r="A918" s="26">
        <v>926</v>
      </c>
      <c r="B918" s="24">
        <v>926</v>
      </c>
      <c r="C918" s="24">
        <v>87</v>
      </c>
      <c r="D918" s="24">
        <f>VLOOKUP(C918,[1]Course!$A$1:$C$229, 2, FALSE)</f>
        <v>0</v>
      </c>
      <c r="E918" s="24">
        <v>120</v>
      </c>
      <c r="F918" s="24" t="s">
        <v>691</v>
      </c>
      <c r="G918" s="24">
        <v>1</v>
      </c>
      <c r="H918" s="25">
        <v>0.8</v>
      </c>
      <c r="I918" s="24">
        <v>1</v>
      </c>
    </row>
    <row r="919" spans="1:9" ht="15.75" customHeight="1" x14ac:dyDescent="0.2">
      <c r="A919" s="26">
        <v>927</v>
      </c>
      <c r="B919" s="24">
        <v>927</v>
      </c>
      <c r="C919" s="24">
        <v>88</v>
      </c>
      <c r="D919" s="24">
        <f>VLOOKUP(C919,[1]Course!$A$1:$C$229, 2, FALSE)</f>
        <v>0</v>
      </c>
      <c r="E919" s="24">
        <v>3</v>
      </c>
      <c r="F919" s="24" t="s">
        <v>690</v>
      </c>
      <c r="G919" s="24">
        <v>1</v>
      </c>
      <c r="H919" s="25">
        <v>0.8</v>
      </c>
      <c r="I919" s="24">
        <v>1</v>
      </c>
    </row>
    <row r="920" spans="1:9" ht="15.75" customHeight="1" x14ac:dyDescent="0.2">
      <c r="A920" s="26">
        <v>928</v>
      </c>
      <c r="B920" s="24">
        <v>928</v>
      </c>
      <c r="C920" s="24">
        <v>88</v>
      </c>
      <c r="D920" s="24">
        <f>VLOOKUP(C920,[1]Course!$A$1:$C$229, 2, FALSE)</f>
        <v>0</v>
      </c>
      <c r="E920" s="24">
        <v>4</v>
      </c>
      <c r="F920" s="24" t="s">
        <v>689</v>
      </c>
      <c r="G920" s="24">
        <v>1</v>
      </c>
      <c r="H920" s="25">
        <v>0.8</v>
      </c>
      <c r="I920" s="24">
        <v>1</v>
      </c>
    </row>
    <row r="921" spans="1:9" ht="15.75" customHeight="1" x14ac:dyDescent="0.2">
      <c r="A921" s="26">
        <v>929</v>
      </c>
      <c r="B921" s="24">
        <v>929</v>
      </c>
      <c r="C921" s="24">
        <v>88</v>
      </c>
      <c r="D921" s="24">
        <f>VLOOKUP(C921,[1]Course!$A$1:$C$229, 2, FALSE)</f>
        <v>0</v>
      </c>
      <c r="E921" s="24">
        <v>5</v>
      </c>
      <c r="F921" s="24" t="s">
        <v>688</v>
      </c>
      <c r="G921" s="24">
        <v>1</v>
      </c>
      <c r="H921" s="25">
        <v>0.8</v>
      </c>
      <c r="I921" s="24">
        <v>1</v>
      </c>
    </row>
    <row r="922" spans="1:9" ht="15.75" customHeight="1" x14ac:dyDescent="0.2">
      <c r="A922" s="26">
        <v>930</v>
      </c>
      <c r="B922" s="24">
        <v>930</v>
      </c>
      <c r="C922" s="24">
        <v>90</v>
      </c>
      <c r="D922" s="24" t="str">
        <f>VLOOKUP(C922,[1]Course!$A$1:$C$229, 2, FALSE)</f>
        <v>Science 10</v>
      </c>
      <c r="E922" s="24">
        <v>109</v>
      </c>
      <c r="F922" s="24" t="s">
        <v>687</v>
      </c>
      <c r="G922" s="24">
        <v>1</v>
      </c>
      <c r="H922" s="25">
        <v>0.8</v>
      </c>
      <c r="I922" s="24">
        <v>1</v>
      </c>
    </row>
    <row r="923" spans="1:9" ht="15.75" customHeight="1" x14ac:dyDescent="0.2">
      <c r="A923" s="26">
        <v>931</v>
      </c>
      <c r="B923" s="24">
        <v>931</v>
      </c>
      <c r="C923" s="24">
        <v>90</v>
      </c>
      <c r="D923" s="24" t="str">
        <f>VLOOKUP(C923,[1]Course!$A$1:$C$229, 2, FALSE)</f>
        <v>Science 10</v>
      </c>
      <c r="E923" s="24">
        <v>110</v>
      </c>
      <c r="F923" s="24" t="s">
        <v>686</v>
      </c>
      <c r="G923" s="24">
        <v>1</v>
      </c>
      <c r="H923" s="25">
        <v>0.8</v>
      </c>
      <c r="I923" s="24">
        <v>1</v>
      </c>
    </row>
    <row r="924" spans="1:9" ht="15.75" customHeight="1" x14ac:dyDescent="0.2">
      <c r="A924" s="26">
        <v>932</v>
      </c>
      <c r="B924" s="24">
        <v>932</v>
      </c>
      <c r="C924" s="24">
        <v>90</v>
      </c>
      <c r="D924" s="24" t="str">
        <f>VLOOKUP(C924,[1]Course!$A$1:$C$229, 2, FALSE)</f>
        <v>Science 10</v>
      </c>
      <c r="E924" s="24">
        <v>111</v>
      </c>
      <c r="F924" s="24" t="s">
        <v>685</v>
      </c>
      <c r="G924" s="24">
        <v>1</v>
      </c>
      <c r="H924" s="25">
        <v>0.8</v>
      </c>
      <c r="I924" s="24">
        <v>1</v>
      </c>
    </row>
    <row r="925" spans="1:9" ht="15.75" customHeight="1" x14ac:dyDescent="0.2">
      <c r="A925" s="26">
        <v>933</v>
      </c>
      <c r="B925" s="24">
        <v>933</v>
      </c>
      <c r="C925" s="24">
        <v>90</v>
      </c>
      <c r="D925" s="24" t="str">
        <f>VLOOKUP(C925,[1]Course!$A$1:$C$229, 2, FALSE)</f>
        <v>Science 10</v>
      </c>
      <c r="E925" s="24">
        <v>112</v>
      </c>
      <c r="F925" s="24" t="s">
        <v>684</v>
      </c>
      <c r="G925" s="24">
        <v>1</v>
      </c>
      <c r="H925" s="25">
        <v>0.8</v>
      </c>
      <c r="I925" s="24">
        <v>1</v>
      </c>
    </row>
    <row r="926" spans="1:9" ht="15.75" customHeight="1" x14ac:dyDescent="0.2">
      <c r="A926" s="26">
        <v>934</v>
      </c>
      <c r="B926" s="24">
        <v>934</v>
      </c>
      <c r="C926" s="24">
        <v>90</v>
      </c>
      <c r="D926" s="24" t="str">
        <f>VLOOKUP(C926,[1]Course!$A$1:$C$229, 2, FALSE)</f>
        <v>Science 10</v>
      </c>
      <c r="E926" s="24">
        <v>113</v>
      </c>
      <c r="F926" s="24" t="s">
        <v>683</v>
      </c>
      <c r="G926" s="24">
        <v>1</v>
      </c>
      <c r="H926" s="25">
        <v>0.8</v>
      </c>
      <c r="I926" s="24">
        <v>1</v>
      </c>
    </row>
    <row r="927" spans="1:9" ht="15.75" customHeight="1" x14ac:dyDescent="0.2">
      <c r="A927" s="26">
        <v>935</v>
      </c>
      <c r="B927" s="24">
        <v>935</v>
      </c>
      <c r="C927" s="24">
        <v>90</v>
      </c>
      <c r="D927" s="24" t="str">
        <f>VLOOKUP(C927,[1]Course!$A$1:$C$229, 2, FALSE)</f>
        <v>Science 10</v>
      </c>
      <c r="E927" s="24">
        <v>114</v>
      </c>
      <c r="F927" s="24" t="s">
        <v>682</v>
      </c>
      <c r="G927" s="24">
        <v>1</v>
      </c>
      <c r="H927" s="25">
        <v>0.8</v>
      </c>
      <c r="I927" s="24">
        <v>1</v>
      </c>
    </row>
    <row r="928" spans="1:9" ht="15.75" customHeight="1" x14ac:dyDescent="0.2">
      <c r="A928" s="26">
        <v>936</v>
      </c>
      <c r="B928" s="24">
        <v>936</v>
      </c>
      <c r="C928" s="24">
        <v>90</v>
      </c>
      <c r="D928" s="24" t="str">
        <f>VLOOKUP(C928,[1]Course!$A$1:$C$229, 2, FALSE)</f>
        <v>Science 10</v>
      </c>
      <c r="E928" s="24">
        <v>115</v>
      </c>
      <c r="F928" s="24" t="s">
        <v>681</v>
      </c>
      <c r="G928" s="24">
        <v>1</v>
      </c>
      <c r="H928" s="25">
        <v>0.8</v>
      </c>
      <c r="I928" s="24">
        <v>1</v>
      </c>
    </row>
    <row r="929" spans="1:9" ht="15.75" customHeight="1" x14ac:dyDescent="0.2">
      <c r="A929" s="26">
        <v>937</v>
      </c>
      <c r="B929" s="24">
        <v>937</v>
      </c>
      <c r="C929" s="24">
        <v>90</v>
      </c>
      <c r="D929" s="24" t="str">
        <f>VLOOKUP(C929,[1]Course!$A$1:$C$229, 2, FALSE)</f>
        <v>Science 10</v>
      </c>
      <c r="E929" s="24">
        <v>116</v>
      </c>
      <c r="F929" s="24" t="s">
        <v>680</v>
      </c>
      <c r="G929" s="24">
        <v>1</v>
      </c>
      <c r="H929" s="25">
        <v>0.8</v>
      </c>
      <c r="I929" s="24">
        <v>1</v>
      </c>
    </row>
    <row r="930" spans="1:9" ht="15.75" customHeight="1" x14ac:dyDescent="0.2">
      <c r="A930" s="26">
        <v>938</v>
      </c>
      <c r="B930" s="24">
        <v>938</v>
      </c>
      <c r="C930" s="24">
        <v>90</v>
      </c>
      <c r="D930" s="24" t="str">
        <f>VLOOKUP(C930,[1]Course!$A$1:$C$229, 2, FALSE)</f>
        <v>Science 10</v>
      </c>
      <c r="E930" s="24">
        <v>117</v>
      </c>
      <c r="F930" s="24" t="s">
        <v>679</v>
      </c>
      <c r="G930" s="24">
        <v>1</v>
      </c>
      <c r="H930" s="25">
        <v>0.8</v>
      </c>
      <c r="I930" s="24">
        <v>1</v>
      </c>
    </row>
    <row r="931" spans="1:9" ht="15.75" customHeight="1" x14ac:dyDescent="0.2">
      <c r="A931" s="26">
        <v>939</v>
      </c>
      <c r="B931" s="24">
        <v>939</v>
      </c>
      <c r="C931" s="24">
        <v>90</v>
      </c>
      <c r="D931" s="24" t="str">
        <f>VLOOKUP(C931,[1]Course!$A$1:$C$229, 2, FALSE)</f>
        <v>Science 10</v>
      </c>
      <c r="E931" s="24">
        <v>118</v>
      </c>
      <c r="F931" s="24" t="s">
        <v>678</v>
      </c>
      <c r="G931" s="24">
        <v>1</v>
      </c>
      <c r="H931" s="25">
        <v>0.8</v>
      </c>
      <c r="I931" s="24">
        <v>1</v>
      </c>
    </row>
    <row r="932" spans="1:9" ht="15.75" customHeight="1" x14ac:dyDescent="0.2">
      <c r="A932" s="26">
        <v>940</v>
      </c>
      <c r="B932" s="24">
        <v>940</v>
      </c>
      <c r="C932" s="24">
        <v>90</v>
      </c>
      <c r="D932" s="24" t="str">
        <f>VLOOKUP(C932,[1]Course!$A$1:$C$229, 2, FALSE)</f>
        <v>Science 10</v>
      </c>
      <c r="E932" s="24">
        <v>119</v>
      </c>
      <c r="F932" s="24" t="s">
        <v>677</v>
      </c>
      <c r="G932" s="24">
        <v>1</v>
      </c>
      <c r="H932" s="25">
        <v>0.8</v>
      </c>
      <c r="I932" s="24">
        <v>1</v>
      </c>
    </row>
    <row r="933" spans="1:9" ht="15.75" customHeight="1" x14ac:dyDescent="0.2">
      <c r="A933" s="26">
        <v>941</v>
      </c>
      <c r="B933" s="24">
        <v>941</v>
      </c>
      <c r="C933" s="24">
        <v>90</v>
      </c>
      <c r="D933" s="24" t="str">
        <f>VLOOKUP(C933,[1]Course!$A$1:$C$229, 2, FALSE)</f>
        <v>Science 10</v>
      </c>
      <c r="E933" s="24">
        <v>120</v>
      </c>
      <c r="F933" s="24" t="s">
        <v>676</v>
      </c>
      <c r="G933" s="24">
        <v>1</v>
      </c>
      <c r="H933" s="25">
        <v>0.8</v>
      </c>
      <c r="I933" s="24">
        <v>1</v>
      </c>
    </row>
    <row r="934" spans="1:9" ht="15.75" customHeight="1" x14ac:dyDescent="0.2">
      <c r="A934" s="26">
        <v>942</v>
      </c>
      <c r="B934" s="24">
        <v>942</v>
      </c>
      <c r="C934" s="24">
        <v>91</v>
      </c>
      <c r="D934" s="24" t="str">
        <f>VLOOKUP(C934,[1]Course!$A$1:$C$229, 2, FALSE)</f>
        <v>History of Civilisation I</v>
      </c>
      <c r="E934" s="24">
        <v>1</v>
      </c>
      <c r="F934" s="24" t="s">
        <v>675</v>
      </c>
      <c r="G934" s="24">
        <v>0.1</v>
      </c>
      <c r="H934" s="25">
        <v>0.8</v>
      </c>
      <c r="I934" s="24">
        <v>1</v>
      </c>
    </row>
    <row r="935" spans="1:9" ht="15.75" customHeight="1" x14ac:dyDescent="0.2">
      <c r="A935" s="26">
        <v>943</v>
      </c>
      <c r="B935" s="24">
        <v>943</v>
      </c>
      <c r="C935" s="24">
        <v>91</v>
      </c>
      <c r="D935" s="24" t="str">
        <f>VLOOKUP(C935,[1]Course!$A$1:$C$229, 2, FALSE)</f>
        <v>History of Civilisation I</v>
      </c>
      <c r="E935" s="24">
        <v>2</v>
      </c>
      <c r="F935" s="24" t="s">
        <v>674</v>
      </c>
      <c r="G935" s="24">
        <v>0.1</v>
      </c>
      <c r="H935" s="25">
        <v>0.8</v>
      </c>
      <c r="I935" s="24">
        <v>1</v>
      </c>
    </row>
    <row r="936" spans="1:9" ht="15.75" customHeight="1" x14ac:dyDescent="0.2">
      <c r="A936" s="26">
        <v>944</v>
      </c>
      <c r="B936" s="24">
        <v>944</v>
      </c>
      <c r="C936" s="24">
        <v>91</v>
      </c>
      <c r="D936" s="24" t="str">
        <f>VLOOKUP(C936,[1]Course!$A$1:$C$229, 2, FALSE)</f>
        <v>History of Civilisation I</v>
      </c>
      <c r="E936" s="24">
        <v>3</v>
      </c>
      <c r="F936" s="24" t="s">
        <v>673</v>
      </c>
      <c r="G936" s="24">
        <v>0.1</v>
      </c>
      <c r="H936" s="25">
        <v>0.8</v>
      </c>
      <c r="I936" s="24">
        <v>1</v>
      </c>
    </row>
    <row r="937" spans="1:9" ht="15.75" customHeight="1" x14ac:dyDescent="0.2">
      <c r="A937" s="26">
        <v>945</v>
      </c>
      <c r="B937" s="24">
        <v>945</v>
      </c>
      <c r="C937" s="24">
        <v>91</v>
      </c>
      <c r="D937" s="24" t="str">
        <f>VLOOKUP(C937,[1]Course!$A$1:$C$229, 2, FALSE)</f>
        <v>History of Civilisation I</v>
      </c>
      <c r="E937" s="24">
        <v>4</v>
      </c>
      <c r="F937" s="24" t="s">
        <v>672</v>
      </c>
      <c r="G937" s="24">
        <v>0.1</v>
      </c>
      <c r="H937" s="25">
        <v>0.8</v>
      </c>
      <c r="I937" s="24">
        <v>1</v>
      </c>
    </row>
    <row r="938" spans="1:9" ht="15.75" customHeight="1" x14ac:dyDescent="0.2">
      <c r="A938" s="26">
        <v>946</v>
      </c>
      <c r="B938" s="24">
        <v>946</v>
      </c>
      <c r="C938" s="24">
        <v>91</v>
      </c>
      <c r="D938" s="24" t="str">
        <f>VLOOKUP(C938,[1]Course!$A$1:$C$229, 2, FALSE)</f>
        <v>History of Civilisation I</v>
      </c>
      <c r="E938" s="24">
        <v>5</v>
      </c>
      <c r="F938" s="24" t="s">
        <v>671</v>
      </c>
      <c r="G938" s="24">
        <v>0.1</v>
      </c>
      <c r="H938" s="25">
        <v>0.8</v>
      </c>
      <c r="I938" s="24">
        <v>1</v>
      </c>
    </row>
    <row r="939" spans="1:9" ht="15.75" customHeight="1" x14ac:dyDescent="0.2">
      <c r="A939" s="26">
        <v>947</v>
      </c>
      <c r="B939" s="24">
        <v>947</v>
      </c>
      <c r="C939" s="24">
        <v>91</v>
      </c>
      <c r="D939" s="24" t="str">
        <f>VLOOKUP(C939,[1]Course!$A$1:$C$229, 2, FALSE)</f>
        <v>History of Civilisation I</v>
      </c>
      <c r="E939" s="24">
        <v>6</v>
      </c>
      <c r="F939" s="24" t="s">
        <v>670</v>
      </c>
      <c r="G939" s="24">
        <v>0.1</v>
      </c>
      <c r="H939" s="25">
        <v>0.8</v>
      </c>
      <c r="I939" s="24">
        <v>1</v>
      </c>
    </row>
    <row r="940" spans="1:9" ht="15.75" customHeight="1" x14ac:dyDescent="0.2">
      <c r="A940" s="26">
        <v>948</v>
      </c>
      <c r="B940" s="24">
        <v>948</v>
      </c>
      <c r="C940" s="24">
        <v>91</v>
      </c>
      <c r="D940" s="24" t="str">
        <f>VLOOKUP(C940,[1]Course!$A$1:$C$229, 2, FALSE)</f>
        <v>History of Civilisation I</v>
      </c>
      <c r="E940" s="24">
        <v>7</v>
      </c>
      <c r="F940" s="24" t="s">
        <v>669</v>
      </c>
      <c r="G940" s="24">
        <v>0.1</v>
      </c>
      <c r="H940" s="25">
        <v>0.8</v>
      </c>
      <c r="I940" s="24">
        <v>1</v>
      </c>
    </row>
    <row r="941" spans="1:9" ht="15.75" customHeight="1" x14ac:dyDescent="0.2">
      <c r="A941" s="26">
        <v>949</v>
      </c>
      <c r="B941" s="24">
        <v>949</v>
      </c>
      <c r="C941" s="24">
        <v>91</v>
      </c>
      <c r="D941" s="24" t="str">
        <f>VLOOKUP(C941,[1]Course!$A$1:$C$229, 2, FALSE)</f>
        <v>History of Civilisation I</v>
      </c>
      <c r="E941" s="24">
        <v>8</v>
      </c>
      <c r="F941" s="24" t="s">
        <v>668</v>
      </c>
      <c r="G941" s="24">
        <v>0.1</v>
      </c>
      <c r="H941" s="25">
        <v>0.8</v>
      </c>
      <c r="I941" s="24">
        <v>1</v>
      </c>
    </row>
    <row r="942" spans="1:9" ht="15.75" customHeight="1" x14ac:dyDescent="0.2">
      <c r="A942" s="26">
        <v>950</v>
      </c>
      <c r="B942" s="24">
        <v>950</v>
      </c>
      <c r="C942" s="24">
        <v>91</v>
      </c>
      <c r="D942" s="24" t="str">
        <f>VLOOKUP(C942,[1]Course!$A$1:$C$229, 2, FALSE)</f>
        <v>History of Civilisation I</v>
      </c>
      <c r="E942" s="24">
        <v>9</v>
      </c>
      <c r="F942" s="24" t="s">
        <v>667</v>
      </c>
      <c r="G942" s="24">
        <v>0.1</v>
      </c>
      <c r="H942" s="25">
        <v>0.8</v>
      </c>
      <c r="I942" s="24">
        <v>1</v>
      </c>
    </row>
    <row r="943" spans="1:9" ht="15.75" customHeight="1" x14ac:dyDescent="0.2">
      <c r="A943" s="26">
        <v>951</v>
      </c>
      <c r="B943" s="24">
        <v>951</v>
      </c>
      <c r="C943" s="24">
        <v>91</v>
      </c>
      <c r="D943" s="24" t="str">
        <f>VLOOKUP(C943,[1]Course!$A$1:$C$229, 2, FALSE)</f>
        <v>History of Civilisation I</v>
      </c>
      <c r="E943" s="24">
        <v>10</v>
      </c>
      <c r="F943" s="24" t="s">
        <v>666</v>
      </c>
      <c r="G943" s="24">
        <v>0.1</v>
      </c>
      <c r="H943" s="25">
        <v>0.8</v>
      </c>
      <c r="I943" s="24">
        <v>1</v>
      </c>
    </row>
    <row r="944" spans="1:9" ht="15.75" customHeight="1" x14ac:dyDescent="0.2">
      <c r="A944" s="26">
        <v>952</v>
      </c>
      <c r="B944" s="24">
        <v>952</v>
      </c>
      <c r="C944" s="27">
        <v>92</v>
      </c>
      <c r="D944" s="27">
        <f>VLOOKUP(C944,[1]Course!$A$1:$C$229, 2, FALSE)</f>
        <v>0</v>
      </c>
      <c r="E944" s="27">
        <v>3</v>
      </c>
      <c r="F944" s="24" t="s">
        <v>665</v>
      </c>
      <c r="G944" s="24">
        <v>1</v>
      </c>
      <c r="H944" s="25">
        <v>0.8</v>
      </c>
      <c r="I944" s="24">
        <v>1</v>
      </c>
    </row>
    <row r="945" spans="1:9" ht="15.75" customHeight="1" x14ac:dyDescent="0.2">
      <c r="A945" s="26">
        <v>953</v>
      </c>
      <c r="B945" s="24">
        <v>953</v>
      </c>
      <c r="C945" s="27">
        <v>92</v>
      </c>
      <c r="D945" s="27">
        <f>VLOOKUP(C945,[1]Course!$A$1:$C$229, 2, FALSE)</f>
        <v>0</v>
      </c>
      <c r="E945" s="27">
        <v>4</v>
      </c>
      <c r="F945" s="24" t="s">
        <v>664</v>
      </c>
      <c r="G945" s="24">
        <v>1</v>
      </c>
      <c r="H945" s="25">
        <v>0.8</v>
      </c>
      <c r="I945" s="24">
        <v>1</v>
      </c>
    </row>
    <row r="946" spans="1:9" ht="15.75" customHeight="1" x14ac:dyDescent="0.2">
      <c r="A946" s="26">
        <v>954</v>
      </c>
      <c r="B946" s="24">
        <v>954</v>
      </c>
      <c r="C946" s="24">
        <v>93</v>
      </c>
      <c r="D946" s="24">
        <f>VLOOKUP(C946,[1]Course!$A$1:$C$229, 2, FALSE)</f>
        <v>0</v>
      </c>
      <c r="E946" s="24">
        <v>1</v>
      </c>
      <c r="F946" s="24" t="s">
        <v>663</v>
      </c>
      <c r="G946" s="24">
        <v>1</v>
      </c>
      <c r="H946" s="25">
        <v>0.8</v>
      </c>
      <c r="I946" s="24">
        <v>1</v>
      </c>
    </row>
    <row r="947" spans="1:9" ht="15.75" customHeight="1" x14ac:dyDescent="0.2">
      <c r="A947" s="26">
        <v>955</v>
      </c>
      <c r="B947" s="24">
        <v>955</v>
      </c>
      <c r="C947" s="24">
        <v>93</v>
      </c>
      <c r="D947" s="24">
        <f>VLOOKUP(C947,[1]Course!$A$1:$C$229, 2, FALSE)</f>
        <v>0</v>
      </c>
      <c r="E947" s="24">
        <v>2</v>
      </c>
      <c r="F947" s="24" t="s">
        <v>662</v>
      </c>
      <c r="G947" s="24">
        <v>1</v>
      </c>
      <c r="H947" s="25">
        <v>0.8</v>
      </c>
      <c r="I947" s="24">
        <v>1</v>
      </c>
    </row>
    <row r="948" spans="1:9" ht="15.75" customHeight="1" x14ac:dyDescent="0.2">
      <c r="A948" s="26">
        <v>956</v>
      </c>
      <c r="B948" s="24">
        <v>956</v>
      </c>
      <c r="C948" s="24">
        <v>93</v>
      </c>
      <c r="D948" s="24">
        <f>VLOOKUP(C948,[1]Course!$A$1:$C$229, 2, FALSE)</f>
        <v>0</v>
      </c>
      <c r="E948" s="24">
        <v>3</v>
      </c>
      <c r="F948" s="24" t="s">
        <v>661</v>
      </c>
      <c r="G948" s="24">
        <v>1</v>
      </c>
      <c r="H948" s="25">
        <v>0.8</v>
      </c>
      <c r="I948" s="24">
        <v>1</v>
      </c>
    </row>
    <row r="949" spans="1:9" ht="15.75" customHeight="1" x14ac:dyDescent="0.2">
      <c r="A949" s="26">
        <v>957</v>
      </c>
      <c r="B949" s="24">
        <v>957</v>
      </c>
      <c r="C949" s="24">
        <v>93</v>
      </c>
      <c r="D949" s="24">
        <f>VLOOKUP(C949,[1]Course!$A$1:$C$229, 2, FALSE)</f>
        <v>0</v>
      </c>
      <c r="E949" s="24">
        <v>4</v>
      </c>
      <c r="F949" s="24" t="s">
        <v>660</v>
      </c>
      <c r="G949" s="24">
        <v>1</v>
      </c>
      <c r="H949" s="25">
        <v>0.8</v>
      </c>
      <c r="I949" s="24">
        <v>1</v>
      </c>
    </row>
    <row r="950" spans="1:9" ht="15.75" customHeight="1" x14ac:dyDescent="0.2">
      <c r="A950" s="26">
        <v>958</v>
      </c>
      <c r="B950" s="24">
        <v>958</v>
      </c>
      <c r="C950" s="24">
        <v>93</v>
      </c>
      <c r="D950" s="24">
        <f>VLOOKUP(C950,[1]Course!$A$1:$C$229, 2, FALSE)</f>
        <v>0</v>
      </c>
      <c r="E950" s="24">
        <v>5</v>
      </c>
      <c r="F950" s="24" t="s">
        <v>659</v>
      </c>
      <c r="G950" s="24">
        <v>1</v>
      </c>
      <c r="H950" s="25">
        <v>0.8</v>
      </c>
      <c r="I950" s="24">
        <v>1</v>
      </c>
    </row>
    <row r="951" spans="1:9" ht="15.75" customHeight="1" x14ac:dyDescent="0.2">
      <c r="A951" s="26">
        <v>959</v>
      </c>
      <c r="B951" s="24">
        <v>959</v>
      </c>
      <c r="C951" s="24">
        <v>94</v>
      </c>
      <c r="D951" s="24">
        <f>VLOOKUP(C951,[1]Course!$A$1:$C$229, 2, FALSE)</f>
        <v>0</v>
      </c>
      <c r="E951" s="24">
        <v>133</v>
      </c>
      <c r="F951" s="24" t="s">
        <v>658</v>
      </c>
      <c r="G951" s="24">
        <v>1</v>
      </c>
      <c r="H951" s="25">
        <v>0.8</v>
      </c>
      <c r="I951" s="24">
        <v>1</v>
      </c>
    </row>
    <row r="952" spans="1:9" ht="15.75" customHeight="1" x14ac:dyDescent="0.2">
      <c r="A952" s="26">
        <v>960</v>
      </c>
      <c r="B952" s="24">
        <v>960</v>
      </c>
      <c r="C952" s="24">
        <v>94</v>
      </c>
      <c r="D952" s="24">
        <f>VLOOKUP(C952,[1]Course!$A$1:$C$229, 2, FALSE)</f>
        <v>0</v>
      </c>
      <c r="E952" s="24">
        <v>134</v>
      </c>
      <c r="F952" s="24" t="s">
        <v>657</v>
      </c>
      <c r="G952" s="24">
        <v>1</v>
      </c>
      <c r="H952" s="25">
        <v>0.8</v>
      </c>
      <c r="I952" s="24">
        <v>1</v>
      </c>
    </row>
    <row r="953" spans="1:9" ht="15.75" customHeight="1" x14ac:dyDescent="0.2">
      <c r="A953" s="26">
        <v>961</v>
      </c>
      <c r="B953" s="24">
        <v>961</v>
      </c>
      <c r="C953" s="24">
        <v>94</v>
      </c>
      <c r="D953" s="24">
        <f>VLOOKUP(C953,[1]Course!$A$1:$C$229, 2, FALSE)</f>
        <v>0</v>
      </c>
      <c r="E953" s="24">
        <v>135</v>
      </c>
      <c r="F953" s="24" t="s">
        <v>656</v>
      </c>
      <c r="G953" s="24">
        <v>1</v>
      </c>
      <c r="H953" s="25">
        <v>0.8</v>
      </c>
      <c r="I953" s="24">
        <v>1</v>
      </c>
    </row>
    <row r="954" spans="1:9" ht="15.75" customHeight="1" x14ac:dyDescent="0.2">
      <c r="A954" s="26">
        <v>962</v>
      </c>
      <c r="B954" s="24">
        <v>962</v>
      </c>
      <c r="C954" s="24">
        <v>94</v>
      </c>
      <c r="D954" s="24">
        <f>VLOOKUP(C954,[1]Course!$A$1:$C$229, 2, FALSE)</f>
        <v>0</v>
      </c>
      <c r="E954" s="24">
        <v>136</v>
      </c>
      <c r="F954" s="24" t="s">
        <v>655</v>
      </c>
      <c r="G954" s="24">
        <v>1</v>
      </c>
      <c r="H954" s="25">
        <v>0.8</v>
      </c>
      <c r="I954" s="24">
        <v>1</v>
      </c>
    </row>
    <row r="955" spans="1:9" ht="15.75" customHeight="1" x14ac:dyDescent="0.2">
      <c r="A955" s="26">
        <v>963</v>
      </c>
      <c r="B955" s="24">
        <v>963</v>
      </c>
      <c r="C955" s="24">
        <v>94</v>
      </c>
      <c r="D955" s="24">
        <f>VLOOKUP(C955,[1]Course!$A$1:$C$229, 2, FALSE)</f>
        <v>0</v>
      </c>
      <c r="E955" s="24">
        <v>137</v>
      </c>
      <c r="F955" s="24" t="s">
        <v>654</v>
      </c>
      <c r="G955" s="24">
        <v>1</v>
      </c>
      <c r="H955" s="25">
        <v>0.8</v>
      </c>
      <c r="I955" s="24">
        <v>1</v>
      </c>
    </row>
    <row r="956" spans="1:9" ht="15.75" customHeight="1" x14ac:dyDescent="0.2">
      <c r="A956" s="26">
        <v>964</v>
      </c>
      <c r="B956" s="24">
        <v>964</v>
      </c>
      <c r="C956" s="24">
        <v>94</v>
      </c>
      <c r="D956" s="24">
        <f>VLOOKUP(C956,[1]Course!$A$1:$C$229, 2, FALSE)</f>
        <v>0</v>
      </c>
      <c r="E956" s="24">
        <v>138</v>
      </c>
      <c r="F956" s="24" t="s">
        <v>653</v>
      </c>
      <c r="G956" s="24">
        <v>1</v>
      </c>
      <c r="H956" s="25">
        <v>0.8</v>
      </c>
      <c r="I956" s="24">
        <v>1</v>
      </c>
    </row>
    <row r="957" spans="1:9" ht="15.75" customHeight="1" x14ac:dyDescent="0.2">
      <c r="A957" s="26">
        <v>965</v>
      </c>
      <c r="B957" s="24">
        <v>965</v>
      </c>
      <c r="C957" s="24">
        <v>95</v>
      </c>
      <c r="D957" s="24" t="str">
        <f>VLOOKUP(C957,[1]Course!$A$1:$C$229, 2, FALSE)</f>
        <v>Biblical Studies II</v>
      </c>
      <c r="E957" s="24">
        <v>109</v>
      </c>
      <c r="F957" s="24" t="s">
        <v>652</v>
      </c>
      <c r="G957" s="24">
        <v>1</v>
      </c>
      <c r="H957" s="25">
        <v>0.8</v>
      </c>
      <c r="I957" s="24">
        <v>1</v>
      </c>
    </row>
    <row r="958" spans="1:9" ht="15.75" customHeight="1" x14ac:dyDescent="0.2">
      <c r="A958" s="26">
        <v>966</v>
      </c>
      <c r="B958" s="24">
        <v>966</v>
      </c>
      <c r="C958" s="24">
        <v>95</v>
      </c>
      <c r="D958" s="24" t="str">
        <f>VLOOKUP(C958,[1]Course!$A$1:$C$229, 2, FALSE)</f>
        <v>Biblical Studies II</v>
      </c>
      <c r="E958" s="24">
        <v>110</v>
      </c>
      <c r="F958" s="24" t="s">
        <v>651</v>
      </c>
      <c r="G958" s="24">
        <v>1</v>
      </c>
      <c r="H958" s="25">
        <v>0.8</v>
      </c>
      <c r="I958" s="24">
        <v>1</v>
      </c>
    </row>
    <row r="959" spans="1:9" ht="15.75" customHeight="1" x14ac:dyDescent="0.2">
      <c r="A959" s="26">
        <v>967</v>
      </c>
      <c r="B959" s="24">
        <v>967</v>
      </c>
      <c r="C959" s="24">
        <v>95</v>
      </c>
      <c r="D959" s="24" t="str">
        <f>VLOOKUP(C959,[1]Course!$A$1:$C$229, 2, FALSE)</f>
        <v>Biblical Studies II</v>
      </c>
      <c r="E959" s="24">
        <v>111</v>
      </c>
      <c r="F959" s="24" t="s">
        <v>650</v>
      </c>
      <c r="G959" s="24">
        <v>1</v>
      </c>
      <c r="H959" s="25">
        <v>0.8</v>
      </c>
      <c r="I959" s="24">
        <v>1</v>
      </c>
    </row>
    <row r="960" spans="1:9" ht="15.75" customHeight="1" x14ac:dyDescent="0.2">
      <c r="A960" s="26">
        <v>968</v>
      </c>
      <c r="B960" s="24">
        <v>968</v>
      </c>
      <c r="C960" s="24">
        <v>95</v>
      </c>
      <c r="D960" s="24" t="str">
        <f>VLOOKUP(C960,[1]Course!$A$1:$C$229, 2, FALSE)</f>
        <v>Biblical Studies II</v>
      </c>
      <c r="E960" s="24">
        <v>112</v>
      </c>
      <c r="F960" s="24" t="s">
        <v>649</v>
      </c>
      <c r="G960" s="24">
        <v>1</v>
      </c>
      <c r="H960" s="25">
        <v>0.8</v>
      </c>
      <c r="I960" s="24">
        <v>1</v>
      </c>
    </row>
    <row r="961" spans="1:9" ht="15.75" customHeight="1" x14ac:dyDescent="0.2">
      <c r="A961" s="26">
        <v>969</v>
      </c>
      <c r="B961" s="24">
        <v>969</v>
      </c>
      <c r="C961" s="24">
        <v>95</v>
      </c>
      <c r="D961" s="24" t="str">
        <f>VLOOKUP(C961,[1]Course!$A$1:$C$229, 2, FALSE)</f>
        <v>Biblical Studies II</v>
      </c>
      <c r="E961" s="24">
        <v>113</v>
      </c>
      <c r="F961" s="24" t="s">
        <v>648</v>
      </c>
      <c r="G961" s="24">
        <v>1</v>
      </c>
      <c r="H961" s="25">
        <v>0.8</v>
      </c>
      <c r="I961" s="24">
        <v>1</v>
      </c>
    </row>
    <row r="962" spans="1:9" ht="15.75" customHeight="1" x14ac:dyDescent="0.2">
      <c r="A962" s="26">
        <v>970</v>
      </c>
      <c r="B962" s="24">
        <v>970</v>
      </c>
      <c r="C962" s="24">
        <v>95</v>
      </c>
      <c r="D962" s="24" t="str">
        <f>VLOOKUP(C962,[1]Course!$A$1:$C$229, 2, FALSE)</f>
        <v>Biblical Studies II</v>
      </c>
      <c r="E962" s="24">
        <v>114</v>
      </c>
      <c r="F962" s="24" t="s">
        <v>647</v>
      </c>
      <c r="G962" s="24">
        <v>1</v>
      </c>
      <c r="H962" s="25">
        <v>0.8</v>
      </c>
      <c r="I962" s="24">
        <v>1</v>
      </c>
    </row>
    <row r="963" spans="1:9" ht="15.75" customHeight="1" x14ac:dyDescent="0.2">
      <c r="A963" s="26">
        <v>971</v>
      </c>
      <c r="B963" s="24">
        <v>971</v>
      </c>
      <c r="C963" s="24">
        <v>95</v>
      </c>
      <c r="D963" s="24" t="str">
        <f>VLOOKUP(C963,[1]Course!$A$1:$C$229, 2, FALSE)</f>
        <v>Biblical Studies II</v>
      </c>
      <c r="E963" s="24">
        <v>115</v>
      </c>
      <c r="F963" s="24" t="s">
        <v>646</v>
      </c>
      <c r="G963" s="24">
        <v>1</v>
      </c>
      <c r="H963" s="25">
        <v>0.8</v>
      </c>
      <c r="I963" s="24">
        <v>1</v>
      </c>
    </row>
    <row r="964" spans="1:9" ht="15.75" customHeight="1" x14ac:dyDescent="0.2">
      <c r="A964" s="26">
        <v>972</v>
      </c>
      <c r="B964" s="24">
        <v>972</v>
      </c>
      <c r="C964" s="24">
        <v>95</v>
      </c>
      <c r="D964" s="24" t="str">
        <f>VLOOKUP(C964,[1]Course!$A$1:$C$229, 2, FALSE)</f>
        <v>Biblical Studies II</v>
      </c>
      <c r="E964" s="24">
        <v>116</v>
      </c>
      <c r="F964" s="24" t="s">
        <v>645</v>
      </c>
      <c r="G964" s="24">
        <v>1</v>
      </c>
      <c r="H964" s="25">
        <v>0.8</v>
      </c>
      <c r="I964" s="24">
        <v>1</v>
      </c>
    </row>
    <row r="965" spans="1:9" ht="15.75" customHeight="1" x14ac:dyDescent="0.2">
      <c r="A965" s="26">
        <v>973</v>
      </c>
      <c r="B965" s="24">
        <v>973</v>
      </c>
      <c r="C965" s="24">
        <v>95</v>
      </c>
      <c r="D965" s="24" t="str">
        <f>VLOOKUP(C965,[1]Course!$A$1:$C$229, 2, FALSE)</f>
        <v>Biblical Studies II</v>
      </c>
      <c r="E965" s="24">
        <v>117</v>
      </c>
      <c r="F965" s="24" t="s">
        <v>644</v>
      </c>
      <c r="G965" s="24">
        <v>1</v>
      </c>
      <c r="H965" s="25">
        <v>0.8</v>
      </c>
      <c r="I965" s="24">
        <v>1</v>
      </c>
    </row>
    <row r="966" spans="1:9" ht="15.75" customHeight="1" x14ac:dyDescent="0.2">
      <c r="A966" s="26">
        <v>974</v>
      </c>
      <c r="B966" s="24">
        <v>974</v>
      </c>
      <c r="C966" s="24">
        <v>95</v>
      </c>
      <c r="D966" s="24" t="str">
        <f>VLOOKUP(C966,[1]Course!$A$1:$C$229, 2, FALSE)</f>
        <v>Biblical Studies II</v>
      </c>
      <c r="E966" s="24">
        <v>118</v>
      </c>
      <c r="F966" s="24" t="s">
        <v>643</v>
      </c>
      <c r="G966" s="24">
        <v>1</v>
      </c>
      <c r="H966" s="25">
        <v>0.8</v>
      </c>
      <c r="I966" s="24">
        <v>1</v>
      </c>
    </row>
    <row r="967" spans="1:9" ht="15.75" customHeight="1" x14ac:dyDescent="0.2">
      <c r="A967" s="26">
        <v>975</v>
      </c>
      <c r="B967" s="24">
        <v>975</v>
      </c>
      <c r="C967" s="24">
        <v>95</v>
      </c>
      <c r="D967" s="24" t="str">
        <f>VLOOKUP(C967,[1]Course!$A$1:$C$229, 2, FALSE)</f>
        <v>Biblical Studies II</v>
      </c>
      <c r="E967" s="24">
        <v>119</v>
      </c>
      <c r="F967" s="24" t="s">
        <v>642</v>
      </c>
      <c r="G967" s="24">
        <v>1</v>
      </c>
      <c r="H967" s="25">
        <v>0.8</v>
      </c>
      <c r="I967" s="24">
        <v>1</v>
      </c>
    </row>
    <row r="968" spans="1:9" ht="15.75" customHeight="1" x14ac:dyDescent="0.2">
      <c r="A968" s="26">
        <v>976</v>
      </c>
      <c r="B968" s="24">
        <v>976</v>
      </c>
      <c r="C968" s="24">
        <v>95</v>
      </c>
      <c r="D968" s="24" t="str">
        <f>VLOOKUP(C968,[1]Course!$A$1:$C$229, 2, FALSE)</f>
        <v>Biblical Studies II</v>
      </c>
      <c r="E968" s="24">
        <v>120</v>
      </c>
      <c r="F968" s="24" t="s">
        <v>641</v>
      </c>
      <c r="G968" s="24">
        <v>1</v>
      </c>
      <c r="H968" s="25">
        <v>0.8</v>
      </c>
      <c r="I968" s="24">
        <v>1</v>
      </c>
    </row>
    <row r="969" spans="1:9" ht="15.75" customHeight="1" x14ac:dyDescent="0.2">
      <c r="A969" s="26">
        <v>977</v>
      </c>
      <c r="B969" s="24">
        <v>977</v>
      </c>
      <c r="C969" s="24">
        <v>96</v>
      </c>
      <c r="D969" s="24">
        <f>VLOOKUP(C969,[1]Course!$A$1:$C$229, 2, FALSE)</f>
        <v>0</v>
      </c>
      <c r="E969" s="24">
        <v>109</v>
      </c>
      <c r="F969" s="24" t="s">
        <v>640</v>
      </c>
      <c r="G969" s="24">
        <v>1</v>
      </c>
      <c r="H969" s="25">
        <v>0.8</v>
      </c>
      <c r="I969" s="24">
        <v>1</v>
      </c>
    </row>
    <row r="970" spans="1:9" ht="15.75" customHeight="1" x14ac:dyDescent="0.2">
      <c r="A970" s="26">
        <v>978</v>
      </c>
      <c r="B970" s="24">
        <v>978</v>
      </c>
      <c r="C970" s="24">
        <v>96</v>
      </c>
      <c r="D970" s="24">
        <f>VLOOKUP(C970,[1]Course!$A$1:$C$229, 2, FALSE)</f>
        <v>0</v>
      </c>
      <c r="E970" s="24">
        <v>110</v>
      </c>
      <c r="F970" s="24" t="s">
        <v>639</v>
      </c>
      <c r="G970" s="24">
        <v>1</v>
      </c>
      <c r="H970" s="25">
        <v>0.8</v>
      </c>
      <c r="I970" s="24">
        <v>1</v>
      </c>
    </row>
    <row r="971" spans="1:9" ht="15.75" customHeight="1" x14ac:dyDescent="0.2">
      <c r="A971" s="26">
        <v>979</v>
      </c>
      <c r="B971" s="24">
        <v>979</v>
      </c>
      <c r="C971" s="24">
        <v>96</v>
      </c>
      <c r="D971" s="24">
        <f>VLOOKUP(C971,[1]Course!$A$1:$C$229, 2, FALSE)</f>
        <v>0</v>
      </c>
      <c r="E971" s="24">
        <v>111</v>
      </c>
      <c r="F971" s="24" t="s">
        <v>638</v>
      </c>
      <c r="G971" s="24">
        <v>1</v>
      </c>
      <c r="H971" s="25">
        <v>0.8</v>
      </c>
      <c r="I971" s="24">
        <v>1</v>
      </c>
    </row>
    <row r="972" spans="1:9" ht="15.75" customHeight="1" x14ac:dyDescent="0.2">
      <c r="A972" s="26">
        <v>980</v>
      </c>
      <c r="B972" s="24">
        <v>980</v>
      </c>
      <c r="C972" s="24">
        <v>96</v>
      </c>
      <c r="D972" s="24">
        <f>VLOOKUP(C972,[1]Course!$A$1:$C$229, 2, FALSE)</f>
        <v>0</v>
      </c>
      <c r="E972" s="24">
        <v>112</v>
      </c>
      <c r="F972" s="24" t="s">
        <v>637</v>
      </c>
      <c r="G972" s="24">
        <v>1</v>
      </c>
      <c r="H972" s="25">
        <v>0.8</v>
      </c>
      <c r="I972" s="24">
        <v>1</v>
      </c>
    </row>
    <row r="973" spans="1:9" ht="15.75" customHeight="1" x14ac:dyDescent="0.2">
      <c r="A973" s="26">
        <v>981</v>
      </c>
      <c r="B973" s="24">
        <v>981</v>
      </c>
      <c r="C973" s="24">
        <v>96</v>
      </c>
      <c r="D973" s="24">
        <f>VLOOKUP(C973,[1]Course!$A$1:$C$229, 2, FALSE)</f>
        <v>0</v>
      </c>
      <c r="E973" s="24">
        <v>113</v>
      </c>
      <c r="F973" s="24" t="s">
        <v>636</v>
      </c>
      <c r="G973" s="24">
        <v>1</v>
      </c>
      <c r="H973" s="25">
        <v>0.8</v>
      </c>
      <c r="I973" s="24">
        <v>1</v>
      </c>
    </row>
    <row r="974" spans="1:9" ht="15.75" customHeight="1" x14ac:dyDescent="0.2">
      <c r="A974" s="26">
        <v>982</v>
      </c>
      <c r="B974" s="24">
        <v>982</v>
      </c>
      <c r="C974" s="24">
        <v>96</v>
      </c>
      <c r="D974" s="24">
        <f>VLOOKUP(C974,[1]Course!$A$1:$C$229, 2, FALSE)</f>
        <v>0</v>
      </c>
      <c r="E974" s="24">
        <v>114</v>
      </c>
      <c r="F974" s="24" t="s">
        <v>635</v>
      </c>
      <c r="G974" s="24">
        <v>1</v>
      </c>
      <c r="H974" s="25">
        <v>0.8</v>
      </c>
      <c r="I974" s="24">
        <v>1</v>
      </c>
    </row>
    <row r="975" spans="1:9" ht="15.75" customHeight="1" x14ac:dyDescent="0.2">
      <c r="A975" s="26">
        <v>983</v>
      </c>
      <c r="B975" s="24">
        <v>983</v>
      </c>
      <c r="C975" s="24">
        <v>98</v>
      </c>
      <c r="D975" s="24">
        <f>VLOOKUP(C975,[1]Course!$A$1:$C$229, 2, FALSE)</f>
        <v>0</v>
      </c>
      <c r="E975" s="24">
        <v>121</v>
      </c>
      <c r="F975" s="24" t="s">
        <v>634</v>
      </c>
      <c r="G975" s="24">
        <v>1</v>
      </c>
      <c r="H975" s="25">
        <v>0.8</v>
      </c>
      <c r="I975" s="24">
        <v>1</v>
      </c>
    </row>
    <row r="976" spans="1:9" ht="15.75" customHeight="1" x14ac:dyDescent="0.2">
      <c r="A976" s="26">
        <v>984</v>
      </c>
      <c r="B976" s="24">
        <v>984</v>
      </c>
      <c r="C976" s="24">
        <v>98</v>
      </c>
      <c r="D976" s="24">
        <f>VLOOKUP(C976,[1]Course!$A$1:$C$229, 2, FALSE)</f>
        <v>0</v>
      </c>
      <c r="E976" s="24">
        <v>122</v>
      </c>
      <c r="F976" s="24" t="s">
        <v>633</v>
      </c>
      <c r="G976" s="24">
        <v>1</v>
      </c>
      <c r="H976" s="25">
        <v>0.8</v>
      </c>
      <c r="I976" s="24">
        <v>1</v>
      </c>
    </row>
    <row r="977" spans="1:9" ht="15.75" customHeight="1" x14ac:dyDescent="0.2">
      <c r="A977" s="26">
        <v>985</v>
      </c>
      <c r="B977" s="24">
        <v>985</v>
      </c>
      <c r="C977" s="24">
        <v>98</v>
      </c>
      <c r="D977" s="24">
        <f>VLOOKUP(C977,[1]Course!$A$1:$C$229, 2, FALSE)</f>
        <v>0</v>
      </c>
      <c r="E977" s="24">
        <v>123</v>
      </c>
      <c r="F977" s="24" t="s">
        <v>632</v>
      </c>
      <c r="G977" s="24">
        <v>1</v>
      </c>
      <c r="H977" s="25">
        <v>0.8</v>
      </c>
      <c r="I977" s="24">
        <v>1</v>
      </c>
    </row>
    <row r="978" spans="1:9" ht="15.75" customHeight="1" x14ac:dyDescent="0.2">
      <c r="A978" s="26">
        <v>986</v>
      </c>
      <c r="B978" s="24">
        <v>986</v>
      </c>
      <c r="C978" s="24">
        <v>98</v>
      </c>
      <c r="D978" s="24">
        <f>VLOOKUP(C978,[1]Course!$A$1:$C$229, 2, FALSE)</f>
        <v>0</v>
      </c>
      <c r="E978" s="24">
        <v>124</v>
      </c>
      <c r="F978" s="24" t="s">
        <v>631</v>
      </c>
      <c r="G978" s="24">
        <v>1</v>
      </c>
      <c r="H978" s="25">
        <v>0.8</v>
      </c>
      <c r="I978" s="24">
        <v>1</v>
      </c>
    </row>
    <row r="979" spans="1:9" ht="15.75" customHeight="1" x14ac:dyDescent="0.2">
      <c r="A979" s="26">
        <v>987</v>
      </c>
      <c r="B979" s="24">
        <v>987</v>
      </c>
      <c r="C979" s="24">
        <v>98</v>
      </c>
      <c r="D979" s="24">
        <f>VLOOKUP(C979,[1]Course!$A$1:$C$229, 2, FALSE)</f>
        <v>0</v>
      </c>
      <c r="E979" s="24">
        <v>125</v>
      </c>
      <c r="F979" s="24" t="s">
        <v>630</v>
      </c>
      <c r="G979" s="24">
        <v>1</v>
      </c>
      <c r="H979" s="25">
        <v>0.8</v>
      </c>
      <c r="I979" s="24">
        <v>1</v>
      </c>
    </row>
    <row r="980" spans="1:9" ht="15.75" customHeight="1" x14ac:dyDescent="0.2">
      <c r="A980" s="26">
        <v>988</v>
      </c>
      <c r="B980" s="24">
        <v>988</v>
      </c>
      <c r="C980" s="24">
        <v>98</v>
      </c>
      <c r="D980" s="24">
        <f>VLOOKUP(C980,[1]Course!$A$1:$C$229, 2, FALSE)</f>
        <v>0</v>
      </c>
      <c r="E980" s="24">
        <v>126</v>
      </c>
      <c r="F980" s="24" t="s">
        <v>629</v>
      </c>
      <c r="G980" s="24">
        <v>1</v>
      </c>
      <c r="H980" s="25">
        <v>0.8</v>
      </c>
      <c r="I980" s="24">
        <v>1</v>
      </c>
    </row>
    <row r="981" spans="1:9" ht="15.75" customHeight="1" x14ac:dyDescent="0.2">
      <c r="A981" s="26">
        <v>989</v>
      </c>
      <c r="B981" s="24">
        <v>989</v>
      </c>
      <c r="C981" s="24">
        <v>98</v>
      </c>
      <c r="D981" s="24">
        <f>VLOOKUP(C981,[1]Course!$A$1:$C$229, 2, FALSE)</f>
        <v>0</v>
      </c>
      <c r="E981" s="24">
        <v>127</v>
      </c>
      <c r="F981" s="24" t="s">
        <v>628</v>
      </c>
      <c r="G981" s="24">
        <v>1</v>
      </c>
      <c r="H981" s="25">
        <v>0.8</v>
      </c>
      <c r="I981" s="24">
        <v>1</v>
      </c>
    </row>
    <row r="982" spans="1:9" ht="15.75" customHeight="1" x14ac:dyDescent="0.2">
      <c r="A982" s="26">
        <v>990</v>
      </c>
      <c r="B982" s="24">
        <v>990</v>
      </c>
      <c r="C982" s="24">
        <v>98</v>
      </c>
      <c r="D982" s="24">
        <f>VLOOKUP(C982,[1]Course!$A$1:$C$229, 2, FALSE)</f>
        <v>0</v>
      </c>
      <c r="E982" s="24">
        <v>128</v>
      </c>
      <c r="F982" s="24" t="s">
        <v>627</v>
      </c>
      <c r="G982" s="24">
        <v>1</v>
      </c>
      <c r="H982" s="25">
        <v>0.8</v>
      </c>
      <c r="I982" s="24">
        <v>1</v>
      </c>
    </row>
    <row r="983" spans="1:9" ht="15.75" customHeight="1" x14ac:dyDescent="0.2">
      <c r="A983" s="26">
        <v>991</v>
      </c>
      <c r="B983" s="24">
        <v>991</v>
      </c>
      <c r="C983" s="24">
        <v>98</v>
      </c>
      <c r="D983" s="24">
        <f>VLOOKUP(C983,[1]Course!$A$1:$C$229, 2, FALSE)</f>
        <v>0</v>
      </c>
      <c r="E983" s="24">
        <v>129</v>
      </c>
      <c r="F983" s="24" t="s">
        <v>626</v>
      </c>
      <c r="G983" s="24">
        <v>1</v>
      </c>
      <c r="H983" s="25">
        <v>0.8</v>
      </c>
      <c r="I983" s="24">
        <v>1</v>
      </c>
    </row>
    <row r="984" spans="1:9" ht="15.75" customHeight="1" x14ac:dyDescent="0.2">
      <c r="A984" s="26">
        <v>992</v>
      </c>
      <c r="B984" s="24">
        <v>992</v>
      </c>
      <c r="C984" s="24">
        <v>98</v>
      </c>
      <c r="D984" s="24">
        <f>VLOOKUP(C984,[1]Course!$A$1:$C$229, 2, FALSE)</f>
        <v>0</v>
      </c>
      <c r="E984" s="24">
        <v>130</v>
      </c>
      <c r="F984" s="24" t="s">
        <v>625</v>
      </c>
      <c r="G984" s="24">
        <v>1</v>
      </c>
      <c r="H984" s="25">
        <v>0.8</v>
      </c>
      <c r="I984" s="24">
        <v>1</v>
      </c>
    </row>
    <row r="985" spans="1:9" ht="15.75" customHeight="1" x14ac:dyDescent="0.2">
      <c r="A985" s="26">
        <v>993</v>
      </c>
      <c r="B985" s="24">
        <v>993</v>
      </c>
      <c r="C985" s="24">
        <v>98</v>
      </c>
      <c r="D985" s="24">
        <f>VLOOKUP(C985,[1]Course!$A$1:$C$229, 2, FALSE)</f>
        <v>0</v>
      </c>
      <c r="E985" s="24">
        <v>131</v>
      </c>
      <c r="F985" s="24" t="s">
        <v>624</v>
      </c>
      <c r="G985" s="24">
        <v>1</v>
      </c>
      <c r="H985" s="25">
        <v>0.8</v>
      </c>
      <c r="I985" s="24">
        <v>1</v>
      </c>
    </row>
    <row r="986" spans="1:9" ht="15.75" customHeight="1" x14ac:dyDescent="0.2">
      <c r="A986" s="26">
        <v>994</v>
      </c>
      <c r="B986" s="24">
        <v>994</v>
      </c>
      <c r="C986" s="24">
        <v>98</v>
      </c>
      <c r="D986" s="24">
        <f>VLOOKUP(C986,[1]Course!$A$1:$C$229, 2, FALSE)</f>
        <v>0</v>
      </c>
      <c r="E986" s="24">
        <v>132</v>
      </c>
      <c r="F986" s="24" t="s">
        <v>623</v>
      </c>
      <c r="G986" s="24">
        <v>1</v>
      </c>
      <c r="H986" s="25">
        <v>0.8</v>
      </c>
      <c r="I986" s="24">
        <v>1</v>
      </c>
    </row>
    <row r="987" spans="1:9" ht="15.75" customHeight="1" x14ac:dyDescent="0.2">
      <c r="A987" s="26">
        <v>995</v>
      </c>
      <c r="B987" s="24">
        <v>995</v>
      </c>
      <c r="C987" s="24">
        <v>99</v>
      </c>
      <c r="D987" s="24">
        <f>VLOOKUP(C987,[1]Course!$A$1:$C$229, 2, FALSE)</f>
        <v>0</v>
      </c>
      <c r="E987" s="24">
        <v>1</v>
      </c>
      <c r="F987" s="24" t="s">
        <v>622</v>
      </c>
      <c r="G987" s="24">
        <v>1</v>
      </c>
      <c r="H987" s="25">
        <v>0.8</v>
      </c>
      <c r="I987" s="24">
        <v>1</v>
      </c>
    </row>
    <row r="988" spans="1:9" ht="15.75" customHeight="1" x14ac:dyDescent="0.2">
      <c r="A988" s="26">
        <v>996</v>
      </c>
      <c r="B988" s="24">
        <v>996</v>
      </c>
      <c r="C988" s="24">
        <v>99</v>
      </c>
      <c r="D988" s="24">
        <f>VLOOKUP(C988,[1]Course!$A$1:$C$229, 2, FALSE)</f>
        <v>0</v>
      </c>
      <c r="E988" s="24">
        <v>2</v>
      </c>
      <c r="F988" s="24" t="s">
        <v>621</v>
      </c>
      <c r="G988" s="24">
        <v>1</v>
      </c>
      <c r="H988" s="25">
        <v>0.8</v>
      </c>
      <c r="I988" s="24">
        <v>1</v>
      </c>
    </row>
    <row r="989" spans="1:9" ht="15.75" customHeight="1" x14ac:dyDescent="0.2">
      <c r="A989" s="26">
        <v>997</v>
      </c>
      <c r="B989" s="24">
        <v>997</v>
      </c>
      <c r="C989" s="24">
        <v>99</v>
      </c>
      <c r="D989" s="24">
        <f>VLOOKUP(C989,[1]Course!$A$1:$C$229, 2, FALSE)</f>
        <v>0</v>
      </c>
      <c r="E989" s="24">
        <v>3</v>
      </c>
      <c r="F989" s="24" t="s">
        <v>620</v>
      </c>
      <c r="G989" s="24">
        <v>1</v>
      </c>
      <c r="H989" s="25">
        <v>0.8</v>
      </c>
      <c r="I989" s="24">
        <v>1</v>
      </c>
    </row>
    <row r="990" spans="1:9" ht="15.75" customHeight="1" x14ac:dyDescent="0.2">
      <c r="A990" s="26">
        <v>998</v>
      </c>
      <c r="B990" s="24">
        <v>998</v>
      </c>
      <c r="C990" s="24">
        <v>99</v>
      </c>
      <c r="D990" s="24">
        <f>VLOOKUP(C990,[1]Course!$A$1:$C$229, 2, FALSE)</f>
        <v>0</v>
      </c>
      <c r="E990" s="24">
        <v>4</v>
      </c>
      <c r="F990" s="24" t="s">
        <v>619</v>
      </c>
      <c r="G990" s="24">
        <v>1</v>
      </c>
      <c r="H990" s="25">
        <v>0.8</v>
      </c>
      <c r="I990" s="24">
        <v>1</v>
      </c>
    </row>
    <row r="991" spans="1:9" ht="15.75" customHeight="1" x14ac:dyDescent="0.2">
      <c r="A991" s="26">
        <v>999</v>
      </c>
      <c r="B991" s="24">
        <v>999</v>
      </c>
      <c r="C991" s="24">
        <v>99</v>
      </c>
      <c r="D991" s="24">
        <f>VLOOKUP(C991,[1]Course!$A$1:$C$229, 2, FALSE)</f>
        <v>0</v>
      </c>
      <c r="E991" s="24">
        <v>5</v>
      </c>
      <c r="F991" s="24" t="s">
        <v>618</v>
      </c>
      <c r="G991" s="24">
        <v>1</v>
      </c>
      <c r="H991" s="25">
        <v>0.8</v>
      </c>
      <c r="I991" s="24">
        <v>1</v>
      </c>
    </row>
    <row r="992" spans="1:9" ht="15.75" customHeight="1" x14ac:dyDescent="0.2">
      <c r="A992" s="26">
        <v>1000</v>
      </c>
      <c r="B992" s="24">
        <v>1000</v>
      </c>
      <c r="C992" s="24">
        <v>101</v>
      </c>
      <c r="D992" s="24">
        <f>VLOOKUP(C992,[1]Course!$A$1:$C$229, 2, FALSE)</f>
        <v>0</v>
      </c>
      <c r="E992" s="24">
        <v>121</v>
      </c>
      <c r="F992" s="24" t="s">
        <v>617</v>
      </c>
      <c r="G992" s="24">
        <v>1</v>
      </c>
      <c r="H992" s="25">
        <v>0.8</v>
      </c>
      <c r="I992" s="24">
        <v>1</v>
      </c>
    </row>
    <row r="993" spans="1:9" ht="15.75" customHeight="1" x14ac:dyDescent="0.2">
      <c r="A993" s="26">
        <v>1001</v>
      </c>
      <c r="B993" s="24">
        <v>1001</v>
      </c>
      <c r="C993" s="24">
        <v>101</v>
      </c>
      <c r="D993" s="24">
        <f>VLOOKUP(C993,[1]Course!$A$1:$C$229, 2, FALSE)</f>
        <v>0</v>
      </c>
      <c r="E993" s="24">
        <v>122</v>
      </c>
      <c r="F993" s="24" t="s">
        <v>616</v>
      </c>
      <c r="G993" s="24">
        <v>1</v>
      </c>
      <c r="H993" s="25">
        <v>0.8</v>
      </c>
      <c r="I993" s="24">
        <v>1</v>
      </c>
    </row>
    <row r="994" spans="1:9" ht="15.75" customHeight="1" x14ac:dyDescent="0.2">
      <c r="A994" s="26">
        <v>1002</v>
      </c>
      <c r="B994" s="24">
        <v>1002</v>
      </c>
      <c r="C994" s="24">
        <v>101</v>
      </c>
      <c r="D994" s="24">
        <f>VLOOKUP(C994,[1]Course!$A$1:$C$229, 2, FALSE)</f>
        <v>0</v>
      </c>
      <c r="E994" s="24">
        <v>123</v>
      </c>
      <c r="F994" s="24" t="s">
        <v>615</v>
      </c>
      <c r="G994" s="24">
        <v>1</v>
      </c>
      <c r="H994" s="25">
        <v>0.8</v>
      </c>
      <c r="I994" s="24">
        <v>1</v>
      </c>
    </row>
    <row r="995" spans="1:9" ht="15.75" customHeight="1" x14ac:dyDescent="0.2">
      <c r="A995" s="26">
        <v>1003</v>
      </c>
      <c r="B995" s="24">
        <v>1003</v>
      </c>
      <c r="C995" s="24">
        <v>101</v>
      </c>
      <c r="D995" s="24">
        <f>VLOOKUP(C995,[1]Course!$A$1:$C$229, 2, FALSE)</f>
        <v>0</v>
      </c>
      <c r="E995" s="24">
        <v>124</v>
      </c>
      <c r="F995" s="24" t="s">
        <v>614</v>
      </c>
      <c r="G995" s="24">
        <v>1</v>
      </c>
      <c r="H995" s="25">
        <v>0.8</v>
      </c>
      <c r="I995" s="24">
        <v>1</v>
      </c>
    </row>
    <row r="996" spans="1:9" ht="15.75" customHeight="1" x14ac:dyDescent="0.2">
      <c r="A996" s="26">
        <v>1004</v>
      </c>
      <c r="B996" s="24">
        <v>1004</v>
      </c>
      <c r="C996" s="24">
        <v>101</v>
      </c>
      <c r="D996" s="24">
        <f>VLOOKUP(C996,[1]Course!$A$1:$C$229, 2, FALSE)</f>
        <v>0</v>
      </c>
      <c r="E996" s="24">
        <v>125</v>
      </c>
      <c r="F996" s="24" t="s">
        <v>613</v>
      </c>
      <c r="G996" s="24">
        <v>1</v>
      </c>
      <c r="H996" s="25">
        <v>0.8</v>
      </c>
      <c r="I996" s="24">
        <v>1</v>
      </c>
    </row>
    <row r="997" spans="1:9" ht="15.75" customHeight="1" x14ac:dyDescent="0.2">
      <c r="A997" s="26">
        <v>1005</v>
      </c>
      <c r="B997" s="24">
        <v>1005</v>
      </c>
      <c r="C997" s="24">
        <v>101</v>
      </c>
      <c r="D997" s="24">
        <f>VLOOKUP(C997,[1]Course!$A$1:$C$229, 2, FALSE)</f>
        <v>0</v>
      </c>
      <c r="E997" s="24">
        <v>126</v>
      </c>
      <c r="F997" s="24" t="s">
        <v>612</v>
      </c>
      <c r="G997" s="24">
        <v>1</v>
      </c>
      <c r="H997" s="25">
        <v>0.8</v>
      </c>
      <c r="I997" s="24">
        <v>1</v>
      </c>
    </row>
    <row r="998" spans="1:9" ht="15.75" customHeight="1" x14ac:dyDescent="0.2">
      <c r="A998" s="26">
        <v>1006</v>
      </c>
      <c r="B998" s="24">
        <v>1006</v>
      </c>
      <c r="C998" s="24">
        <v>101</v>
      </c>
      <c r="D998" s="24">
        <f>VLOOKUP(C998,[1]Course!$A$1:$C$229, 2, FALSE)</f>
        <v>0</v>
      </c>
      <c r="E998" s="24">
        <v>127</v>
      </c>
      <c r="F998" s="24" t="s">
        <v>611</v>
      </c>
      <c r="G998" s="24">
        <v>1</v>
      </c>
      <c r="H998" s="25">
        <v>0.8</v>
      </c>
      <c r="I998" s="24">
        <v>1</v>
      </c>
    </row>
    <row r="999" spans="1:9" ht="15.75" customHeight="1" x14ac:dyDescent="0.2">
      <c r="A999" s="26">
        <v>1007</v>
      </c>
      <c r="B999" s="24">
        <v>1007</v>
      </c>
      <c r="C999" s="24">
        <v>101</v>
      </c>
      <c r="D999" s="24">
        <f>VLOOKUP(C999,[1]Course!$A$1:$C$229, 2, FALSE)</f>
        <v>0</v>
      </c>
      <c r="E999" s="24">
        <v>128</v>
      </c>
      <c r="F999" s="24" t="s">
        <v>610</v>
      </c>
      <c r="G999" s="24">
        <v>1</v>
      </c>
      <c r="H999" s="25">
        <v>0.8</v>
      </c>
      <c r="I999" s="24">
        <v>1</v>
      </c>
    </row>
    <row r="1000" spans="1:9" ht="15.75" customHeight="1" x14ac:dyDescent="0.2">
      <c r="A1000" s="26">
        <v>1008</v>
      </c>
      <c r="B1000" s="24">
        <v>1008</v>
      </c>
      <c r="C1000" s="24">
        <v>101</v>
      </c>
      <c r="D1000" s="24">
        <f>VLOOKUP(C1000,[1]Course!$A$1:$C$229, 2, FALSE)</f>
        <v>0</v>
      </c>
      <c r="E1000" s="24">
        <v>129</v>
      </c>
      <c r="F1000" s="24" t="s">
        <v>609</v>
      </c>
      <c r="G1000" s="24">
        <v>1</v>
      </c>
      <c r="H1000" s="25">
        <v>0.8</v>
      </c>
      <c r="I1000" s="24">
        <v>1</v>
      </c>
    </row>
    <row r="1001" spans="1:9" ht="15.75" customHeight="1" x14ac:dyDescent="0.2">
      <c r="A1001" s="26">
        <v>1009</v>
      </c>
      <c r="B1001" s="24">
        <v>1009</v>
      </c>
      <c r="C1001" s="24">
        <v>101</v>
      </c>
      <c r="D1001" s="24">
        <f>VLOOKUP(C1001,[1]Course!$A$1:$C$229, 2, FALSE)</f>
        <v>0</v>
      </c>
      <c r="E1001" s="24">
        <v>130</v>
      </c>
      <c r="F1001" s="24" t="s">
        <v>608</v>
      </c>
      <c r="G1001" s="24">
        <v>1</v>
      </c>
      <c r="H1001" s="25">
        <v>0.8</v>
      </c>
      <c r="I1001" s="24">
        <v>1</v>
      </c>
    </row>
    <row r="1002" spans="1:9" ht="15.75" customHeight="1" x14ac:dyDescent="0.2">
      <c r="A1002" s="26">
        <v>1010</v>
      </c>
      <c r="B1002" s="24">
        <v>1010</v>
      </c>
      <c r="C1002" s="24">
        <v>101</v>
      </c>
      <c r="D1002" s="24">
        <f>VLOOKUP(C1002,[1]Course!$A$1:$C$229, 2, FALSE)</f>
        <v>0</v>
      </c>
      <c r="E1002" s="24">
        <v>131</v>
      </c>
      <c r="F1002" s="24" t="s">
        <v>607</v>
      </c>
      <c r="G1002" s="24">
        <v>1</v>
      </c>
      <c r="H1002" s="25">
        <v>0.8</v>
      </c>
      <c r="I1002" s="24">
        <v>1</v>
      </c>
    </row>
    <row r="1003" spans="1:9" ht="15.75" customHeight="1" x14ac:dyDescent="0.2">
      <c r="A1003" s="26">
        <v>1011</v>
      </c>
      <c r="B1003" s="24">
        <v>1011</v>
      </c>
      <c r="C1003" s="24">
        <v>101</v>
      </c>
      <c r="D1003" s="24">
        <f>VLOOKUP(C1003,[1]Course!$A$1:$C$229, 2, FALSE)</f>
        <v>0</v>
      </c>
      <c r="E1003" s="24">
        <v>132</v>
      </c>
      <c r="F1003" s="24" t="s">
        <v>606</v>
      </c>
      <c r="G1003" s="24">
        <v>1</v>
      </c>
      <c r="H1003" s="25">
        <v>0.8</v>
      </c>
      <c r="I1003" s="24">
        <v>1</v>
      </c>
    </row>
    <row r="1004" spans="1:9" ht="15.75" customHeight="1" x14ac:dyDescent="0.2">
      <c r="A1004" s="26">
        <v>1012</v>
      </c>
      <c r="B1004" s="24">
        <v>1012</v>
      </c>
      <c r="C1004" s="24">
        <v>102</v>
      </c>
      <c r="D1004" s="24">
        <f>VLOOKUP(C1004,[1]Course!$A$1:$C$229, 2, FALSE)</f>
        <v>0</v>
      </c>
      <c r="E1004" s="24">
        <v>1</v>
      </c>
      <c r="F1004" s="24" t="s">
        <v>605</v>
      </c>
      <c r="G1004" s="24">
        <v>1</v>
      </c>
      <c r="H1004" s="25">
        <v>0.8</v>
      </c>
      <c r="I1004" s="24">
        <v>1</v>
      </c>
    </row>
    <row r="1005" spans="1:9" ht="15.75" customHeight="1" x14ac:dyDescent="0.2">
      <c r="A1005" s="26">
        <v>1013</v>
      </c>
      <c r="B1005" s="24">
        <v>1013</v>
      </c>
      <c r="C1005" s="24">
        <v>102</v>
      </c>
      <c r="D1005" s="24">
        <f>VLOOKUP(C1005,[1]Course!$A$1:$C$229, 2, FALSE)</f>
        <v>0</v>
      </c>
      <c r="E1005" s="24">
        <v>2</v>
      </c>
      <c r="F1005" s="24" t="s">
        <v>604</v>
      </c>
      <c r="G1005" s="24">
        <v>1</v>
      </c>
      <c r="H1005" s="25">
        <v>0.8</v>
      </c>
      <c r="I1005" s="24">
        <v>1</v>
      </c>
    </row>
    <row r="1006" spans="1:9" ht="15.75" customHeight="1" x14ac:dyDescent="0.2">
      <c r="A1006" s="26">
        <v>1014</v>
      </c>
      <c r="B1006" s="24">
        <v>1014</v>
      </c>
      <c r="C1006" s="24">
        <v>102</v>
      </c>
      <c r="D1006" s="24">
        <f>VLOOKUP(C1006,[1]Course!$A$1:$C$229, 2, FALSE)</f>
        <v>0</v>
      </c>
      <c r="E1006" s="24">
        <v>3</v>
      </c>
      <c r="F1006" s="24" t="s">
        <v>603</v>
      </c>
      <c r="G1006" s="24">
        <v>1</v>
      </c>
      <c r="H1006" s="25">
        <v>0.8</v>
      </c>
      <c r="I1006" s="24">
        <v>1</v>
      </c>
    </row>
    <row r="1007" spans="1:9" ht="15.75" customHeight="1" x14ac:dyDescent="0.2">
      <c r="A1007" s="26">
        <v>1015</v>
      </c>
      <c r="B1007" s="24">
        <v>1015</v>
      </c>
      <c r="C1007" s="24">
        <v>103</v>
      </c>
      <c r="D1007" s="24">
        <f>VLOOKUP(C1007,[1]Course!$A$1:$C$229, 2, FALSE)</f>
        <v>0</v>
      </c>
      <c r="E1007" s="24">
        <v>1</v>
      </c>
      <c r="F1007" s="24" t="s">
        <v>605</v>
      </c>
      <c r="G1007" s="24">
        <v>1</v>
      </c>
      <c r="H1007" s="25">
        <v>0.8</v>
      </c>
      <c r="I1007" s="24">
        <v>1</v>
      </c>
    </row>
    <row r="1008" spans="1:9" ht="15.75" customHeight="1" x14ac:dyDescent="0.2">
      <c r="A1008" s="26">
        <v>1016</v>
      </c>
      <c r="B1008" s="24">
        <v>1016</v>
      </c>
      <c r="C1008" s="24">
        <v>103</v>
      </c>
      <c r="D1008" s="24">
        <f>VLOOKUP(C1008,[1]Course!$A$1:$C$229, 2, FALSE)</f>
        <v>0</v>
      </c>
      <c r="E1008" s="24">
        <v>2</v>
      </c>
      <c r="F1008" s="24" t="s">
        <v>604</v>
      </c>
      <c r="G1008" s="24">
        <v>1</v>
      </c>
      <c r="H1008" s="25">
        <v>0.8</v>
      </c>
      <c r="I1008" s="24">
        <v>1</v>
      </c>
    </row>
    <row r="1009" spans="1:9" ht="15.75" customHeight="1" x14ac:dyDescent="0.2">
      <c r="A1009" s="26">
        <v>1017</v>
      </c>
      <c r="B1009" s="24">
        <v>1017</v>
      </c>
      <c r="C1009" s="24">
        <v>103</v>
      </c>
      <c r="D1009" s="24">
        <f>VLOOKUP(C1009,[1]Course!$A$1:$C$229, 2, FALSE)</f>
        <v>0</v>
      </c>
      <c r="E1009" s="24">
        <v>3</v>
      </c>
      <c r="F1009" s="24" t="s">
        <v>603</v>
      </c>
      <c r="G1009" s="24">
        <v>1</v>
      </c>
      <c r="H1009" s="25">
        <v>0.8</v>
      </c>
      <c r="I1009" s="24">
        <v>1</v>
      </c>
    </row>
    <row r="1010" spans="1:9" ht="15.75" customHeight="1" x14ac:dyDescent="0.2">
      <c r="A1010" s="26">
        <v>1018</v>
      </c>
      <c r="B1010" s="24">
        <v>1018</v>
      </c>
      <c r="C1010" s="24">
        <v>103</v>
      </c>
      <c r="D1010" s="24">
        <f>VLOOKUP(C1010,[1]Course!$A$1:$C$229, 2, FALSE)</f>
        <v>0</v>
      </c>
      <c r="E1010" s="24">
        <v>4</v>
      </c>
      <c r="F1010" s="24" t="s">
        <v>602</v>
      </c>
      <c r="G1010" s="24">
        <v>1</v>
      </c>
      <c r="H1010" s="25">
        <v>0.8</v>
      </c>
      <c r="I1010" s="24">
        <v>1</v>
      </c>
    </row>
    <row r="1011" spans="1:9" ht="15.75" customHeight="1" x14ac:dyDescent="0.2">
      <c r="A1011" s="26">
        <v>1019</v>
      </c>
      <c r="B1011" s="24">
        <v>1019</v>
      </c>
      <c r="C1011" s="24">
        <v>103</v>
      </c>
      <c r="D1011" s="24">
        <f>VLOOKUP(C1011,[1]Course!$A$1:$C$229, 2, FALSE)</f>
        <v>0</v>
      </c>
      <c r="E1011" s="24">
        <v>5</v>
      </c>
      <c r="F1011" s="24" t="s">
        <v>601</v>
      </c>
      <c r="G1011" s="24">
        <v>1</v>
      </c>
      <c r="H1011" s="25">
        <v>0.8</v>
      </c>
      <c r="I1011" s="24">
        <v>1</v>
      </c>
    </row>
    <row r="1012" spans="1:9" ht="15.75" customHeight="1" x14ac:dyDescent="0.2">
      <c r="A1012" s="26">
        <v>1020</v>
      </c>
      <c r="B1012" s="24">
        <v>1020</v>
      </c>
      <c r="C1012" s="24">
        <v>103</v>
      </c>
      <c r="D1012" s="24">
        <f>VLOOKUP(C1012,[1]Course!$A$1:$C$229, 2, FALSE)</f>
        <v>0</v>
      </c>
      <c r="E1012" s="24">
        <v>6</v>
      </c>
      <c r="F1012" s="24" t="s">
        <v>600</v>
      </c>
      <c r="G1012" s="24">
        <v>1</v>
      </c>
      <c r="H1012" s="25">
        <v>0.8</v>
      </c>
      <c r="I1012" s="24">
        <v>1</v>
      </c>
    </row>
    <row r="1013" spans="1:9" ht="15.75" customHeight="1" x14ac:dyDescent="0.2">
      <c r="A1013" s="26">
        <v>1021</v>
      </c>
      <c r="B1013" s="24">
        <v>1021</v>
      </c>
      <c r="C1013" s="24">
        <v>104</v>
      </c>
      <c r="D1013" s="24">
        <f>VLOOKUP(C1013,[1]Course!$A$1:$C$229, 2, FALSE)</f>
        <v>0</v>
      </c>
      <c r="E1013" s="24">
        <v>121</v>
      </c>
      <c r="F1013" s="24" t="s">
        <v>599</v>
      </c>
      <c r="G1013" s="24">
        <v>1</v>
      </c>
      <c r="H1013" s="25">
        <v>0.8</v>
      </c>
      <c r="I1013" s="24">
        <v>1</v>
      </c>
    </row>
    <row r="1014" spans="1:9" ht="15.75" customHeight="1" x14ac:dyDescent="0.2">
      <c r="A1014" s="26">
        <v>1022</v>
      </c>
      <c r="B1014" s="24">
        <v>1022</v>
      </c>
      <c r="C1014" s="24">
        <v>104</v>
      </c>
      <c r="D1014" s="24">
        <f>VLOOKUP(C1014,[1]Course!$A$1:$C$229, 2, FALSE)</f>
        <v>0</v>
      </c>
      <c r="E1014" s="24">
        <v>122</v>
      </c>
      <c r="F1014" s="24" t="s">
        <v>598</v>
      </c>
      <c r="G1014" s="24">
        <v>1</v>
      </c>
      <c r="H1014" s="25">
        <v>0.8</v>
      </c>
      <c r="I1014" s="24">
        <v>1</v>
      </c>
    </row>
    <row r="1015" spans="1:9" ht="15.75" customHeight="1" x14ac:dyDescent="0.2">
      <c r="A1015" s="26">
        <v>1023</v>
      </c>
      <c r="B1015" s="24">
        <v>1023</v>
      </c>
      <c r="C1015" s="24">
        <v>104</v>
      </c>
      <c r="D1015" s="24">
        <f>VLOOKUP(C1015,[1]Course!$A$1:$C$229, 2, FALSE)</f>
        <v>0</v>
      </c>
      <c r="E1015" s="24">
        <v>123</v>
      </c>
      <c r="F1015" s="24" t="s">
        <v>597</v>
      </c>
      <c r="G1015" s="24">
        <v>1</v>
      </c>
      <c r="H1015" s="25">
        <v>0.8</v>
      </c>
      <c r="I1015" s="24">
        <v>1</v>
      </c>
    </row>
    <row r="1016" spans="1:9" ht="15.75" customHeight="1" x14ac:dyDescent="0.2">
      <c r="A1016" s="26">
        <v>1024</v>
      </c>
      <c r="B1016" s="24">
        <v>1024</v>
      </c>
      <c r="C1016" s="24">
        <v>104</v>
      </c>
      <c r="D1016" s="24">
        <f>VLOOKUP(C1016,[1]Course!$A$1:$C$229, 2, FALSE)</f>
        <v>0</v>
      </c>
      <c r="E1016" s="24">
        <v>124</v>
      </c>
      <c r="F1016" s="24" t="s">
        <v>596</v>
      </c>
      <c r="G1016" s="24">
        <v>1</v>
      </c>
      <c r="H1016" s="25">
        <v>0.8</v>
      </c>
      <c r="I1016" s="24">
        <v>1</v>
      </c>
    </row>
    <row r="1017" spans="1:9" ht="15.75" customHeight="1" x14ac:dyDescent="0.2">
      <c r="A1017" s="26">
        <v>1025</v>
      </c>
      <c r="B1017" s="24">
        <v>1025</v>
      </c>
      <c r="C1017" s="24">
        <v>104</v>
      </c>
      <c r="D1017" s="24">
        <f>VLOOKUP(C1017,[1]Course!$A$1:$C$229, 2, FALSE)</f>
        <v>0</v>
      </c>
      <c r="E1017" s="24">
        <v>125</v>
      </c>
      <c r="F1017" s="24" t="s">
        <v>595</v>
      </c>
      <c r="G1017" s="24">
        <v>1</v>
      </c>
      <c r="H1017" s="25">
        <v>0.8</v>
      </c>
      <c r="I1017" s="24">
        <v>1</v>
      </c>
    </row>
    <row r="1018" spans="1:9" ht="15.75" customHeight="1" x14ac:dyDescent="0.2">
      <c r="A1018" s="26">
        <v>1026</v>
      </c>
      <c r="B1018" s="24">
        <v>1026</v>
      </c>
      <c r="C1018" s="24">
        <v>104</v>
      </c>
      <c r="D1018" s="24">
        <f>VLOOKUP(C1018,[1]Course!$A$1:$C$229, 2, FALSE)</f>
        <v>0</v>
      </c>
      <c r="E1018" s="24">
        <v>126</v>
      </c>
      <c r="F1018" s="24" t="s">
        <v>594</v>
      </c>
      <c r="G1018" s="24">
        <v>1</v>
      </c>
      <c r="H1018" s="25">
        <v>0.8</v>
      </c>
      <c r="I1018" s="24">
        <v>1</v>
      </c>
    </row>
    <row r="1019" spans="1:9" ht="15.75" customHeight="1" x14ac:dyDescent="0.2">
      <c r="A1019" s="26">
        <v>1027</v>
      </c>
      <c r="B1019" s="24">
        <v>1027</v>
      </c>
      <c r="C1019" s="24">
        <v>104</v>
      </c>
      <c r="D1019" s="24">
        <f>VLOOKUP(C1019,[1]Course!$A$1:$C$229, 2, FALSE)</f>
        <v>0</v>
      </c>
      <c r="E1019" s="24">
        <v>127</v>
      </c>
      <c r="F1019" s="24" t="s">
        <v>593</v>
      </c>
      <c r="G1019" s="24">
        <v>1</v>
      </c>
      <c r="H1019" s="25">
        <v>0.8</v>
      </c>
      <c r="I1019" s="24">
        <v>1</v>
      </c>
    </row>
    <row r="1020" spans="1:9" ht="15.75" customHeight="1" x14ac:dyDescent="0.2">
      <c r="A1020" s="26">
        <v>1028</v>
      </c>
      <c r="B1020" s="24">
        <v>1028</v>
      </c>
      <c r="C1020" s="24">
        <v>104</v>
      </c>
      <c r="D1020" s="24">
        <f>VLOOKUP(C1020,[1]Course!$A$1:$C$229, 2, FALSE)</f>
        <v>0</v>
      </c>
      <c r="E1020" s="24">
        <v>128</v>
      </c>
      <c r="F1020" s="24" t="s">
        <v>592</v>
      </c>
      <c r="G1020" s="24">
        <v>1</v>
      </c>
      <c r="H1020" s="25">
        <v>0.8</v>
      </c>
      <c r="I1020" s="24">
        <v>1</v>
      </c>
    </row>
    <row r="1021" spans="1:9" ht="15.75" customHeight="1" x14ac:dyDescent="0.2">
      <c r="A1021" s="26">
        <v>1029</v>
      </c>
      <c r="B1021" s="24">
        <v>1029</v>
      </c>
      <c r="C1021" s="24">
        <v>104</v>
      </c>
      <c r="D1021" s="24">
        <f>VLOOKUP(C1021,[1]Course!$A$1:$C$229, 2, FALSE)</f>
        <v>0</v>
      </c>
      <c r="E1021" s="24">
        <v>129</v>
      </c>
      <c r="F1021" s="24" t="s">
        <v>591</v>
      </c>
      <c r="G1021" s="24">
        <v>1</v>
      </c>
      <c r="H1021" s="25">
        <v>0.8</v>
      </c>
      <c r="I1021" s="24">
        <v>1</v>
      </c>
    </row>
    <row r="1022" spans="1:9" ht="15.75" customHeight="1" x14ac:dyDescent="0.2">
      <c r="A1022" s="26">
        <v>1030</v>
      </c>
      <c r="B1022" s="24">
        <v>1030</v>
      </c>
      <c r="C1022" s="24">
        <v>104</v>
      </c>
      <c r="D1022" s="24">
        <f>VLOOKUP(C1022,[1]Course!$A$1:$C$229, 2, FALSE)</f>
        <v>0</v>
      </c>
      <c r="E1022" s="24">
        <v>130</v>
      </c>
      <c r="F1022" s="24" t="s">
        <v>590</v>
      </c>
      <c r="G1022" s="24">
        <v>1</v>
      </c>
      <c r="H1022" s="25">
        <v>0.8</v>
      </c>
      <c r="I1022" s="24">
        <v>1</v>
      </c>
    </row>
    <row r="1023" spans="1:9" ht="15.75" customHeight="1" x14ac:dyDescent="0.2">
      <c r="A1023" s="26">
        <v>1031</v>
      </c>
      <c r="B1023" s="24">
        <v>1031</v>
      </c>
      <c r="C1023" s="24">
        <v>104</v>
      </c>
      <c r="D1023" s="24">
        <f>VLOOKUP(C1023,[1]Course!$A$1:$C$229, 2, FALSE)</f>
        <v>0</v>
      </c>
      <c r="E1023" s="24">
        <v>131</v>
      </c>
      <c r="F1023" s="24" t="s">
        <v>589</v>
      </c>
      <c r="G1023" s="24">
        <v>1</v>
      </c>
      <c r="H1023" s="25">
        <v>0.8</v>
      </c>
      <c r="I1023" s="24">
        <v>1</v>
      </c>
    </row>
    <row r="1024" spans="1:9" ht="15.75" customHeight="1" x14ac:dyDescent="0.2">
      <c r="A1024" s="26">
        <v>1032</v>
      </c>
      <c r="B1024" s="24">
        <v>1032</v>
      </c>
      <c r="C1024" s="24">
        <v>104</v>
      </c>
      <c r="D1024" s="24">
        <f>VLOOKUP(C1024,[1]Course!$A$1:$C$229, 2, FALSE)</f>
        <v>0</v>
      </c>
      <c r="E1024" s="24">
        <v>132</v>
      </c>
      <c r="F1024" s="24" t="s">
        <v>588</v>
      </c>
      <c r="G1024" s="24">
        <v>1</v>
      </c>
      <c r="H1024" s="25">
        <v>0.8</v>
      </c>
      <c r="I1024" s="24">
        <v>1</v>
      </c>
    </row>
    <row r="1025" spans="1:9" ht="15.75" customHeight="1" x14ac:dyDescent="0.2">
      <c r="A1025" s="26">
        <v>1033</v>
      </c>
      <c r="B1025" s="24">
        <v>1033</v>
      </c>
      <c r="C1025" s="24">
        <v>105</v>
      </c>
      <c r="D1025" s="24" t="str">
        <f>VLOOKUP(C1025,[1]Course!$A$1:$C$229, 2, FALSE)</f>
        <v>Science 11</v>
      </c>
      <c r="E1025" s="24">
        <v>121</v>
      </c>
      <c r="F1025" s="24" t="s">
        <v>587</v>
      </c>
      <c r="G1025" s="24">
        <v>1</v>
      </c>
      <c r="H1025" s="25">
        <v>0.8</v>
      </c>
      <c r="I1025" s="24">
        <v>1</v>
      </c>
    </row>
    <row r="1026" spans="1:9" ht="15.75" customHeight="1" x14ac:dyDescent="0.2">
      <c r="A1026" s="26">
        <v>1034</v>
      </c>
      <c r="B1026" s="24">
        <v>1034</v>
      </c>
      <c r="C1026" s="24">
        <v>105</v>
      </c>
      <c r="D1026" s="24" t="str">
        <f>VLOOKUP(C1026,[1]Course!$A$1:$C$229, 2, FALSE)</f>
        <v>Science 11</v>
      </c>
      <c r="E1026" s="24">
        <v>122</v>
      </c>
      <c r="F1026" s="24" t="s">
        <v>586</v>
      </c>
      <c r="G1026" s="24">
        <v>1</v>
      </c>
      <c r="H1026" s="25">
        <v>0.8</v>
      </c>
      <c r="I1026" s="24">
        <v>1</v>
      </c>
    </row>
    <row r="1027" spans="1:9" ht="15.75" customHeight="1" x14ac:dyDescent="0.2">
      <c r="A1027" s="26">
        <v>1035</v>
      </c>
      <c r="B1027" s="24">
        <v>1035</v>
      </c>
      <c r="C1027" s="24">
        <v>105</v>
      </c>
      <c r="D1027" s="24" t="str">
        <f>VLOOKUP(C1027,[1]Course!$A$1:$C$229, 2, FALSE)</f>
        <v>Science 11</v>
      </c>
      <c r="E1027" s="24">
        <v>123</v>
      </c>
      <c r="F1027" s="24" t="s">
        <v>585</v>
      </c>
      <c r="G1027" s="24">
        <v>1</v>
      </c>
      <c r="H1027" s="25">
        <v>0.8</v>
      </c>
      <c r="I1027" s="24">
        <v>1</v>
      </c>
    </row>
    <row r="1028" spans="1:9" ht="15.75" customHeight="1" x14ac:dyDescent="0.2">
      <c r="A1028" s="26">
        <v>1036</v>
      </c>
      <c r="B1028" s="24">
        <v>1036</v>
      </c>
      <c r="C1028" s="24">
        <v>105</v>
      </c>
      <c r="D1028" s="24" t="str">
        <f>VLOOKUP(C1028,[1]Course!$A$1:$C$229, 2, FALSE)</f>
        <v>Science 11</v>
      </c>
      <c r="E1028" s="24">
        <v>124</v>
      </c>
      <c r="F1028" s="24" t="s">
        <v>584</v>
      </c>
      <c r="G1028" s="24">
        <v>1</v>
      </c>
      <c r="H1028" s="25">
        <v>0.8</v>
      </c>
      <c r="I1028" s="24">
        <v>1</v>
      </c>
    </row>
    <row r="1029" spans="1:9" ht="15.75" customHeight="1" x14ac:dyDescent="0.2">
      <c r="A1029" s="26">
        <v>1037</v>
      </c>
      <c r="B1029" s="24">
        <v>1037</v>
      </c>
      <c r="C1029" s="24">
        <v>105</v>
      </c>
      <c r="D1029" s="24" t="str">
        <f>VLOOKUP(C1029,[1]Course!$A$1:$C$229, 2, FALSE)</f>
        <v>Science 11</v>
      </c>
      <c r="E1029" s="24">
        <v>125</v>
      </c>
      <c r="F1029" s="24" t="s">
        <v>583</v>
      </c>
      <c r="G1029" s="24">
        <v>1</v>
      </c>
      <c r="H1029" s="25">
        <v>0.8</v>
      </c>
      <c r="I1029" s="24">
        <v>1</v>
      </c>
    </row>
    <row r="1030" spans="1:9" ht="15.75" customHeight="1" x14ac:dyDescent="0.2">
      <c r="A1030" s="26">
        <v>1038</v>
      </c>
      <c r="B1030" s="24">
        <v>1038</v>
      </c>
      <c r="C1030" s="24">
        <v>105</v>
      </c>
      <c r="D1030" s="24" t="str">
        <f>VLOOKUP(C1030,[1]Course!$A$1:$C$229, 2, FALSE)</f>
        <v>Science 11</v>
      </c>
      <c r="E1030" s="24">
        <v>126</v>
      </c>
      <c r="F1030" s="24" t="s">
        <v>582</v>
      </c>
      <c r="G1030" s="24">
        <v>1</v>
      </c>
      <c r="H1030" s="25">
        <v>0.8</v>
      </c>
      <c r="I1030" s="24">
        <v>1</v>
      </c>
    </row>
    <row r="1031" spans="1:9" ht="15.75" customHeight="1" x14ac:dyDescent="0.2">
      <c r="A1031" s="26">
        <v>1039</v>
      </c>
      <c r="B1031" s="24">
        <v>1039</v>
      </c>
      <c r="C1031" s="24">
        <v>105</v>
      </c>
      <c r="D1031" s="24" t="str">
        <f>VLOOKUP(C1031,[1]Course!$A$1:$C$229, 2, FALSE)</f>
        <v>Science 11</v>
      </c>
      <c r="E1031" s="24">
        <v>127</v>
      </c>
      <c r="F1031" s="24" t="s">
        <v>581</v>
      </c>
      <c r="G1031" s="24">
        <v>1</v>
      </c>
      <c r="H1031" s="25">
        <v>0.8</v>
      </c>
      <c r="I1031" s="24">
        <v>1</v>
      </c>
    </row>
    <row r="1032" spans="1:9" ht="15.75" customHeight="1" x14ac:dyDescent="0.2">
      <c r="A1032" s="26">
        <v>1040</v>
      </c>
      <c r="B1032" s="24">
        <v>1040</v>
      </c>
      <c r="C1032" s="24">
        <v>105</v>
      </c>
      <c r="D1032" s="24" t="str">
        <f>VLOOKUP(C1032,[1]Course!$A$1:$C$229, 2, FALSE)</f>
        <v>Science 11</v>
      </c>
      <c r="E1032" s="24">
        <v>128</v>
      </c>
      <c r="F1032" s="24" t="s">
        <v>580</v>
      </c>
      <c r="G1032" s="24">
        <v>1</v>
      </c>
      <c r="H1032" s="25">
        <v>0.8</v>
      </c>
      <c r="I1032" s="24">
        <v>1</v>
      </c>
    </row>
    <row r="1033" spans="1:9" ht="15.75" customHeight="1" x14ac:dyDescent="0.2">
      <c r="A1033" s="26">
        <v>1041</v>
      </c>
      <c r="B1033" s="24">
        <v>1041</v>
      </c>
      <c r="C1033" s="24">
        <v>105</v>
      </c>
      <c r="D1033" s="24" t="str">
        <f>VLOOKUP(C1033,[1]Course!$A$1:$C$229, 2, FALSE)</f>
        <v>Science 11</v>
      </c>
      <c r="E1033" s="24">
        <v>129</v>
      </c>
      <c r="F1033" s="24" t="s">
        <v>579</v>
      </c>
      <c r="G1033" s="24">
        <v>1</v>
      </c>
      <c r="H1033" s="25">
        <v>0.8</v>
      </c>
      <c r="I1033" s="24">
        <v>1</v>
      </c>
    </row>
    <row r="1034" spans="1:9" ht="15.75" customHeight="1" x14ac:dyDescent="0.2">
      <c r="A1034" s="26">
        <v>1042</v>
      </c>
      <c r="B1034" s="24">
        <v>1042</v>
      </c>
      <c r="C1034" s="24">
        <v>105</v>
      </c>
      <c r="D1034" s="24" t="str">
        <f>VLOOKUP(C1034,[1]Course!$A$1:$C$229, 2, FALSE)</f>
        <v>Science 11</v>
      </c>
      <c r="E1034" s="24">
        <v>130</v>
      </c>
      <c r="F1034" s="24" t="s">
        <v>578</v>
      </c>
      <c r="G1034" s="24">
        <v>1</v>
      </c>
      <c r="H1034" s="25">
        <v>0.8</v>
      </c>
      <c r="I1034" s="24">
        <v>1</v>
      </c>
    </row>
    <row r="1035" spans="1:9" ht="15.75" customHeight="1" x14ac:dyDescent="0.2">
      <c r="A1035" s="26">
        <v>1043</v>
      </c>
      <c r="B1035" s="24">
        <v>1043</v>
      </c>
      <c r="C1035" s="24">
        <v>105</v>
      </c>
      <c r="D1035" s="24" t="str">
        <f>VLOOKUP(C1035,[1]Course!$A$1:$C$229, 2, FALSE)</f>
        <v>Science 11</v>
      </c>
      <c r="E1035" s="24">
        <v>131</v>
      </c>
      <c r="F1035" s="24" t="s">
        <v>577</v>
      </c>
      <c r="G1035" s="24">
        <v>1</v>
      </c>
      <c r="H1035" s="25">
        <v>0.8</v>
      </c>
      <c r="I1035" s="24">
        <v>1</v>
      </c>
    </row>
    <row r="1036" spans="1:9" ht="15.75" customHeight="1" x14ac:dyDescent="0.2">
      <c r="A1036" s="26">
        <v>1044</v>
      </c>
      <c r="B1036" s="24">
        <v>1044</v>
      </c>
      <c r="C1036" s="24">
        <v>105</v>
      </c>
      <c r="D1036" s="24" t="str">
        <f>VLOOKUP(C1036,[1]Course!$A$1:$C$229, 2, FALSE)</f>
        <v>Science 11</v>
      </c>
      <c r="E1036" s="24">
        <v>132</v>
      </c>
      <c r="F1036" s="24" t="s">
        <v>576</v>
      </c>
      <c r="G1036" s="24">
        <v>1</v>
      </c>
      <c r="H1036" s="25">
        <v>0.8</v>
      </c>
      <c r="I1036" s="24">
        <v>1</v>
      </c>
    </row>
    <row r="1037" spans="1:9" ht="15.75" customHeight="1" x14ac:dyDescent="0.2">
      <c r="A1037" s="26">
        <v>1045</v>
      </c>
      <c r="B1037" s="24">
        <v>1045</v>
      </c>
      <c r="C1037" s="24">
        <v>106</v>
      </c>
      <c r="D1037" s="24" t="str">
        <f>VLOOKUP(C1037,[1]Course!$A$1:$C$229, 2, FALSE)</f>
        <v>Basic New Testament Church History</v>
      </c>
      <c r="E1037" s="24">
        <v>121</v>
      </c>
      <c r="F1037" s="24" t="s">
        <v>575</v>
      </c>
      <c r="G1037" s="24">
        <f t="shared" ref="G1037:G1048" si="7">1/12</f>
        <v>8.3333333333333329E-2</v>
      </c>
      <c r="H1037" s="25">
        <v>0.8</v>
      </c>
      <c r="I1037" s="24">
        <v>1</v>
      </c>
    </row>
    <row r="1038" spans="1:9" ht="15.75" customHeight="1" x14ac:dyDescent="0.2">
      <c r="A1038" s="26">
        <v>1046</v>
      </c>
      <c r="B1038" s="24">
        <v>1046</v>
      </c>
      <c r="C1038" s="24">
        <v>106</v>
      </c>
      <c r="D1038" s="24" t="str">
        <f>VLOOKUP(C1038,[1]Course!$A$1:$C$229, 2, FALSE)</f>
        <v>Basic New Testament Church History</v>
      </c>
      <c r="E1038" s="24">
        <v>122</v>
      </c>
      <c r="F1038" s="24" t="s">
        <v>574</v>
      </c>
      <c r="G1038" s="24">
        <f t="shared" si="7"/>
        <v>8.3333333333333329E-2</v>
      </c>
      <c r="H1038" s="25">
        <v>0.8</v>
      </c>
      <c r="I1038" s="24">
        <v>1</v>
      </c>
    </row>
    <row r="1039" spans="1:9" ht="15.75" customHeight="1" x14ac:dyDescent="0.2">
      <c r="A1039" s="26">
        <v>1047</v>
      </c>
      <c r="B1039" s="24">
        <v>1047</v>
      </c>
      <c r="C1039" s="24">
        <v>106</v>
      </c>
      <c r="D1039" s="24" t="str">
        <f>VLOOKUP(C1039,[1]Course!$A$1:$C$229, 2, FALSE)</f>
        <v>Basic New Testament Church History</v>
      </c>
      <c r="E1039" s="24">
        <v>123</v>
      </c>
      <c r="F1039" s="24" t="s">
        <v>573</v>
      </c>
      <c r="G1039" s="24">
        <f t="shared" si="7"/>
        <v>8.3333333333333329E-2</v>
      </c>
      <c r="H1039" s="25">
        <v>0.8</v>
      </c>
      <c r="I1039" s="24">
        <v>1</v>
      </c>
    </row>
    <row r="1040" spans="1:9" ht="15.75" customHeight="1" x14ac:dyDescent="0.2">
      <c r="A1040" s="26">
        <v>1048</v>
      </c>
      <c r="B1040" s="24">
        <v>1048</v>
      </c>
      <c r="C1040" s="24">
        <v>106</v>
      </c>
      <c r="D1040" s="24" t="str">
        <f>VLOOKUP(C1040,[1]Course!$A$1:$C$229, 2, FALSE)</f>
        <v>Basic New Testament Church History</v>
      </c>
      <c r="E1040" s="24">
        <v>124</v>
      </c>
      <c r="F1040" s="24" t="s">
        <v>572</v>
      </c>
      <c r="G1040" s="24">
        <f t="shared" si="7"/>
        <v>8.3333333333333329E-2</v>
      </c>
      <c r="H1040" s="25">
        <v>0.8</v>
      </c>
      <c r="I1040" s="24">
        <v>1</v>
      </c>
    </row>
    <row r="1041" spans="1:9" ht="15.75" customHeight="1" x14ac:dyDescent="0.2">
      <c r="A1041" s="26">
        <v>1049</v>
      </c>
      <c r="B1041" s="24">
        <v>1049</v>
      </c>
      <c r="C1041" s="24">
        <v>106</v>
      </c>
      <c r="D1041" s="24" t="str">
        <f>VLOOKUP(C1041,[1]Course!$A$1:$C$229, 2, FALSE)</f>
        <v>Basic New Testament Church History</v>
      </c>
      <c r="E1041" s="24">
        <v>125</v>
      </c>
      <c r="F1041" s="24" t="s">
        <v>571</v>
      </c>
      <c r="G1041" s="24">
        <f t="shared" si="7"/>
        <v>8.3333333333333329E-2</v>
      </c>
      <c r="H1041" s="25">
        <v>0.8</v>
      </c>
      <c r="I1041" s="24">
        <v>1</v>
      </c>
    </row>
    <row r="1042" spans="1:9" ht="15.75" customHeight="1" x14ac:dyDescent="0.2">
      <c r="A1042" s="26">
        <v>1050</v>
      </c>
      <c r="B1042" s="24">
        <v>1050</v>
      </c>
      <c r="C1042" s="24">
        <v>106</v>
      </c>
      <c r="D1042" s="24" t="str">
        <f>VLOOKUP(C1042,[1]Course!$A$1:$C$229, 2, FALSE)</f>
        <v>Basic New Testament Church History</v>
      </c>
      <c r="E1042" s="24">
        <v>126</v>
      </c>
      <c r="F1042" s="24" t="s">
        <v>570</v>
      </c>
      <c r="G1042" s="24">
        <f t="shared" si="7"/>
        <v>8.3333333333333329E-2</v>
      </c>
      <c r="H1042" s="25">
        <v>0.8</v>
      </c>
      <c r="I1042" s="24">
        <v>1</v>
      </c>
    </row>
    <row r="1043" spans="1:9" ht="15.75" customHeight="1" x14ac:dyDescent="0.2">
      <c r="A1043" s="26">
        <v>1051</v>
      </c>
      <c r="B1043" s="24">
        <v>1051</v>
      </c>
      <c r="C1043" s="24">
        <v>106</v>
      </c>
      <c r="D1043" s="24" t="str">
        <f>VLOOKUP(C1043,[1]Course!$A$1:$C$229, 2, FALSE)</f>
        <v>Basic New Testament Church History</v>
      </c>
      <c r="E1043" s="24">
        <v>127</v>
      </c>
      <c r="F1043" s="24" t="s">
        <v>420</v>
      </c>
      <c r="G1043" s="24">
        <f t="shared" si="7"/>
        <v>8.3333333333333329E-2</v>
      </c>
      <c r="H1043" s="25">
        <v>0.8</v>
      </c>
      <c r="I1043" s="24">
        <v>1</v>
      </c>
    </row>
    <row r="1044" spans="1:9" ht="15.75" customHeight="1" x14ac:dyDescent="0.2">
      <c r="A1044" s="26">
        <v>1052</v>
      </c>
      <c r="B1044" s="24">
        <v>1052</v>
      </c>
      <c r="C1044" s="24">
        <v>106</v>
      </c>
      <c r="D1044" s="24" t="str">
        <f>VLOOKUP(C1044,[1]Course!$A$1:$C$229, 2, FALSE)</f>
        <v>Basic New Testament Church History</v>
      </c>
      <c r="E1044" s="24">
        <v>128</v>
      </c>
      <c r="F1044" s="24" t="s">
        <v>419</v>
      </c>
      <c r="G1044" s="24">
        <f t="shared" si="7"/>
        <v>8.3333333333333329E-2</v>
      </c>
      <c r="H1044" s="25">
        <v>0.8</v>
      </c>
      <c r="I1044" s="24">
        <v>1</v>
      </c>
    </row>
    <row r="1045" spans="1:9" ht="15.75" customHeight="1" x14ac:dyDescent="0.2">
      <c r="A1045" s="26">
        <v>1053</v>
      </c>
      <c r="B1045" s="24">
        <v>1053</v>
      </c>
      <c r="C1045" s="24">
        <v>106</v>
      </c>
      <c r="D1045" s="24" t="str">
        <f>VLOOKUP(C1045,[1]Course!$A$1:$C$229, 2, FALSE)</f>
        <v>Basic New Testament Church History</v>
      </c>
      <c r="E1045" s="24">
        <v>129</v>
      </c>
      <c r="F1045" s="24" t="s">
        <v>418</v>
      </c>
      <c r="G1045" s="24">
        <f t="shared" si="7"/>
        <v>8.3333333333333329E-2</v>
      </c>
      <c r="H1045" s="25">
        <v>0.8</v>
      </c>
      <c r="I1045" s="24">
        <v>1</v>
      </c>
    </row>
    <row r="1046" spans="1:9" ht="15.75" customHeight="1" x14ac:dyDescent="0.2">
      <c r="A1046" s="26">
        <v>1054</v>
      </c>
      <c r="B1046" s="24">
        <v>1054</v>
      </c>
      <c r="C1046" s="24">
        <v>106</v>
      </c>
      <c r="D1046" s="24" t="str">
        <f>VLOOKUP(C1046,[1]Course!$A$1:$C$229, 2, FALSE)</f>
        <v>Basic New Testament Church History</v>
      </c>
      <c r="E1046" s="24">
        <v>130</v>
      </c>
      <c r="F1046" s="24" t="s">
        <v>417</v>
      </c>
      <c r="G1046" s="24">
        <f t="shared" si="7"/>
        <v>8.3333333333333329E-2</v>
      </c>
      <c r="H1046" s="25">
        <v>0.8</v>
      </c>
      <c r="I1046" s="24">
        <v>1</v>
      </c>
    </row>
    <row r="1047" spans="1:9" ht="15.75" customHeight="1" x14ac:dyDescent="0.2">
      <c r="A1047" s="26">
        <v>1055</v>
      </c>
      <c r="B1047" s="24">
        <v>1055</v>
      </c>
      <c r="C1047" s="24">
        <v>106</v>
      </c>
      <c r="D1047" s="24" t="str">
        <f>VLOOKUP(C1047,[1]Course!$A$1:$C$229, 2, FALSE)</f>
        <v>Basic New Testament Church History</v>
      </c>
      <c r="E1047" s="24">
        <v>131</v>
      </c>
      <c r="F1047" s="24" t="s">
        <v>416</v>
      </c>
      <c r="G1047" s="24">
        <f t="shared" si="7"/>
        <v>8.3333333333333329E-2</v>
      </c>
      <c r="H1047" s="25">
        <v>0.8</v>
      </c>
      <c r="I1047" s="24">
        <v>1</v>
      </c>
    </row>
    <row r="1048" spans="1:9" ht="15.75" customHeight="1" x14ac:dyDescent="0.2">
      <c r="A1048" s="26">
        <v>1056</v>
      </c>
      <c r="B1048" s="24">
        <v>1056</v>
      </c>
      <c r="C1048" s="24">
        <v>106</v>
      </c>
      <c r="D1048" s="24" t="str">
        <f>VLOOKUP(C1048,[1]Course!$A$1:$C$229, 2, FALSE)</f>
        <v>Basic New Testament Church History</v>
      </c>
      <c r="E1048" s="24">
        <v>132</v>
      </c>
      <c r="F1048" s="24" t="s">
        <v>415</v>
      </c>
      <c r="G1048" s="24">
        <f t="shared" si="7"/>
        <v>8.3333333333333329E-2</v>
      </c>
      <c r="H1048" s="25">
        <v>0.8</v>
      </c>
      <c r="I1048" s="24">
        <v>1</v>
      </c>
    </row>
    <row r="1049" spans="1:9" ht="15.75" customHeight="1" x14ac:dyDescent="0.2">
      <c r="A1049" s="26">
        <v>1057</v>
      </c>
      <c r="B1049" s="24">
        <v>1057</v>
      </c>
      <c r="C1049" s="24">
        <v>107</v>
      </c>
      <c r="D1049" s="24">
        <f>VLOOKUP(C1049,[1]Course!$A$1:$C$229, 2, FALSE)</f>
        <v>0</v>
      </c>
      <c r="E1049" s="24">
        <v>121</v>
      </c>
      <c r="F1049" s="24" t="s">
        <v>569</v>
      </c>
      <c r="G1049" s="24">
        <v>1</v>
      </c>
      <c r="H1049" s="25">
        <v>0.8</v>
      </c>
      <c r="I1049" s="24">
        <v>1</v>
      </c>
    </row>
    <row r="1050" spans="1:9" ht="15.75" customHeight="1" x14ac:dyDescent="0.2">
      <c r="A1050" s="26">
        <v>1058</v>
      </c>
      <c r="B1050" s="24">
        <v>1058</v>
      </c>
      <c r="C1050" s="24">
        <v>107</v>
      </c>
      <c r="D1050" s="24">
        <f>VLOOKUP(C1050,[1]Course!$A$1:$C$229, 2, FALSE)</f>
        <v>0</v>
      </c>
      <c r="E1050" s="24">
        <v>122</v>
      </c>
      <c r="F1050" s="24" t="s">
        <v>568</v>
      </c>
      <c r="G1050" s="24">
        <v>1</v>
      </c>
      <c r="H1050" s="25">
        <v>0.8</v>
      </c>
      <c r="I1050" s="24">
        <v>1</v>
      </c>
    </row>
    <row r="1051" spans="1:9" ht="15.75" customHeight="1" x14ac:dyDescent="0.2">
      <c r="A1051" s="26">
        <v>1059</v>
      </c>
      <c r="B1051" s="24">
        <v>1059</v>
      </c>
      <c r="C1051" s="24">
        <v>107</v>
      </c>
      <c r="D1051" s="24">
        <f>VLOOKUP(C1051,[1]Course!$A$1:$C$229, 2, FALSE)</f>
        <v>0</v>
      </c>
      <c r="E1051" s="24">
        <v>123</v>
      </c>
      <c r="F1051" s="24" t="s">
        <v>567</v>
      </c>
      <c r="G1051" s="24">
        <v>1</v>
      </c>
      <c r="H1051" s="25">
        <v>0.8</v>
      </c>
      <c r="I1051" s="24">
        <v>1</v>
      </c>
    </row>
    <row r="1052" spans="1:9" ht="15.75" customHeight="1" x14ac:dyDescent="0.2">
      <c r="A1052" s="26">
        <v>1060</v>
      </c>
      <c r="B1052" s="24">
        <v>1060</v>
      </c>
      <c r="C1052" s="24">
        <v>107</v>
      </c>
      <c r="D1052" s="24">
        <f>VLOOKUP(C1052,[1]Course!$A$1:$C$229, 2, FALSE)</f>
        <v>0</v>
      </c>
      <c r="E1052" s="24">
        <v>124</v>
      </c>
      <c r="F1052" s="24" t="s">
        <v>566</v>
      </c>
      <c r="G1052" s="24">
        <v>1</v>
      </c>
      <c r="H1052" s="25">
        <v>0.8</v>
      </c>
      <c r="I1052" s="24">
        <v>1</v>
      </c>
    </row>
    <row r="1053" spans="1:9" ht="15.75" customHeight="1" x14ac:dyDescent="0.2">
      <c r="A1053" s="26">
        <v>1061</v>
      </c>
      <c r="B1053" s="24">
        <v>1061</v>
      </c>
      <c r="C1053" s="24">
        <v>107</v>
      </c>
      <c r="D1053" s="24">
        <f>VLOOKUP(C1053,[1]Course!$A$1:$C$229, 2, FALSE)</f>
        <v>0</v>
      </c>
      <c r="E1053" s="24">
        <v>125</v>
      </c>
      <c r="F1053" s="24" t="s">
        <v>565</v>
      </c>
      <c r="G1053" s="24">
        <v>1</v>
      </c>
      <c r="H1053" s="25">
        <v>0.8</v>
      </c>
      <c r="I1053" s="24">
        <v>1</v>
      </c>
    </row>
    <row r="1054" spans="1:9" ht="15.75" customHeight="1" x14ac:dyDescent="0.2">
      <c r="A1054" s="26">
        <v>1062</v>
      </c>
      <c r="B1054" s="24">
        <v>1062</v>
      </c>
      <c r="C1054" s="24">
        <v>107</v>
      </c>
      <c r="D1054" s="24">
        <f>VLOOKUP(C1054,[1]Course!$A$1:$C$229, 2, FALSE)</f>
        <v>0</v>
      </c>
      <c r="E1054" s="24">
        <v>126</v>
      </c>
      <c r="F1054" s="24" t="s">
        <v>564</v>
      </c>
      <c r="G1054" s="24">
        <v>1</v>
      </c>
      <c r="H1054" s="25">
        <v>0.8</v>
      </c>
      <c r="I1054" s="24">
        <v>1</v>
      </c>
    </row>
    <row r="1055" spans="1:9" ht="15.75" customHeight="1" x14ac:dyDescent="0.2">
      <c r="A1055" s="26">
        <v>1063</v>
      </c>
      <c r="B1055" s="24">
        <v>1063</v>
      </c>
      <c r="C1055" s="24">
        <v>107</v>
      </c>
      <c r="D1055" s="24">
        <f>VLOOKUP(C1055,[1]Course!$A$1:$C$229, 2, FALSE)</f>
        <v>0</v>
      </c>
      <c r="E1055" s="24">
        <v>127</v>
      </c>
      <c r="F1055" s="24" t="s">
        <v>563</v>
      </c>
      <c r="G1055" s="24">
        <v>1</v>
      </c>
      <c r="H1055" s="25">
        <v>0.8</v>
      </c>
      <c r="I1055" s="24">
        <v>1</v>
      </c>
    </row>
    <row r="1056" spans="1:9" ht="15.75" customHeight="1" x14ac:dyDescent="0.2">
      <c r="A1056" s="26">
        <v>1064</v>
      </c>
      <c r="B1056" s="24">
        <v>1064</v>
      </c>
      <c r="C1056" s="24">
        <v>107</v>
      </c>
      <c r="D1056" s="24">
        <f>VLOOKUP(C1056,[1]Course!$A$1:$C$229, 2, FALSE)</f>
        <v>0</v>
      </c>
      <c r="E1056" s="24">
        <v>128</v>
      </c>
      <c r="F1056" s="24" t="s">
        <v>562</v>
      </c>
      <c r="G1056" s="24">
        <v>1</v>
      </c>
      <c r="H1056" s="25">
        <v>0.8</v>
      </c>
      <c r="I1056" s="24">
        <v>1</v>
      </c>
    </row>
    <row r="1057" spans="1:9" ht="15.75" customHeight="1" x14ac:dyDescent="0.2">
      <c r="A1057" s="26">
        <v>1065</v>
      </c>
      <c r="B1057" s="24">
        <v>1065</v>
      </c>
      <c r="C1057" s="24">
        <v>107</v>
      </c>
      <c r="D1057" s="24">
        <f>VLOOKUP(C1057,[1]Course!$A$1:$C$229, 2, FALSE)</f>
        <v>0</v>
      </c>
      <c r="E1057" s="24">
        <v>129</v>
      </c>
      <c r="F1057" s="24" t="s">
        <v>561</v>
      </c>
      <c r="G1057" s="24">
        <v>1</v>
      </c>
      <c r="H1057" s="25">
        <v>0.8</v>
      </c>
      <c r="I1057" s="24">
        <v>1</v>
      </c>
    </row>
    <row r="1058" spans="1:9" ht="15.75" customHeight="1" x14ac:dyDescent="0.2">
      <c r="A1058" s="26">
        <v>1066</v>
      </c>
      <c r="B1058" s="24">
        <v>1066</v>
      </c>
      <c r="C1058" s="24">
        <v>107</v>
      </c>
      <c r="D1058" s="24">
        <f>VLOOKUP(C1058,[1]Course!$A$1:$C$229, 2, FALSE)</f>
        <v>0</v>
      </c>
      <c r="E1058" s="24">
        <v>130</v>
      </c>
      <c r="F1058" s="24" t="s">
        <v>560</v>
      </c>
      <c r="G1058" s="24">
        <v>1</v>
      </c>
      <c r="H1058" s="25">
        <v>0.8</v>
      </c>
      <c r="I1058" s="24">
        <v>1</v>
      </c>
    </row>
    <row r="1059" spans="1:9" ht="15.75" customHeight="1" x14ac:dyDescent="0.2">
      <c r="A1059" s="26">
        <v>1067</v>
      </c>
      <c r="B1059" s="24">
        <v>1067</v>
      </c>
      <c r="C1059" s="24">
        <v>107</v>
      </c>
      <c r="D1059" s="24">
        <f>VLOOKUP(C1059,[1]Course!$A$1:$C$229, 2, FALSE)</f>
        <v>0</v>
      </c>
      <c r="E1059" s="24">
        <v>131</v>
      </c>
      <c r="F1059" s="24" t="s">
        <v>559</v>
      </c>
      <c r="G1059" s="24">
        <v>1</v>
      </c>
      <c r="H1059" s="25">
        <v>0.8</v>
      </c>
      <c r="I1059" s="24">
        <v>1</v>
      </c>
    </row>
    <row r="1060" spans="1:9" ht="15.75" customHeight="1" x14ac:dyDescent="0.2">
      <c r="A1060" s="26">
        <v>1068</v>
      </c>
      <c r="B1060" s="24">
        <v>1068</v>
      </c>
      <c r="C1060" s="24">
        <v>107</v>
      </c>
      <c r="D1060" s="24">
        <f>VLOOKUP(C1060,[1]Course!$A$1:$C$229, 2, FALSE)</f>
        <v>0</v>
      </c>
      <c r="E1060" s="24">
        <v>132</v>
      </c>
      <c r="F1060" s="24" t="s">
        <v>558</v>
      </c>
      <c r="G1060" s="24">
        <v>1</v>
      </c>
      <c r="H1060" s="25">
        <v>0.8</v>
      </c>
      <c r="I1060" s="24">
        <v>1</v>
      </c>
    </row>
    <row r="1061" spans="1:9" ht="15.75" customHeight="1" x14ac:dyDescent="0.2">
      <c r="A1061" s="26">
        <v>1069</v>
      </c>
      <c r="B1061" s="24">
        <v>1069</v>
      </c>
      <c r="C1061" s="24">
        <v>108</v>
      </c>
      <c r="D1061" s="24" t="str">
        <f>VLOOKUP(C1061,[1]Course!$A$1:$C$229, 2, FALSE)</f>
        <v>Basic Mathematics I</v>
      </c>
      <c r="E1061" s="24">
        <v>1</v>
      </c>
      <c r="F1061" s="24" t="s">
        <v>557</v>
      </c>
      <c r="G1061" s="24">
        <v>1</v>
      </c>
      <c r="H1061" s="25">
        <v>0.8</v>
      </c>
      <c r="I1061" s="24">
        <v>1</v>
      </c>
    </row>
    <row r="1062" spans="1:9" ht="15.75" customHeight="1" x14ac:dyDescent="0.2">
      <c r="A1062" s="26">
        <v>1070</v>
      </c>
      <c r="B1062" s="24">
        <v>1070</v>
      </c>
      <c r="C1062" s="24">
        <v>108</v>
      </c>
      <c r="D1062" s="24" t="str">
        <f>VLOOKUP(C1062,[1]Course!$A$1:$C$229, 2, FALSE)</f>
        <v>Basic Mathematics I</v>
      </c>
      <c r="E1062" s="24">
        <v>2</v>
      </c>
      <c r="F1062" s="24" t="s">
        <v>556</v>
      </c>
      <c r="G1062" s="24">
        <v>1</v>
      </c>
      <c r="H1062" s="25">
        <v>0.8</v>
      </c>
      <c r="I1062" s="24">
        <v>1</v>
      </c>
    </row>
    <row r="1063" spans="1:9" ht="15.75" customHeight="1" x14ac:dyDescent="0.2">
      <c r="A1063" s="26">
        <v>1071</v>
      </c>
      <c r="B1063" s="24">
        <v>1071</v>
      </c>
      <c r="C1063" s="24">
        <v>108</v>
      </c>
      <c r="D1063" s="24" t="str">
        <f>VLOOKUP(C1063,[1]Course!$A$1:$C$229, 2, FALSE)</f>
        <v>Basic Mathematics I</v>
      </c>
      <c r="E1063" s="24">
        <v>3</v>
      </c>
      <c r="F1063" s="24" t="s">
        <v>555</v>
      </c>
      <c r="G1063" s="24">
        <v>1</v>
      </c>
      <c r="H1063" s="25">
        <v>0.8</v>
      </c>
      <c r="I1063" s="24">
        <v>1</v>
      </c>
    </row>
    <row r="1064" spans="1:9" ht="15.75" customHeight="1" x14ac:dyDescent="0.2">
      <c r="A1064" s="26">
        <v>1072</v>
      </c>
      <c r="B1064" s="24">
        <v>1072</v>
      </c>
      <c r="C1064" s="24">
        <v>108</v>
      </c>
      <c r="D1064" s="24" t="str">
        <f>VLOOKUP(C1064,[1]Course!$A$1:$C$229, 2, FALSE)</f>
        <v>Basic Mathematics I</v>
      </c>
      <c r="E1064" s="24">
        <v>4</v>
      </c>
      <c r="F1064" s="24" t="s">
        <v>554</v>
      </c>
      <c r="G1064" s="24">
        <v>1</v>
      </c>
      <c r="H1064" s="25">
        <v>0.8</v>
      </c>
      <c r="I1064" s="24">
        <v>1</v>
      </c>
    </row>
    <row r="1065" spans="1:9" ht="15.75" customHeight="1" x14ac:dyDescent="0.2">
      <c r="A1065" s="26">
        <v>1073</v>
      </c>
      <c r="B1065" s="24">
        <v>1073</v>
      </c>
      <c r="C1065" s="24">
        <v>108</v>
      </c>
      <c r="D1065" s="24" t="str">
        <f>VLOOKUP(C1065,[1]Course!$A$1:$C$229, 2, FALSE)</f>
        <v>Basic Mathematics I</v>
      </c>
      <c r="E1065" s="24">
        <v>5</v>
      </c>
      <c r="F1065" s="24" t="s">
        <v>553</v>
      </c>
      <c r="G1065" s="24">
        <v>1</v>
      </c>
      <c r="H1065" s="25">
        <v>0.8</v>
      </c>
      <c r="I1065" s="24">
        <v>1</v>
      </c>
    </row>
    <row r="1066" spans="1:9" ht="15.75" customHeight="1" x14ac:dyDescent="0.2">
      <c r="A1066" s="26">
        <v>1074</v>
      </c>
      <c r="B1066" s="24">
        <v>1074</v>
      </c>
      <c r="C1066" s="24">
        <v>108</v>
      </c>
      <c r="D1066" s="24" t="str">
        <f>VLOOKUP(C1066,[1]Course!$A$1:$C$229, 2, FALSE)</f>
        <v>Basic Mathematics I</v>
      </c>
      <c r="E1066" s="24">
        <v>6</v>
      </c>
      <c r="F1066" s="24" t="s">
        <v>552</v>
      </c>
      <c r="G1066" s="24">
        <v>1</v>
      </c>
      <c r="H1066" s="25">
        <v>0.8</v>
      </c>
      <c r="I1066" s="24">
        <v>1</v>
      </c>
    </row>
    <row r="1067" spans="1:9" ht="15.75" customHeight="1" x14ac:dyDescent="0.2">
      <c r="A1067" s="26">
        <v>1075</v>
      </c>
      <c r="B1067" s="24">
        <v>1075</v>
      </c>
      <c r="C1067" s="24">
        <v>108</v>
      </c>
      <c r="D1067" s="24" t="str">
        <f>VLOOKUP(C1067,[1]Course!$A$1:$C$229, 2, FALSE)</f>
        <v>Basic Mathematics I</v>
      </c>
      <c r="E1067" s="24">
        <v>7</v>
      </c>
      <c r="F1067" s="24" t="s">
        <v>551</v>
      </c>
      <c r="G1067" s="24">
        <v>1</v>
      </c>
      <c r="H1067" s="25">
        <v>0.8</v>
      </c>
      <c r="I1067" s="24">
        <v>1</v>
      </c>
    </row>
    <row r="1068" spans="1:9" ht="15.75" customHeight="1" x14ac:dyDescent="0.2">
      <c r="A1068" s="26">
        <v>1076</v>
      </c>
      <c r="B1068" s="24">
        <v>1076</v>
      </c>
      <c r="C1068" s="24">
        <v>108</v>
      </c>
      <c r="D1068" s="24" t="str">
        <f>VLOOKUP(C1068,[1]Course!$A$1:$C$229, 2, FALSE)</f>
        <v>Basic Mathematics I</v>
      </c>
      <c r="E1068" s="24">
        <v>8</v>
      </c>
      <c r="F1068" s="24" t="s">
        <v>550</v>
      </c>
      <c r="G1068" s="24">
        <v>1</v>
      </c>
      <c r="H1068" s="25">
        <v>0.8</v>
      </c>
      <c r="I1068" s="24">
        <v>1</v>
      </c>
    </row>
    <row r="1069" spans="1:9" ht="15.75" customHeight="1" x14ac:dyDescent="0.2">
      <c r="A1069" s="26">
        <v>1077</v>
      </c>
      <c r="B1069" s="24">
        <v>1077</v>
      </c>
      <c r="C1069" s="24">
        <v>108</v>
      </c>
      <c r="D1069" s="24" t="str">
        <f>VLOOKUP(C1069,[1]Course!$A$1:$C$229, 2, FALSE)</f>
        <v>Basic Mathematics I</v>
      </c>
      <c r="E1069" s="24">
        <v>9</v>
      </c>
      <c r="F1069" s="24" t="s">
        <v>549</v>
      </c>
      <c r="G1069" s="24">
        <v>1</v>
      </c>
      <c r="H1069" s="25">
        <v>0.8</v>
      </c>
      <c r="I1069" s="24">
        <v>1</v>
      </c>
    </row>
    <row r="1070" spans="1:9" ht="15.75" customHeight="1" x14ac:dyDescent="0.2">
      <c r="A1070" s="26">
        <v>1078</v>
      </c>
      <c r="B1070" s="24">
        <v>1078</v>
      </c>
      <c r="C1070" s="24">
        <v>108</v>
      </c>
      <c r="D1070" s="24" t="str">
        <f>VLOOKUP(C1070,[1]Course!$A$1:$C$229, 2, FALSE)</f>
        <v>Basic Mathematics I</v>
      </c>
      <c r="E1070" s="24">
        <v>10</v>
      </c>
      <c r="F1070" s="24" t="s">
        <v>548</v>
      </c>
      <c r="G1070" s="24">
        <v>1</v>
      </c>
      <c r="H1070" s="25">
        <v>0.8</v>
      </c>
      <c r="I1070" s="24">
        <v>1</v>
      </c>
    </row>
    <row r="1071" spans="1:9" ht="15.75" customHeight="1" x14ac:dyDescent="0.2">
      <c r="A1071" s="26">
        <v>1079</v>
      </c>
      <c r="B1071" s="24">
        <v>1079</v>
      </c>
      <c r="C1071" s="24">
        <v>109</v>
      </c>
      <c r="D1071" s="24" t="str">
        <f>VLOOKUP(C1071,[1]Course!$A$1:$C$229, 2, FALSE)</f>
        <v>Basic Mathematics II Precalculus</v>
      </c>
      <c r="E1071" s="24">
        <v>11</v>
      </c>
      <c r="F1071" s="24" t="s">
        <v>547</v>
      </c>
      <c r="G1071" s="24">
        <v>1</v>
      </c>
      <c r="H1071" s="25">
        <v>0.8</v>
      </c>
      <c r="I1071" s="24">
        <v>1</v>
      </c>
    </row>
    <row r="1072" spans="1:9" ht="15.75" customHeight="1" x14ac:dyDescent="0.2">
      <c r="A1072" s="26">
        <v>1080</v>
      </c>
      <c r="B1072" s="24">
        <v>1080</v>
      </c>
      <c r="C1072" s="24">
        <v>109</v>
      </c>
      <c r="D1072" s="24" t="str">
        <f>VLOOKUP(C1072,[1]Course!$A$1:$C$229, 2, FALSE)</f>
        <v>Basic Mathematics II Precalculus</v>
      </c>
      <c r="E1072" s="24">
        <v>12</v>
      </c>
      <c r="F1072" s="24" t="s">
        <v>546</v>
      </c>
      <c r="G1072" s="24">
        <v>1</v>
      </c>
      <c r="H1072" s="25">
        <v>0.8</v>
      </c>
      <c r="I1072" s="24">
        <v>1</v>
      </c>
    </row>
    <row r="1073" spans="1:9" ht="15.75" customHeight="1" x14ac:dyDescent="0.2">
      <c r="A1073" s="26">
        <v>1081</v>
      </c>
      <c r="B1073" s="24">
        <v>1081</v>
      </c>
      <c r="C1073" s="24">
        <v>109</v>
      </c>
      <c r="D1073" s="24" t="str">
        <f>VLOOKUP(C1073,[1]Course!$A$1:$C$229, 2, FALSE)</f>
        <v>Basic Mathematics II Precalculus</v>
      </c>
      <c r="E1073" s="24">
        <v>13</v>
      </c>
      <c r="F1073" s="24" t="s">
        <v>545</v>
      </c>
      <c r="G1073" s="24">
        <v>1</v>
      </c>
      <c r="H1073" s="25">
        <v>0.8</v>
      </c>
      <c r="I1073" s="24">
        <v>1</v>
      </c>
    </row>
    <row r="1074" spans="1:9" ht="15.75" customHeight="1" x14ac:dyDescent="0.2">
      <c r="A1074" s="26">
        <v>1082</v>
      </c>
      <c r="B1074" s="24">
        <v>1082</v>
      </c>
      <c r="C1074" s="24">
        <v>109</v>
      </c>
      <c r="D1074" s="24" t="str">
        <f>VLOOKUP(C1074,[1]Course!$A$1:$C$229, 2, FALSE)</f>
        <v>Basic Mathematics II Precalculus</v>
      </c>
      <c r="E1074" s="24">
        <v>14</v>
      </c>
      <c r="F1074" s="24" t="s">
        <v>544</v>
      </c>
      <c r="G1074" s="24">
        <v>1</v>
      </c>
      <c r="H1074" s="25">
        <v>0.8</v>
      </c>
      <c r="I1074" s="24">
        <v>1</v>
      </c>
    </row>
    <row r="1075" spans="1:9" ht="15.75" customHeight="1" x14ac:dyDescent="0.2">
      <c r="A1075" s="26">
        <v>1083</v>
      </c>
      <c r="B1075" s="24">
        <v>1083</v>
      </c>
      <c r="C1075" s="24">
        <v>109</v>
      </c>
      <c r="D1075" s="24" t="str">
        <f>VLOOKUP(C1075,[1]Course!$A$1:$C$229, 2, FALSE)</f>
        <v>Basic Mathematics II Precalculus</v>
      </c>
      <c r="E1075" s="24">
        <v>15</v>
      </c>
      <c r="F1075" s="24" t="s">
        <v>543</v>
      </c>
      <c r="G1075" s="24">
        <v>1</v>
      </c>
      <c r="H1075" s="25">
        <v>0.8</v>
      </c>
      <c r="I1075" s="24">
        <v>1</v>
      </c>
    </row>
    <row r="1076" spans="1:9" ht="15.75" customHeight="1" x14ac:dyDescent="0.2">
      <c r="A1076" s="26">
        <v>1084</v>
      </c>
      <c r="B1076" s="24">
        <v>1084</v>
      </c>
      <c r="C1076" s="24">
        <v>109</v>
      </c>
      <c r="D1076" s="24" t="str">
        <f>VLOOKUP(C1076,[1]Course!$A$1:$C$229, 2, FALSE)</f>
        <v>Basic Mathematics II Precalculus</v>
      </c>
      <c r="E1076" s="24">
        <v>16</v>
      </c>
      <c r="F1076" s="24" t="s">
        <v>542</v>
      </c>
      <c r="G1076" s="24">
        <v>1</v>
      </c>
      <c r="H1076" s="25">
        <v>0.8</v>
      </c>
      <c r="I1076" s="24">
        <v>1</v>
      </c>
    </row>
    <row r="1077" spans="1:9" ht="15.75" customHeight="1" x14ac:dyDescent="0.2">
      <c r="A1077" s="26">
        <v>1085</v>
      </c>
      <c r="B1077" s="24">
        <v>1085</v>
      </c>
      <c r="C1077" s="24">
        <v>109</v>
      </c>
      <c r="D1077" s="24" t="str">
        <f>VLOOKUP(C1077,[1]Course!$A$1:$C$229, 2, FALSE)</f>
        <v>Basic Mathematics II Precalculus</v>
      </c>
      <c r="E1077" s="24">
        <v>17</v>
      </c>
      <c r="F1077" s="24" t="s">
        <v>541</v>
      </c>
      <c r="G1077" s="24">
        <v>1</v>
      </c>
      <c r="H1077" s="25">
        <v>0.8</v>
      </c>
      <c r="I1077" s="24">
        <v>1</v>
      </c>
    </row>
    <row r="1078" spans="1:9" ht="15.75" customHeight="1" x14ac:dyDescent="0.2">
      <c r="A1078" s="26">
        <v>1086</v>
      </c>
      <c r="B1078" s="24">
        <v>1086</v>
      </c>
      <c r="C1078" s="24">
        <v>109</v>
      </c>
      <c r="D1078" s="24" t="str">
        <f>VLOOKUP(C1078,[1]Course!$A$1:$C$229, 2, FALSE)</f>
        <v>Basic Mathematics II Precalculus</v>
      </c>
      <c r="E1078" s="24">
        <v>18</v>
      </c>
      <c r="F1078" s="24" t="s">
        <v>540</v>
      </c>
      <c r="G1078" s="24">
        <v>1</v>
      </c>
      <c r="H1078" s="25">
        <v>0.8</v>
      </c>
      <c r="I1078" s="24">
        <v>1</v>
      </c>
    </row>
    <row r="1079" spans="1:9" ht="15.75" customHeight="1" x14ac:dyDescent="0.2">
      <c r="A1079" s="26">
        <v>1087</v>
      </c>
      <c r="B1079" s="24">
        <v>1087</v>
      </c>
      <c r="C1079" s="24">
        <v>109</v>
      </c>
      <c r="D1079" s="24" t="str">
        <f>VLOOKUP(C1079,[1]Course!$A$1:$C$229, 2, FALSE)</f>
        <v>Basic Mathematics II Precalculus</v>
      </c>
      <c r="E1079" s="24">
        <v>19</v>
      </c>
      <c r="F1079" s="24" t="s">
        <v>539</v>
      </c>
      <c r="G1079" s="24">
        <v>1</v>
      </c>
      <c r="H1079" s="25">
        <v>0.8</v>
      </c>
      <c r="I1079" s="24">
        <v>1</v>
      </c>
    </row>
    <row r="1080" spans="1:9" ht="15.75" customHeight="1" x14ac:dyDescent="0.2">
      <c r="A1080" s="26">
        <v>1088</v>
      </c>
      <c r="B1080" s="24">
        <v>1088</v>
      </c>
      <c r="C1080" s="24">
        <v>109</v>
      </c>
      <c r="D1080" s="24" t="str">
        <f>VLOOKUP(C1080,[1]Course!$A$1:$C$229, 2, FALSE)</f>
        <v>Basic Mathematics II Precalculus</v>
      </c>
      <c r="E1080" s="24">
        <v>20</v>
      </c>
      <c r="F1080" s="24" t="s">
        <v>538</v>
      </c>
      <c r="G1080" s="24">
        <v>1</v>
      </c>
      <c r="H1080" s="25">
        <v>0.8</v>
      </c>
      <c r="I1080" s="24">
        <v>1</v>
      </c>
    </row>
    <row r="1081" spans="1:9" ht="15.75" customHeight="1" x14ac:dyDescent="0.2">
      <c r="A1081" s="26">
        <v>1089</v>
      </c>
      <c r="B1081" s="24">
        <v>1089</v>
      </c>
      <c r="C1081" s="24">
        <v>110</v>
      </c>
      <c r="D1081" s="24">
        <f>VLOOKUP(C1081,[1]Course!$A$1:$C$229, 2, FALSE)</f>
        <v>0</v>
      </c>
      <c r="E1081" s="24">
        <v>139</v>
      </c>
      <c r="F1081" s="24" t="s">
        <v>537</v>
      </c>
      <c r="G1081" s="24">
        <v>1</v>
      </c>
      <c r="H1081" s="25">
        <v>0.8</v>
      </c>
      <c r="I1081" s="24">
        <v>1</v>
      </c>
    </row>
    <row r="1082" spans="1:9" ht="15.75" customHeight="1" x14ac:dyDescent="0.2">
      <c r="A1082" s="26">
        <v>1090</v>
      </c>
      <c r="B1082" s="24">
        <v>1090</v>
      </c>
      <c r="C1082" s="24">
        <v>110</v>
      </c>
      <c r="D1082" s="24">
        <f>VLOOKUP(C1082,[1]Course!$A$1:$C$229, 2, FALSE)</f>
        <v>0</v>
      </c>
      <c r="E1082" s="24">
        <v>140</v>
      </c>
      <c r="F1082" s="24" t="s">
        <v>536</v>
      </c>
      <c r="G1082" s="24">
        <v>1</v>
      </c>
      <c r="H1082" s="25">
        <v>0.8</v>
      </c>
      <c r="I1082" s="24">
        <v>1</v>
      </c>
    </row>
    <row r="1083" spans="1:9" ht="15.75" customHeight="1" x14ac:dyDescent="0.2">
      <c r="A1083" s="26">
        <v>1091</v>
      </c>
      <c r="B1083" s="24">
        <v>1091</v>
      </c>
      <c r="C1083" s="24">
        <v>110</v>
      </c>
      <c r="D1083" s="24">
        <f>VLOOKUP(C1083,[1]Course!$A$1:$C$229, 2, FALSE)</f>
        <v>0</v>
      </c>
      <c r="E1083" s="24">
        <v>141</v>
      </c>
      <c r="F1083" s="24" t="s">
        <v>535</v>
      </c>
      <c r="G1083" s="24">
        <v>1</v>
      </c>
      <c r="H1083" s="25">
        <v>0.8</v>
      </c>
      <c r="I1083" s="24">
        <v>1</v>
      </c>
    </row>
    <row r="1084" spans="1:9" ht="15.75" customHeight="1" x14ac:dyDescent="0.2">
      <c r="A1084" s="26">
        <v>1092</v>
      </c>
      <c r="B1084" s="24">
        <v>1092</v>
      </c>
      <c r="C1084" s="24">
        <v>110</v>
      </c>
      <c r="D1084" s="24">
        <f>VLOOKUP(C1084,[1]Course!$A$1:$C$229, 2, FALSE)</f>
        <v>0</v>
      </c>
      <c r="E1084" s="24">
        <v>142</v>
      </c>
      <c r="F1084" s="24" t="s">
        <v>534</v>
      </c>
      <c r="G1084" s="24">
        <v>1</v>
      </c>
      <c r="H1084" s="25">
        <v>0.8</v>
      </c>
      <c r="I1084" s="24">
        <v>1</v>
      </c>
    </row>
    <row r="1085" spans="1:9" ht="15.75" customHeight="1" x14ac:dyDescent="0.2">
      <c r="A1085" s="26">
        <v>1093</v>
      </c>
      <c r="B1085" s="24">
        <v>1093</v>
      </c>
      <c r="C1085" s="24">
        <v>110</v>
      </c>
      <c r="D1085" s="24">
        <f>VLOOKUP(C1085,[1]Course!$A$1:$C$229, 2, FALSE)</f>
        <v>0</v>
      </c>
      <c r="E1085" s="24">
        <v>143</v>
      </c>
      <c r="F1085" s="24" t="s">
        <v>533</v>
      </c>
      <c r="G1085" s="24">
        <v>1</v>
      </c>
      <c r="H1085" s="25">
        <v>0.8</v>
      </c>
      <c r="I1085" s="24">
        <v>1</v>
      </c>
    </row>
    <row r="1086" spans="1:9" ht="15.75" customHeight="1" x14ac:dyDescent="0.2">
      <c r="A1086" s="26">
        <v>1094</v>
      </c>
      <c r="B1086" s="24">
        <v>1094</v>
      </c>
      <c r="C1086" s="24">
        <v>110</v>
      </c>
      <c r="D1086" s="24">
        <f>VLOOKUP(C1086,[1]Course!$A$1:$C$229, 2, FALSE)</f>
        <v>0</v>
      </c>
      <c r="E1086" s="24">
        <v>144</v>
      </c>
      <c r="F1086" s="24" t="s">
        <v>532</v>
      </c>
      <c r="G1086" s="24">
        <v>1</v>
      </c>
      <c r="H1086" s="25">
        <v>0.8</v>
      </c>
      <c r="I1086" s="24">
        <v>1</v>
      </c>
    </row>
    <row r="1087" spans="1:9" ht="15.75" customHeight="1" x14ac:dyDescent="0.2">
      <c r="A1087" s="26">
        <v>1095</v>
      </c>
      <c r="B1087" s="24">
        <v>1095</v>
      </c>
      <c r="C1087" s="24">
        <v>111</v>
      </c>
      <c r="D1087" s="24">
        <f>VLOOKUP(C1087,[1]Course!$A$1:$C$229, 2, FALSE)</f>
        <v>0</v>
      </c>
      <c r="E1087" s="24">
        <v>133</v>
      </c>
      <c r="F1087" s="24" t="s">
        <v>531</v>
      </c>
      <c r="G1087" s="24">
        <v>1</v>
      </c>
      <c r="H1087" s="25">
        <v>0.8</v>
      </c>
      <c r="I1087" s="24">
        <v>1</v>
      </c>
    </row>
    <row r="1088" spans="1:9" ht="15.75" customHeight="1" x14ac:dyDescent="0.2">
      <c r="A1088" s="26">
        <v>1096</v>
      </c>
      <c r="B1088" s="24">
        <v>1096</v>
      </c>
      <c r="C1088" s="24">
        <v>111</v>
      </c>
      <c r="D1088" s="24">
        <f>VLOOKUP(C1088,[1]Course!$A$1:$C$229, 2, FALSE)</f>
        <v>0</v>
      </c>
      <c r="E1088" s="24">
        <v>134</v>
      </c>
      <c r="F1088" s="24" t="s">
        <v>530</v>
      </c>
      <c r="G1088" s="24">
        <v>1</v>
      </c>
      <c r="H1088" s="25">
        <v>0.8</v>
      </c>
      <c r="I1088" s="24">
        <v>1</v>
      </c>
    </row>
    <row r="1089" spans="1:9" ht="15.75" customHeight="1" x14ac:dyDescent="0.2">
      <c r="A1089" s="26">
        <v>1097</v>
      </c>
      <c r="B1089" s="24">
        <v>1097</v>
      </c>
      <c r="C1089" s="24">
        <v>111</v>
      </c>
      <c r="D1089" s="24">
        <f>VLOOKUP(C1089,[1]Course!$A$1:$C$229, 2, FALSE)</f>
        <v>0</v>
      </c>
      <c r="E1089" s="24">
        <v>135</v>
      </c>
      <c r="F1089" s="24" t="s">
        <v>529</v>
      </c>
      <c r="G1089" s="24">
        <v>1</v>
      </c>
      <c r="H1089" s="25">
        <v>0.8</v>
      </c>
      <c r="I1089" s="24">
        <v>1</v>
      </c>
    </row>
    <row r="1090" spans="1:9" ht="15.75" customHeight="1" x14ac:dyDescent="0.2">
      <c r="A1090" s="26">
        <v>1098</v>
      </c>
      <c r="B1090" s="24">
        <v>1098</v>
      </c>
      <c r="C1090" s="24">
        <v>111</v>
      </c>
      <c r="D1090" s="24">
        <f>VLOOKUP(C1090,[1]Course!$A$1:$C$229, 2, FALSE)</f>
        <v>0</v>
      </c>
      <c r="E1090" s="24">
        <v>136</v>
      </c>
      <c r="F1090" s="24" t="s">
        <v>528</v>
      </c>
      <c r="G1090" s="24">
        <v>1</v>
      </c>
      <c r="H1090" s="25">
        <v>0.8</v>
      </c>
      <c r="I1090" s="24">
        <v>1</v>
      </c>
    </row>
    <row r="1091" spans="1:9" ht="15.75" customHeight="1" x14ac:dyDescent="0.2">
      <c r="A1091" s="26">
        <v>1099</v>
      </c>
      <c r="B1091" s="24">
        <v>1099</v>
      </c>
      <c r="C1091" s="24">
        <v>111</v>
      </c>
      <c r="D1091" s="24">
        <f>VLOOKUP(C1091,[1]Course!$A$1:$C$229, 2, FALSE)</f>
        <v>0</v>
      </c>
      <c r="E1091" s="24">
        <v>137</v>
      </c>
      <c r="F1091" s="24" t="s">
        <v>527</v>
      </c>
      <c r="G1091" s="24">
        <v>1</v>
      </c>
      <c r="H1091" s="25">
        <v>0.8</v>
      </c>
      <c r="I1091" s="24">
        <v>1</v>
      </c>
    </row>
    <row r="1092" spans="1:9" ht="15.75" customHeight="1" x14ac:dyDescent="0.2">
      <c r="A1092" s="26">
        <v>1100</v>
      </c>
      <c r="B1092" s="24">
        <v>1100</v>
      </c>
      <c r="C1092" s="24">
        <v>111</v>
      </c>
      <c r="D1092" s="24">
        <f>VLOOKUP(C1092,[1]Course!$A$1:$C$229, 2, FALSE)</f>
        <v>0</v>
      </c>
      <c r="E1092" s="24">
        <v>138</v>
      </c>
      <c r="F1092" s="24" t="s">
        <v>526</v>
      </c>
      <c r="G1092" s="24">
        <v>1</v>
      </c>
      <c r="H1092" s="25">
        <v>0.8</v>
      </c>
      <c r="I1092" s="24">
        <v>1</v>
      </c>
    </row>
    <row r="1093" spans="1:9" ht="15.75" customHeight="1" x14ac:dyDescent="0.2">
      <c r="A1093" s="26">
        <v>1101</v>
      </c>
      <c r="B1093" s="24">
        <v>1101</v>
      </c>
      <c r="C1093" s="24">
        <v>112</v>
      </c>
      <c r="D1093" s="24">
        <f>VLOOKUP(C1093,[1]Course!$A$1:$C$229, 2, FALSE)</f>
        <v>0</v>
      </c>
      <c r="E1093" s="24">
        <v>1</v>
      </c>
      <c r="F1093" s="24" t="s">
        <v>525</v>
      </c>
      <c r="G1093" s="24">
        <v>1</v>
      </c>
      <c r="H1093" s="25">
        <v>0.8</v>
      </c>
      <c r="I1093" s="24">
        <v>1</v>
      </c>
    </row>
    <row r="1094" spans="1:9" ht="15.75" customHeight="1" x14ac:dyDescent="0.2">
      <c r="A1094" s="26">
        <v>1102</v>
      </c>
      <c r="B1094" s="24">
        <v>1102</v>
      </c>
      <c r="C1094" s="24">
        <v>112</v>
      </c>
      <c r="D1094" s="24">
        <f>VLOOKUP(C1094,[1]Course!$A$1:$C$229, 2, FALSE)</f>
        <v>0</v>
      </c>
      <c r="E1094" s="24">
        <v>2</v>
      </c>
      <c r="F1094" s="24" t="s">
        <v>524</v>
      </c>
      <c r="G1094" s="24">
        <v>1</v>
      </c>
      <c r="H1094" s="25">
        <v>0.8</v>
      </c>
      <c r="I1094" s="24">
        <v>1</v>
      </c>
    </row>
    <row r="1095" spans="1:9" ht="15.75" customHeight="1" x14ac:dyDescent="0.2">
      <c r="A1095" s="26">
        <v>1103</v>
      </c>
      <c r="B1095" s="24">
        <v>1103</v>
      </c>
      <c r="C1095" s="24">
        <v>112</v>
      </c>
      <c r="D1095" s="24">
        <f>VLOOKUP(C1095,[1]Course!$A$1:$C$229, 2, FALSE)</f>
        <v>0</v>
      </c>
      <c r="E1095" s="24">
        <v>3</v>
      </c>
      <c r="F1095" s="24" t="s">
        <v>523</v>
      </c>
      <c r="G1095" s="24">
        <v>1</v>
      </c>
      <c r="H1095" s="25">
        <v>0.8</v>
      </c>
      <c r="I1095" s="24">
        <v>1</v>
      </c>
    </row>
    <row r="1096" spans="1:9" ht="15.75" customHeight="1" x14ac:dyDescent="0.2">
      <c r="A1096" s="26">
        <v>1104</v>
      </c>
      <c r="B1096" s="24">
        <v>1104</v>
      </c>
      <c r="C1096" s="24">
        <v>112</v>
      </c>
      <c r="D1096" s="24">
        <f>VLOOKUP(C1096,[1]Course!$A$1:$C$229, 2, FALSE)</f>
        <v>0</v>
      </c>
      <c r="E1096" s="24">
        <v>4</v>
      </c>
      <c r="F1096" s="24" t="s">
        <v>522</v>
      </c>
      <c r="G1096" s="24">
        <v>1</v>
      </c>
      <c r="H1096" s="25">
        <v>0.8</v>
      </c>
      <c r="I1096" s="24">
        <v>1</v>
      </c>
    </row>
    <row r="1097" spans="1:9" ht="15.75" customHeight="1" x14ac:dyDescent="0.2">
      <c r="A1097" s="26">
        <v>1105</v>
      </c>
      <c r="B1097" s="24">
        <v>1105</v>
      </c>
      <c r="C1097" s="24">
        <v>112</v>
      </c>
      <c r="D1097" s="24">
        <f>VLOOKUP(C1097,[1]Course!$A$1:$C$229, 2, FALSE)</f>
        <v>0</v>
      </c>
      <c r="E1097" s="24">
        <v>5</v>
      </c>
      <c r="F1097" s="24" t="s">
        <v>521</v>
      </c>
      <c r="G1097" s="24">
        <v>1</v>
      </c>
      <c r="H1097" s="25">
        <v>0.8</v>
      </c>
      <c r="I1097" s="24">
        <v>1</v>
      </c>
    </row>
    <row r="1098" spans="1:9" ht="15.75" customHeight="1" x14ac:dyDescent="0.2">
      <c r="A1098" s="26">
        <v>1106</v>
      </c>
      <c r="B1098" s="24">
        <v>1106</v>
      </c>
      <c r="C1098" s="24">
        <v>112</v>
      </c>
      <c r="D1098" s="24">
        <f>VLOOKUP(C1098,[1]Course!$A$1:$C$229, 2, FALSE)</f>
        <v>0</v>
      </c>
      <c r="E1098" s="24">
        <v>6</v>
      </c>
      <c r="F1098" s="24" t="s">
        <v>520</v>
      </c>
      <c r="G1098" s="24">
        <v>1</v>
      </c>
      <c r="H1098" s="25">
        <v>0.8</v>
      </c>
      <c r="I1098" s="24">
        <v>1</v>
      </c>
    </row>
    <row r="1099" spans="1:9" ht="15.75" customHeight="1" x14ac:dyDescent="0.2">
      <c r="A1099" s="26">
        <v>1107</v>
      </c>
      <c r="B1099" s="24">
        <v>1107</v>
      </c>
      <c r="C1099" s="24">
        <v>112</v>
      </c>
      <c r="D1099" s="24">
        <f>VLOOKUP(C1099,[1]Course!$A$1:$C$229, 2, FALSE)</f>
        <v>0</v>
      </c>
      <c r="E1099" s="24">
        <v>7</v>
      </c>
      <c r="F1099" s="24" t="s">
        <v>519</v>
      </c>
      <c r="G1099" s="24">
        <v>1</v>
      </c>
      <c r="H1099" s="25">
        <v>0.8</v>
      </c>
      <c r="I1099" s="24">
        <v>1</v>
      </c>
    </row>
    <row r="1100" spans="1:9" ht="15.75" customHeight="1" x14ac:dyDescent="0.2">
      <c r="A1100" s="26">
        <v>1108</v>
      </c>
      <c r="B1100" s="24">
        <v>1108</v>
      </c>
      <c r="C1100" s="24">
        <v>112</v>
      </c>
      <c r="D1100" s="24">
        <f>VLOOKUP(C1100,[1]Course!$A$1:$C$229, 2, FALSE)</f>
        <v>0</v>
      </c>
      <c r="E1100" s="24">
        <v>8</v>
      </c>
      <c r="F1100" s="24" t="s">
        <v>518</v>
      </c>
      <c r="G1100" s="24">
        <v>1</v>
      </c>
      <c r="H1100" s="25">
        <v>0.8</v>
      </c>
      <c r="I1100" s="24">
        <v>1</v>
      </c>
    </row>
    <row r="1101" spans="1:9" ht="15.75" customHeight="1" x14ac:dyDescent="0.2">
      <c r="A1101" s="26">
        <v>1109</v>
      </c>
      <c r="B1101" s="24">
        <v>1109</v>
      </c>
      <c r="C1101" s="24">
        <v>112</v>
      </c>
      <c r="D1101" s="24">
        <f>VLOOKUP(C1101,[1]Course!$A$1:$C$229, 2, FALSE)</f>
        <v>0</v>
      </c>
      <c r="E1101" s="24">
        <v>9</v>
      </c>
      <c r="F1101" s="24" t="s">
        <v>517</v>
      </c>
      <c r="G1101" s="24">
        <v>1</v>
      </c>
      <c r="H1101" s="25">
        <v>0.8</v>
      </c>
      <c r="I1101" s="24">
        <v>1</v>
      </c>
    </row>
    <row r="1102" spans="1:9" ht="15.75" customHeight="1" x14ac:dyDescent="0.2">
      <c r="A1102" s="26">
        <v>1110</v>
      </c>
      <c r="B1102" s="24">
        <v>1110</v>
      </c>
      <c r="C1102" s="24">
        <v>112</v>
      </c>
      <c r="D1102" s="24">
        <f>VLOOKUP(C1102,[1]Course!$A$1:$C$229, 2, FALSE)</f>
        <v>0</v>
      </c>
      <c r="E1102" s="24">
        <v>10</v>
      </c>
      <c r="F1102" s="24" t="s">
        <v>516</v>
      </c>
      <c r="G1102" s="24">
        <v>1</v>
      </c>
      <c r="H1102" s="25">
        <v>0.8</v>
      </c>
      <c r="I1102" s="24">
        <v>1</v>
      </c>
    </row>
    <row r="1103" spans="1:9" ht="15.75" customHeight="1" x14ac:dyDescent="0.2">
      <c r="A1103" s="26">
        <v>1111</v>
      </c>
      <c r="B1103" s="24">
        <v>1111</v>
      </c>
      <c r="C1103" s="24">
        <v>113</v>
      </c>
      <c r="D1103" s="24">
        <f>VLOOKUP(C1103,[1]Course!$A$1:$C$229, 2, FALSE)</f>
        <v>0</v>
      </c>
      <c r="E1103" s="24">
        <v>133</v>
      </c>
      <c r="F1103" s="24" t="s">
        <v>515</v>
      </c>
      <c r="G1103" s="24">
        <v>1</v>
      </c>
      <c r="H1103" s="25">
        <v>0.8</v>
      </c>
      <c r="I1103" s="24">
        <v>1</v>
      </c>
    </row>
    <row r="1104" spans="1:9" ht="15.75" customHeight="1" x14ac:dyDescent="0.2">
      <c r="A1104" s="26">
        <v>1112</v>
      </c>
      <c r="B1104" s="24">
        <v>1112</v>
      </c>
      <c r="C1104" s="24">
        <v>113</v>
      </c>
      <c r="D1104" s="24">
        <f>VLOOKUP(C1104,[1]Course!$A$1:$C$229, 2, FALSE)</f>
        <v>0</v>
      </c>
      <c r="E1104" s="24">
        <v>134</v>
      </c>
      <c r="F1104" s="24" t="s">
        <v>514</v>
      </c>
      <c r="G1104" s="24">
        <v>1</v>
      </c>
      <c r="H1104" s="25">
        <v>0.8</v>
      </c>
      <c r="I1104" s="24">
        <v>1</v>
      </c>
    </row>
    <row r="1105" spans="1:9" ht="15.75" customHeight="1" x14ac:dyDescent="0.2">
      <c r="A1105" s="26">
        <v>1113</v>
      </c>
      <c r="B1105" s="24">
        <v>1113</v>
      </c>
      <c r="C1105" s="24">
        <v>113</v>
      </c>
      <c r="D1105" s="24">
        <f>VLOOKUP(C1105,[1]Course!$A$1:$C$229, 2, FALSE)</f>
        <v>0</v>
      </c>
      <c r="E1105" s="24">
        <v>135</v>
      </c>
      <c r="F1105" s="24" t="s">
        <v>513</v>
      </c>
      <c r="G1105" s="24">
        <v>1</v>
      </c>
      <c r="H1105" s="25">
        <v>0.8</v>
      </c>
      <c r="I1105" s="24">
        <v>1</v>
      </c>
    </row>
    <row r="1106" spans="1:9" ht="15.75" customHeight="1" x14ac:dyDescent="0.2">
      <c r="A1106" s="26">
        <v>1114</v>
      </c>
      <c r="B1106" s="24">
        <v>1114</v>
      </c>
      <c r="C1106" s="24">
        <v>113</v>
      </c>
      <c r="D1106" s="24">
        <f>VLOOKUP(C1106,[1]Course!$A$1:$C$229, 2, FALSE)</f>
        <v>0</v>
      </c>
      <c r="E1106" s="24">
        <v>136</v>
      </c>
      <c r="F1106" s="24" t="s">
        <v>512</v>
      </c>
      <c r="G1106" s="24">
        <v>1</v>
      </c>
      <c r="H1106" s="25">
        <v>0.8</v>
      </c>
      <c r="I1106" s="24">
        <v>1</v>
      </c>
    </row>
    <row r="1107" spans="1:9" ht="15.75" customHeight="1" x14ac:dyDescent="0.2">
      <c r="A1107" s="26">
        <v>1115</v>
      </c>
      <c r="B1107" s="24">
        <v>1115</v>
      </c>
      <c r="C1107" s="24">
        <v>113</v>
      </c>
      <c r="D1107" s="24">
        <f>VLOOKUP(C1107,[1]Course!$A$1:$C$229, 2, FALSE)</f>
        <v>0</v>
      </c>
      <c r="E1107" s="24">
        <v>137</v>
      </c>
      <c r="F1107" s="24" t="s">
        <v>511</v>
      </c>
      <c r="G1107" s="24">
        <v>1</v>
      </c>
      <c r="H1107" s="25">
        <v>0.8</v>
      </c>
      <c r="I1107" s="24">
        <v>1</v>
      </c>
    </row>
    <row r="1108" spans="1:9" ht="15.75" customHeight="1" x14ac:dyDescent="0.2">
      <c r="A1108" s="26">
        <v>1116</v>
      </c>
      <c r="B1108" s="24">
        <v>1116</v>
      </c>
      <c r="C1108" s="24">
        <v>113</v>
      </c>
      <c r="D1108" s="24">
        <f>VLOOKUP(C1108,[1]Course!$A$1:$C$229, 2, FALSE)</f>
        <v>0</v>
      </c>
      <c r="E1108" s="24">
        <v>138</v>
      </c>
      <c r="F1108" s="24" t="s">
        <v>510</v>
      </c>
      <c r="G1108" s="24">
        <v>1</v>
      </c>
      <c r="H1108" s="25">
        <v>0.8</v>
      </c>
      <c r="I1108" s="24">
        <v>1</v>
      </c>
    </row>
    <row r="1109" spans="1:9" ht="15.75" customHeight="1" x14ac:dyDescent="0.2">
      <c r="A1109" s="26">
        <v>1117</v>
      </c>
      <c r="B1109" s="24">
        <v>1117</v>
      </c>
      <c r="C1109" s="24">
        <v>113</v>
      </c>
      <c r="D1109" s="24">
        <f>VLOOKUP(C1109,[1]Course!$A$1:$C$229, 2, FALSE)</f>
        <v>0</v>
      </c>
      <c r="E1109" s="24">
        <v>139</v>
      </c>
      <c r="F1109" s="24" t="s">
        <v>509</v>
      </c>
      <c r="G1109" s="24">
        <v>1</v>
      </c>
      <c r="H1109" s="25">
        <v>0.8</v>
      </c>
      <c r="I1109" s="24">
        <v>1</v>
      </c>
    </row>
    <row r="1110" spans="1:9" ht="15.75" customHeight="1" x14ac:dyDescent="0.2">
      <c r="A1110" s="26">
        <v>1118</v>
      </c>
      <c r="B1110" s="24">
        <v>1118</v>
      </c>
      <c r="C1110" s="24">
        <v>113</v>
      </c>
      <c r="D1110" s="24">
        <f>VLOOKUP(C1110,[1]Course!$A$1:$C$229, 2, FALSE)</f>
        <v>0</v>
      </c>
      <c r="E1110" s="24">
        <v>140</v>
      </c>
      <c r="F1110" s="24" t="s">
        <v>508</v>
      </c>
      <c r="G1110" s="24">
        <v>1</v>
      </c>
      <c r="H1110" s="25">
        <v>0.8</v>
      </c>
      <c r="I1110" s="24">
        <v>1</v>
      </c>
    </row>
    <row r="1111" spans="1:9" ht="15.75" customHeight="1" x14ac:dyDescent="0.2">
      <c r="A1111" s="26">
        <v>1119</v>
      </c>
      <c r="B1111" s="24">
        <v>1119</v>
      </c>
      <c r="C1111" s="24">
        <v>113</v>
      </c>
      <c r="D1111" s="24">
        <f>VLOOKUP(C1111,[1]Course!$A$1:$C$229, 2, FALSE)</f>
        <v>0</v>
      </c>
      <c r="E1111" s="24">
        <v>141</v>
      </c>
      <c r="F1111" s="24" t="s">
        <v>507</v>
      </c>
      <c r="G1111" s="24">
        <v>1</v>
      </c>
      <c r="H1111" s="25">
        <v>0.8</v>
      </c>
      <c r="I1111" s="24">
        <v>1</v>
      </c>
    </row>
    <row r="1112" spans="1:9" ht="15.75" customHeight="1" x14ac:dyDescent="0.2">
      <c r="A1112" s="26">
        <v>1120</v>
      </c>
      <c r="B1112" s="24">
        <v>1120</v>
      </c>
      <c r="C1112" s="24">
        <v>113</v>
      </c>
      <c r="D1112" s="24">
        <f>VLOOKUP(C1112,[1]Course!$A$1:$C$229, 2, FALSE)</f>
        <v>0</v>
      </c>
      <c r="E1112" s="24">
        <v>142</v>
      </c>
      <c r="F1112" s="24" t="s">
        <v>506</v>
      </c>
      <c r="G1112" s="24">
        <v>1</v>
      </c>
      <c r="H1112" s="25">
        <v>0.8</v>
      </c>
      <c r="I1112" s="24">
        <v>1</v>
      </c>
    </row>
    <row r="1113" spans="1:9" ht="15.75" customHeight="1" x14ac:dyDescent="0.2">
      <c r="A1113" s="26">
        <v>1121</v>
      </c>
      <c r="B1113" s="24">
        <v>1121</v>
      </c>
      <c r="C1113" s="24">
        <v>113</v>
      </c>
      <c r="D1113" s="24">
        <f>VLOOKUP(C1113,[1]Course!$A$1:$C$229, 2, FALSE)</f>
        <v>0</v>
      </c>
      <c r="E1113" s="24">
        <v>143</v>
      </c>
      <c r="F1113" s="24" t="s">
        <v>505</v>
      </c>
      <c r="G1113" s="24">
        <v>1</v>
      </c>
      <c r="H1113" s="25">
        <v>0.8</v>
      </c>
      <c r="I1113" s="24">
        <v>1</v>
      </c>
    </row>
    <row r="1114" spans="1:9" ht="15.75" customHeight="1" x14ac:dyDescent="0.2">
      <c r="A1114" s="26">
        <v>1122</v>
      </c>
      <c r="B1114" s="24">
        <v>1122</v>
      </c>
      <c r="C1114" s="24">
        <v>113</v>
      </c>
      <c r="D1114" s="24">
        <f>VLOOKUP(C1114,[1]Course!$A$1:$C$229, 2, FALSE)</f>
        <v>0</v>
      </c>
      <c r="E1114" s="24">
        <v>144</v>
      </c>
      <c r="F1114" s="24" t="s">
        <v>504</v>
      </c>
      <c r="G1114" s="24">
        <v>1</v>
      </c>
      <c r="H1114" s="25">
        <v>0.8</v>
      </c>
      <c r="I1114" s="24">
        <v>1</v>
      </c>
    </row>
    <row r="1115" spans="1:9" ht="15.75" customHeight="1" x14ac:dyDescent="0.2">
      <c r="A1115" s="26">
        <v>1123</v>
      </c>
      <c r="B1115" s="24">
        <v>1123</v>
      </c>
      <c r="C1115" s="24">
        <v>114</v>
      </c>
      <c r="D1115" s="24">
        <f>VLOOKUP(C1115,[1]Course!$A$1:$C$229, 2, FALSE)</f>
        <v>0</v>
      </c>
      <c r="E1115" s="24">
        <v>11</v>
      </c>
      <c r="F1115" s="24" t="s">
        <v>503</v>
      </c>
      <c r="G1115" s="24">
        <v>1</v>
      </c>
      <c r="H1115" s="25">
        <v>0.8</v>
      </c>
      <c r="I1115" s="24">
        <v>1</v>
      </c>
    </row>
    <row r="1116" spans="1:9" ht="15.75" customHeight="1" x14ac:dyDescent="0.2">
      <c r="A1116" s="26">
        <v>1124</v>
      </c>
      <c r="B1116" s="24">
        <v>1124</v>
      </c>
      <c r="C1116" s="24">
        <v>114</v>
      </c>
      <c r="D1116" s="24">
        <f>VLOOKUP(C1116,[1]Course!$A$1:$C$229, 2, FALSE)</f>
        <v>0</v>
      </c>
      <c r="E1116" s="24">
        <v>12</v>
      </c>
      <c r="F1116" s="24" t="s">
        <v>502</v>
      </c>
      <c r="G1116" s="24">
        <v>1</v>
      </c>
      <c r="H1116" s="25">
        <v>0.8</v>
      </c>
      <c r="I1116" s="24">
        <v>1</v>
      </c>
    </row>
    <row r="1117" spans="1:9" ht="15.75" customHeight="1" x14ac:dyDescent="0.2">
      <c r="A1117" s="26">
        <v>1125</v>
      </c>
      <c r="B1117" s="24">
        <v>1125</v>
      </c>
      <c r="C1117" s="24">
        <v>114</v>
      </c>
      <c r="D1117" s="24">
        <f>VLOOKUP(C1117,[1]Course!$A$1:$C$229, 2, FALSE)</f>
        <v>0</v>
      </c>
      <c r="E1117" s="24">
        <v>13</v>
      </c>
      <c r="F1117" s="24" t="s">
        <v>501</v>
      </c>
      <c r="G1117" s="24">
        <v>1</v>
      </c>
      <c r="H1117" s="25">
        <v>0.8</v>
      </c>
      <c r="I1117" s="24">
        <v>1</v>
      </c>
    </row>
    <row r="1118" spans="1:9" ht="15.75" customHeight="1" x14ac:dyDescent="0.2">
      <c r="A1118" s="26">
        <v>1126</v>
      </c>
      <c r="B1118" s="24">
        <v>1126</v>
      </c>
      <c r="C1118" s="24">
        <v>114</v>
      </c>
      <c r="D1118" s="24">
        <f>VLOOKUP(C1118,[1]Course!$A$1:$C$229, 2, FALSE)</f>
        <v>0</v>
      </c>
      <c r="E1118" s="24">
        <v>14</v>
      </c>
      <c r="F1118" s="24" t="s">
        <v>500</v>
      </c>
      <c r="G1118" s="24">
        <v>1</v>
      </c>
      <c r="H1118" s="25">
        <v>0.8</v>
      </c>
      <c r="I1118" s="24">
        <v>1</v>
      </c>
    </row>
    <row r="1119" spans="1:9" ht="15.75" customHeight="1" x14ac:dyDescent="0.2">
      <c r="A1119" s="26">
        <v>1127</v>
      </c>
      <c r="B1119" s="24">
        <v>1127</v>
      </c>
      <c r="C1119" s="24">
        <v>114</v>
      </c>
      <c r="D1119" s="24">
        <f>VLOOKUP(C1119,[1]Course!$A$1:$C$229, 2, FALSE)</f>
        <v>0</v>
      </c>
      <c r="E1119" s="24">
        <v>15</v>
      </c>
      <c r="F1119" s="24" t="s">
        <v>499</v>
      </c>
      <c r="G1119" s="24">
        <v>1</v>
      </c>
      <c r="H1119" s="25">
        <v>0.8</v>
      </c>
      <c r="I1119" s="24">
        <v>1</v>
      </c>
    </row>
    <row r="1120" spans="1:9" ht="15.75" customHeight="1" x14ac:dyDescent="0.2">
      <c r="A1120" s="26">
        <v>1128</v>
      </c>
      <c r="B1120" s="24">
        <v>1128</v>
      </c>
      <c r="C1120" s="24">
        <v>114</v>
      </c>
      <c r="D1120" s="24">
        <f>VLOOKUP(C1120,[1]Course!$A$1:$C$229, 2, FALSE)</f>
        <v>0</v>
      </c>
      <c r="E1120" s="24">
        <v>16</v>
      </c>
      <c r="F1120" s="24" t="s">
        <v>498</v>
      </c>
      <c r="G1120" s="24">
        <v>1</v>
      </c>
      <c r="H1120" s="25">
        <v>0.8</v>
      </c>
      <c r="I1120" s="24">
        <v>1</v>
      </c>
    </row>
    <row r="1121" spans="1:9" ht="15.75" customHeight="1" x14ac:dyDescent="0.2">
      <c r="A1121" s="26">
        <v>1129</v>
      </c>
      <c r="B1121" s="24">
        <v>1129</v>
      </c>
      <c r="C1121" s="24">
        <v>114</v>
      </c>
      <c r="D1121" s="24">
        <f>VLOOKUP(C1121,[1]Course!$A$1:$C$229, 2, FALSE)</f>
        <v>0</v>
      </c>
      <c r="E1121" s="24">
        <v>17</v>
      </c>
      <c r="F1121" s="24" t="s">
        <v>497</v>
      </c>
      <c r="G1121" s="24">
        <v>1</v>
      </c>
      <c r="H1121" s="25">
        <v>0.8</v>
      </c>
      <c r="I1121" s="24">
        <v>1</v>
      </c>
    </row>
    <row r="1122" spans="1:9" ht="15.75" customHeight="1" x14ac:dyDescent="0.2">
      <c r="A1122" s="26">
        <v>1130</v>
      </c>
      <c r="B1122" s="24">
        <v>1130</v>
      </c>
      <c r="C1122" s="24">
        <v>114</v>
      </c>
      <c r="D1122" s="24">
        <f>VLOOKUP(C1122,[1]Course!$A$1:$C$229, 2, FALSE)</f>
        <v>0</v>
      </c>
      <c r="E1122" s="24">
        <v>18</v>
      </c>
      <c r="F1122" s="24" t="s">
        <v>496</v>
      </c>
      <c r="G1122" s="24">
        <v>1</v>
      </c>
      <c r="H1122" s="25">
        <v>0.8</v>
      </c>
      <c r="I1122" s="24">
        <v>1</v>
      </c>
    </row>
    <row r="1123" spans="1:9" ht="15.75" customHeight="1" x14ac:dyDescent="0.2">
      <c r="A1123" s="26">
        <v>1131</v>
      </c>
      <c r="B1123" s="24">
        <v>1131</v>
      </c>
      <c r="C1123" s="24">
        <v>114</v>
      </c>
      <c r="D1123" s="24">
        <f>VLOOKUP(C1123,[1]Course!$A$1:$C$229, 2, FALSE)</f>
        <v>0</v>
      </c>
      <c r="E1123" s="24">
        <v>19</v>
      </c>
      <c r="F1123" s="24" t="s">
        <v>495</v>
      </c>
      <c r="G1123" s="24">
        <v>1</v>
      </c>
      <c r="H1123" s="25">
        <v>0.8</v>
      </c>
      <c r="I1123" s="24">
        <v>1</v>
      </c>
    </row>
    <row r="1124" spans="1:9" ht="15.75" customHeight="1" x14ac:dyDescent="0.2">
      <c r="A1124" s="26">
        <v>1132</v>
      </c>
      <c r="B1124" s="24">
        <v>1132</v>
      </c>
      <c r="C1124" s="24">
        <v>114</v>
      </c>
      <c r="D1124" s="24">
        <f>VLOOKUP(C1124,[1]Course!$A$1:$C$229, 2, FALSE)</f>
        <v>0</v>
      </c>
      <c r="E1124" s="24">
        <v>20</v>
      </c>
      <c r="F1124" s="24" t="s">
        <v>494</v>
      </c>
      <c r="G1124" s="24">
        <v>1</v>
      </c>
      <c r="H1124" s="25">
        <v>0.8</v>
      </c>
      <c r="I1124" s="24">
        <v>1</v>
      </c>
    </row>
    <row r="1125" spans="1:9" ht="15.75" customHeight="1" x14ac:dyDescent="0.2">
      <c r="A1125" s="26">
        <v>1133</v>
      </c>
      <c r="B1125" s="24">
        <v>1133</v>
      </c>
      <c r="C1125" s="24">
        <v>115</v>
      </c>
      <c r="D1125" s="24">
        <f>VLOOKUP(C1125,[1]Course!$A$1:$C$229, 2, FALSE)</f>
        <v>0</v>
      </c>
      <c r="E1125" s="24">
        <v>7</v>
      </c>
      <c r="F1125" s="24" t="s">
        <v>493</v>
      </c>
      <c r="G1125" s="24">
        <v>1</v>
      </c>
      <c r="H1125" s="25">
        <v>0.8</v>
      </c>
      <c r="I1125" s="24">
        <v>1</v>
      </c>
    </row>
    <row r="1126" spans="1:9" ht="15.75" customHeight="1" x14ac:dyDescent="0.2">
      <c r="A1126" s="26">
        <v>1134</v>
      </c>
      <c r="B1126" s="24">
        <v>1134</v>
      </c>
      <c r="C1126" s="24">
        <v>115</v>
      </c>
      <c r="D1126" s="24">
        <f>VLOOKUP(C1126,[1]Course!$A$1:$C$229, 2, FALSE)</f>
        <v>0</v>
      </c>
      <c r="E1126" s="24">
        <v>8</v>
      </c>
      <c r="F1126" s="24" t="s">
        <v>492</v>
      </c>
      <c r="G1126" s="24">
        <v>1</v>
      </c>
      <c r="H1126" s="25">
        <v>0.8</v>
      </c>
      <c r="I1126" s="24">
        <v>1</v>
      </c>
    </row>
    <row r="1127" spans="1:9" ht="15.75" customHeight="1" x14ac:dyDescent="0.2">
      <c r="A1127" s="26">
        <v>1135</v>
      </c>
      <c r="B1127" s="24">
        <v>1135</v>
      </c>
      <c r="C1127" s="24">
        <v>116</v>
      </c>
      <c r="D1127" s="24" t="str">
        <f>VLOOKUP(C1127,[1]Course!$A$1:$C$229, 2, FALSE)</f>
        <v>Basic Intro. to Physical Science</v>
      </c>
      <c r="E1127" s="24">
        <v>1</v>
      </c>
      <c r="F1127" s="24" t="s">
        <v>491</v>
      </c>
      <c r="G1127" s="24">
        <v>1</v>
      </c>
      <c r="H1127" s="25">
        <v>0.8</v>
      </c>
      <c r="I1127" s="24">
        <v>1</v>
      </c>
    </row>
    <row r="1128" spans="1:9" ht="15.75" customHeight="1" x14ac:dyDescent="0.2">
      <c r="A1128" s="26">
        <v>1136</v>
      </c>
      <c r="B1128" s="24">
        <v>1136</v>
      </c>
      <c r="C1128" s="24">
        <v>116</v>
      </c>
      <c r="D1128" s="24" t="str">
        <f>VLOOKUP(C1128,[1]Course!$A$1:$C$229, 2, FALSE)</f>
        <v>Basic Intro. to Physical Science</v>
      </c>
      <c r="E1128" s="24">
        <v>2</v>
      </c>
      <c r="F1128" s="24" t="s">
        <v>490</v>
      </c>
      <c r="G1128" s="24">
        <v>1</v>
      </c>
      <c r="H1128" s="25">
        <v>0.8</v>
      </c>
      <c r="I1128" s="24">
        <v>1</v>
      </c>
    </row>
    <row r="1129" spans="1:9" ht="15.75" customHeight="1" x14ac:dyDescent="0.2">
      <c r="A1129" s="26">
        <v>1137</v>
      </c>
      <c r="B1129" s="24">
        <v>1137</v>
      </c>
      <c r="C1129" s="24">
        <v>116</v>
      </c>
      <c r="D1129" s="24" t="str">
        <f>VLOOKUP(C1129,[1]Course!$A$1:$C$229, 2, FALSE)</f>
        <v>Basic Intro. to Physical Science</v>
      </c>
      <c r="E1129" s="24">
        <v>3</v>
      </c>
      <c r="F1129" s="24" t="s">
        <v>489</v>
      </c>
      <c r="G1129" s="24">
        <v>1</v>
      </c>
      <c r="H1129" s="25">
        <v>0.8</v>
      </c>
      <c r="I1129" s="24">
        <v>1</v>
      </c>
    </row>
    <row r="1130" spans="1:9" ht="15.75" customHeight="1" x14ac:dyDescent="0.2">
      <c r="A1130" s="26">
        <v>1138</v>
      </c>
      <c r="B1130" s="24">
        <v>1138</v>
      </c>
      <c r="C1130" s="24">
        <v>116</v>
      </c>
      <c r="D1130" s="24" t="str">
        <f>VLOOKUP(C1130,[1]Course!$A$1:$C$229, 2, FALSE)</f>
        <v>Basic Intro. to Physical Science</v>
      </c>
      <c r="E1130" s="24">
        <v>4</v>
      </c>
      <c r="F1130" s="24" t="s">
        <v>488</v>
      </c>
      <c r="G1130" s="24">
        <v>1</v>
      </c>
      <c r="H1130" s="25">
        <v>0.8</v>
      </c>
      <c r="I1130" s="24">
        <v>1</v>
      </c>
    </row>
    <row r="1131" spans="1:9" ht="15.75" customHeight="1" x14ac:dyDescent="0.2">
      <c r="A1131" s="26">
        <v>1139</v>
      </c>
      <c r="B1131" s="24">
        <v>1139</v>
      </c>
      <c r="C1131" s="24">
        <v>116</v>
      </c>
      <c r="D1131" s="24" t="str">
        <f>VLOOKUP(C1131,[1]Course!$A$1:$C$229, 2, FALSE)</f>
        <v>Basic Intro. to Physical Science</v>
      </c>
      <c r="E1131" s="24">
        <v>5</v>
      </c>
      <c r="F1131" s="24" t="s">
        <v>487</v>
      </c>
      <c r="G1131" s="24">
        <v>1</v>
      </c>
      <c r="H1131" s="25">
        <v>0.8</v>
      </c>
      <c r="I1131" s="24">
        <v>1</v>
      </c>
    </row>
    <row r="1132" spans="1:9" ht="15.75" customHeight="1" x14ac:dyDescent="0.2">
      <c r="A1132" s="26">
        <v>1140</v>
      </c>
      <c r="B1132" s="24">
        <v>1140</v>
      </c>
      <c r="C1132" s="24">
        <v>116</v>
      </c>
      <c r="D1132" s="24" t="str">
        <f>VLOOKUP(C1132,[1]Course!$A$1:$C$229, 2, FALSE)</f>
        <v>Basic Intro. to Physical Science</v>
      </c>
      <c r="E1132" s="24">
        <v>6</v>
      </c>
      <c r="F1132" s="24" t="s">
        <v>486</v>
      </c>
      <c r="G1132" s="24">
        <v>1</v>
      </c>
      <c r="H1132" s="25">
        <v>0.8</v>
      </c>
      <c r="I1132" s="24">
        <v>1</v>
      </c>
    </row>
    <row r="1133" spans="1:9" ht="15.75" customHeight="1" x14ac:dyDescent="0.2">
      <c r="A1133" s="26">
        <v>1141</v>
      </c>
      <c r="B1133" s="24">
        <v>1141</v>
      </c>
      <c r="C1133" s="24">
        <v>116</v>
      </c>
      <c r="D1133" s="24" t="str">
        <f>VLOOKUP(C1133,[1]Course!$A$1:$C$229, 2, FALSE)</f>
        <v>Basic Intro. to Physical Science</v>
      </c>
      <c r="E1133" s="24">
        <v>7</v>
      </c>
      <c r="F1133" s="24" t="s">
        <v>485</v>
      </c>
      <c r="G1133" s="24">
        <v>1</v>
      </c>
      <c r="H1133" s="25">
        <v>0.8</v>
      </c>
      <c r="I1133" s="24">
        <v>1</v>
      </c>
    </row>
    <row r="1134" spans="1:9" ht="15.75" customHeight="1" x14ac:dyDescent="0.2">
      <c r="A1134" s="26">
        <v>1142</v>
      </c>
      <c r="B1134" s="24">
        <v>1142</v>
      </c>
      <c r="C1134" s="24">
        <v>116</v>
      </c>
      <c r="D1134" s="24" t="str">
        <f>VLOOKUP(C1134,[1]Course!$A$1:$C$229, 2, FALSE)</f>
        <v>Basic Intro. to Physical Science</v>
      </c>
      <c r="E1134" s="24">
        <v>8</v>
      </c>
      <c r="F1134" s="24" t="s">
        <v>484</v>
      </c>
      <c r="G1134" s="24">
        <v>1</v>
      </c>
      <c r="H1134" s="25">
        <v>0.8</v>
      </c>
      <c r="I1134" s="24">
        <v>1</v>
      </c>
    </row>
    <row r="1135" spans="1:9" ht="15.75" customHeight="1" x14ac:dyDescent="0.2">
      <c r="A1135" s="26">
        <v>1143</v>
      </c>
      <c r="B1135" s="24">
        <v>1143</v>
      </c>
      <c r="C1135" s="24">
        <v>116</v>
      </c>
      <c r="D1135" s="24" t="str">
        <f>VLOOKUP(C1135,[1]Course!$A$1:$C$229, 2, FALSE)</f>
        <v>Basic Intro. to Physical Science</v>
      </c>
      <c r="E1135" s="24">
        <v>9</v>
      </c>
      <c r="F1135" s="24" t="s">
        <v>483</v>
      </c>
      <c r="G1135" s="24">
        <v>1</v>
      </c>
      <c r="H1135" s="25">
        <v>0.8</v>
      </c>
      <c r="I1135" s="24">
        <v>1</v>
      </c>
    </row>
    <row r="1136" spans="1:9" ht="15.75" customHeight="1" x14ac:dyDescent="0.2">
      <c r="A1136" s="26">
        <v>1144</v>
      </c>
      <c r="B1136" s="24">
        <v>1144</v>
      </c>
      <c r="C1136" s="24">
        <v>116</v>
      </c>
      <c r="D1136" s="24" t="str">
        <f>VLOOKUP(C1136,[1]Course!$A$1:$C$229, 2, FALSE)</f>
        <v>Basic Intro. to Physical Science</v>
      </c>
      <c r="E1136" s="24">
        <v>10</v>
      </c>
      <c r="F1136" s="24" t="s">
        <v>482</v>
      </c>
      <c r="G1136" s="24">
        <v>1</v>
      </c>
      <c r="H1136" s="25">
        <v>0.8</v>
      </c>
      <c r="I1136" s="24">
        <v>1</v>
      </c>
    </row>
    <row r="1137" spans="1:9" ht="15.75" customHeight="1" x14ac:dyDescent="0.2">
      <c r="A1137" s="26">
        <v>1145</v>
      </c>
      <c r="B1137" s="24">
        <v>1145</v>
      </c>
      <c r="C1137" s="24">
        <v>117</v>
      </c>
      <c r="D1137" s="24" t="str">
        <f>VLOOKUP(C1137,[1]Course!$A$1:$C$229, 2, FALSE)</f>
        <v>Science 12</v>
      </c>
      <c r="E1137" s="24">
        <v>133</v>
      </c>
      <c r="F1137" s="24" t="s">
        <v>481</v>
      </c>
      <c r="G1137" s="24">
        <v>1</v>
      </c>
      <c r="H1137" s="25">
        <v>0.8</v>
      </c>
      <c r="I1137" s="24">
        <v>1</v>
      </c>
    </row>
    <row r="1138" spans="1:9" ht="15.75" customHeight="1" x14ac:dyDescent="0.2">
      <c r="A1138" s="26">
        <v>1146</v>
      </c>
      <c r="B1138" s="24">
        <v>1146</v>
      </c>
      <c r="C1138" s="24">
        <v>117</v>
      </c>
      <c r="D1138" s="24" t="str">
        <f>VLOOKUP(C1138,[1]Course!$A$1:$C$229, 2, FALSE)</f>
        <v>Science 12</v>
      </c>
      <c r="E1138" s="24">
        <v>134</v>
      </c>
      <c r="F1138" s="24" t="s">
        <v>480</v>
      </c>
      <c r="G1138" s="24">
        <v>1</v>
      </c>
      <c r="H1138" s="25">
        <v>0.8</v>
      </c>
      <c r="I1138" s="24">
        <v>1</v>
      </c>
    </row>
    <row r="1139" spans="1:9" ht="15.75" customHeight="1" x14ac:dyDescent="0.2">
      <c r="A1139" s="26">
        <v>1147</v>
      </c>
      <c r="B1139" s="24">
        <v>1147</v>
      </c>
      <c r="C1139" s="24">
        <v>117</v>
      </c>
      <c r="D1139" s="24" t="str">
        <f>VLOOKUP(C1139,[1]Course!$A$1:$C$229, 2, FALSE)</f>
        <v>Science 12</v>
      </c>
      <c r="E1139" s="24">
        <v>135</v>
      </c>
      <c r="F1139" s="24" t="s">
        <v>479</v>
      </c>
      <c r="G1139" s="24">
        <v>1</v>
      </c>
      <c r="H1139" s="25">
        <v>0.8</v>
      </c>
      <c r="I1139" s="24">
        <v>1</v>
      </c>
    </row>
    <row r="1140" spans="1:9" ht="15.75" customHeight="1" x14ac:dyDescent="0.2">
      <c r="A1140" s="26">
        <v>1148</v>
      </c>
      <c r="B1140" s="24">
        <v>1148</v>
      </c>
      <c r="C1140" s="24">
        <v>117</v>
      </c>
      <c r="D1140" s="24" t="str">
        <f>VLOOKUP(C1140,[1]Course!$A$1:$C$229, 2, FALSE)</f>
        <v>Science 12</v>
      </c>
      <c r="E1140" s="24">
        <v>136</v>
      </c>
      <c r="F1140" s="24" t="s">
        <v>478</v>
      </c>
      <c r="G1140" s="24">
        <v>1</v>
      </c>
      <c r="H1140" s="25">
        <v>0.8</v>
      </c>
      <c r="I1140" s="24">
        <v>1</v>
      </c>
    </row>
    <row r="1141" spans="1:9" ht="15.75" customHeight="1" x14ac:dyDescent="0.2">
      <c r="A1141" s="26">
        <v>1149</v>
      </c>
      <c r="B1141" s="24">
        <v>1149</v>
      </c>
      <c r="C1141" s="24">
        <v>117</v>
      </c>
      <c r="D1141" s="24" t="str">
        <f>VLOOKUP(C1141,[1]Course!$A$1:$C$229, 2, FALSE)</f>
        <v>Science 12</v>
      </c>
      <c r="E1141" s="24">
        <v>137</v>
      </c>
      <c r="F1141" s="24" t="s">
        <v>477</v>
      </c>
      <c r="G1141" s="24">
        <v>1</v>
      </c>
      <c r="H1141" s="25">
        <v>0.8</v>
      </c>
      <c r="I1141" s="24">
        <v>1</v>
      </c>
    </row>
    <row r="1142" spans="1:9" ht="15.75" customHeight="1" x14ac:dyDescent="0.2">
      <c r="A1142" s="26">
        <v>1150</v>
      </c>
      <c r="B1142" s="24">
        <v>1150</v>
      </c>
      <c r="C1142" s="24">
        <v>117</v>
      </c>
      <c r="D1142" s="24" t="str">
        <f>VLOOKUP(C1142,[1]Course!$A$1:$C$229, 2, FALSE)</f>
        <v>Science 12</v>
      </c>
      <c r="E1142" s="24">
        <v>138</v>
      </c>
      <c r="F1142" s="24" t="s">
        <v>476</v>
      </c>
      <c r="G1142" s="24">
        <v>1</v>
      </c>
      <c r="H1142" s="25">
        <v>0.8</v>
      </c>
      <c r="I1142" s="24">
        <v>1</v>
      </c>
    </row>
    <row r="1143" spans="1:9" ht="15.75" customHeight="1" x14ac:dyDescent="0.2">
      <c r="A1143" s="26">
        <v>1151</v>
      </c>
      <c r="B1143" s="24">
        <v>1151</v>
      </c>
      <c r="C1143" s="24">
        <v>117</v>
      </c>
      <c r="D1143" s="24" t="str">
        <f>VLOOKUP(C1143,[1]Course!$A$1:$C$229, 2, FALSE)</f>
        <v>Science 12</v>
      </c>
      <c r="E1143" s="24">
        <v>139</v>
      </c>
      <c r="F1143" s="24" t="s">
        <v>475</v>
      </c>
      <c r="G1143" s="24">
        <v>1</v>
      </c>
      <c r="H1143" s="25">
        <v>0.8</v>
      </c>
      <c r="I1143" s="24">
        <v>1</v>
      </c>
    </row>
    <row r="1144" spans="1:9" ht="15.75" customHeight="1" x14ac:dyDescent="0.2">
      <c r="A1144" s="26">
        <v>1152</v>
      </c>
      <c r="B1144" s="24">
        <v>1152</v>
      </c>
      <c r="C1144" s="24">
        <v>117</v>
      </c>
      <c r="D1144" s="24" t="str">
        <f>VLOOKUP(C1144,[1]Course!$A$1:$C$229, 2, FALSE)</f>
        <v>Science 12</v>
      </c>
      <c r="E1144" s="24">
        <v>140</v>
      </c>
      <c r="F1144" s="24" t="s">
        <v>474</v>
      </c>
      <c r="G1144" s="24">
        <v>1</v>
      </c>
      <c r="H1144" s="25">
        <v>0.8</v>
      </c>
      <c r="I1144" s="24">
        <v>1</v>
      </c>
    </row>
    <row r="1145" spans="1:9" ht="15.75" customHeight="1" x14ac:dyDescent="0.2">
      <c r="A1145" s="26">
        <v>1153</v>
      </c>
      <c r="B1145" s="24">
        <v>1153</v>
      </c>
      <c r="C1145" s="24">
        <v>117</v>
      </c>
      <c r="D1145" s="24" t="str">
        <f>VLOOKUP(C1145,[1]Course!$A$1:$C$229, 2, FALSE)</f>
        <v>Science 12</v>
      </c>
      <c r="E1145" s="24">
        <v>141</v>
      </c>
      <c r="F1145" s="24" t="s">
        <v>473</v>
      </c>
      <c r="G1145" s="24">
        <v>1</v>
      </c>
      <c r="H1145" s="25">
        <v>0.8</v>
      </c>
      <c r="I1145" s="24">
        <v>1</v>
      </c>
    </row>
    <row r="1146" spans="1:9" ht="15.75" customHeight="1" x14ac:dyDescent="0.2">
      <c r="A1146" s="26">
        <v>1154</v>
      </c>
      <c r="B1146" s="24">
        <v>1154</v>
      </c>
      <c r="C1146" s="24">
        <v>117</v>
      </c>
      <c r="D1146" s="24" t="str">
        <f>VLOOKUP(C1146,[1]Course!$A$1:$C$229, 2, FALSE)</f>
        <v>Science 12</v>
      </c>
      <c r="E1146" s="24">
        <v>142</v>
      </c>
      <c r="F1146" s="24" t="s">
        <v>472</v>
      </c>
      <c r="G1146" s="24">
        <v>1</v>
      </c>
      <c r="H1146" s="25">
        <v>0.8</v>
      </c>
      <c r="I1146" s="24">
        <v>1</v>
      </c>
    </row>
    <row r="1147" spans="1:9" ht="15.75" customHeight="1" x14ac:dyDescent="0.2">
      <c r="A1147" s="26">
        <v>1155</v>
      </c>
      <c r="B1147" s="24">
        <v>1155</v>
      </c>
      <c r="C1147" s="24">
        <v>117</v>
      </c>
      <c r="D1147" s="24" t="str">
        <f>VLOOKUP(C1147,[1]Course!$A$1:$C$229, 2, FALSE)</f>
        <v>Science 12</v>
      </c>
      <c r="E1147" s="24">
        <v>143</v>
      </c>
      <c r="F1147" s="24" t="s">
        <v>471</v>
      </c>
      <c r="G1147" s="24">
        <v>1</v>
      </c>
      <c r="H1147" s="25">
        <v>0.8</v>
      </c>
      <c r="I1147" s="24">
        <v>1</v>
      </c>
    </row>
    <row r="1148" spans="1:9" ht="15.75" customHeight="1" x14ac:dyDescent="0.2">
      <c r="A1148" s="26">
        <v>1156</v>
      </c>
      <c r="B1148" s="24">
        <v>1156</v>
      </c>
      <c r="C1148" s="24">
        <v>117</v>
      </c>
      <c r="D1148" s="24" t="str">
        <f>VLOOKUP(C1148,[1]Course!$A$1:$C$229, 2, FALSE)</f>
        <v>Science 12</v>
      </c>
      <c r="E1148" s="24">
        <v>144</v>
      </c>
      <c r="F1148" s="24" t="s">
        <v>470</v>
      </c>
      <c r="G1148" s="24">
        <v>1</v>
      </c>
      <c r="H1148" s="25">
        <v>0.8</v>
      </c>
      <c r="I1148" s="24">
        <v>1</v>
      </c>
    </row>
    <row r="1149" spans="1:9" ht="15.75" customHeight="1" x14ac:dyDescent="0.2">
      <c r="A1149" s="26">
        <v>1157</v>
      </c>
      <c r="B1149" s="24">
        <v>1157</v>
      </c>
      <c r="C1149" s="24">
        <v>118</v>
      </c>
      <c r="D1149" s="24">
        <f>VLOOKUP(C1149,[1]Course!$A$1:$C$229, 2, FALSE)</f>
        <v>0</v>
      </c>
      <c r="E1149" s="24">
        <v>85</v>
      </c>
      <c r="F1149" s="24" t="s">
        <v>469</v>
      </c>
      <c r="G1149" s="24">
        <v>1</v>
      </c>
      <c r="H1149" s="25">
        <v>0.8</v>
      </c>
      <c r="I1149" s="24">
        <v>1</v>
      </c>
    </row>
    <row r="1150" spans="1:9" ht="15.75" customHeight="1" x14ac:dyDescent="0.2">
      <c r="A1150" s="26">
        <v>1158</v>
      </c>
      <c r="B1150" s="24">
        <v>1158</v>
      </c>
      <c r="C1150" s="24">
        <v>118</v>
      </c>
      <c r="D1150" s="24">
        <f>VLOOKUP(C1150,[1]Course!$A$1:$C$229, 2, FALSE)</f>
        <v>0</v>
      </c>
      <c r="E1150" s="24">
        <v>86</v>
      </c>
      <c r="F1150" s="24" t="s">
        <v>468</v>
      </c>
      <c r="G1150" s="24">
        <v>1</v>
      </c>
      <c r="H1150" s="25">
        <v>0.8</v>
      </c>
      <c r="I1150" s="24">
        <v>1</v>
      </c>
    </row>
    <row r="1151" spans="1:9" ht="15.75" customHeight="1" x14ac:dyDescent="0.2">
      <c r="A1151" s="26">
        <v>1159</v>
      </c>
      <c r="B1151" s="24">
        <v>1159</v>
      </c>
      <c r="C1151" s="24">
        <v>118</v>
      </c>
      <c r="D1151" s="24">
        <f>VLOOKUP(C1151,[1]Course!$A$1:$C$229, 2, FALSE)</f>
        <v>0</v>
      </c>
      <c r="E1151" s="24">
        <v>87</v>
      </c>
      <c r="F1151" s="24" t="s">
        <v>467</v>
      </c>
      <c r="G1151" s="24">
        <v>1</v>
      </c>
      <c r="H1151" s="25">
        <v>0.8</v>
      </c>
      <c r="I1151" s="24">
        <v>1</v>
      </c>
    </row>
    <row r="1152" spans="1:9" ht="15.75" customHeight="1" x14ac:dyDescent="0.2">
      <c r="A1152" s="26">
        <v>1160</v>
      </c>
      <c r="B1152" s="24">
        <v>1160</v>
      </c>
      <c r="C1152" s="24">
        <v>118</v>
      </c>
      <c r="D1152" s="24">
        <f>VLOOKUP(C1152,[1]Course!$A$1:$C$229, 2, FALSE)</f>
        <v>0</v>
      </c>
      <c r="E1152" s="24">
        <v>88</v>
      </c>
      <c r="F1152" s="24" t="s">
        <v>466</v>
      </c>
      <c r="G1152" s="24">
        <v>1</v>
      </c>
      <c r="H1152" s="25">
        <v>0.8</v>
      </c>
      <c r="I1152" s="24">
        <v>1</v>
      </c>
    </row>
    <row r="1153" spans="1:9" ht="15.75" customHeight="1" x14ac:dyDescent="0.2">
      <c r="A1153" s="26">
        <v>1161</v>
      </c>
      <c r="B1153" s="24">
        <v>1161</v>
      </c>
      <c r="C1153" s="24">
        <v>118</v>
      </c>
      <c r="D1153" s="24">
        <f>VLOOKUP(C1153,[1]Course!$A$1:$C$229, 2, FALSE)</f>
        <v>0</v>
      </c>
      <c r="E1153" s="24">
        <v>89</v>
      </c>
      <c r="F1153" s="24" t="s">
        <v>465</v>
      </c>
      <c r="G1153" s="24">
        <v>1</v>
      </c>
      <c r="H1153" s="25">
        <v>0.8</v>
      </c>
      <c r="I1153" s="24">
        <v>1</v>
      </c>
    </row>
    <row r="1154" spans="1:9" ht="15.75" customHeight="1" x14ac:dyDescent="0.2">
      <c r="A1154" s="26">
        <v>1162</v>
      </c>
      <c r="B1154" s="24">
        <v>1162</v>
      </c>
      <c r="C1154" s="24">
        <v>118</v>
      </c>
      <c r="D1154" s="24">
        <f>VLOOKUP(C1154,[1]Course!$A$1:$C$229, 2, FALSE)</f>
        <v>0</v>
      </c>
      <c r="E1154" s="24">
        <v>90</v>
      </c>
      <c r="F1154" s="24" t="s">
        <v>464</v>
      </c>
      <c r="G1154" s="24">
        <v>1</v>
      </c>
      <c r="H1154" s="25">
        <v>0.8</v>
      </c>
      <c r="I1154" s="24">
        <v>1</v>
      </c>
    </row>
    <row r="1155" spans="1:9" ht="15.75" customHeight="1" x14ac:dyDescent="0.2">
      <c r="A1155" s="26">
        <v>1163</v>
      </c>
      <c r="B1155" s="24">
        <v>1163</v>
      </c>
      <c r="C1155" s="24">
        <v>118</v>
      </c>
      <c r="D1155" s="24">
        <f>VLOOKUP(C1155,[1]Course!$A$1:$C$229, 2, FALSE)</f>
        <v>0</v>
      </c>
      <c r="E1155" s="24">
        <v>91</v>
      </c>
      <c r="F1155" s="24" t="s">
        <v>463</v>
      </c>
      <c r="G1155" s="24">
        <v>1</v>
      </c>
      <c r="H1155" s="25">
        <v>0.8</v>
      </c>
      <c r="I1155" s="24">
        <v>1</v>
      </c>
    </row>
    <row r="1156" spans="1:9" ht="15.75" customHeight="1" x14ac:dyDescent="0.2">
      <c r="A1156" s="26">
        <v>1164</v>
      </c>
      <c r="B1156" s="24">
        <v>1164</v>
      </c>
      <c r="C1156" s="24">
        <v>118</v>
      </c>
      <c r="D1156" s="24">
        <f>VLOOKUP(C1156,[1]Course!$A$1:$C$229, 2, FALSE)</f>
        <v>0</v>
      </c>
      <c r="E1156" s="24">
        <v>92</v>
      </c>
      <c r="F1156" s="24" t="s">
        <v>462</v>
      </c>
      <c r="G1156" s="24">
        <v>1</v>
      </c>
      <c r="H1156" s="25">
        <v>0.8</v>
      </c>
      <c r="I1156" s="24">
        <v>1</v>
      </c>
    </row>
    <row r="1157" spans="1:9" ht="15.75" customHeight="1" x14ac:dyDescent="0.2">
      <c r="A1157" s="26">
        <v>1165</v>
      </c>
      <c r="B1157" s="24">
        <v>1165</v>
      </c>
      <c r="C1157" s="24">
        <v>118</v>
      </c>
      <c r="D1157" s="24">
        <f>VLOOKUP(C1157,[1]Course!$A$1:$C$229, 2, FALSE)</f>
        <v>0</v>
      </c>
      <c r="E1157" s="24">
        <v>93</v>
      </c>
      <c r="F1157" s="24" t="s">
        <v>461</v>
      </c>
      <c r="G1157" s="24">
        <v>1</v>
      </c>
      <c r="H1157" s="25">
        <v>0.8</v>
      </c>
      <c r="I1157" s="24">
        <v>1</v>
      </c>
    </row>
    <row r="1158" spans="1:9" ht="15.75" customHeight="1" x14ac:dyDescent="0.2">
      <c r="A1158" s="26">
        <v>1166</v>
      </c>
      <c r="B1158" s="24">
        <v>1166</v>
      </c>
      <c r="C1158" s="24">
        <v>118</v>
      </c>
      <c r="D1158" s="24">
        <f>VLOOKUP(C1158,[1]Course!$A$1:$C$229, 2, FALSE)</f>
        <v>0</v>
      </c>
      <c r="E1158" s="24">
        <v>94</v>
      </c>
      <c r="F1158" s="24" t="s">
        <v>460</v>
      </c>
      <c r="G1158" s="24">
        <v>1</v>
      </c>
      <c r="H1158" s="25">
        <v>0.8</v>
      </c>
      <c r="I1158" s="24">
        <v>1</v>
      </c>
    </row>
    <row r="1159" spans="1:9" ht="15.75" customHeight="1" x14ac:dyDescent="0.2">
      <c r="A1159" s="26">
        <v>1167</v>
      </c>
      <c r="B1159" s="24">
        <v>1167</v>
      </c>
      <c r="C1159" s="24">
        <v>118</v>
      </c>
      <c r="D1159" s="24">
        <f>VLOOKUP(C1159,[1]Course!$A$1:$C$229, 2, FALSE)</f>
        <v>0</v>
      </c>
      <c r="E1159" s="24">
        <v>95</v>
      </c>
      <c r="F1159" s="24" t="s">
        <v>459</v>
      </c>
      <c r="G1159" s="24">
        <v>1</v>
      </c>
      <c r="H1159" s="25">
        <v>0.8</v>
      </c>
      <c r="I1159" s="24">
        <v>1</v>
      </c>
    </row>
    <row r="1160" spans="1:9" ht="15.75" customHeight="1" x14ac:dyDescent="0.2">
      <c r="A1160" s="26">
        <v>1168</v>
      </c>
      <c r="B1160" s="24">
        <v>1168</v>
      </c>
      <c r="C1160" s="24">
        <v>118</v>
      </c>
      <c r="D1160" s="24">
        <f>VLOOKUP(C1160,[1]Course!$A$1:$C$229, 2, FALSE)</f>
        <v>0</v>
      </c>
      <c r="E1160" s="24">
        <v>96</v>
      </c>
      <c r="F1160" s="24" t="s">
        <v>458</v>
      </c>
      <c r="G1160" s="24">
        <v>1</v>
      </c>
      <c r="H1160" s="25">
        <v>0.8</v>
      </c>
      <c r="I1160" s="24">
        <v>1</v>
      </c>
    </row>
    <row r="1161" spans="1:9" ht="15.75" customHeight="1" x14ac:dyDescent="0.2">
      <c r="A1161" s="26">
        <v>1169</v>
      </c>
      <c r="B1161" s="24">
        <v>1169</v>
      </c>
      <c r="C1161" s="24">
        <v>119</v>
      </c>
      <c r="D1161" s="24" t="str">
        <f>VLOOKUP(C1161,[1]Course!$A$1:$C$229, 2, FALSE)</f>
        <v>Civics and Economics</v>
      </c>
      <c r="E1161" s="24">
        <v>133</v>
      </c>
      <c r="F1161" s="24" t="s">
        <v>397</v>
      </c>
      <c r="G1161" s="24">
        <v>1</v>
      </c>
      <c r="H1161" s="25">
        <v>0.8</v>
      </c>
      <c r="I1161" s="24">
        <v>1</v>
      </c>
    </row>
    <row r="1162" spans="1:9" ht="15.75" customHeight="1" x14ac:dyDescent="0.2">
      <c r="A1162" s="26">
        <v>1170</v>
      </c>
      <c r="B1162" s="24">
        <v>1170</v>
      </c>
      <c r="C1162" s="24">
        <v>119</v>
      </c>
      <c r="D1162" s="24" t="str">
        <f>VLOOKUP(C1162,[1]Course!$A$1:$C$229, 2, FALSE)</f>
        <v>Civics and Economics</v>
      </c>
      <c r="E1162" s="24">
        <v>134</v>
      </c>
      <c r="F1162" s="24" t="s">
        <v>396</v>
      </c>
      <c r="G1162" s="24">
        <v>1</v>
      </c>
      <c r="H1162" s="25">
        <v>0.8</v>
      </c>
      <c r="I1162" s="24">
        <v>1</v>
      </c>
    </row>
    <row r="1163" spans="1:9" ht="15.75" customHeight="1" x14ac:dyDescent="0.2">
      <c r="A1163" s="26">
        <v>1171</v>
      </c>
      <c r="B1163" s="24">
        <v>1171</v>
      </c>
      <c r="C1163" s="24">
        <v>119</v>
      </c>
      <c r="D1163" s="24" t="str">
        <f>VLOOKUP(C1163,[1]Course!$A$1:$C$229, 2, FALSE)</f>
        <v>Civics and Economics</v>
      </c>
      <c r="E1163" s="24">
        <v>135</v>
      </c>
      <c r="F1163" s="24" t="s">
        <v>395</v>
      </c>
      <c r="G1163" s="24">
        <v>1</v>
      </c>
      <c r="H1163" s="25">
        <v>0.8</v>
      </c>
      <c r="I1163" s="24">
        <v>1</v>
      </c>
    </row>
    <row r="1164" spans="1:9" ht="15.75" customHeight="1" x14ac:dyDescent="0.2">
      <c r="A1164" s="26">
        <v>1172</v>
      </c>
      <c r="B1164" s="24">
        <v>1172</v>
      </c>
      <c r="C1164" s="24">
        <v>119</v>
      </c>
      <c r="D1164" s="24" t="str">
        <f>VLOOKUP(C1164,[1]Course!$A$1:$C$229, 2, FALSE)</f>
        <v>Civics and Economics</v>
      </c>
      <c r="E1164" s="24">
        <v>136</v>
      </c>
      <c r="F1164" s="24" t="s">
        <v>394</v>
      </c>
      <c r="G1164" s="24">
        <v>1</v>
      </c>
      <c r="H1164" s="25">
        <v>0.8</v>
      </c>
      <c r="I1164" s="24">
        <v>1</v>
      </c>
    </row>
    <row r="1165" spans="1:9" ht="15.75" customHeight="1" x14ac:dyDescent="0.2">
      <c r="A1165" s="26">
        <v>1173</v>
      </c>
      <c r="B1165" s="24">
        <v>1173</v>
      </c>
      <c r="C1165" s="24">
        <v>119</v>
      </c>
      <c r="D1165" s="24" t="str">
        <f>VLOOKUP(C1165,[1]Course!$A$1:$C$229, 2, FALSE)</f>
        <v>Civics and Economics</v>
      </c>
      <c r="E1165" s="24">
        <v>137</v>
      </c>
      <c r="F1165" s="24" t="s">
        <v>393</v>
      </c>
      <c r="G1165" s="24">
        <v>1</v>
      </c>
      <c r="H1165" s="25">
        <v>0.8</v>
      </c>
      <c r="I1165" s="24">
        <v>1</v>
      </c>
    </row>
    <row r="1166" spans="1:9" ht="15.75" customHeight="1" x14ac:dyDescent="0.2">
      <c r="A1166" s="26">
        <v>1174</v>
      </c>
      <c r="B1166" s="24">
        <v>1174</v>
      </c>
      <c r="C1166" s="24">
        <v>119</v>
      </c>
      <c r="D1166" s="24" t="str">
        <f>VLOOKUP(C1166,[1]Course!$A$1:$C$229, 2, FALSE)</f>
        <v>Civics and Economics</v>
      </c>
      <c r="E1166" s="24">
        <v>138</v>
      </c>
      <c r="F1166" s="24" t="s">
        <v>392</v>
      </c>
      <c r="G1166" s="24">
        <v>1</v>
      </c>
      <c r="H1166" s="25">
        <v>0.8</v>
      </c>
      <c r="I1166" s="24">
        <v>1</v>
      </c>
    </row>
    <row r="1167" spans="1:9" ht="15.75" customHeight="1" x14ac:dyDescent="0.2">
      <c r="A1167" s="26">
        <v>1175</v>
      </c>
      <c r="B1167" s="24">
        <v>1175</v>
      </c>
      <c r="C1167" s="24">
        <v>119</v>
      </c>
      <c r="D1167" s="24" t="str">
        <f>VLOOKUP(C1167,[1]Course!$A$1:$C$229, 2, FALSE)</f>
        <v>Civics and Economics</v>
      </c>
      <c r="E1167" s="24">
        <v>139</v>
      </c>
      <c r="F1167" s="24" t="s">
        <v>391</v>
      </c>
      <c r="G1167" s="24">
        <v>1</v>
      </c>
      <c r="H1167" s="25">
        <v>0.8</v>
      </c>
      <c r="I1167" s="24">
        <v>1</v>
      </c>
    </row>
    <row r="1168" spans="1:9" ht="15.75" customHeight="1" x14ac:dyDescent="0.2">
      <c r="A1168" s="26">
        <v>1176</v>
      </c>
      <c r="B1168" s="24">
        <v>1176</v>
      </c>
      <c r="C1168" s="24">
        <v>119</v>
      </c>
      <c r="D1168" s="24" t="str">
        <f>VLOOKUP(C1168,[1]Course!$A$1:$C$229, 2, FALSE)</f>
        <v>Civics and Economics</v>
      </c>
      <c r="E1168" s="24">
        <v>140</v>
      </c>
      <c r="F1168" s="24" t="s">
        <v>390</v>
      </c>
      <c r="G1168" s="24">
        <v>1</v>
      </c>
      <c r="H1168" s="25">
        <v>0.8</v>
      </c>
      <c r="I1168" s="24">
        <v>1</v>
      </c>
    </row>
    <row r="1169" spans="1:9" ht="15.75" customHeight="1" x14ac:dyDescent="0.2">
      <c r="A1169" s="26">
        <v>1177</v>
      </c>
      <c r="B1169" s="24">
        <v>1177</v>
      </c>
      <c r="C1169" s="24">
        <v>119</v>
      </c>
      <c r="D1169" s="24" t="str">
        <f>VLOOKUP(C1169,[1]Course!$A$1:$C$229, 2, FALSE)</f>
        <v>Civics and Economics</v>
      </c>
      <c r="E1169" s="24">
        <v>141</v>
      </c>
      <c r="F1169" s="24" t="s">
        <v>389</v>
      </c>
      <c r="G1169" s="24">
        <v>1</v>
      </c>
      <c r="H1169" s="25">
        <v>0.8</v>
      </c>
      <c r="I1169" s="24">
        <v>1</v>
      </c>
    </row>
    <row r="1170" spans="1:9" ht="15.75" customHeight="1" x14ac:dyDescent="0.2">
      <c r="A1170" s="26">
        <v>1178</v>
      </c>
      <c r="B1170" s="24">
        <v>1178</v>
      </c>
      <c r="C1170" s="24">
        <v>119</v>
      </c>
      <c r="D1170" s="24" t="str">
        <f>VLOOKUP(C1170,[1]Course!$A$1:$C$229, 2, FALSE)</f>
        <v>Civics and Economics</v>
      </c>
      <c r="E1170" s="24">
        <v>142</v>
      </c>
      <c r="F1170" s="24" t="s">
        <v>388</v>
      </c>
      <c r="G1170" s="24">
        <v>1</v>
      </c>
      <c r="H1170" s="25">
        <v>0.8</v>
      </c>
      <c r="I1170" s="24">
        <v>1</v>
      </c>
    </row>
    <row r="1171" spans="1:9" ht="15.75" customHeight="1" x14ac:dyDescent="0.2">
      <c r="A1171" s="26">
        <v>1179</v>
      </c>
      <c r="B1171" s="24">
        <v>1179</v>
      </c>
      <c r="C1171" s="24">
        <v>119</v>
      </c>
      <c r="D1171" s="24" t="str">
        <f>VLOOKUP(C1171,[1]Course!$A$1:$C$229, 2, FALSE)</f>
        <v>Civics and Economics</v>
      </c>
      <c r="E1171" s="24">
        <v>143</v>
      </c>
      <c r="F1171" s="24" t="s">
        <v>387</v>
      </c>
      <c r="G1171" s="24">
        <v>1</v>
      </c>
      <c r="H1171" s="25">
        <v>0.8</v>
      </c>
      <c r="I1171" s="24">
        <v>1</v>
      </c>
    </row>
    <row r="1172" spans="1:9" ht="15.75" customHeight="1" x14ac:dyDescent="0.2">
      <c r="A1172" s="26">
        <v>1180</v>
      </c>
      <c r="B1172" s="24">
        <v>1180</v>
      </c>
      <c r="C1172" s="24">
        <v>119</v>
      </c>
      <c r="D1172" s="24" t="str">
        <f>VLOOKUP(C1172,[1]Course!$A$1:$C$229, 2, FALSE)</f>
        <v>Civics and Economics</v>
      </c>
      <c r="E1172" s="24">
        <v>144</v>
      </c>
      <c r="F1172" s="24" t="s">
        <v>386</v>
      </c>
      <c r="G1172" s="24">
        <v>1</v>
      </c>
      <c r="H1172" s="25">
        <v>0.8</v>
      </c>
      <c r="I1172" s="24">
        <v>1</v>
      </c>
    </row>
    <row r="1173" spans="1:9" ht="15.75" customHeight="1" x14ac:dyDescent="0.2">
      <c r="A1173" s="26">
        <v>1181</v>
      </c>
      <c r="B1173" s="24">
        <v>1181</v>
      </c>
      <c r="C1173" s="24">
        <v>120</v>
      </c>
      <c r="D1173" s="24">
        <f>VLOOKUP(C1173,[1]Course!$A$1:$C$229, 2, FALSE)</f>
        <v>0</v>
      </c>
      <c r="E1173" s="24">
        <v>133</v>
      </c>
      <c r="F1173" s="24" t="s">
        <v>457</v>
      </c>
      <c r="G1173" s="24">
        <f t="shared" ref="G1173:G1178" si="8">1/6</f>
        <v>0.16666666666666666</v>
      </c>
      <c r="H1173" s="25">
        <v>0.8</v>
      </c>
      <c r="I1173" s="24">
        <v>1</v>
      </c>
    </row>
    <row r="1174" spans="1:9" ht="15.75" customHeight="1" x14ac:dyDescent="0.2">
      <c r="A1174" s="26">
        <v>1182</v>
      </c>
      <c r="B1174" s="24">
        <v>1182</v>
      </c>
      <c r="C1174" s="24">
        <v>120</v>
      </c>
      <c r="D1174" s="24">
        <f>VLOOKUP(C1174,[1]Course!$A$1:$C$229, 2, FALSE)</f>
        <v>0</v>
      </c>
      <c r="E1174" s="24">
        <v>134</v>
      </c>
      <c r="F1174" s="24" t="s">
        <v>456</v>
      </c>
      <c r="G1174" s="24">
        <f t="shared" si="8"/>
        <v>0.16666666666666666</v>
      </c>
      <c r="H1174" s="25">
        <v>0.8</v>
      </c>
      <c r="I1174" s="24">
        <v>1</v>
      </c>
    </row>
    <row r="1175" spans="1:9" ht="15.75" customHeight="1" x14ac:dyDescent="0.2">
      <c r="A1175" s="26">
        <v>1183</v>
      </c>
      <c r="B1175" s="24">
        <v>1183</v>
      </c>
      <c r="C1175" s="24">
        <v>120</v>
      </c>
      <c r="D1175" s="24">
        <f>VLOOKUP(C1175,[1]Course!$A$1:$C$229, 2, FALSE)</f>
        <v>0</v>
      </c>
      <c r="E1175" s="24">
        <v>135</v>
      </c>
      <c r="F1175" s="24" t="s">
        <v>455</v>
      </c>
      <c r="G1175" s="24">
        <f t="shared" si="8"/>
        <v>0.16666666666666666</v>
      </c>
      <c r="H1175" s="25">
        <v>0.8</v>
      </c>
      <c r="I1175" s="24">
        <v>1</v>
      </c>
    </row>
    <row r="1176" spans="1:9" ht="15.75" customHeight="1" x14ac:dyDescent="0.2">
      <c r="A1176" s="26">
        <v>1184</v>
      </c>
      <c r="B1176" s="24">
        <v>1184</v>
      </c>
      <c r="C1176" s="24">
        <v>120</v>
      </c>
      <c r="D1176" s="24">
        <f>VLOOKUP(C1176,[1]Course!$A$1:$C$229, 2, FALSE)</f>
        <v>0</v>
      </c>
      <c r="E1176" s="24">
        <v>136</v>
      </c>
      <c r="F1176" s="24" t="s">
        <v>454</v>
      </c>
      <c r="G1176" s="24">
        <f t="shared" si="8"/>
        <v>0.16666666666666666</v>
      </c>
      <c r="H1176" s="25">
        <v>0.8</v>
      </c>
      <c r="I1176" s="24">
        <v>1</v>
      </c>
    </row>
    <row r="1177" spans="1:9" ht="15.75" customHeight="1" x14ac:dyDescent="0.2">
      <c r="A1177" s="26">
        <v>1185</v>
      </c>
      <c r="B1177" s="24">
        <v>1185</v>
      </c>
      <c r="C1177" s="24">
        <v>120</v>
      </c>
      <c r="D1177" s="24">
        <f>VLOOKUP(C1177,[1]Course!$A$1:$C$229, 2, FALSE)</f>
        <v>0</v>
      </c>
      <c r="E1177" s="24">
        <v>137</v>
      </c>
      <c r="F1177" s="24" t="s">
        <v>453</v>
      </c>
      <c r="G1177" s="24">
        <f t="shared" si="8"/>
        <v>0.16666666666666666</v>
      </c>
      <c r="H1177" s="25">
        <v>0.8</v>
      </c>
      <c r="I1177" s="24">
        <v>1</v>
      </c>
    </row>
    <row r="1178" spans="1:9" ht="15.75" customHeight="1" x14ac:dyDescent="0.2">
      <c r="A1178" s="26">
        <v>1186</v>
      </c>
      <c r="B1178" s="24">
        <v>1186</v>
      </c>
      <c r="C1178" s="24">
        <v>120</v>
      </c>
      <c r="D1178" s="24">
        <f>VLOOKUP(C1178,[1]Course!$A$1:$C$229, 2, FALSE)</f>
        <v>0</v>
      </c>
      <c r="E1178" s="24">
        <v>138</v>
      </c>
      <c r="F1178" s="24" t="s">
        <v>452</v>
      </c>
      <c r="G1178" s="24">
        <f t="shared" si="8"/>
        <v>0.16666666666666666</v>
      </c>
      <c r="H1178" s="25">
        <v>0.8</v>
      </c>
      <c r="I1178" s="24">
        <v>1</v>
      </c>
    </row>
    <row r="1179" spans="1:9" ht="15.75" customHeight="1" x14ac:dyDescent="0.2">
      <c r="A1179" s="26">
        <v>1187</v>
      </c>
      <c r="B1179" s="24">
        <v>1187</v>
      </c>
      <c r="C1179" s="24">
        <v>121</v>
      </c>
      <c r="D1179" s="24" t="str">
        <f>VLOOKUP(C1179,[1]Course!$A$1:$C$229, 2, FALSE)</f>
        <v>History of Civilisation II</v>
      </c>
      <c r="E1179" s="24">
        <v>11</v>
      </c>
      <c r="F1179" s="24" t="s">
        <v>451</v>
      </c>
      <c r="G1179" s="24">
        <v>0.1</v>
      </c>
      <c r="H1179" s="25">
        <v>0.8</v>
      </c>
      <c r="I1179" s="24">
        <v>1</v>
      </c>
    </row>
    <row r="1180" spans="1:9" ht="15.75" customHeight="1" x14ac:dyDescent="0.2">
      <c r="A1180" s="26">
        <v>1188</v>
      </c>
      <c r="B1180" s="24">
        <v>1188</v>
      </c>
      <c r="C1180" s="24">
        <v>121</v>
      </c>
      <c r="D1180" s="24" t="str">
        <f>VLOOKUP(C1180,[1]Course!$A$1:$C$229, 2, FALSE)</f>
        <v>History of Civilisation II</v>
      </c>
      <c r="E1180" s="24">
        <v>12</v>
      </c>
      <c r="F1180" s="24" t="s">
        <v>450</v>
      </c>
      <c r="G1180" s="24">
        <v>0.1</v>
      </c>
      <c r="H1180" s="25">
        <v>0.8</v>
      </c>
      <c r="I1180" s="24">
        <v>1</v>
      </c>
    </row>
    <row r="1181" spans="1:9" ht="15.75" customHeight="1" x14ac:dyDescent="0.2">
      <c r="A1181" s="26">
        <v>1189</v>
      </c>
      <c r="B1181" s="24">
        <v>1189</v>
      </c>
      <c r="C1181" s="24">
        <v>121</v>
      </c>
      <c r="D1181" s="24" t="str">
        <f>VLOOKUP(C1181,[1]Course!$A$1:$C$229, 2, FALSE)</f>
        <v>History of Civilisation II</v>
      </c>
      <c r="E1181" s="24">
        <v>13</v>
      </c>
      <c r="F1181" s="24" t="s">
        <v>449</v>
      </c>
      <c r="G1181" s="24">
        <v>0.1</v>
      </c>
      <c r="H1181" s="25">
        <v>0.8</v>
      </c>
      <c r="I1181" s="24">
        <v>1</v>
      </c>
    </row>
    <row r="1182" spans="1:9" ht="15.75" customHeight="1" x14ac:dyDescent="0.2">
      <c r="A1182" s="26">
        <v>1190</v>
      </c>
      <c r="B1182" s="24">
        <v>1190</v>
      </c>
      <c r="C1182" s="24">
        <v>121</v>
      </c>
      <c r="D1182" s="24" t="str">
        <f>VLOOKUP(C1182,[1]Course!$A$1:$C$229, 2, FALSE)</f>
        <v>History of Civilisation II</v>
      </c>
      <c r="E1182" s="24">
        <v>14</v>
      </c>
      <c r="F1182" s="24" t="s">
        <v>448</v>
      </c>
      <c r="G1182" s="24">
        <v>0.1</v>
      </c>
      <c r="H1182" s="25">
        <v>0.8</v>
      </c>
      <c r="I1182" s="24">
        <v>1</v>
      </c>
    </row>
    <row r="1183" spans="1:9" ht="15.75" customHeight="1" x14ac:dyDescent="0.2">
      <c r="A1183" s="26">
        <v>1191</v>
      </c>
      <c r="B1183" s="24">
        <v>1191</v>
      </c>
      <c r="C1183" s="24">
        <v>121</v>
      </c>
      <c r="D1183" s="24" t="str">
        <f>VLOOKUP(C1183,[1]Course!$A$1:$C$229, 2, FALSE)</f>
        <v>History of Civilisation II</v>
      </c>
      <c r="E1183" s="24">
        <v>15</v>
      </c>
      <c r="F1183" s="24" t="s">
        <v>447</v>
      </c>
      <c r="G1183" s="24">
        <v>0.1</v>
      </c>
      <c r="H1183" s="25">
        <v>0.8</v>
      </c>
      <c r="I1183" s="24">
        <v>1</v>
      </c>
    </row>
    <row r="1184" spans="1:9" ht="15.75" customHeight="1" x14ac:dyDescent="0.2">
      <c r="A1184" s="26">
        <v>1192</v>
      </c>
      <c r="B1184" s="24">
        <v>1192</v>
      </c>
      <c r="C1184" s="24">
        <v>121</v>
      </c>
      <c r="D1184" s="24" t="str">
        <f>VLOOKUP(C1184,[1]Course!$A$1:$C$229, 2, FALSE)</f>
        <v>History of Civilisation II</v>
      </c>
      <c r="E1184" s="24">
        <v>16</v>
      </c>
      <c r="F1184" s="24" t="s">
        <v>446</v>
      </c>
      <c r="G1184" s="24">
        <v>0.1</v>
      </c>
      <c r="H1184" s="25">
        <v>0.8</v>
      </c>
      <c r="I1184" s="24">
        <v>1</v>
      </c>
    </row>
    <row r="1185" spans="1:9" ht="15.75" customHeight="1" x14ac:dyDescent="0.2">
      <c r="A1185" s="26">
        <v>1193</v>
      </c>
      <c r="B1185" s="24">
        <v>1193</v>
      </c>
      <c r="C1185" s="24">
        <v>121</v>
      </c>
      <c r="D1185" s="24" t="str">
        <f>VLOOKUP(C1185,[1]Course!$A$1:$C$229, 2, FALSE)</f>
        <v>History of Civilisation II</v>
      </c>
      <c r="E1185" s="24">
        <v>17</v>
      </c>
      <c r="F1185" s="24" t="s">
        <v>445</v>
      </c>
      <c r="G1185" s="24">
        <v>0.1</v>
      </c>
      <c r="H1185" s="25">
        <v>0.8</v>
      </c>
      <c r="I1185" s="24">
        <v>1</v>
      </c>
    </row>
    <row r="1186" spans="1:9" ht="15.75" customHeight="1" x14ac:dyDescent="0.2">
      <c r="A1186" s="26">
        <v>1194</v>
      </c>
      <c r="B1186" s="24">
        <v>1194</v>
      </c>
      <c r="C1186" s="24">
        <v>121</v>
      </c>
      <c r="D1186" s="24" t="str">
        <f>VLOOKUP(C1186,[1]Course!$A$1:$C$229, 2, FALSE)</f>
        <v>History of Civilisation II</v>
      </c>
      <c r="E1186" s="24">
        <v>18</v>
      </c>
      <c r="F1186" s="24" t="s">
        <v>444</v>
      </c>
      <c r="G1186" s="24">
        <v>0.1</v>
      </c>
      <c r="H1186" s="25">
        <v>0.8</v>
      </c>
      <c r="I1186" s="24">
        <v>1</v>
      </c>
    </row>
    <row r="1187" spans="1:9" ht="15.75" customHeight="1" x14ac:dyDescent="0.2">
      <c r="A1187" s="26">
        <v>1195</v>
      </c>
      <c r="B1187" s="24">
        <v>1195</v>
      </c>
      <c r="C1187" s="24">
        <v>121</v>
      </c>
      <c r="D1187" s="24" t="str">
        <f>VLOOKUP(C1187,[1]Course!$A$1:$C$229, 2, FALSE)</f>
        <v>History of Civilisation II</v>
      </c>
      <c r="E1187" s="24">
        <v>19</v>
      </c>
      <c r="F1187" s="24" t="s">
        <v>443</v>
      </c>
      <c r="G1187" s="24">
        <v>0.1</v>
      </c>
      <c r="H1187" s="25">
        <v>0.8</v>
      </c>
      <c r="I1187" s="24">
        <v>1</v>
      </c>
    </row>
    <row r="1188" spans="1:9" ht="15.75" customHeight="1" x14ac:dyDescent="0.2">
      <c r="A1188" s="26">
        <v>1196</v>
      </c>
      <c r="B1188" s="24">
        <v>1196</v>
      </c>
      <c r="C1188" s="24">
        <v>121</v>
      </c>
      <c r="D1188" s="24" t="str">
        <f>VLOOKUP(C1188,[1]Course!$A$1:$C$229, 2, FALSE)</f>
        <v>History of Civilisation II</v>
      </c>
      <c r="E1188" s="24">
        <v>20</v>
      </c>
      <c r="F1188" s="24" t="s">
        <v>442</v>
      </c>
      <c r="G1188" s="24">
        <v>0.1</v>
      </c>
      <c r="H1188" s="25">
        <v>0.8</v>
      </c>
      <c r="I1188" s="24">
        <v>1</v>
      </c>
    </row>
    <row r="1189" spans="1:9" ht="15.75" customHeight="1" x14ac:dyDescent="0.2">
      <c r="A1189" s="26">
        <v>1197</v>
      </c>
      <c r="B1189" s="24">
        <v>1197</v>
      </c>
      <c r="C1189" s="24">
        <v>122</v>
      </c>
      <c r="D1189" s="24">
        <f>VLOOKUP(C1189,[1]Course!$A$1:$C$229, 2, FALSE)</f>
        <v>0</v>
      </c>
      <c r="E1189" s="24">
        <v>133</v>
      </c>
      <c r="F1189" s="24" t="s">
        <v>441</v>
      </c>
      <c r="G1189" s="24">
        <v>0.25</v>
      </c>
      <c r="H1189" s="25">
        <v>0.8</v>
      </c>
      <c r="I1189" s="24">
        <v>1</v>
      </c>
    </row>
    <row r="1190" spans="1:9" ht="15.75" customHeight="1" x14ac:dyDescent="0.2">
      <c r="A1190" s="26">
        <v>1198</v>
      </c>
      <c r="B1190" s="24">
        <v>1198</v>
      </c>
      <c r="C1190" s="24">
        <v>122</v>
      </c>
      <c r="D1190" s="24">
        <f>VLOOKUP(C1190,[1]Course!$A$1:$C$229, 2, FALSE)</f>
        <v>0</v>
      </c>
      <c r="E1190" s="24">
        <v>134</v>
      </c>
      <c r="F1190" s="24" t="s">
        <v>440</v>
      </c>
      <c r="G1190" s="24">
        <v>0.25</v>
      </c>
      <c r="H1190" s="25">
        <v>0.8</v>
      </c>
      <c r="I1190" s="24">
        <v>1</v>
      </c>
    </row>
    <row r="1191" spans="1:9" ht="15.75" customHeight="1" x14ac:dyDescent="0.2">
      <c r="A1191" s="26">
        <v>1199</v>
      </c>
      <c r="B1191" s="24">
        <v>1199</v>
      </c>
      <c r="C1191" s="24">
        <v>122</v>
      </c>
      <c r="D1191" s="24">
        <f>VLOOKUP(C1191,[1]Course!$A$1:$C$229, 2, FALSE)</f>
        <v>0</v>
      </c>
      <c r="E1191" s="24">
        <v>135</v>
      </c>
      <c r="F1191" s="24" t="s">
        <v>439</v>
      </c>
      <c r="G1191" s="24">
        <v>0.25</v>
      </c>
      <c r="H1191" s="25">
        <v>0.8</v>
      </c>
      <c r="I1191" s="24">
        <v>1</v>
      </c>
    </row>
    <row r="1192" spans="1:9" ht="15.75" customHeight="1" x14ac:dyDescent="0.2">
      <c r="A1192" s="26">
        <v>1200</v>
      </c>
      <c r="B1192" s="24">
        <v>1200</v>
      </c>
      <c r="C1192" s="24">
        <v>122</v>
      </c>
      <c r="D1192" s="24">
        <f>VLOOKUP(C1192,[1]Course!$A$1:$C$229, 2, FALSE)</f>
        <v>0</v>
      </c>
      <c r="E1192" s="24">
        <v>136</v>
      </c>
      <c r="F1192" s="24" t="s">
        <v>438</v>
      </c>
      <c r="G1192" s="24">
        <v>0.25</v>
      </c>
      <c r="H1192" s="25">
        <v>0.8</v>
      </c>
      <c r="I1192" s="24">
        <v>1</v>
      </c>
    </row>
    <row r="1193" spans="1:9" ht="15.75" customHeight="1" x14ac:dyDescent="0.2">
      <c r="A1193" s="26">
        <v>1201</v>
      </c>
      <c r="B1193" s="24">
        <v>1201</v>
      </c>
      <c r="C1193" s="24">
        <v>123</v>
      </c>
      <c r="D1193" s="24">
        <f>VLOOKUP(C1193,[1]Course!$A$1:$C$229, 2, FALSE)</f>
        <v>0</v>
      </c>
      <c r="E1193" s="24">
        <v>6</v>
      </c>
      <c r="F1193" s="24" t="s">
        <v>437</v>
      </c>
      <c r="G1193" s="24">
        <v>1</v>
      </c>
      <c r="H1193" s="25">
        <v>0.8</v>
      </c>
      <c r="I1193" s="24">
        <v>1</v>
      </c>
    </row>
    <row r="1194" spans="1:9" ht="15.75" customHeight="1" x14ac:dyDescent="0.2">
      <c r="A1194" s="26">
        <v>1202</v>
      </c>
      <c r="B1194" s="24">
        <v>1202</v>
      </c>
      <c r="C1194" s="24">
        <v>123</v>
      </c>
      <c r="D1194" s="24">
        <f>VLOOKUP(C1194,[1]Course!$A$1:$C$229, 2, FALSE)</f>
        <v>0</v>
      </c>
      <c r="E1194" s="24">
        <v>7</v>
      </c>
      <c r="F1194" s="24" t="s">
        <v>436</v>
      </c>
      <c r="G1194" s="24">
        <v>1</v>
      </c>
      <c r="H1194" s="25">
        <v>0.8</v>
      </c>
      <c r="I1194" s="24">
        <v>1</v>
      </c>
    </row>
    <row r="1195" spans="1:9" ht="15.75" customHeight="1" x14ac:dyDescent="0.2">
      <c r="A1195" s="26">
        <v>1203</v>
      </c>
      <c r="B1195" s="24">
        <v>1203</v>
      </c>
      <c r="C1195" s="24">
        <v>123</v>
      </c>
      <c r="D1195" s="24">
        <f>VLOOKUP(C1195,[1]Course!$A$1:$C$229, 2, FALSE)</f>
        <v>0</v>
      </c>
      <c r="E1195" s="24">
        <v>8</v>
      </c>
      <c r="F1195" s="24" t="s">
        <v>435</v>
      </c>
      <c r="G1195" s="24">
        <v>1</v>
      </c>
      <c r="H1195" s="25">
        <v>0.8</v>
      </c>
      <c r="I1195" s="24">
        <v>1</v>
      </c>
    </row>
    <row r="1196" spans="1:9" ht="15.75" customHeight="1" x14ac:dyDescent="0.2">
      <c r="A1196" s="26">
        <v>1204</v>
      </c>
      <c r="B1196" s="24">
        <v>1204</v>
      </c>
      <c r="C1196" s="24">
        <v>123</v>
      </c>
      <c r="D1196" s="24">
        <f>VLOOKUP(C1196,[1]Course!$A$1:$C$229, 2, FALSE)</f>
        <v>0</v>
      </c>
      <c r="E1196" s="24">
        <v>9</v>
      </c>
      <c r="F1196" s="24" t="s">
        <v>434</v>
      </c>
      <c r="G1196" s="24">
        <v>1</v>
      </c>
      <c r="H1196" s="25">
        <v>0.8</v>
      </c>
      <c r="I1196" s="24">
        <v>1</v>
      </c>
    </row>
    <row r="1197" spans="1:9" ht="15.75" customHeight="1" x14ac:dyDescent="0.2">
      <c r="A1197" s="26">
        <v>1205</v>
      </c>
      <c r="B1197" s="24">
        <v>1205</v>
      </c>
      <c r="C1197" s="24">
        <v>123</v>
      </c>
      <c r="D1197" s="24">
        <f>VLOOKUP(C1197,[1]Course!$A$1:$C$229, 2, FALSE)</f>
        <v>0</v>
      </c>
      <c r="E1197" s="24">
        <v>10</v>
      </c>
      <c r="F1197" s="24" t="s">
        <v>433</v>
      </c>
      <c r="G1197" s="24">
        <v>1</v>
      </c>
      <c r="H1197" s="25">
        <v>0.8</v>
      </c>
      <c r="I1197" s="24">
        <v>1</v>
      </c>
    </row>
    <row r="1198" spans="1:9" ht="15.75" customHeight="1" x14ac:dyDescent="0.2">
      <c r="A1198" s="26">
        <v>1206</v>
      </c>
      <c r="B1198" s="24">
        <v>1206</v>
      </c>
      <c r="C1198" s="24">
        <v>124</v>
      </c>
      <c r="D1198" s="24" t="str">
        <f>VLOOKUP(C1198,[1]Course!$A$1:$C$229, 2, FALSE)</f>
        <v>Basic Christian Growth</v>
      </c>
      <c r="E1198" s="24">
        <v>133</v>
      </c>
      <c r="F1198" s="24" t="s">
        <v>432</v>
      </c>
      <c r="G1198" s="24">
        <v>1</v>
      </c>
      <c r="H1198" s="25">
        <v>0.8</v>
      </c>
      <c r="I1198" s="24">
        <v>1</v>
      </c>
    </row>
    <row r="1199" spans="1:9" ht="15.75" customHeight="1" x14ac:dyDescent="0.2">
      <c r="A1199" s="26">
        <v>1207</v>
      </c>
      <c r="B1199" s="24">
        <v>1207</v>
      </c>
      <c r="C1199" s="24">
        <v>124</v>
      </c>
      <c r="D1199" s="24" t="str">
        <f>VLOOKUP(C1199,[1]Course!$A$1:$C$229, 2, FALSE)</f>
        <v>Basic Christian Growth</v>
      </c>
      <c r="E1199" s="24">
        <v>134</v>
      </c>
      <c r="F1199" s="24" t="s">
        <v>431</v>
      </c>
      <c r="G1199" s="24">
        <v>1</v>
      </c>
      <c r="H1199" s="25">
        <v>0.8</v>
      </c>
      <c r="I1199" s="24">
        <v>1</v>
      </c>
    </row>
    <row r="1200" spans="1:9" ht="15.75" customHeight="1" x14ac:dyDescent="0.2">
      <c r="A1200" s="26">
        <v>1208</v>
      </c>
      <c r="B1200" s="24">
        <v>1208</v>
      </c>
      <c r="C1200" s="24">
        <v>124</v>
      </c>
      <c r="D1200" s="24" t="str">
        <f>VLOOKUP(C1200,[1]Course!$A$1:$C$229, 2, FALSE)</f>
        <v>Basic Christian Growth</v>
      </c>
      <c r="E1200" s="24">
        <v>135</v>
      </c>
      <c r="F1200" s="24" t="s">
        <v>430</v>
      </c>
      <c r="G1200" s="24">
        <v>1</v>
      </c>
      <c r="H1200" s="25">
        <v>0.8</v>
      </c>
      <c r="I1200" s="24">
        <v>1</v>
      </c>
    </row>
    <row r="1201" spans="1:9" ht="15.75" customHeight="1" x14ac:dyDescent="0.2">
      <c r="A1201" s="26">
        <v>1209</v>
      </c>
      <c r="B1201" s="24">
        <v>1209</v>
      </c>
      <c r="C1201" s="24">
        <v>124</v>
      </c>
      <c r="D1201" s="24" t="str">
        <f>VLOOKUP(C1201,[1]Course!$A$1:$C$229, 2, FALSE)</f>
        <v>Basic Christian Growth</v>
      </c>
      <c r="E1201" s="24">
        <v>136</v>
      </c>
      <c r="F1201" s="24" t="s">
        <v>429</v>
      </c>
      <c r="G1201" s="24">
        <v>1</v>
      </c>
      <c r="H1201" s="25">
        <v>0.8</v>
      </c>
      <c r="I1201" s="24">
        <v>1</v>
      </c>
    </row>
    <row r="1202" spans="1:9" ht="15.75" customHeight="1" x14ac:dyDescent="0.2">
      <c r="A1202" s="26">
        <v>1210</v>
      </c>
      <c r="B1202" s="24">
        <v>1210</v>
      </c>
      <c r="C1202" s="24">
        <v>124</v>
      </c>
      <c r="D1202" s="24" t="str">
        <f>VLOOKUP(C1202,[1]Course!$A$1:$C$229, 2, FALSE)</f>
        <v>Basic Christian Growth</v>
      </c>
      <c r="E1202" s="24">
        <v>137</v>
      </c>
      <c r="F1202" s="24" t="s">
        <v>428</v>
      </c>
      <c r="G1202" s="24">
        <v>1</v>
      </c>
      <c r="H1202" s="25">
        <v>0.8</v>
      </c>
      <c r="I1202" s="24">
        <v>1</v>
      </c>
    </row>
    <row r="1203" spans="1:9" ht="15.75" customHeight="1" x14ac:dyDescent="0.2">
      <c r="A1203" s="26">
        <v>1211</v>
      </c>
      <c r="B1203" s="24">
        <v>1211</v>
      </c>
      <c r="C1203" s="24">
        <v>124</v>
      </c>
      <c r="D1203" s="24" t="str">
        <f>VLOOKUP(C1203,[1]Course!$A$1:$C$229, 2, FALSE)</f>
        <v>Basic Christian Growth</v>
      </c>
      <c r="E1203" s="24">
        <v>138</v>
      </c>
      <c r="F1203" s="24" t="s">
        <v>427</v>
      </c>
      <c r="G1203" s="24">
        <v>1</v>
      </c>
      <c r="H1203" s="25">
        <v>0.8</v>
      </c>
      <c r="I1203" s="24">
        <v>1</v>
      </c>
    </row>
    <row r="1204" spans="1:9" ht="15.75" customHeight="1" x14ac:dyDescent="0.2">
      <c r="A1204" s="26">
        <v>1212</v>
      </c>
      <c r="B1204" s="24">
        <v>1212</v>
      </c>
      <c r="C1204" s="24">
        <v>125</v>
      </c>
      <c r="D1204" s="24">
        <f>VLOOKUP(C1204,[1]Course!$A$1:$C$229, 2, FALSE)</f>
        <v>0</v>
      </c>
      <c r="E1204" s="24">
        <v>139</v>
      </c>
      <c r="F1204" s="24" t="s">
        <v>426</v>
      </c>
      <c r="G1204" s="24">
        <v>1</v>
      </c>
      <c r="H1204" s="25">
        <v>0.8</v>
      </c>
      <c r="I1204" s="24">
        <v>1</v>
      </c>
    </row>
    <row r="1205" spans="1:9" ht="15.75" customHeight="1" x14ac:dyDescent="0.2">
      <c r="A1205" s="26">
        <v>1213</v>
      </c>
      <c r="B1205" s="24">
        <v>1213</v>
      </c>
      <c r="C1205" s="24">
        <v>125</v>
      </c>
      <c r="D1205" s="24">
        <f>VLOOKUP(C1205,[1]Course!$A$1:$C$229, 2, FALSE)</f>
        <v>0</v>
      </c>
      <c r="E1205" s="24">
        <v>140</v>
      </c>
      <c r="F1205" s="24" t="s">
        <v>425</v>
      </c>
      <c r="G1205" s="24">
        <v>1</v>
      </c>
      <c r="H1205" s="25">
        <v>0.8</v>
      </c>
      <c r="I1205" s="24">
        <v>1</v>
      </c>
    </row>
    <row r="1206" spans="1:9" ht="15.75" customHeight="1" x14ac:dyDescent="0.2">
      <c r="A1206" s="26">
        <v>1214</v>
      </c>
      <c r="B1206" s="24">
        <v>1214</v>
      </c>
      <c r="C1206" s="24">
        <v>125</v>
      </c>
      <c r="D1206" s="24">
        <f>VLOOKUP(C1206,[1]Course!$A$1:$C$229, 2, FALSE)</f>
        <v>0</v>
      </c>
      <c r="E1206" s="24">
        <v>141</v>
      </c>
      <c r="F1206" s="24" t="s">
        <v>424</v>
      </c>
      <c r="G1206" s="24">
        <v>1</v>
      </c>
      <c r="H1206" s="25">
        <v>0.8</v>
      </c>
      <c r="I1206" s="24">
        <v>1</v>
      </c>
    </row>
    <row r="1207" spans="1:9" ht="15.75" customHeight="1" x14ac:dyDescent="0.2">
      <c r="A1207" s="26">
        <v>1215</v>
      </c>
      <c r="B1207" s="24">
        <v>1215</v>
      </c>
      <c r="C1207" s="24">
        <v>125</v>
      </c>
      <c r="D1207" s="24">
        <f>VLOOKUP(C1207,[1]Course!$A$1:$C$229, 2, FALSE)</f>
        <v>0</v>
      </c>
      <c r="E1207" s="24">
        <v>142</v>
      </c>
      <c r="F1207" s="24" t="s">
        <v>423</v>
      </c>
      <c r="G1207" s="24">
        <v>1</v>
      </c>
      <c r="H1207" s="25">
        <v>0.8</v>
      </c>
      <c r="I1207" s="24">
        <v>1</v>
      </c>
    </row>
    <row r="1208" spans="1:9" ht="15.75" customHeight="1" x14ac:dyDescent="0.2">
      <c r="A1208" s="26">
        <v>1216</v>
      </c>
      <c r="B1208" s="24">
        <v>1216</v>
      </c>
      <c r="C1208" s="24">
        <v>125</v>
      </c>
      <c r="D1208" s="24">
        <f>VLOOKUP(C1208,[1]Course!$A$1:$C$229, 2, FALSE)</f>
        <v>0</v>
      </c>
      <c r="E1208" s="24">
        <v>143</v>
      </c>
      <c r="F1208" s="24" t="s">
        <v>422</v>
      </c>
      <c r="G1208" s="24">
        <v>1</v>
      </c>
      <c r="H1208" s="25">
        <v>0.8</v>
      </c>
      <c r="I1208" s="24">
        <v>1</v>
      </c>
    </row>
    <row r="1209" spans="1:9" ht="15.75" customHeight="1" x14ac:dyDescent="0.2">
      <c r="A1209" s="26">
        <v>1217</v>
      </c>
      <c r="B1209" s="24">
        <v>1217</v>
      </c>
      <c r="C1209" s="24">
        <v>125</v>
      </c>
      <c r="D1209" s="24">
        <f>VLOOKUP(C1209,[1]Course!$A$1:$C$229, 2, FALSE)</f>
        <v>0</v>
      </c>
      <c r="E1209" s="24">
        <v>144</v>
      </c>
      <c r="F1209" s="24" t="s">
        <v>421</v>
      </c>
      <c r="G1209" s="24">
        <v>1</v>
      </c>
      <c r="H1209" s="25">
        <v>0.8</v>
      </c>
      <c r="I1209" s="24">
        <v>1</v>
      </c>
    </row>
    <row r="1210" spans="1:9" ht="15.75" customHeight="1" x14ac:dyDescent="0.2">
      <c r="A1210" s="26">
        <v>1218</v>
      </c>
      <c r="B1210" s="24">
        <v>1051</v>
      </c>
      <c r="C1210" s="24">
        <v>126</v>
      </c>
      <c r="D1210" s="24" t="str">
        <f>VLOOKUP(C1210,[1]Course!$A$1:$C$229, 3, FALSE)</f>
        <v>New Testament Church History II</v>
      </c>
      <c r="E1210" s="24">
        <v>127</v>
      </c>
      <c r="F1210" s="24" t="s">
        <v>420</v>
      </c>
      <c r="G1210" s="24">
        <f t="shared" ref="G1210:G1215" si="9">1/5</f>
        <v>0.2</v>
      </c>
      <c r="H1210" s="25">
        <v>0.8</v>
      </c>
      <c r="I1210" s="24">
        <v>1</v>
      </c>
    </row>
    <row r="1211" spans="1:9" ht="15.75" customHeight="1" x14ac:dyDescent="0.2">
      <c r="A1211" s="26">
        <v>1219</v>
      </c>
      <c r="B1211" s="24">
        <v>1052</v>
      </c>
      <c r="C1211" s="24">
        <v>126</v>
      </c>
      <c r="D1211" s="24" t="str">
        <f>VLOOKUP(C1211,[1]Course!$A$1:$C$229, 3, FALSE)</f>
        <v>New Testament Church History II</v>
      </c>
      <c r="E1211" s="24">
        <v>128</v>
      </c>
      <c r="F1211" s="24" t="s">
        <v>419</v>
      </c>
      <c r="G1211" s="24">
        <f t="shared" si="9"/>
        <v>0.2</v>
      </c>
      <c r="H1211" s="25">
        <v>0.8</v>
      </c>
      <c r="I1211" s="24">
        <v>1</v>
      </c>
    </row>
    <row r="1212" spans="1:9" ht="15.75" customHeight="1" x14ac:dyDescent="0.2">
      <c r="A1212" s="26">
        <v>1220</v>
      </c>
      <c r="B1212" s="24">
        <v>1053</v>
      </c>
      <c r="C1212" s="24">
        <v>126</v>
      </c>
      <c r="D1212" s="24" t="str">
        <f>VLOOKUP(C1212,[1]Course!$A$1:$C$229, 3, FALSE)</f>
        <v>New Testament Church History II</v>
      </c>
      <c r="E1212" s="24">
        <v>129</v>
      </c>
      <c r="F1212" s="24" t="s">
        <v>418</v>
      </c>
      <c r="G1212" s="24">
        <f t="shared" si="9"/>
        <v>0.2</v>
      </c>
      <c r="H1212" s="25">
        <v>0.8</v>
      </c>
      <c r="I1212" s="24">
        <v>1</v>
      </c>
    </row>
    <row r="1213" spans="1:9" ht="15.75" customHeight="1" x14ac:dyDescent="0.2">
      <c r="A1213" s="26">
        <v>1221</v>
      </c>
      <c r="B1213" s="24">
        <v>1054</v>
      </c>
      <c r="C1213" s="24">
        <v>126</v>
      </c>
      <c r="D1213" s="24" t="str">
        <f>VLOOKUP(C1213,[1]Course!$A$1:$C$229, 3, FALSE)</f>
        <v>New Testament Church History II</v>
      </c>
      <c r="E1213" s="24">
        <v>130</v>
      </c>
      <c r="F1213" s="24" t="s">
        <v>417</v>
      </c>
      <c r="G1213" s="24">
        <f t="shared" si="9"/>
        <v>0.2</v>
      </c>
      <c r="H1213" s="25">
        <v>0.8</v>
      </c>
      <c r="I1213" s="24">
        <v>1</v>
      </c>
    </row>
    <row r="1214" spans="1:9" ht="15.75" customHeight="1" x14ac:dyDescent="0.2">
      <c r="A1214" s="26">
        <v>1222</v>
      </c>
      <c r="B1214" s="24">
        <v>1055</v>
      </c>
      <c r="C1214" s="24">
        <v>126</v>
      </c>
      <c r="D1214" s="24" t="str">
        <f>VLOOKUP(C1214,[1]Course!$A$1:$C$229, 3, FALSE)</f>
        <v>New Testament Church History II</v>
      </c>
      <c r="E1214" s="24">
        <v>131</v>
      </c>
      <c r="F1214" s="24" t="s">
        <v>416</v>
      </c>
      <c r="G1214" s="24">
        <f t="shared" si="9"/>
        <v>0.2</v>
      </c>
      <c r="H1214" s="25">
        <v>0.8</v>
      </c>
      <c r="I1214" s="24">
        <v>1</v>
      </c>
    </row>
    <row r="1215" spans="1:9" ht="15.75" customHeight="1" x14ac:dyDescent="0.2">
      <c r="A1215" s="26">
        <v>1223</v>
      </c>
      <c r="B1215" s="24">
        <v>1056</v>
      </c>
      <c r="C1215" s="24">
        <v>126</v>
      </c>
      <c r="D1215" s="24" t="str">
        <f>VLOOKUP(C1215,[1]Course!$A$1:$C$229, 3, FALSE)</f>
        <v>New Testament Church History II</v>
      </c>
      <c r="E1215" s="24">
        <v>132</v>
      </c>
      <c r="F1215" s="24" t="s">
        <v>415</v>
      </c>
      <c r="G1215" s="24">
        <f t="shared" si="9"/>
        <v>0.2</v>
      </c>
      <c r="H1215" s="25">
        <v>0.8</v>
      </c>
      <c r="I1215" s="24">
        <v>1</v>
      </c>
    </row>
    <row r="1216" spans="1:9" ht="15.75" customHeight="1" x14ac:dyDescent="0.2">
      <c r="A1216" s="26">
        <v>1224</v>
      </c>
      <c r="B1216" s="24">
        <v>1224</v>
      </c>
      <c r="C1216" s="24">
        <v>127</v>
      </c>
      <c r="D1216" s="24">
        <f>VLOOKUP(C1216,[1]Course!$A$1:$C$229, 2, FALSE)</f>
        <v>0</v>
      </c>
      <c r="E1216" s="24">
        <v>1</v>
      </c>
      <c r="G1216" s="24">
        <f t="shared" ref="G1216:G1225" si="10">1/10</f>
        <v>0.1</v>
      </c>
      <c r="H1216" s="25">
        <v>0.8</v>
      </c>
      <c r="I1216" s="24">
        <v>1</v>
      </c>
    </row>
    <row r="1217" spans="1:9" ht="15.75" customHeight="1" x14ac:dyDescent="0.2">
      <c r="A1217" s="26">
        <v>1225</v>
      </c>
      <c r="B1217" s="24">
        <v>1225</v>
      </c>
      <c r="C1217" s="24">
        <v>127</v>
      </c>
      <c r="D1217" s="24">
        <f>VLOOKUP(C1217,[1]Course!$A$1:$C$229, 2, FALSE)</f>
        <v>0</v>
      </c>
      <c r="E1217" s="24">
        <v>2</v>
      </c>
      <c r="G1217" s="24">
        <f t="shared" si="10"/>
        <v>0.1</v>
      </c>
      <c r="H1217" s="25">
        <v>0.8</v>
      </c>
      <c r="I1217" s="24">
        <v>1</v>
      </c>
    </row>
    <row r="1218" spans="1:9" ht="15.75" customHeight="1" x14ac:dyDescent="0.2">
      <c r="A1218" s="26">
        <v>1226</v>
      </c>
      <c r="B1218" s="24">
        <v>1226</v>
      </c>
      <c r="C1218" s="24">
        <v>127</v>
      </c>
      <c r="D1218" s="24">
        <f>VLOOKUP(C1218,[1]Course!$A$1:$C$229, 2, FALSE)</f>
        <v>0</v>
      </c>
      <c r="E1218" s="24">
        <v>3</v>
      </c>
      <c r="G1218" s="24">
        <f t="shared" si="10"/>
        <v>0.1</v>
      </c>
      <c r="H1218" s="25">
        <v>0.8</v>
      </c>
      <c r="I1218" s="24">
        <v>1</v>
      </c>
    </row>
    <row r="1219" spans="1:9" ht="15.75" customHeight="1" x14ac:dyDescent="0.2">
      <c r="A1219" s="26">
        <v>1227</v>
      </c>
      <c r="B1219" s="24">
        <v>1227</v>
      </c>
      <c r="C1219" s="24">
        <v>127</v>
      </c>
      <c r="D1219" s="24">
        <f>VLOOKUP(C1219,[1]Course!$A$1:$C$229, 2, FALSE)</f>
        <v>0</v>
      </c>
      <c r="E1219" s="24">
        <v>4</v>
      </c>
      <c r="G1219" s="24">
        <f t="shared" si="10"/>
        <v>0.1</v>
      </c>
      <c r="H1219" s="25">
        <v>0.8</v>
      </c>
      <c r="I1219" s="24">
        <v>1</v>
      </c>
    </row>
    <row r="1220" spans="1:9" ht="15.75" customHeight="1" x14ac:dyDescent="0.2">
      <c r="A1220" s="26">
        <v>1228</v>
      </c>
      <c r="B1220" s="24">
        <v>1228</v>
      </c>
      <c r="C1220" s="24">
        <v>127</v>
      </c>
      <c r="D1220" s="24">
        <f>VLOOKUP(C1220,[1]Course!$A$1:$C$229, 2, FALSE)</f>
        <v>0</v>
      </c>
      <c r="E1220" s="24">
        <v>5</v>
      </c>
      <c r="G1220" s="24">
        <f t="shared" si="10"/>
        <v>0.1</v>
      </c>
      <c r="H1220" s="25">
        <v>0.8</v>
      </c>
      <c r="I1220" s="24">
        <v>1</v>
      </c>
    </row>
    <row r="1221" spans="1:9" ht="15.75" customHeight="1" x14ac:dyDescent="0.2">
      <c r="A1221" s="26">
        <v>1229</v>
      </c>
      <c r="B1221" s="24">
        <v>1229</v>
      </c>
      <c r="C1221" s="24">
        <v>127</v>
      </c>
      <c r="D1221" s="24">
        <f>VLOOKUP(C1221,[1]Course!$A$1:$C$229, 2, FALSE)</f>
        <v>0</v>
      </c>
      <c r="E1221" s="24">
        <v>6</v>
      </c>
      <c r="G1221" s="24">
        <f t="shared" si="10"/>
        <v>0.1</v>
      </c>
      <c r="H1221" s="25">
        <v>0.8</v>
      </c>
      <c r="I1221" s="24">
        <v>1</v>
      </c>
    </row>
    <row r="1222" spans="1:9" ht="15.75" customHeight="1" x14ac:dyDescent="0.2">
      <c r="A1222" s="26">
        <v>1230</v>
      </c>
      <c r="B1222" s="24">
        <v>1230</v>
      </c>
      <c r="C1222" s="24">
        <v>127</v>
      </c>
      <c r="D1222" s="24">
        <f>VLOOKUP(C1222,[1]Course!$A$1:$C$229, 2, FALSE)</f>
        <v>0</v>
      </c>
      <c r="E1222" s="24">
        <v>7</v>
      </c>
      <c r="G1222" s="24">
        <f t="shared" si="10"/>
        <v>0.1</v>
      </c>
      <c r="H1222" s="25">
        <v>0.8</v>
      </c>
      <c r="I1222" s="24">
        <v>1</v>
      </c>
    </row>
    <row r="1223" spans="1:9" ht="15.75" customHeight="1" x14ac:dyDescent="0.2">
      <c r="A1223" s="26">
        <v>1231</v>
      </c>
      <c r="B1223" s="24">
        <v>1231</v>
      </c>
      <c r="C1223" s="24">
        <v>127</v>
      </c>
      <c r="D1223" s="24">
        <f>VLOOKUP(C1223,[1]Course!$A$1:$C$229, 2, FALSE)</f>
        <v>0</v>
      </c>
      <c r="E1223" s="24">
        <v>8</v>
      </c>
      <c r="G1223" s="24">
        <f t="shared" si="10"/>
        <v>0.1</v>
      </c>
      <c r="H1223" s="25">
        <v>0.8</v>
      </c>
      <c r="I1223" s="24">
        <v>1</v>
      </c>
    </row>
    <row r="1224" spans="1:9" ht="15.75" customHeight="1" x14ac:dyDescent="0.2">
      <c r="A1224" s="26">
        <v>1232</v>
      </c>
      <c r="B1224" s="24">
        <v>1232</v>
      </c>
      <c r="C1224" s="24">
        <v>127</v>
      </c>
      <c r="D1224" s="24">
        <f>VLOOKUP(C1224,[1]Course!$A$1:$C$229, 2, FALSE)</f>
        <v>0</v>
      </c>
      <c r="E1224" s="24">
        <v>9</v>
      </c>
      <c r="G1224" s="24">
        <f t="shared" si="10"/>
        <v>0.1</v>
      </c>
      <c r="H1224" s="25">
        <v>0.8</v>
      </c>
      <c r="I1224" s="24">
        <v>1</v>
      </c>
    </row>
    <row r="1225" spans="1:9" ht="15.75" customHeight="1" x14ac:dyDescent="0.2">
      <c r="A1225" s="26">
        <v>1233</v>
      </c>
      <c r="B1225" s="24">
        <v>1233</v>
      </c>
      <c r="C1225" s="24">
        <v>127</v>
      </c>
      <c r="D1225" s="24">
        <f>VLOOKUP(C1225,[1]Course!$A$1:$C$229, 2, FALSE)</f>
        <v>0</v>
      </c>
      <c r="E1225" s="24">
        <v>10</v>
      </c>
      <c r="G1225" s="24">
        <f t="shared" si="10"/>
        <v>0.1</v>
      </c>
      <c r="H1225" s="25">
        <v>0.8</v>
      </c>
      <c r="I1225" s="24">
        <v>1</v>
      </c>
    </row>
    <row r="1226" spans="1:9" ht="15.75" customHeight="1" x14ac:dyDescent="0.2">
      <c r="A1226" s="26">
        <v>1234</v>
      </c>
      <c r="B1226" s="24">
        <v>959</v>
      </c>
      <c r="C1226" s="24">
        <v>131</v>
      </c>
      <c r="D1226" s="24">
        <f>VLOOKUP(C1226,[1]Course!$A$1:$C$229, 2, FALSE)</f>
        <v>0</v>
      </c>
      <c r="E1226" s="24">
        <v>133</v>
      </c>
      <c r="F1226" s="24" t="s">
        <v>414</v>
      </c>
      <c r="G1226" s="24">
        <v>1</v>
      </c>
      <c r="H1226" s="25">
        <v>0.8</v>
      </c>
      <c r="I1226" s="24">
        <v>1</v>
      </c>
    </row>
    <row r="1227" spans="1:9" ht="15.75" customHeight="1" x14ac:dyDescent="0.2">
      <c r="A1227" s="26">
        <v>1235</v>
      </c>
      <c r="B1227" s="24">
        <v>960</v>
      </c>
      <c r="C1227" s="24">
        <v>131</v>
      </c>
      <c r="D1227" s="24">
        <f>VLOOKUP(C1227,[1]Course!$A$1:$C$229, 2, FALSE)</f>
        <v>0</v>
      </c>
      <c r="E1227" s="24">
        <v>134</v>
      </c>
      <c r="F1227" s="24" t="s">
        <v>413</v>
      </c>
      <c r="G1227" s="24">
        <v>1</v>
      </c>
      <c r="H1227" s="25">
        <v>0.8</v>
      </c>
      <c r="I1227" s="24">
        <v>1</v>
      </c>
    </row>
    <row r="1228" spans="1:9" ht="15.75" customHeight="1" x14ac:dyDescent="0.2">
      <c r="A1228" s="26">
        <v>1236</v>
      </c>
      <c r="B1228" s="24">
        <v>961</v>
      </c>
      <c r="C1228" s="24">
        <v>131</v>
      </c>
      <c r="D1228" s="24">
        <f>VLOOKUP(C1228,[1]Course!$A$1:$C$229, 2, FALSE)</f>
        <v>0</v>
      </c>
      <c r="E1228" s="24">
        <v>135</v>
      </c>
      <c r="F1228" s="24" t="s">
        <v>412</v>
      </c>
      <c r="G1228" s="24">
        <v>1</v>
      </c>
      <c r="H1228" s="25">
        <v>0.8</v>
      </c>
      <c r="I1228" s="24">
        <v>1</v>
      </c>
    </row>
    <row r="1229" spans="1:9" ht="15.75" customHeight="1" x14ac:dyDescent="0.2">
      <c r="A1229" s="26">
        <v>1237</v>
      </c>
      <c r="B1229" s="24">
        <v>962</v>
      </c>
      <c r="C1229" s="24">
        <v>131</v>
      </c>
      <c r="D1229" s="24">
        <f>VLOOKUP(C1229,[1]Course!$A$1:$C$229, 2, FALSE)</f>
        <v>0</v>
      </c>
      <c r="E1229" s="24">
        <v>136</v>
      </c>
      <c r="F1229" s="24" t="s">
        <v>411</v>
      </c>
      <c r="G1229" s="24">
        <v>1</v>
      </c>
      <c r="H1229" s="25">
        <v>0.8</v>
      </c>
      <c r="I1229" s="24">
        <v>1</v>
      </c>
    </row>
    <row r="1230" spans="1:9" ht="15.75" customHeight="1" x14ac:dyDescent="0.2">
      <c r="A1230" s="26">
        <v>1238</v>
      </c>
      <c r="B1230" s="24">
        <v>963</v>
      </c>
      <c r="C1230" s="24">
        <v>131</v>
      </c>
      <c r="D1230" s="24">
        <f>VLOOKUP(C1230,[1]Course!$A$1:$C$229, 2, FALSE)</f>
        <v>0</v>
      </c>
      <c r="E1230" s="24">
        <v>137</v>
      </c>
      <c r="F1230" s="24" t="s">
        <v>410</v>
      </c>
      <c r="G1230" s="24">
        <v>1</v>
      </c>
      <c r="H1230" s="25">
        <v>0.8</v>
      </c>
      <c r="I1230" s="24">
        <v>1</v>
      </c>
    </row>
    <row r="1231" spans="1:9" ht="15.75" customHeight="1" x14ac:dyDescent="0.2">
      <c r="A1231" s="26">
        <v>1239</v>
      </c>
      <c r="B1231" s="24">
        <v>964</v>
      </c>
      <c r="C1231" s="24">
        <v>131</v>
      </c>
      <c r="D1231" s="24">
        <f>VLOOKUP(C1231,[1]Course!$A$1:$C$229, 2, FALSE)</f>
        <v>0</v>
      </c>
      <c r="E1231" s="24">
        <v>138</v>
      </c>
      <c r="F1231" s="24" t="s">
        <v>409</v>
      </c>
      <c r="G1231" s="24">
        <v>1</v>
      </c>
      <c r="H1231" s="25">
        <v>0.8</v>
      </c>
      <c r="I1231" s="24">
        <v>1</v>
      </c>
    </row>
    <row r="1232" spans="1:9" ht="15.75" customHeight="1" x14ac:dyDescent="0.2">
      <c r="A1232" s="26">
        <v>1240</v>
      </c>
      <c r="B1232" s="24">
        <v>1212</v>
      </c>
      <c r="C1232" s="24">
        <v>131</v>
      </c>
      <c r="D1232" s="24">
        <f>VLOOKUP(C1232,[1]Course!$A$1:$C$229, 2, FALSE)</f>
        <v>0</v>
      </c>
      <c r="E1232" s="24">
        <v>139</v>
      </c>
      <c r="F1232" s="24" t="s">
        <v>408</v>
      </c>
      <c r="G1232" s="24">
        <v>1</v>
      </c>
      <c r="H1232" s="25">
        <v>0.8</v>
      </c>
      <c r="I1232" s="24">
        <v>1</v>
      </c>
    </row>
    <row r="1233" spans="1:9" ht="15.75" customHeight="1" x14ac:dyDescent="0.2">
      <c r="A1233" s="26">
        <v>1241</v>
      </c>
      <c r="B1233" s="24">
        <v>1213</v>
      </c>
      <c r="C1233" s="24">
        <v>131</v>
      </c>
      <c r="D1233" s="24">
        <f>VLOOKUP(C1233,[1]Course!$A$1:$C$229, 2, FALSE)</f>
        <v>0</v>
      </c>
      <c r="E1233" s="24">
        <v>140</v>
      </c>
      <c r="F1233" s="24" t="s">
        <v>407</v>
      </c>
      <c r="G1233" s="24">
        <v>1</v>
      </c>
      <c r="H1233" s="25">
        <v>0.8</v>
      </c>
      <c r="I1233" s="24">
        <v>1</v>
      </c>
    </row>
    <row r="1234" spans="1:9" ht="15.75" customHeight="1" x14ac:dyDescent="0.2">
      <c r="A1234" s="26">
        <v>1242</v>
      </c>
      <c r="B1234" s="24">
        <v>1214</v>
      </c>
      <c r="C1234" s="24">
        <v>131</v>
      </c>
      <c r="D1234" s="24">
        <f>VLOOKUP(C1234,[1]Course!$A$1:$C$229, 2, FALSE)</f>
        <v>0</v>
      </c>
      <c r="E1234" s="24">
        <v>141</v>
      </c>
      <c r="F1234" s="24" t="s">
        <v>406</v>
      </c>
      <c r="G1234" s="24">
        <v>1</v>
      </c>
      <c r="H1234" s="25">
        <v>0.8</v>
      </c>
      <c r="I1234" s="24">
        <v>1</v>
      </c>
    </row>
    <row r="1235" spans="1:9" ht="15.75" customHeight="1" x14ac:dyDescent="0.2">
      <c r="A1235" s="26">
        <v>1243</v>
      </c>
      <c r="B1235" s="24">
        <v>1215</v>
      </c>
      <c r="C1235" s="24">
        <v>131</v>
      </c>
      <c r="D1235" s="24">
        <f>VLOOKUP(C1235,[1]Course!$A$1:$C$229, 2, FALSE)</f>
        <v>0</v>
      </c>
      <c r="E1235" s="24">
        <v>142</v>
      </c>
      <c r="F1235" s="24" t="s">
        <v>405</v>
      </c>
      <c r="G1235" s="24">
        <v>1</v>
      </c>
      <c r="H1235" s="25">
        <v>0.8</v>
      </c>
      <c r="I1235" s="24">
        <v>1</v>
      </c>
    </row>
    <row r="1236" spans="1:9" ht="15.75" customHeight="1" x14ac:dyDescent="0.2">
      <c r="A1236" s="26">
        <v>1244</v>
      </c>
      <c r="B1236" s="24">
        <v>1216</v>
      </c>
      <c r="C1236" s="24">
        <v>131</v>
      </c>
      <c r="D1236" s="24">
        <f>VLOOKUP(C1236,[1]Course!$A$1:$C$229, 2, FALSE)</f>
        <v>0</v>
      </c>
      <c r="E1236" s="24">
        <v>143</v>
      </c>
      <c r="F1236" s="24" t="s">
        <v>404</v>
      </c>
      <c r="G1236" s="24">
        <v>1</v>
      </c>
      <c r="H1236" s="25">
        <v>0.8</v>
      </c>
      <c r="I1236" s="24">
        <v>1</v>
      </c>
    </row>
    <row r="1237" spans="1:9" ht="15.75" customHeight="1" x14ac:dyDescent="0.2">
      <c r="A1237" s="26">
        <v>1245</v>
      </c>
      <c r="B1237" s="24">
        <v>1217</v>
      </c>
      <c r="C1237" s="24">
        <v>131</v>
      </c>
      <c r="D1237" s="24">
        <f>VLOOKUP(C1237,[1]Course!$A$1:$C$229, 2, FALSE)</f>
        <v>0</v>
      </c>
      <c r="E1237" s="24">
        <v>144</v>
      </c>
      <c r="F1237" s="24" t="s">
        <v>403</v>
      </c>
      <c r="G1237" s="24">
        <v>1</v>
      </c>
      <c r="H1237" s="25">
        <v>0.8</v>
      </c>
      <c r="I1237" s="24">
        <v>1</v>
      </c>
    </row>
    <row r="1238" spans="1:9" ht="15.75" customHeight="1" x14ac:dyDescent="0.2">
      <c r="A1238" s="26">
        <v>1246</v>
      </c>
      <c r="B1238" s="24">
        <v>1234</v>
      </c>
      <c r="C1238" s="24">
        <v>130</v>
      </c>
      <c r="D1238" s="24">
        <f>VLOOKUP(C1238, [1]Course!$A$2:$C$149, 2, FALSE)</f>
        <v>0</v>
      </c>
      <c r="E1238" s="24">
        <v>1</v>
      </c>
      <c r="G1238" s="24">
        <f t="shared" ref="G1238:G1253" si="11">1/16</f>
        <v>6.25E-2</v>
      </c>
      <c r="H1238" s="25">
        <v>0.8</v>
      </c>
      <c r="I1238" s="24">
        <v>1</v>
      </c>
    </row>
    <row r="1239" spans="1:9" ht="15.75" customHeight="1" x14ac:dyDescent="0.2">
      <c r="A1239" s="26">
        <v>1247</v>
      </c>
      <c r="B1239" s="24">
        <v>1235</v>
      </c>
      <c r="C1239" s="24">
        <v>130</v>
      </c>
      <c r="D1239" s="24">
        <f>VLOOKUP(C1239, [1]Course!$A$2:$C$149, 2, FALSE)</f>
        <v>0</v>
      </c>
      <c r="E1239" s="24">
        <v>2</v>
      </c>
      <c r="G1239" s="24">
        <f t="shared" si="11"/>
        <v>6.25E-2</v>
      </c>
      <c r="H1239" s="25">
        <v>0.8</v>
      </c>
      <c r="I1239" s="24">
        <v>1</v>
      </c>
    </row>
    <row r="1240" spans="1:9" ht="15.75" customHeight="1" x14ac:dyDescent="0.2">
      <c r="A1240" s="26">
        <v>1248</v>
      </c>
      <c r="B1240" s="24">
        <v>1236</v>
      </c>
      <c r="C1240" s="24">
        <v>130</v>
      </c>
      <c r="D1240" s="24">
        <f>VLOOKUP(C1240, [1]Course!$A$2:$C$149, 2, FALSE)</f>
        <v>0</v>
      </c>
      <c r="E1240" s="24">
        <v>3</v>
      </c>
      <c r="G1240" s="24">
        <f t="shared" si="11"/>
        <v>6.25E-2</v>
      </c>
      <c r="H1240" s="25">
        <v>0.8</v>
      </c>
      <c r="I1240" s="24">
        <v>1</v>
      </c>
    </row>
    <row r="1241" spans="1:9" ht="15.75" customHeight="1" x14ac:dyDescent="0.2">
      <c r="A1241" s="26">
        <v>1249</v>
      </c>
      <c r="B1241" s="24">
        <v>1237</v>
      </c>
      <c r="C1241" s="24">
        <v>130</v>
      </c>
      <c r="D1241" s="24">
        <f>VLOOKUP(C1241, [1]Course!$A$2:$C$149, 2, FALSE)</f>
        <v>0</v>
      </c>
      <c r="E1241" s="24">
        <v>4</v>
      </c>
      <c r="G1241" s="24">
        <f t="shared" si="11"/>
        <v>6.25E-2</v>
      </c>
      <c r="H1241" s="25">
        <v>0.8</v>
      </c>
      <c r="I1241" s="24">
        <v>1</v>
      </c>
    </row>
    <row r="1242" spans="1:9" ht="15.75" customHeight="1" x14ac:dyDescent="0.2">
      <c r="A1242" s="26">
        <v>1250</v>
      </c>
      <c r="B1242" s="24">
        <v>1238</v>
      </c>
      <c r="C1242" s="24">
        <v>130</v>
      </c>
      <c r="D1242" s="24">
        <f>VLOOKUP(C1242, [1]Course!$A$2:$C$149, 2, FALSE)</f>
        <v>0</v>
      </c>
      <c r="E1242" s="24">
        <v>5</v>
      </c>
      <c r="G1242" s="24">
        <f t="shared" si="11"/>
        <v>6.25E-2</v>
      </c>
      <c r="H1242" s="25">
        <v>0.8</v>
      </c>
      <c r="I1242" s="24">
        <v>1</v>
      </c>
    </row>
    <row r="1243" spans="1:9" ht="15.75" customHeight="1" x14ac:dyDescent="0.2">
      <c r="A1243" s="26">
        <v>1251</v>
      </c>
      <c r="B1243" s="24">
        <v>1239</v>
      </c>
      <c r="C1243" s="24">
        <v>130</v>
      </c>
      <c r="D1243" s="24">
        <f>VLOOKUP(C1243, [1]Course!$A$2:$C$149, 2, FALSE)</f>
        <v>0</v>
      </c>
      <c r="E1243" s="24">
        <v>6</v>
      </c>
      <c r="G1243" s="24">
        <f t="shared" si="11"/>
        <v>6.25E-2</v>
      </c>
      <c r="H1243" s="25">
        <v>0.8</v>
      </c>
      <c r="I1243" s="24">
        <v>1</v>
      </c>
    </row>
    <row r="1244" spans="1:9" ht="15.75" customHeight="1" x14ac:dyDescent="0.2">
      <c r="A1244" s="26">
        <v>1252</v>
      </c>
      <c r="B1244" s="24">
        <v>1240</v>
      </c>
      <c r="C1244" s="24">
        <v>130</v>
      </c>
      <c r="D1244" s="24">
        <f>VLOOKUP(C1244, [1]Course!$A$2:$C$149, 2, FALSE)</f>
        <v>0</v>
      </c>
      <c r="E1244" s="24">
        <v>7</v>
      </c>
      <c r="G1244" s="24">
        <f t="shared" si="11"/>
        <v>6.25E-2</v>
      </c>
      <c r="H1244" s="25">
        <v>0.8</v>
      </c>
      <c r="I1244" s="24">
        <v>1</v>
      </c>
    </row>
    <row r="1245" spans="1:9" ht="15.75" customHeight="1" x14ac:dyDescent="0.2">
      <c r="A1245" s="26">
        <v>1253</v>
      </c>
      <c r="B1245" s="24">
        <v>1241</v>
      </c>
      <c r="C1245" s="24">
        <v>130</v>
      </c>
      <c r="D1245" s="24">
        <f>VLOOKUP(C1245, [1]Course!$A$2:$C$149, 2, FALSE)</f>
        <v>0</v>
      </c>
      <c r="E1245" s="24">
        <v>8</v>
      </c>
      <c r="G1245" s="24">
        <f t="shared" si="11"/>
        <v>6.25E-2</v>
      </c>
      <c r="H1245" s="25">
        <v>0.8</v>
      </c>
      <c r="I1245" s="24">
        <v>1</v>
      </c>
    </row>
    <row r="1246" spans="1:9" ht="15.75" customHeight="1" x14ac:dyDescent="0.2">
      <c r="A1246" s="26">
        <v>1254</v>
      </c>
      <c r="B1246" s="24">
        <v>1242</v>
      </c>
      <c r="C1246" s="24">
        <v>130</v>
      </c>
      <c r="D1246" s="24">
        <f>VLOOKUP(C1246, [1]Course!$A$2:$C$149, 2, FALSE)</f>
        <v>0</v>
      </c>
      <c r="E1246" s="24">
        <v>9</v>
      </c>
      <c r="G1246" s="24">
        <f t="shared" si="11"/>
        <v>6.25E-2</v>
      </c>
      <c r="H1246" s="25">
        <v>0.8</v>
      </c>
      <c r="I1246" s="24">
        <v>1</v>
      </c>
    </row>
    <row r="1247" spans="1:9" ht="15.75" customHeight="1" x14ac:dyDescent="0.2">
      <c r="A1247" s="26">
        <v>1255</v>
      </c>
      <c r="B1247" s="24">
        <v>1243</v>
      </c>
      <c r="C1247" s="24">
        <v>130</v>
      </c>
      <c r="D1247" s="24">
        <f>VLOOKUP(C1247, [1]Course!$A$2:$C$149, 2, FALSE)</f>
        <v>0</v>
      </c>
      <c r="E1247" s="24">
        <v>10</v>
      </c>
      <c r="G1247" s="24">
        <f t="shared" si="11"/>
        <v>6.25E-2</v>
      </c>
      <c r="H1247" s="25">
        <v>0.8</v>
      </c>
      <c r="I1247" s="24">
        <v>1</v>
      </c>
    </row>
    <row r="1248" spans="1:9" ht="15.75" customHeight="1" x14ac:dyDescent="0.2">
      <c r="A1248" s="26">
        <v>1256</v>
      </c>
      <c r="B1248" s="24">
        <v>1244</v>
      </c>
      <c r="C1248" s="24">
        <v>130</v>
      </c>
      <c r="D1248" s="24">
        <f>VLOOKUP(C1248, [1]Course!$A$2:$C$149, 2, FALSE)</f>
        <v>0</v>
      </c>
      <c r="E1248" s="24">
        <v>11</v>
      </c>
      <c r="G1248" s="24">
        <f t="shared" si="11"/>
        <v>6.25E-2</v>
      </c>
      <c r="H1248" s="25">
        <v>0.8</v>
      </c>
      <c r="I1248" s="24">
        <v>1</v>
      </c>
    </row>
    <row r="1249" spans="1:9" ht="15.75" customHeight="1" x14ac:dyDescent="0.2">
      <c r="A1249" s="26">
        <v>1257</v>
      </c>
      <c r="B1249" s="24">
        <v>1245</v>
      </c>
      <c r="C1249" s="24">
        <v>130</v>
      </c>
      <c r="D1249" s="24">
        <f>VLOOKUP(C1249, [1]Course!$A$2:$C$149, 2, FALSE)</f>
        <v>0</v>
      </c>
      <c r="E1249" s="24">
        <v>12</v>
      </c>
      <c r="G1249" s="24">
        <f t="shared" si="11"/>
        <v>6.25E-2</v>
      </c>
      <c r="H1249" s="25">
        <v>0.8</v>
      </c>
      <c r="I1249" s="24">
        <v>1</v>
      </c>
    </row>
    <row r="1250" spans="1:9" ht="15.75" customHeight="1" x14ac:dyDescent="0.2">
      <c r="A1250" s="26">
        <v>1258</v>
      </c>
      <c r="B1250" s="24">
        <v>1246</v>
      </c>
      <c r="C1250" s="24">
        <v>130</v>
      </c>
      <c r="D1250" s="24">
        <f>VLOOKUP(C1250, [1]Course!$A$2:$C$149, 2, FALSE)</f>
        <v>0</v>
      </c>
      <c r="E1250" s="24">
        <v>13</v>
      </c>
      <c r="G1250" s="24">
        <f t="shared" si="11"/>
        <v>6.25E-2</v>
      </c>
      <c r="H1250" s="25">
        <v>0.8</v>
      </c>
      <c r="I1250" s="24">
        <v>1</v>
      </c>
    </row>
    <row r="1251" spans="1:9" ht="15.75" customHeight="1" x14ac:dyDescent="0.2">
      <c r="A1251" s="26">
        <v>1259</v>
      </c>
      <c r="B1251" s="24">
        <v>1247</v>
      </c>
      <c r="C1251" s="24">
        <v>130</v>
      </c>
      <c r="D1251" s="24">
        <f>VLOOKUP(C1251, [1]Course!$A$2:$C$149, 2, FALSE)</f>
        <v>0</v>
      </c>
      <c r="E1251" s="24">
        <v>14</v>
      </c>
      <c r="G1251" s="24">
        <f t="shared" si="11"/>
        <v>6.25E-2</v>
      </c>
      <c r="H1251" s="25">
        <v>0.8</v>
      </c>
      <c r="I1251" s="24">
        <v>1</v>
      </c>
    </row>
    <row r="1252" spans="1:9" ht="15.75" customHeight="1" x14ac:dyDescent="0.2">
      <c r="A1252" s="26">
        <v>1260</v>
      </c>
      <c r="B1252" s="24">
        <v>1248</v>
      </c>
      <c r="C1252" s="24">
        <v>130</v>
      </c>
      <c r="D1252" s="24">
        <f>VLOOKUP(C1252, [1]Course!$A$2:$C$149, 2, FALSE)</f>
        <v>0</v>
      </c>
      <c r="E1252" s="24">
        <v>15</v>
      </c>
      <c r="G1252" s="24">
        <f t="shared" si="11"/>
        <v>6.25E-2</v>
      </c>
      <c r="H1252" s="25">
        <v>0.8</v>
      </c>
      <c r="I1252" s="24">
        <v>1</v>
      </c>
    </row>
    <row r="1253" spans="1:9" ht="15.75" customHeight="1" x14ac:dyDescent="0.2">
      <c r="A1253" s="26">
        <v>1261</v>
      </c>
      <c r="B1253" s="24">
        <v>1249</v>
      </c>
      <c r="C1253" s="24">
        <v>130</v>
      </c>
      <c r="D1253" s="24">
        <f>VLOOKUP(C1253, [1]Course!$A$2:$C$149, 2, FALSE)</f>
        <v>0</v>
      </c>
      <c r="E1253" s="24">
        <v>16</v>
      </c>
      <c r="G1253" s="24">
        <f t="shared" si="11"/>
        <v>6.25E-2</v>
      </c>
      <c r="H1253" s="25">
        <v>0.8</v>
      </c>
      <c r="I1253" s="24">
        <v>1</v>
      </c>
    </row>
    <row r="1254" spans="1:9" ht="15.75" customHeight="1" x14ac:dyDescent="0.2">
      <c r="A1254" s="26">
        <v>1262</v>
      </c>
      <c r="B1254" s="24">
        <v>1268</v>
      </c>
      <c r="C1254" s="24">
        <v>147</v>
      </c>
      <c r="D1254" s="24">
        <f>VLOOKUP(C1254, [1]Course!$A$2:$C$149, 2, FALSE)</f>
        <v>0</v>
      </c>
      <c r="E1254" s="24">
        <v>49</v>
      </c>
      <c r="G1254" s="24">
        <f t="shared" ref="G1254:G1290" si="12">1/12</f>
        <v>8.3333333333333329E-2</v>
      </c>
      <c r="H1254" s="25">
        <v>0.8</v>
      </c>
      <c r="I1254" s="24">
        <v>1</v>
      </c>
    </row>
    <row r="1255" spans="1:9" ht="15.75" customHeight="1" x14ac:dyDescent="0.2">
      <c r="A1255" s="26">
        <v>1263</v>
      </c>
      <c r="B1255" s="24">
        <v>1269</v>
      </c>
      <c r="C1255" s="24">
        <v>147</v>
      </c>
      <c r="D1255" s="24">
        <f>VLOOKUP(C1255, [1]Course!$A$2:$C$149, 2, FALSE)</f>
        <v>0</v>
      </c>
      <c r="E1255" s="24">
        <v>50</v>
      </c>
      <c r="G1255" s="24">
        <f t="shared" si="12"/>
        <v>8.3333333333333329E-2</v>
      </c>
      <c r="H1255" s="25">
        <v>0.8</v>
      </c>
      <c r="I1255" s="24">
        <v>1</v>
      </c>
    </row>
    <row r="1256" spans="1:9" ht="15.75" customHeight="1" x14ac:dyDescent="0.2">
      <c r="A1256" s="26">
        <v>1264</v>
      </c>
      <c r="B1256" s="24">
        <v>1270</v>
      </c>
      <c r="C1256" s="24">
        <v>147</v>
      </c>
      <c r="D1256" s="24">
        <f>VLOOKUP(C1256, [1]Course!$A$2:$C$149, 2, FALSE)</f>
        <v>0</v>
      </c>
      <c r="E1256" s="24">
        <v>51</v>
      </c>
      <c r="G1256" s="24">
        <f t="shared" si="12"/>
        <v>8.3333333333333329E-2</v>
      </c>
      <c r="H1256" s="25">
        <v>0.8</v>
      </c>
      <c r="I1256" s="24">
        <v>1</v>
      </c>
    </row>
    <row r="1257" spans="1:9" ht="15.75" customHeight="1" x14ac:dyDescent="0.2">
      <c r="A1257" s="26">
        <v>1265</v>
      </c>
      <c r="B1257" s="24">
        <v>1271</v>
      </c>
      <c r="C1257" s="24">
        <v>147</v>
      </c>
      <c r="D1257" s="24">
        <f>VLOOKUP(C1257, [1]Course!$A$2:$C$149, 2, FALSE)</f>
        <v>0</v>
      </c>
      <c r="E1257" s="24">
        <v>52</v>
      </c>
      <c r="G1257" s="24">
        <f t="shared" si="12"/>
        <v>8.3333333333333329E-2</v>
      </c>
      <c r="H1257" s="25">
        <v>0.8</v>
      </c>
      <c r="I1257" s="24">
        <v>1</v>
      </c>
    </row>
    <row r="1258" spans="1:9" ht="15.75" customHeight="1" x14ac:dyDescent="0.2">
      <c r="A1258" s="26">
        <v>1266</v>
      </c>
      <c r="B1258" s="24">
        <v>1272</v>
      </c>
      <c r="C1258" s="24">
        <v>147</v>
      </c>
      <c r="D1258" s="24">
        <f>VLOOKUP(C1258, [1]Course!$A$2:$C$149, 2, FALSE)</f>
        <v>0</v>
      </c>
      <c r="E1258" s="24">
        <v>53</v>
      </c>
      <c r="G1258" s="24">
        <f t="shared" si="12"/>
        <v>8.3333333333333329E-2</v>
      </c>
      <c r="H1258" s="25">
        <v>0.8</v>
      </c>
      <c r="I1258" s="24">
        <v>1</v>
      </c>
    </row>
    <row r="1259" spans="1:9" ht="15.75" customHeight="1" x14ac:dyDescent="0.2">
      <c r="A1259" s="26">
        <v>1267</v>
      </c>
      <c r="B1259" s="24">
        <v>1273</v>
      </c>
      <c r="C1259" s="24">
        <v>147</v>
      </c>
      <c r="D1259" s="24">
        <f>VLOOKUP(C1259, [1]Course!$A$2:$C$149, 2, FALSE)</f>
        <v>0</v>
      </c>
      <c r="E1259" s="24">
        <v>54</v>
      </c>
      <c r="G1259" s="24">
        <f t="shared" si="12"/>
        <v>8.3333333333333329E-2</v>
      </c>
      <c r="H1259" s="25">
        <v>0.8</v>
      </c>
      <c r="I1259" s="24">
        <v>1</v>
      </c>
    </row>
    <row r="1260" spans="1:9" ht="15.75" customHeight="1" x14ac:dyDescent="0.2">
      <c r="A1260" s="26">
        <v>1268</v>
      </c>
      <c r="B1260" s="24">
        <v>1274</v>
      </c>
      <c r="C1260" s="24">
        <v>147</v>
      </c>
      <c r="D1260" s="24">
        <f>VLOOKUP(C1260, [1]Course!$A$2:$C$149, 2, FALSE)</f>
        <v>0</v>
      </c>
      <c r="E1260" s="24">
        <v>55</v>
      </c>
      <c r="G1260" s="24">
        <f t="shared" si="12"/>
        <v>8.3333333333333329E-2</v>
      </c>
      <c r="H1260" s="25">
        <v>0.8</v>
      </c>
      <c r="I1260" s="24">
        <v>1</v>
      </c>
    </row>
    <row r="1261" spans="1:9" ht="15.75" customHeight="1" x14ac:dyDescent="0.2">
      <c r="A1261" s="26">
        <v>1269</v>
      </c>
      <c r="B1261" s="24">
        <v>1275</v>
      </c>
      <c r="C1261" s="24">
        <v>147</v>
      </c>
      <c r="D1261" s="24">
        <f>VLOOKUP(C1261, [1]Course!$A$2:$C$149, 2, FALSE)</f>
        <v>0</v>
      </c>
      <c r="E1261" s="24">
        <v>56</v>
      </c>
      <c r="G1261" s="24">
        <f t="shared" si="12"/>
        <v>8.3333333333333329E-2</v>
      </c>
      <c r="H1261" s="25">
        <v>0.8</v>
      </c>
      <c r="I1261" s="24">
        <v>1</v>
      </c>
    </row>
    <row r="1262" spans="1:9" ht="15.75" customHeight="1" x14ac:dyDescent="0.2">
      <c r="A1262" s="26">
        <v>1270</v>
      </c>
      <c r="B1262" s="24">
        <v>1276</v>
      </c>
      <c r="C1262" s="24">
        <v>147</v>
      </c>
      <c r="D1262" s="24">
        <f>VLOOKUP(C1262, [1]Course!$A$2:$C$149, 2, FALSE)</f>
        <v>0</v>
      </c>
      <c r="E1262" s="24">
        <v>57</v>
      </c>
      <c r="G1262" s="24">
        <f t="shared" si="12"/>
        <v>8.3333333333333329E-2</v>
      </c>
      <c r="H1262" s="25">
        <v>0.8</v>
      </c>
      <c r="I1262" s="24">
        <v>1</v>
      </c>
    </row>
    <row r="1263" spans="1:9" ht="15.75" customHeight="1" x14ac:dyDescent="0.2">
      <c r="A1263" s="26">
        <v>1271</v>
      </c>
      <c r="B1263" s="24">
        <v>1277</v>
      </c>
      <c r="C1263" s="24">
        <v>147</v>
      </c>
      <c r="D1263" s="24">
        <f>VLOOKUP(C1263, [1]Course!$A$2:$C$149, 2, FALSE)</f>
        <v>0</v>
      </c>
      <c r="E1263" s="24">
        <v>58</v>
      </c>
      <c r="G1263" s="24">
        <f t="shared" si="12"/>
        <v>8.3333333333333329E-2</v>
      </c>
      <c r="H1263" s="25">
        <v>0.8</v>
      </c>
      <c r="I1263" s="24">
        <v>1</v>
      </c>
    </row>
    <row r="1264" spans="1:9" ht="15.75" customHeight="1" x14ac:dyDescent="0.2">
      <c r="A1264" s="26">
        <v>1272</v>
      </c>
      <c r="B1264" s="24">
        <v>1278</v>
      </c>
      <c r="C1264" s="24">
        <v>147</v>
      </c>
      <c r="D1264" s="24">
        <f>VLOOKUP(C1264, [1]Course!$A$2:$C$149, 2, FALSE)</f>
        <v>0</v>
      </c>
      <c r="E1264" s="24">
        <v>59</v>
      </c>
      <c r="G1264" s="24">
        <f t="shared" si="12"/>
        <v>8.3333333333333329E-2</v>
      </c>
      <c r="H1264" s="25">
        <v>0.8</v>
      </c>
      <c r="I1264" s="24">
        <v>1</v>
      </c>
    </row>
    <row r="1265" spans="1:9" ht="15.75" customHeight="1" x14ac:dyDescent="0.2">
      <c r="A1265" s="26">
        <v>1273</v>
      </c>
      <c r="B1265" s="24">
        <v>1279</v>
      </c>
      <c r="C1265" s="24">
        <v>147</v>
      </c>
      <c r="D1265" s="24">
        <f>VLOOKUP(C1265, [1]Course!$A$2:$C$149, 2, FALSE)</f>
        <v>0</v>
      </c>
      <c r="E1265" s="24">
        <v>60</v>
      </c>
      <c r="G1265" s="24">
        <f t="shared" si="12"/>
        <v>8.3333333333333329E-2</v>
      </c>
      <c r="H1265" s="25">
        <v>0.8</v>
      </c>
      <c r="I1265" s="24">
        <v>1</v>
      </c>
    </row>
    <row r="1266" spans="1:9" ht="15.75" customHeight="1" x14ac:dyDescent="0.2">
      <c r="A1266" s="26">
        <v>1274</v>
      </c>
      <c r="B1266" s="24">
        <v>1280</v>
      </c>
      <c r="C1266" s="24">
        <v>148</v>
      </c>
      <c r="D1266" s="24">
        <f>VLOOKUP(C1266, [1]Course!$A$2:$C$150, 2, FALSE)</f>
        <v>0</v>
      </c>
      <c r="E1266" s="24">
        <v>109</v>
      </c>
      <c r="G1266" s="24">
        <f t="shared" si="12"/>
        <v>8.3333333333333329E-2</v>
      </c>
      <c r="H1266" s="25">
        <v>0.8</v>
      </c>
      <c r="I1266" s="24">
        <v>1</v>
      </c>
    </row>
    <row r="1267" spans="1:9" ht="15.75" customHeight="1" x14ac:dyDescent="0.2">
      <c r="A1267" s="26">
        <v>1275</v>
      </c>
      <c r="B1267" s="24">
        <v>1281</v>
      </c>
      <c r="C1267" s="24">
        <v>148</v>
      </c>
      <c r="D1267" s="24">
        <f>VLOOKUP(C1267, [1]Course!$A$2:$C$150, 2, FALSE)</f>
        <v>0</v>
      </c>
      <c r="E1267" s="24">
        <v>110</v>
      </c>
      <c r="G1267" s="24">
        <f t="shared" si="12"/>
        <v>8.3333333333333329E-2</v>
      </c>
      <c r="H1267" s="25">
        <v>0.8</v>
      </c>
      <c r="I1267" s="24">
        <v>1</v>
      </c>
    </row>
    <row r="1268" spans="1:9" ht="15.75" customHeight="1" x14ac:dyDescent="0.2">
      <c r="A1268" s="26">
        <v>1276</v>
      </c>
      <c r="B1268" s="24">
        <v>1282</v>
      </c>
      <c r="C1268" s="24">
        <v>148</v>
      </c>
      <c r="D1268" s="24">
        <f>VLOOKUP(C1268, [1]Course!$A$2:$C$150, 2, FALSE)</f>
        <v>0</v>
      </c>
      <c r="E1268" s="24">
        <v>111</v>
      </c>
      <c r="G1268" s="24">
        <f t="shared" si="12"/>
        <v>8.3333333333333329E-2</v>
      </c>
      <c r="H1268" s="25">
        <v>0.8</v>
      </c>
      <c r="I1268" s="24">
        <v>1</v>
      </c>
    </row>
    <row r="1269" spans="1:9" ht="15.75" customHeight="1" x14ac:dyDescent="0.2">
      <c r="A1269" s="26">
        <v>1277</v>
      </c>
      <c r="B1269" s="24">
        <v>1283</v>
      </c>
      <c r="C1269" s="24">
        <v>148</v>
      </c>
      <c r="D1269" s="24">
        <f>VLOOKUP(C1269, [1]Course!$A$2:$C$150, 2, FALSE)</f>
        <v>0</v>
      </c>
      <c r="E1269" s="24">
        <v>112</v>
      </c>
      <c r="G1269" s="24">
        <f t="shared" si="12"/>
        <v>8.3333333333333329E-2</v>
      </c>
      <c r="H1269" s="25">
        <v>0.8</v>
      </c>
      <c r="I1269" s="24">
        <v>1</v>
      </c>
    </row>
    <row r="1270" spans="1:9" ht="15.75" customHeight="1" x14ac:dyDescent="0.2">
      <c r="A1270" s="26">
        <v>1278</v>
      </c>
      <c r="B1270" s="24">
        <v>1284</v>
      </c>
      <c r="C1270" s="24">
        <v>148</v>
      </c>
      <c r="D1270" s="24">
        <f>VLOOKUP(C1270, [1]Course!$A$2:$C$150, 2, FALSE)</f>
        <v>0</v>
      </c>
      <c r="E1270" s="24">
        <v>113</v>
      </c>
      <c r="G1270" s="24">
        <f t="shared" si="12"/>
        <v>8.3333333333333329E-2</v>
      </c>
      <c r="H1270" s="25">
        <v>0.8</v>
      </c>
      <c r="I1270" s="24">
        <v>1</v>
      </c>
    </row>
    <row r="1271" spans="1:9" ht="15.75" customHeight="1" x14ac:dyDescent="0.2">
      <c r="A1271" s="26">
        <v>1279</v>
      </c>
      <c r="B1271" s="24">
        <v>1285</v>
      </c>
      <c r="C1271" s="24">
        <v>148</v>
      </c>
      <c r="D1271" s="24">
        <f>VLOOKUP(C1271, [1]Course!$A$2:$C$150, 2, FALSE)</f>
        <v>0</v>
      </c>
      <c r="E1271" s="24">
        <v>114</v>
      </c>
      <c r="G1271" s="24">
        <f t="shared" si="12"/>
        <v>8.3333333333333329E-2</v>
      </c>
      <c r="H1271" s="25">
        <v>0.8</v>
      </c>
      <c r="I1271" s="24">
        <v>1</v>
      </c>
    </row>
    <row r="1272" spans="1:9" ht="15.75" customHeight="1" x14ac:dyDescent="0.2">
      <c r="A1272" s="26">
        <v>1280</v>
      </c>
      <c r="B1272" s="24">
        <v>1286</v>
      </c>
      <c r="C1272" s="24">
        <v>148</v>
      </c>
      <c r="D1272" s="24">
        <f>VLOOKUP(C1272, [1]Course!$A$2:$C$150, 2, FALSE)</f>
        <v>0</v>
      </c>
      <c r="E1272" s="24">
        <v>115</v>
      </c>
      <c r="G1272" s="24">
        <f t="shared" si="12"/>
        <v>8.3333333333333329E-2</v>
      </c>
      <c r="H1272" s="25">
        <v>0.8</v>
      </c>
      <c r="I1272" s="24">
        <v>1</v>
      </c>
    </row>
    <row r="1273" spans="1:9" ht="15.75" customHeight="1" x14ac:dyDescent="0.2">
      <c r="A1273" s="26">
        <v>1281</v>
      </c>
      <c r="B1273" s="24">
        <v>1287</v>
      </c>
      <c r="C1273" s="24">
        <v>148</v>
      </c>
      <c r="D1273" s="24">
        <f>VLOOKUP(C1273, [1]Course!$A$2:$C$150, 2, FALSE)</f>
        <v>0</v>
      </c>
      <c r="E1273" s="24">
        <v>116</v>
      </c>
      <c r="G1273" s="24">
        <f t="shared" si="12"/>
        <v>8.3333333333333329E-2</v>
      </c>
      <c r="H1273" s="25">
        <v>0.8</v>
      </c>
      <c r="I1273" s="24">
        <v>1</v>
      </c>
    </row>
    <row r="1274" spans="1:9" ht="15.75" customHeight="1" x14ac:dyDescent="0.2">
      <c r="A1274" s="26">
        <v>1282</v>
      </c>
      <c r="B1274" s="24">
        <v>1288</v>
      </c>
      <c r="C1274" s="24">
        <v>148</v>
      </c>
      <c r="D1274" s="24">
        <f>VLOOKUP(C1274, [1]Course!$A$2:$C$150, 2, FALSE)</f>
        <v>0</v>
      </c>
      <c r="E1274" s="24">
        <v>117</v>
      </c>
      <c r="G1274" s="24">
        <f t="shared" si="12"/>
        <v>8.3333333333333329E-2</v>
      </c>
      <c r="H1274" s="25">
        <v>0.8</v>
      </c>
      <c r="I1274" s="24">
        <v>1</v>
      </c>
    </row>
    <row r="1275" spans="1:9" ht="15.75" customHeight="1" x14ac:dyDescent="0.2">
      <c r="A1275" s="26">
        <v>1283</v>
      </c>
      <c r="B1275" s="24">
        <v>1289</v>
      </c>
      <c r="C1275" s="24">
        <v>148</v>
      </c>
      <c r="D1275" s="24">
        <f>VLOOKUP(C1275, [1]Course!$A$2:$C$150, 2, FALSE)</f>
        <v>0</v>
      </c>
      <c r="E1275" s="24">
        <v>118</v>
      </c>
      <c r="G1275" s="24">
        <f t="shared" si="12"/>
        <v>8.3333333333333329E-2</v>
      </c>
      <c r="H1275" s="25">
        <v>0.8</v>
      </c>
      <c r="I1275" s="24">
        <v>1</v>
      </c>
    </row>
    <row r="1276" spans="1:9" ht="15.75" customHeight="1" x14ac:dyDescent="0.2">
      <c r="A1276" s="26">
        <v>1284</v>
      </c>
      <c r="B1276" s="24">
        <v>1290</v>
      </c>
      <c r="C1276" s="24">
        <v>148</v>
      </c>
      <c r="D1276" s="24">
        <f>VLOOKUP(C1276, [1]Course!$A$2:$C$150, 2, FALSE)</f>
        <v>0</v>
      </c>
      <c r="E1276" s="24">
        <v>119</v>
      </c>
      <c r="G1276" s="24">
        <f t="shared" si="12"/>
        <v>8.3333333333333329E-2</v>
      </c>
      <c r="H1276" s="25">
        <v>0.8</v>
      </c>
      <c r="I1276" s="24">
        <v>1</v>
      </c>
    </row>
    <row r="1277" spans="1:9" ht="15.75" customHeight="1" x14ac:dyDescent="0.2">
      <c r="A1277" s="26">
        <v>1285</v>
      </c>
      <c r="B1277" s="24">
        <v>1291</v>
      </c>
      <c r="C1277" s="24">
        <v>148</v>
      </c>
      <c r="D1277" s="24">
        <f>VLOOKUP(C1277, [1]Course!$A$2:$C$150, 2, FALSE)</f>
        <v>0</v>
      </c>
      <c r="E1277" s="24">
        <v>120</v>
      </c>
      <c r="G1277" s="24">
        <f t="shared" si="12"/>
        <v>8.3333333333333329E-2</v>
      </c>
      <c r="H1277" s="25">
        <v>0.8</v>
      </c>
      <c r="I1277" s="24">
        <v>1</v>
      </c>
    </row>
    <row r="1278" spans="1:9" ht="15.75" customHeight="1" x14ac:dyDescent="0.2">
      <c r="A1278" s="26">
        <v>1286</v>
      </c>
      <c r="B1278" s="24">
        <v>1292</v>
      </c>
      <c r="C1278" s="24">
        <v>149</v>
      </c>
      <c r="D1278" s="24">
        <f>VLOOKUP(C1278, [1]Course!$A$2:$C$150, 2, FALSE)</f>
        <v>0</v>
      </c>
      <c r="E1278" s="24">
        <v>13</v>
      </c>
      <c r="G1278" s="24">
        <f t="shared" si="12"/>
        <v>8.3333333333333329E-2</v>
      </c>
      <c r="H1278" s="25">
        <v>0.8</v>
      </c>
      <c r="I1278" s="24">
        <v>1</v>
      </c>
    </row>
    <row r="1279" spans="1:9" ht="15.75" customHeight="1" x14ac:dyDescent="0.2">
      <c r="A1279" s="26">
        <v>1287</v>
      </c>
      <c r="B1279" s="24">
        <v>1293</v>
      </c>
      <c r="C1279" s="24">
        <v>149</v>
      </c>
      <c r="D1279" s="24">
        <f>VLOOKUP(C1279, [1]Course!$A$2:$C$150, 2, FALSE)</f>
        <v>0</v>
      </c>
      <c r="E1279" s="24">
        <v>14</v>
      </c>
      <c r="G1279" s="24">
        <f t="shared" si="12"/>
        <v>8.3333333333333329E-2</v>
      </c>
      <c r="H1279" s="25">
        <v>0.8</v>
      </c>
      <c r="I1279" s="24">
        <v>1</v>
      </c>
    </row>
    <row r="1280" spans="1:9" ht="15.75" customHeight="1" x14ac:dyDescent="0.2">
      <c r="A1280" s="26">
        <v>1288</v>
      </c>
      <c r="B1280" s="24">
        <v>1294</v>
      </c>
      <c r="C1280" s="24">
        <v>149</v>
      </c>
      <c r="D1280" s="24">
        <f>VLOOKUP(C1280, [1]Course!$A$2:$C$150, 2, FALSE)</f>
        <v>0</v>
      </c>
      <c r="E1280" s="24">
        <v>15</v>
      </c>
      <c r="G1280" s="24">
        <f t="shared" si="12"/>
        <v>8.3333333333333329E-2</v>
      </c>
      <c r="H1280" s="25">
        <v>0.8</v>
      </c>
      <c r="I1280" s="24">
        <v>1</v>
      </c>
    </row>
    <row r="1281" spans="1:9" ht="15.75" customHeight="1" x14ac:dyDescent="0.2">
      <c r="A1281" s="26">
        <v>1289</v>
      </c>
      <c r="B1281" s="24">
        <v>1295</v>
      </c>
      <c r="C1281" s="24">
        <v>149</v>
      </c>
      <c r="D1281" s="24">
        <f>VLOOKUP(C1281, [1]Course!$A$2:$C$150, 2, FALSE)</f>
        <v>0</v>
      </c>
      <c r="E1281" s="24">
        <v>16</v>
      </c>
      <c r="G1281" s="24">
        <f t="shared" si="12"/>
        <v>8.3333333333333329E-2</v>
      </c>
      <c r="H1281" s="25">
        <v>0.8</v>
      </c>
      <c r="I1281" s="24">
        <v>1</v>
      </c>
    </row>
    <row r="1282" spans="1:9" ht="15.75" customHeight="1" x14ac:dyDescent="0.2">
      <c r="A1282" s="26">
        <v>1290</v>
      </c>
      <c r="B1282" s="24">
        <v>1296</v>
      </c>
      <c r="C1282" s="24">
        <v>149</v>
      </c>
      <c r="D1282" s="24">
        <f>VLOOKUP(C1282, [1]Course!$A$2:$C$150, 2, FALSE)</f>
        <v>0</v>
      </c>
      <c r="E1282" s="24">
        <v>17</v>
      </c>
      <c r="G1282" s="24">
        <f t="shared" si="12"/>
        <v>8.3333333333333329E-2</v>
      </c>
      <c r="H1282" s="25">
        <v>0.8</v>
      </c>
      <c r="I1282" s="24">
        <v>1</v>
      </c>
    </row>
    <row r="1283" spans="1:9" ht="15.75" customHeight="1" x14ac:dyDescent="0.2">
      <c r="A1283" s="26">
        <v>1291</v>
      </c>
      <c r="B1283" s="24">
        <v>1297</v>
      </c>
      <c r="C1283" s="24">
        <v>149</v>
      </c>
      <c r="D1283" s="24">
        <f>VLOOKUP(C1283, [1]Course!$A$2:$C$150, 2, FALSE)</f>
        <v>0</v>
      </c>
      <c r="E1283" s="24">
        <v>18</v>
      </c>
      <c r="G1283" s="24">
        <f t="shared" si="12"/>
        <v>8.3333333333333329E-2</v>
      </c>
      <c r="H1283" s="25">
        <v>0.8</v>
      </c>
      <c r="I1283" s="24">
        <v>1</v>
      </c>
    </row>
    <row r="1284" spans="1:9" ht="15.75" customHeight="1" x14ac:dyDescent="0.2">
      <c r="A1284" s="26">
        <v>1292</v>
      </c>
      <c r="B1284" s="24">
        <v>1298</v>
      </c>
      <c r="C1284" s="24">
        <v>149</v>
      </c>
      <c r="D1284" s="24">
        <f>VLOOKUP(C1284, [1]Course!$A$2:$C$150, 2, FALSE)</f>
        <v>0</v>
      </c>
      <c r="E1284" s="24">
        <v>19</v>
      </c>
      <c r="G1284" s="24">
        <f t="shared" si="12"/>
        <v>8.3333333333333329E-2</v>
      </c>
      <c r="H1284" s="25">
        <v>0.8</v>
      </c>
      <c r="I1284" s="24">
        <v>1</v>
      </c>
    </row>
    <row r="1285" spans="1:9" ht="15.75" customHeight="1" x14ac:dyDescent="0.2">
      <c r="A1285" s="26">
        <v>1293</v>
      </c>
      <c r="B1285" s="24">
        <v>1299</v>
      </c>
      <c r="C1285" s="24">
        <v>149</v>
      </c>
      <c r="D1285" s="24">
        <f>VLOOKUP(C1285, [1]Course!$A$2:$C$150, 2, FALSE)</f>
        <v>0</v>
      </c>
      <c r="E1285" s="24">
        <v>20</v>
      </c>
      <c r="G1285" s="24">
        <f t="shared" si="12"/>
        <v>8.3333333333333329E-2</v>
      </c>
      <c r="H1285" s="25">
        <v>0.8</v>
      </c>
      <c r="I1285" s="24">
        <v>1</v>
      </c>
    </row>
    <row r="1286" spans="1:9" ht="15.75" customHeight="1" x14ac:dyDescent="0.2">
      <c r="A1286" s="26">
        <v>1294</v>
      </c>
      <c r="B1286" s="24">
        <v>1300</v>
      </c>
      <c r="C1286" s="24">
        <v>149</v>
      </c>
      <c r="D1286" s="24">
        <f>VLOOKUP(C1286, [1]Course!$A$2:$C$150, 2, FALSE)</f>
        <v>0</v>
      </c>
      <c r="E1286" s="24">
        <v>21</v>
      </c>
      <c r="G1286" s="24">
        <f t="shared" si="12"/>
        <v>8.3333333333333329E-2</v>
      </c>
      <c r="H1286" s="25">
        <v>0.8</v>
      </c>
      <c r="I1286" s="24">
        <v>1</v>
      </c>
    </row>
    <row r="1287" spans="1:9" ht="15.75" customHeight="1" x14ac:dyDescent="0.2">
      <c r="A1287" s="26">
        <v>1295</v>
      </c>
      <c r="B1287" s="24">
        <v>1301</v>
      </c>
      <c r="C1287" s="24">
        <v>149</v>
      </c>
      <c r="D1287" s="24">
        <f>VLOOKUP(C1287, [1]Course!$A$2:$C$150, 2, FALSE)</f>
        <v>0</v>
      </c>
      <c r="E1287" s="24">
        <v>22</v>
      </c>
      <c r="G1287" s="24">
        <f t="shared" si="12"/>
        <v>8.3333333333333329E-2</v>
      </c>
      <c r="H1287" s="25">
        <v>0.8</v>
      </c>
      <c r="I1287" s="24">
        <v>1</v>
      </c>
    </row>
    <row r="1288" spans="1:9" ht="15.75" customHeight="1" x14ac:dyDescent="0.2">
      <c r="A1288" s="26">
        <v>1296</v>
      </c>
      <c r="B1288" s="24">
        <v>1302</v>
      </c>
      <c r="C1288" s="24">
        <v>149</v>
      </c>
      <c r="D1288" s="24">
        <f>VLOOKUP(C1288, [1]Course!$A$2:$C$150, 2, FALSE)</f>
        <v>0</v>
      </c>
      <c r="E1288" s="24">
        <v>23</v>
      </c>
      <c r="G1288" s="24">
        <f t="shared" si="12"/>
        <v>8.3333333333333329E-2</v>
      </c>
      <c r="H1288" s="25">
        <v>0.8</v>
      </c>
      <c r="I1288" s="24">
        <v>1</v>
      </c>
    </row>
    <row r="1289" spans="1:9" ht="15.75" customHeight="1" x14ac:dyDescent="0.2">
      <c r="A1289" s="26">
        <v>1297</v>
      </c>
      <c r="B1289" s="24">
        <v>1303</v>
      </c>
      <c r="C1289" s="24">
        <v>149</v>
      </c>
      <c r="D1289" s="24">
        <f>VLOOKUP(C1289, [1]Course!$A$2:$C$150, 2, FALSE)</f>
        <v>0</v>
      </c>
      <c r="E1289" s="24">
        <v>24</v>
      </c>
      <c r="G1289" s="24">
        <f t="shared" si="12"/>
        <v>8.3333333333333329E-2</v>
      </c>
      <c r="H1289" s="25">
        <v>0.8</v>
      </c>
      <c r="I1289" s="24">
        <v>1</v>
      </c>
    </row>
    <row r="1290" spans="1:9" ht="15.75" customHeight="1" x14ac:dyDescent="0.2">
      <c r="A1290" s="26">
        <v>1308</v>
      </c>
      <c r="B1290" s="24">
        <v>1310</v>
      </c>
      <c r="C1290" s="24">
        <v>159</v>
      </c>
      <c r="D1290" s="24" t="str">
        <f>VLOOKUP(C1290, [1]Course!$A$2:$D$950, 4, FALSE)</f>
        <v>AEE Physical Science I-B (part 1)</v>
      </c>
      <c r="E1290" s="24">
        <v>85</v>
      </c>
      <c r="G1290" s="24">
        <f t="shared" si="12"/>
        <v>8.3333333333333329E-2</v>
      </c>
      <c r="H1290" s="25">
        <v>0.8</v>
      </c>
      <c r="I1290" s="24">
        <v>1</v>
      </c>
    </row>
    <row r="1291" spans="1:9" ht="15.75" customHeight="1" x14ac:dyDescent="0.2">
      <c r="A1291" s="26">
        <v>1309</v>
      </c>
      <c r="B1291" s="24">
        <v>1311</v>
      </c>
      <c r="C1291" s="24">
        <v>159</v>
      </c>
      <c r="D1291" s="24" t="str">
        <f>VLOOKUP(C1291, [1]Course!$A$2:$D$950, 4, FALSE)</f>
        <v>AEE Physical Science I-B (part 1)</v>
      </c>
      <c r="E1291" s="24">
        <v>86</v>
      </c>
      <c r="G1291" s="24">
        <f>2/12</f>
        <v>0.16666666666666666</v>
      </c>
      <c r="H1291" s="25">
        <v>0.8</v>
      </c>
      <c r="I1291" s="24">
        <v>1</v>
      </c>
    </row>
    <row r="1292" spans="1:9" ht="15.75" customHeight="1" x14ac:dyDescent="0.2">
      <c r="A1292" s="26">
        <v>1310</v>
      </c>
      <c r="B1292" s="24">
        <v>1312</v>
      </c>
      <c r="C1292" s="24">
        <v>159</v>
      </c>
      <c r="D1292" s="24" t="str">
        <f>VLOOKUP(C1292, [1]Course!$A$2:$D$950, 4, FALSE)</f>
        <v>AEE Physical Science I-B (part 1)</v>
      </c>
      <c r="E1292" s="24">
        <v>87</v>
      </c>
      <c r="G1292" s="24">
        <f>1/12</f>
        <v>8.3333333333333329E-2</v>
      </c>
      <c r="H1292" s="25">
        <v>0.8</v>
      </c>
      <c r="I1292" s="24">
        <v>1</v>
      </c>
    </row>
    <row r="1293" spans="1:9" ht="15.75" customHeight="1" x14ac:dyDescent="0.2">
      <c r="A1293" s="26">
        <v>1311</v>
      </c>
      <c r="B1293" s="24">
        <v>1313</v>
      </c>
      <c r="C1293" s="24">
        <v>159</v>
      </c>
      <c r="D1293" s="24" t="str">
        <f>VLOOKUP(C1293, [1]Course!$A$2:$D$950, 4, FALSE)</f>
        <v>AEE Physical Science I-B (part 1)</v>
      </c>
      <c r="E1293" s="24">
        <v>88</v>
      </c>
      <c r="G1293" s="24">
        <f>2/12</f>
        <v>0.16666666666666666</v>
      </c>
      <c r="H1293" s="25">
        <v>0.8</v>
      </c>
      <c r="I1293" s="24">
        <v>1</v>
      </c>
    </row>
    <row r="1294" spans="1:9" ht="15.75" customHeight="1" x14ac:dyDescent="0.2">
      <c r="A1294" s="26">
        <v>1312</v>
      </c>
      <c r="B1294" s="24">
        <v>1314</v>
      </c>
      <c r="C1294" s="24">
        <v>160</v>
      </c>
      <c r="D1294" s="24" t="str">
        <f>VLOOKUP(C1294, [1]Course!$A$2:$D$950, 4, FALSE)</f>
        <v>AEE Physical Science I-B (part 2)</v>
      </c>
      <c r="E1294" s="24">
        <v>97</v>
      </c>
      <c r="G1294" s="24">
        <f>1/12</f>
        <v>8.3333333333333329E-2</v>
      </c>
      <c r="H1294" s="25">
        <v>0.8</v>
      </c>
      <c r="I1294" s="24">
        <v>1</v>
      </c>
    </row>
    <row r="1295" spans="1:9" ht="15.75" customHeight="1" x14ac:dyDescent="0.2">
      <c r="A1295" s="26">
        <v>1313</v>
      </c>
      <c r="B1295" s="24">
        <v>1315</v>
      </c>
      <c r="C1295" s="24">
        <v>160</v>
      </c>
      <c r="D1295" s="24" t="str">
        <f>VLOOKUP(C1295, [1]Course!$A$2:$D$950, 4, FALSE)</f>
        <v>AEE Physical Science I-B (part 2)</v>
      </c>
      <c r="E1295" s="24">
        <v>98</v>
      </c>
      <c r="G1295" s="24">
        <f>2/12</f>
        <v>0.16666666666666666</v>
      </c>
      <c r="H1295" s="25">
        <v>0.8</v>
      </c>
      <c r="I1295" s="24">
        <v>1</v>
      </c>
    </row>
    <row r="1296" spans="1:9" ht="15.75" customHeight="1" x14ac:dyDescent="0.2">
      <c r="A1296" s="26">
        <v>1314</v>
      </c>
      <c r="B1296" s="24">
        <v>1316</v>
      </c>
      <c r="C1296" s="24">
        <v>160</v>
      </c>
      <c r="D1296" s="24" t="str">
        <f>VLOOKUP(C1296, [1]Course!$A$2:$D$950, 4, FALSE)</f>
        <v>AEE Physical Science I-B (part 2)</v>
      </c>
      <c r="E1296" s="24">
        <v>99</v>
      </c>
      <c r="G1296" s="24">
        <f>1/12</f>
        <v>8.3333333333333329E-2</v>
      </c>
      <c r="H1296" s="25">
        <v>0.8</v>
      </c>
      <c r="I1296" s="24">
        <v>1</v>
      </c>
    </row>
    <row r="1297" spans="1:9" ht="15.75" customHeight="1" x14ac:dyDescent="0.2">
      <c r="A1297" s="26">
        <v>1315</v>
      </c>
      <c r="B1297" s="24">
        <v>1317</v>
      </c>
      <c r="C1297" s="24">
        <v>160</v>
      </c>
      <c r="D1297" s="24" t="str">
        <f>VLOOKUP(C1297, [1]Course!$A$2:$D$950, 4, FALSE)</f>
        <v>AEE Physical Science I-B (part 2)</v>
      </c>
      <c r="E1297" s="24">
        <v>100</v>
      </c>
      <c r="G1297" s="24">
        <f>2/12</f>
        <v>0.16666666666666666</v>
      </c>
      <c r="H1297" s="25">
        <v>0.8</v>
      </c>
      <c r="I1297" s="24">
        <v>1</v>
      </c>
    </row>
    <row r="1298" spans="1:9" ht="15.75" customHeight="1" x14ac:dyDescent="0.2">
      <c r="A1298" s="26">
        <v>1316</v>
      </c>
      <c r="B1298" s="24">
        <v>871</v>
      </c>
      <c r="C1298" s="24">
        <v>151</v>
      </c>
      <c r="E1298" s="24">
        <v>97</v>
      </c>
      <c r="G1298" s="24">
        <f>1/12</f>
        <v>8.3333333333333329E-2</v>
      </c>
      <c r="H1298" s="25">
        <v>0.8</v>
      </c>
      <c r="I1298" s="24">
        <v>1</v>
      </c>
    </row>
    <row r="1299" spans="1:9" ht="15.75" customHeight="1" x14ac:dyDescent="0.2">
      <c r="A1299" s="26">
        <v>1317</v>
      </c>
      <c r="B1299" s="24">
        <v>872</v>
      </c>
      <c r="C1299" s="24">
        <v>151</v>
      </c>
      <c r="E1299" s="24">
        <v>102</v>
      </c>
      <c r="G1299" s="24">
        <f>1/12</f>
        <v>8.3333333333333329E-2</v>
      </c>
      <c r="H1299" s="25">
        <v>0.8</v>
      </c>
      <c r="I1299" s="24">
        <v>1</v>
      </c>
    </row>
    <row r="1300" spans="1:9" ht="15.75" customHeight="1" x14ac:dyDescent="0.2">
      <c r="A1300" s="26">
        <v>1318</v>
      </c>
      <c r="B1300" s="24">
        <v>873</v>
      </c>
      <c r="C1300" s="24">
        <v>152</v>
      </c>
      <c r="E1300" s="24">
        <v>98</v>
      </c>
      <c r="G1300" s="24">
        <v>0</v>
      </c>
      <c r="H1300" s="25">
        <v>0.8</v>
      </c>
      <c r="I1300" s="24">
        <v>1</v>
      </c>
    </row>
    <row r="1301" spans="1:9" ht="15.75" customHeight="1" x14ac:dyDescent="0.2">
      <c r="A1301" s="26">
        <v>1319</v>
      </c>
      <c r="B1301" s="24">
        <v>874</v>
      </c>
      <c r="C1301" s="24">
        <v>152</v>
      </c>
      <c r="E1301" s="24">
        <v>99</v>
      </c>
      <c r="G1301" s="24">
        <v>0</v>
      </c>
      <c r="H1301" s="25">
        <v>0.8</v>
      </c>
      <c r="I1301" s="24">
        <v>1</v>
      </c>
    </row>
    <row r="1302" spans="1:9" ht="15.75" customHeight="1" x14ac:dyDescent="0.2">
      <c r="A1302" s="26">
        <v>1320</v>
      </c>
      <c r="B1302" s="24">
        <v>875</v>
      </c>
      <c r="C1302" s="24">
        <v>152</v>
      </c>
      <c r="E1302" s="24">
        <v>100</v>
      </c>
      <c r="G1302" s="24">
        <v>0</v>
      </c>
      <c r="H1302" s="25">
        <v>0.8</v>
      </c>
      <c r="I1302" s="24">
        <v>1</v>
      </c>
    </row>
    <row r="1303" spans="1:9" ht="15.75" customHeight="1" x14ac:dyDescent="0.2">
      <c r="A1303" s="26">
        <v>1321</v>
      </c>
      <c r="B1303" s="24">
        <v>876</v>
      </c>
      <c r="C1303" s="24">
        <v>152</v>
      </c>
      <c r="E1303" s="24">
        <v>101</v>
      </c>
      <c r="G1303" s="24">
        <v>0</v>
      </c>
      <c r="H1303" s="25">
        <v>0.8</v>
      </c>
      <c r="I1303" s="24">
        <v>1</v>
      </c>
    </row>
    <row r="1304" spans="1:9" ht="15.75" customHeight="1" x14ac:dyDescent="0.2">
      <c r="A1304" s="26">
        <v>1322</v>
      </c>
      <c r="B1304" s="24">
        <v>697</v>
      </c>
      <c r="C1304" s="24">
        <v>154</v>
      </c>
      <c r="D1304" s="24" t="s">
        <v>57</v>
      </c>
      <c r="E1304" s="24">
        <v>97</v>
      </c>
      <c r="G1304" s="24">
        <f t="shared" ref="G1304:G1327" si="13">1/12</f>
        <v>8.3333333333333329E-2</v>
      </c>
      <c r="H1304" s="25">
        <v>0.8</v>
      </c>
      <c r="I1304" s="24">
        <v>1</v>
      </c>
    </row>
    <row r="1305" spans="1:9" ht="15.75" customHeight="1" x14ac:dyDescent="0.2">
      <c r="A1305" s="26">
        <v>1323</v>
      </c>
      <c r="B1305" s="24">
        <v>698</v>
      </c>
      <c r="C1305" s="24">
        <v>154</v>
      </c>
      <c r="D1305" s="24" t="s">
        <v>57</v>
      </c>
      <c r="E1305" s="24">
        <v>98</v>
      </c>
      <c r="G1305" s="24">
        <f t="shared" si="13"/>
        <v>8.3333333333333329E-2</v>
      </c>
      <c r="H1305" s="25">
        <v>0.8</v>
      </c>
      <c r="I1305" s="24">
        <v>1</v>
      </c>
    </row>
    <row r="1306" spans="1:9" ht="15.75" customHeight="1" x14ac:dyDescent="0.2">
      <c r="A1306" s="26">
        <v>1324</v>
      </c>
      <c r="B1306" s="24">
        <v>699</v>
      </c>
      <c r="C1306" s="24">
        <v>154</v>
      </c>
      <c r="D1306" s="24" t="s">
        <v>57</v>
      </c>
      <c r="E1306" s="24">
        <v>99</v>
      </c>
      <c r="G1306" s="24">
        <f t="shared" si="13"/>
        <v>8.3333333333333329E-2</v>
      </c>
      <c r="H1306" s="25">
        <v>0.8</v>
      </c>
      <c r="I1306" s="24">
        <v>1</v>
      </c>
    </row>
    <row r="1307" spans="1:9" ht="15.75" customHeight="1" x14ac:dyDescent="0.2">
      <c r="A1307" s="26">
        <v>1325</v>
      </c>
      <c r="B1307" s="24">
        <v>700</v>
      </c>
      <c r="C1307" s="24">
        <v>154</v>
      </c>
      <c r="D1307" s="24" t="s">
        <v>57</v>
      </c>
      <c r="E1307" s="24">
        <v>100</v>
      </c>
      <c r="G1307" s="24">
        <f t="shared" si="13"/>
        <v>8.3333333333333329E-2</v>
      </c>
      <c r="H1307" s="25">
        <v>0.8</v>
      </c>
      <c r="I1307" s="24">
        <v>1</v>
      </c>
    </row>
    <row r="1308" spans="1:9" ht="15.75" customHeight="1" x14ac:dyDescent="0.2">
      <c r="A1308" s="26">
        <v>1326</v>
      </c>
      <c r="B1308" s="24">
        <v>701</v>
      </c>
      <c r="C1308" s="24">
        <v>154</v>
      </c>
      <c r="D1308" s="24" t="s">
        <v>57</v>
      </c>
      <c r="E1308" s="24">
        <v>101</v>
      </c>
      <c r="G1308" s="24">
        <f t="shared" si="13"/>
        <v>8.3333333333333329E-2</v>
      </c>
      <c r="H1308" s="25">
        <v>0.8</v>
      </c>
      <c r="I1308" s="24">
        <v>1</v>
      </c>
    </row>
    <row r="1309" spans="1:9" ht="15.75" customHeight="1" x14ac:dyDescent="0.2">
      <c r="A1309" s="26">
        <v>1327</v>
      </c>
      <c r="B1309" s="24">
        <v>702</v>
      </c>
      <c r="C1309" s="24">
        <v>154</v>
      </c>
      <c r="D1309" s="24" t="s">
        <v>57</v>
      </c>
      <c r="E1309" s="24">
        <v>102</v>
      </c>
      <c r="G1309" s="24">
        <f t="shared" si="13"/>
        <v>8.3333333333333329E-2</v>
      </c>
      <c r="H1309" s="25">
        <v>0.8</v>
      </c>
      <c r="I1309" s="24">
        <v>1</v>
      </c>
    </row>
    <row r="1310" spans="1:9" ht="15.75" customHeight="1" x14ac:dyDescent="0.2">
      <c r="A1310" s="26">
        <v>1328</v>
      </c>
      <c r="B1310" s="24">
        <v>903</v>
      </c>
      <c r="C1310" s="24">
        <v>154</v>
      </c>
      <c r="D1310" s="24" t="s">
        <v>57</v>
      </c>
      <c r="E1310" s="24">
        <v>109</v>
      </c>
      <c r="G1310" s="24">
        <f t="shared" si="13"/>
        <v>8.3333333333333329E-2</v>
      </c>
      <c r="H1310" s="25">
        <v>0.8</v>
      </c>
      <c r="I1310" s="24">
        <v>1</v>
      </c>
    </row>
    <row r="1311" spans="1:9" ht="15.75" customHeight="1" x14ac:dyDescent="0.2">
      <c r="A1311" s="26">
        <v>1329</v>
      </c>
      <c r="B1311" s="24">
        <v>904</v>
      </c>
      <c r="C1311" s="24">
        <v>154</v>
      </c>
      <c r="D1311" s="24" t="s">
        <v>57</v>
      </c>
      <c r="E1311" s="24">
        <v>110</v>
      </c>
      <c r="G1311" s="24">
        <f t="shared" si="13"/>
        <v>8.3333333333333329E-2</v>
      </c>
      <c r="H1311" s="25">
        <v>0.8</v>
      </c>
      <c r="I1311" s="24">
        <v>1</v>
      </c>
    </row>
    <row r="1312" spans="1:9" ht="15.75" customHeight="1" x14ac:dyDescent="0.2">
      <c r="A1312" s="26">
        <v>1330</v>
      </c>
      <c r="B1312" s="24">
        <v>905</v>
      </c>
      <c r="C1312" s="24">
        <v>154</v>
      </c>
      <c r="D1312" s="24" t="s">
        <v>57</v>
      </c>
      <c r="E1312" s="24">
        <v>111</v>
      </c>
      <c r="G1312" s="24">
        <f t="shared" si="13"/>
        <v>8.3333333333333329E-2</v>
      </c>
      <c r="H1312" s="25">
        <v>0.8</v>
      </c>
      <c r="I1312" s="24">
        <v>1</v>
      </c>
    </row>
    <row r="1313" spans="1:9" ht="15.75" customHeight="1" x14ac:dyDescent="0.2">
      <c r="A1313" s="26">
        <v>1331</v>
      </c>
      <c r="B1313" s="24">
        <v>906</v>
      </c>
      <c r="C1313" s="24">
        <v>154</v>
      </c>
      <c r="D1313" s="24" t="s">
        <v>57</v>
      </c>
      <c r="E1313" s="24">
        <v>112</v>
      </c>
      <c r="G1313" s="24">
        <f t="shared" si="13"/>
        <v>8.3333333333333329E-2</v>
      </c>
      <c r="H1313" s="25">
        <v>0.8</v>
      </c>
      <c r="I1313" s="24">
        <v>1</v>
      </c>
    </row>
    <row r="1314" spans="1:9" ht="15.75" customHeight="1" x14ac:dyDescent="0.2">
      <c r="A1314" s="26">
        <v>1332</v>
      </c>
      <c r="B1314" s="24">
        <v>907</v>
      </c>
      <c r="C1314" s="24">
        <v>154</v>
      </c>
      <c r="D1314" s="24" t="s">
        <v>57</v>
      </c>
      <c r="E1314" s="24">
        <v>113</v>
      </c>
      <c r="G1314" s="24">
        <f t="shared" si="13"/>
        <v>8.3333333333333329E-2</v>
      </c>
      <c r="H1314" s="25">
        <v>0.8</v>
      </c>
      <c r="I1314" s="24">
        <v>1</v>
      </c>
    </row>
    <row r="1315" spans="1:9" ht="15.75" customHeight="1" x14ac:dyDescent="0.2">
      <c r="A1315" s="26">
        <v>1333</v>
      </c>
      <c r="B1315" s="24">
        <v>908</v>
      </c>
      <c r="C1315" s="24">
        <v>154</v>
      </c>
      <c r="D1315" s="24" t="s">
        <v>57</v>
      </c>
      <c r="E1315" s="24">
        <v>114</v>
      </c>
      <c r="G1315" s="24">
        <f t="shared" si="13"/>
        <v>8.3333333333333329E-2</v>
      </c>
      <c r="H1315" s="25">
        <v>0.8</v>
      </c>
      <c r="I1315" s="24">
        <v>1</v>
      </c>
    </row>
    <row r="1316" spans="1:9" ht="15.75" customHeight="1" x14ac:dyDescent="0.2">
      <c r="A1316" s="26">
        <v>1334</v>
      </c>
      <c r="B1316" s="24">
        <v>703</v>
      </c>
      <c r="C1316" s="24">
        <v>155</v>
      </c>
      <c r="D1316" s="24" t="s">
        <v>54</v>
      </c>
      <c r="E1316" s="24">
        <v>104</v>
      </c>
      <c r="G1316" s="24">
        <f t="shared" si="13"/>
        <v>8.3333333333333329E-2</v>
      </c>
      <c r="H1316" s="25">
        <v>0.8</v>
      </c>
      <c r="I1316" s="24">
        <v>1</v>
      </c>
    </row>
    <row r="1317" spans="1:9" ht="15.75" customHeight="1" x14ac:dyDescent="0.2">
      <c r="A1317" s="26">
        <v>1335</v>
      </c>
      <c r="B1317" s="24">
        <v>704</v>
      </c>
      <c r="C1317" s="24">
        <v>155</v>
      </c>
      <c r="D1317" s="24" t="s">
        <v>54</v>
      </c>
      <c r="E1317" s="24">
        <v>105</v>
      </c>
      <c r="G1317" s="24">
        <f t="shared" si="13"/>
        <v>8.3333333333333329E-2</v>
      </c>
      <c r="H1317" s="25">
        <v>0.8</v>
      </c>
      <c r="I1317" s="24">
        <v>1</v>
      </c>
    </row>
    <row r="1318" spans="1:9" ht="15.75" customHeight="1" x14ac:dyDescent="0.2">
      <c r="A1318" s="26">
        <v>1336</v>
      </c>
      <c r="B1318" s="24">
        <v>705</v>
      </c>
      <c r="C1318" s="24">
        <v>155</v>
      </c>
      <c r="D1318" s="24" t="s">
        <v>54</v>
      </c>
      <c r="E1318" s="24">
        <v>106</v>
      </c>
      <c r="G1318" s="24">
        <f t="shared" si="13"/>
        <v>8.3333333333333329E-2</v>
      </c>
      <c r="H1318" s="25">
        <v>0.8</v>
      </c>
      <c r="I1318" s="24">
        <v>1</v>
      </c>
    </row>
    <row r="1319" spans="1:9" ht="15.75" customHeight="1" x14ac:dyDescent="0.2">
      <c r="A1319" s="26">
        <v>1337</v>
      </c>
      <c r="B1319" s="24">
        <v>706</v>
      </c>
      <c r="C1319" s="24">
        <v>155</v>
      </c>
      <c r="D1319" s="24" t="s">
        <v>54</v>
      </c>
      <c r="E1319" s="24">
        <v>107</v>
      </c>
      <c r="G1319" s="24">
        <f t="shared" si="13"/>
        <v>8.3333333333333329E-2</v>
      </c>
      <c r="H1319" s="25">
        <v>0.8</v>
      </c>
      <c r="I1319" s="24">
        <v>1</v>
      </c>
    </row>
    <row r="1320" spans="1:9" ht="15.75" customHeight="1" x14ac:dyDescent="0.2">
      <c r="A1320" s="26">
        <v>1338</v>
      </c>
      <c r="B1320" s="24">
        <v>707</v>
      </c>
      <c r="C1320" s="24">
        <v>155</v>
      </c>
      <c r="D1320" s="24" t="s">
        <v>54</v>
      </c>
      <c r="E1320" s="24">
        <v>108</v>
      </c>
      <c r="G1320" s="24">
        <f t="shared" si="13"/>
        <v>8.3333333333333329E-2</v>
      </c>
      <c r="H1320" s="25">
        <v>0.8</v>
      </c>
      <c r="I1320" s="24">
        <v>1</v>
      </c>
    </row>
    <row r="1321" spans="1:9" ht="15.75" customHeight="1" x14ac:dyDescent="0.2">
      <c r="A1321" s="26">
        <v>1339</v>
      </c>
      <c r="B1321" s="24">
        <v>708</v>
      </c>
      <c r="C1321" s="24">
        <v>155</v>
      </c>
      <c r="D1321" s="24" t="s">
        <v>54</v>
      </c>
      <c r="E1321" s="24">
        <v>109</v>
      </c>
      <c r="G1321" s="24">
        <f t="shared" si="13"/>
        <v>8.3333333333333329E-2</v>
      </c>
      <c r="H1321" s="25">
        <v>0.8</v>
      </c>
      <c r="I1321" s="24">
        <v>1</v>
      </c>
    </row>
    <row r="1322" spans="1:9" ht="15.75" customHeight="1" x14ac:dyDescent="0.2">
      <c r="A1322" s="26">
        <v>1340</v>
      </c>
      <c r="B1322" s="24">
        <v>909</v>
      </c>
      <c r="C1322" s="24">
        <v>155</v>
      </c>
      <c r="D1322" s="24" t="s">
        <v>54</v>
      </c>
      <c r="E1322" s="24">
        <v>115</v>
      </c>
      <c r="G1322" s="24">
        <f t="shared" si="13"/>
        <v>8.3333333333333329E-2</v>
      </c>
      <c r="H1322" s="25">
        <v>0.8</v>
      </c>
      <c r="I1322" s="24">
        <v>1</v>
      </c>
    </row>
    <row r="1323" spans="1:9" ht="15.75" customHeight="1" x14ac:dyDescent="0.2">
      <c r="A1323" s="26">
        <v>1341</v>
      </c>
      <c r="B1323" s="24">
        <v>910</v>
      </c>
      <c r="C1323" s="24">
        <v>155</v>
      </c>
      <c r="D1323" s="24" t="s">
        <v>54</v>
      </c>
      <c r="E1323" s="24">
        <v>116</v>
      </c>
      <c r="G1323" s="24">
        <f t="shared" si="13"/>
        <v>8.3333333333333329E-2</v>
      </c>
      <c r="H1323" s="25">
        <v>0.8</v>
      </c>
      <c r="I1323" s="24">
        <v>1</v>
      </c>
    </row>
    <row r="1324" spans="1:9" ht="15.75" customHeight="1" x14ac:dyDescent="0.2">
      <c r="A1324" s="26">
        <v>1342</v>
      </c>
      <c r="B1324" s="24">
        <v>911</v>
      </c>
      <c r="C1324" s="24">
        <v>155</v>
      </c>
      <c r="D1324" s="24" t="s">
        <v>54</v>
      </c>
      <c r="E1324" s="24">
        <v>117</v>
      </c>
      <c r="G1324" s="24">
        <f t="shared" si="13"/>
        <v>8.3333333333333329E-2</v>
      </c>
      <c r="H1324" s="25">
        <v>0.8</v>
      </c>
      <c r="I1324" s="24">
        <v>1</v>
      </c>
    </row>
    <row r="1325" spans="1:9" ht="15.75" customHeight="1" x14ac:dyDescent="0.2">
      <c r="A1325" s="26">
        <v>1343</v>
      </c>
      <c r="B1325" s="24">
        <v>912</v>
      </c>
      <c r="C1325" s="24">
        <v>155</v>
      </c>
      <c r="D1325" s="24" t="s">
        <v>54</v>
      </c>
      <c r="E1325" s="24">
        <v>118</v>
      </c>
      <c r="G1325" s="24">
        <f t="shared" si="13"/>
        <v>8.3333333333333329E-2</v>
      </c>
      <c r="H1325" s="25">
        <v>0.8</v>
      </c>
      <c r="I1325" s="24">
        <v>1</v>
      </c>
    </row>
    <row r="1326" spans="1:9" ht="15.75" customHeight="1" x14ac:dyDescent="0.2">
      <c r="A1326" s="26">
        <v>1344</v>
      </c>
      <c r="B1326" s="24">
        <v>913</v>
      </c>
      <c r="C1326" s="24">
        <v>155</v>
      </c>
      <c r="D1326" s="24" t="s">
        <v>54</v>
      </c>
      <c r="E1326" s="24">
        <v>119</v>
      </c>
      <c r="G1326" s="24">
        <f t="shared" si="13"/>
        <v>8.3333333333333329E-2</v>
      </c>
      <c r="H1326" s="25">
        <v>0.8</v>
      </c>
      <c r="I1326" s="24">
        <v>1</v>
      </c>
    </row>
    <row r="1327" spans="1:9" ht="15.75" customHeight="1" x14ac:dyDescent="0.2">
      <c r="A1327" s="26">
        <v>1345</v>
      </c>
      <c r="B1327" s="24">
        <v>914</v>
      </c>
      <c r="C1327" s="24">
        <v>155</v>
      </c>
      <c r="D1327" s="24" t="s">
        <v>54</v>
      </c>
      <c r="E1327" s="24">
        <v>120</v>
      </c>
      <c r="G1327" s="24">
        <f t="shared" si="13"/>
        <v>8.3333333333333329E-2</v>
      </c>
      <c r="H1327" s="25">
        <v>0.8</v>
      </c>
      <c r="I1327" s="24">
        <v>1</v>
      </c>
    </row>
    <row r="1328" spans="1:9" ht="15.75" customHeight="1" x14ac:dyDescent="0.2">
      <c r="A1328" s="26">
        <v>1346</v>
      </c>
      <c r="B1328" s="24">
        <v>1318</v>
      </c>
      <c r="C1328" s="24">
        <v>97</v>
      </c>
      <c r="D1328" s="24" t="s">
        <v>402</v>
      </c>
      <c r="E1328" s="24">
        <v>1</v>
      </c>
      <c r="G1328" s="24">
        <v>0</v>
      </c>
      <c r="H1328" s="25">
        <v>0.8</v>
      </c>
      <c r="I1328" s="24">
        <v>1</v>
      </c>
    </row>
    <row r="1329" spans="1:9" ht="15.75" customHeight="1" x14ac:dyDescent="0.2">
      <c r="A1329" s="26">
        <v>1347</v>
      </c>
      <c r="B1329" s="24">
        <v>1319</v>
      </c>
      <c r="C1329" s="24">
        <v>97</v>
      </c>
      <c r="D1329" s="24" t="s">
        <v>402</v>
      </c>
      <c r="E1329" s="24">
        <v>2</v>
      </c>
      <c r="G1329" s="24">
        <f>1/12</f>
        <v>8.3333333333333329E-2</v>
      </c>
      <c r="H1329" s="25">
        <v>0.8</v>
      </c>
      <c r="I1329" s="24">
        <v>1</v>
      </c>
    </row>
    <row r="1330" spans="1:9" ht="15.75" customHeight="1" x14ac:dyDescent="0.2">
      <c r="A1330" s="26">
        <v>1348</v>
      </c>
      <c r="B1330" s="24">
        <v>1320</v>
      </c>
      <c r="C1330" s="24">
        <v>97</v>
      </c>
      <c r="D1330" s="24" t="s">
        <v>402</v>
      </c>
      <c r="E1330" s="24">
        <v>3</v>
      </c>
      <c r="G1330" s="24">
        <v>0</v>
      </c>
      <c r="H1330" s="25">
        <v>0.8</v>
      </c>
      <c r="I1330" s="24">
        <v>1</v>
      </c>
    </row>
    <row r="1331" spans="1:9" ht="15.75" customHeight="1" x14ac:dyDescent="0.2">
      <c r="A1331" s="26">
        <v>1349</v>
      </c>
      <c r="B1331" s="24">
        <v>1321</v>
      </c>
      <c r="C1331" s="24">
        <v>97</v>
      </c>
      <c r="D1331" s="24" t="s">
        <v>402</v>
      </c>
      <c r="E1331" s="24">
        <v>4</v>
      </c>
      <c r="G1331" s="24">
        <f>1/12</f>
        <v>8.3333333333333329E-2</v>
      </c>
      <c r="H1331" s="25">
        <v>0.8</v>
      </c>
      <c r="I1331" s="24">
        <v>1</v>
      </c>
    </row>
    <row r="1332" spans="1:9" ht="15.75" customHeight="1" x14ac:dyDescent="0.2">
      <c r="A1332" s="26">
        <v>1350</v>
      </c>
      <c r="B1332" s="24">
        <v>1322</v>
      </c>
      <c r="C1332" s="24">
        <v>97</v>
      </c>
      <c r="D1332" s="24" t="s">
        <v>402</v>
      </c>
      <c r="E1332" s="24">
        <v>5</v>
      </c>
      <c r="G1332" s="24">
        <v>0</v>
      </c>
      <c r="H1332" s="25">
        <v>0.8</v>
      </c>
      <c r="I1332" s="24">
        <v>1</v>
      </c>
    </row>
    <row r="1333" spans="1:9" ht="15.75" customHeight="1" x14ac:dyDescent="0.2">
      <c r="A1333" s="26">
        <v>1351</v>
      </c>
      <c r="B1333" s="24">
        <v>1323</v>
      </c>
      <c r="C1333" s="24">
        <v>97</v>
      </c>
      <c r="D1333" s="24" t="s">
        <v>402</v>
      </c>
      <c r="E1333" s="24">
        <v>6</v>
      </c>
      <c r="G1333" s="24">
        <f>1/12</f>
        <v>8.3333333333333329E-2</v>
      </c>
      <c r="H1333" s="25">
        <v>0.8</v>
      </c>
      <c r="I1333" s="24">
        <v>1</v>
      </c>
    </row>
    <row r="1334" spans="1:9" ht="15.75" customHeight="1" x14ac:dyDescent="0.2">
      <c r="A1334" s="26">
        <v>1352</v>
      </c>
      <c r="B1334" s="24">
        <v>1324</v>
      </c>
      <c r="C1334" s="24">
        <v>97</v>
      </c>
      <c r="D1334" s="24" t="s">
        <v>402</v>
      </c>
      <c r="E1334" s="24">
        <v>7</v>
      </c>
      <c r="G1334" s="24">
        <v>0</v>
      </c>
      <c r="H1334" s="25">
        <v>0.8</v>
      </c>
      <c r="I1334" s="24">
        <v>1</v>
      </c>
    </row>
    <row r="1335" spans="1:9" ht="15.75" customHeight="1" x14ac:dyDescent="0.2">
      <c r="A1335" s="26">
        <v>1353</v>
      </c>
      <c r="B1335" s="24">
        <v>1325</v>
      </c>
      <c r="C1335" s="24">
        <v>97</v>
      </c>
      <c r="D1335" s="24" t="s">
        <v>402</v>
      </c>
      <c r="E1335" s="24">
        <v>8</v>
      </c>
      <c r="G1335" s="24">
        <f>1/12</f>
        <v>8.3333333333333329E-2</v>
      </c>
      <c r="H1335" s="25">
        <v>0.8</v>
      </c>
      <c r="I1335" s="24">
        <v>1</v>
      </c>
    </row>
    <row r="1336" spans="1:9" ht="15.75" customHeight="1" x14ac:dyDescent="0.2">
      <c r="A1336" s="26">
        <v>1354</v>
      </c>
      <c r="B1336" s="24">
        <v>1326</v>
      </c>
      <c r="C1336" s="24">
        <v>97</v>
      </c>
      <c r="D1336" s="24" t="s">
        <v>402</v>
      </c>
      <c r="E1336" s="24">
        <v>9</v>
      </c>
      <c r="G1336" s="24">
        <v>0</v>
      </c>
      <c r="H1336" s="25">
        <v>0.8</v>
      </c>
      <c r="I1336" s="24">
        <v>1</v>
      </c>
    </row>
    <row r="1337" spans="1:9" ht="15.75" customHeight="1" x14ac:dyDescent="0.2">
      <c r="A1337" s="26">
        <v>1355</v>
      </c>
      <c r="B1337" s="24">
        <v>1327</v>
      </c>
      <c r="C1337" s="24">
        <v>97</v>
      </c>
      <c r="D1337" s="24" t="s">
        <v>402</v>
      </c>
      <c r="E1337" s="24">
        <v>10</v>
      </c>
      <c r="G1337" s="24">
        <f>1/12</f>
        <v>8.3333333333333329E-2</v>
      </c>
      <c r="H1337" s="25">
        <v>0.8</v>
      </c>
      <c r="I1337" s="24">
        <v>1</v>
      </c>
    </row>
    <row r="1338" spans="1:9" ht="15.75" customHeight="1" x14ac:dyDescent="0.2">
      <c r="A1338" s="26">
        <v>1356</v>
      </c>
      <c r="B1338" s="24">
        <v>1328</v>
      </c>
      <c r="C1338" s="24">
        <v>97</v>
      </c>
      <c r="D1338" s="24" t="s">
        <v>402</v>
      </c>
      <c r="E1338" s="24">
        <v>11</v>
      </c>
      <c r="G1338" s="24">
        <v>0</v>
      </c>
      <c r="H1338" s="25">
        <v>0.8</v>
      </c>
      <c r="I1338" s="24">
        <v>1</v>
      </c>
    </row>
    <row r="1339" spans="1:9" ht="15.75" customHeight="1" x14ac:dyDescent="0.2">
      <c r="A1339" s="26">
        <v>1357</v>
      </c>
      <c r="B1339" s="24">
        <v>1329</v>
      </c>
      <c r="C1339" s="24">
        <v>97</v>
      </c>
      <c r="D1339" s="24" t="s">
        <v>402</v>
      </c>
      <c r="E1339" s="24">
        <v>12</v>
      </c>
      <c r="G1339" s="24">
        <v>0</v>
      </c>
      <c r="H1339" s="25">
        <v>0.8</v>
      </c>
      <c r="I1339" s="24">
        <v>1</v>
      </c>
    </row>
    <row r="1340" spans="1:9" ht="15.75" customHeight="1" x14ac:dyDescent="0.2">
      <c r="A1340" s="26">
        <v>1358</v>
      </c>
      <c r="B1340" s="24">
        <v>1330</v>
      </c>
      <c r="C1340" s="24">
        <v>97</v>
      </c>
      <c r="D1340" s="24" t="s">
        <v>402</v>
      </c>
      <c r="E1340" s="24">
        <v>13</v>
      </c>
      <c r="G1340" s="24">
        <f>1/12</f>
        <v>8.3333333333333329E-2</v>
      </c>
      <c r="H1340" s="25">
        <v>0.8</v>
      </c>
      <c r="I1340" s="24">
        <v>1</v>
      </c>
    </row>
    <row r="1341" spans="1:9" ht="15.75" customHeight="1" x14ac:dyDescent="0.2">
      <c r="A1341" s="26">
        <v>1359</v>
      </c>
      <c r="B1341" s="24">
        <v>1331</v>
      </c>
      <c r="C1341" s="24">
        <v>97</v>
      </c>
      <c r="D1341" s="24" t="s">
        <v>402</v>
      </c>
      <c r="E1341" s="24">
        <v>14</v>
      </c>
      <c r="G1341" s="24">
        <v>0</v>
      </c>
      <c r="H1341" s="25">
        <v>0.8</v>
      </c>
      <c r="I1341" s="24">
        <v>1</v>
      </c>
    </row>
    <row r="1342" spans="1:9" ht="15.75" customHeight="1" x14ac:dyDescent="0.2">
      <c r="A1342" s="26">
        <v>1360</v>
      </c>
      <c r="B1342" s="24">
        <v>1332</v>
      </c>
      <c r="C1342" s="24">
        <v>97</v>
      </c>
      <c r="D1342" s="24" t="s">
        <v>402</v>
      </c>
      <c r="E1342" s="24">
        <v>15</v>
      </c>
      <c r="G1342" s="24">
        <f>1/12</f>
        <v>8.3333333333333329E-2</v>
      </c>
      <c r="H1342" s="25">
        <v>0.8</v>
      </c>
      <c r="I1342" s="24">
        <v>1</v>
      </c>
    </row>
    <row r="1343" spans="1:9" ht="15.75" customHeight="1" x14ac:dyDescent="0.2">
      <c r="A1343" s="26">
        <v>1361</v>
      </c>
      <c r="B1343" s="24">
        <v>1333</v>
      </c>
      <c r="C1343" s="24">
        <v>97</v>
      </c>
      <c r="D1343" s="24" t="s">
        <v>402</v>
      </c>
      <c r="E1343" s="24">
        <v>16</v>
      </c>
      <c r="G1343" s="24">
        <v>0</v>
      </c>
      <c r="H1343" s="25">
        <v>0.8</v>
      </c>
      <c r="I1343" s="24">
        <v>1</v>
      </c>
    </row>
    <row r="1344" spans="1:9" ht="15.75" customHeight="1" x14ac:dyDescent="0.2">
      <c r="A1344" s="26">
        <v>1362</v>
      </c>
      <c r="B1344" s="24">
        <v>1334</v>
      </c>
      <c r="C1344" s="24">
        <v>97</v>
      </c>
      <c r="D1344" s="24" t="s">
        <v>402</v>
      </c>
      <c r="E1344" s="24">
        <v>17</v>
      </c>
      <c r="G1344" s="24">
        <f>1/12</f>
        <v>8.3333333333333329E-2</v>
      </c>
      <c r="H1344" s="25">
        <v>0.8</v>
      </c>
      <c r="I1344" s="24">
        <v>1</v>
      </c>
    </row>
    <row r="1345" spans="1:10" ht="15.75" customHeight="1" x14ac:dyDescent="0.2">
      <c r="A1345" s="26">
        <v>1363</v>
      </c>
      <c r="B1345" s="24">
        <v>1335</v>
      </c>
      <c r="C1345" s="24">
        <v>97</v>
      </c>
      <c r="D1345" s="24" t="s">
        <v>402</v>
      </c>
      <c r="E1345" s="24">
        <v>18</v>
      </c>
      <c r="G1345" s="24">
        <v>0</v>
      </c>
      <c r="H1345" s="25">
        <v>0.8</v>
      </c>
      <c r="I1345" s="24">
        <v>1</v>
      </c>
    </row>
    <row r="1346" spans="1:10" ht="15.75" customHeight="1" x14ac:dyDescent="0.2">
      <c r="A1346" s="26">
        <v>1364</v>
      </c>
      <c r="B1346" s="24">
        <v>1336</v>
      </c>
      <c r="C1346" s="24">
        <v>97</v>
      </c>
      <c r="D1346" s="24" t="s">
        <v>402</v>
      </c>
      <c r="E1346" s="24">
        <v>19</v>
      </c>
      <c r="G1346" s="24">
        <f>1/12</f>
        <v>8.3333333333333329E-2</v>
      </c>
      <c r="H1346" s="25">
        <v>0.8</v>
      </c>
      <c r="I1346" s="24">
        <v>1</v>
      </c>
    </row>
    <row r="1347" spans="1:10" ht="15.75" customHeight="1" x14ac:dyDescent="0.2">
      <c r="A1347" s="26">
        <v>1365</v>
      </c>
      <c r="B1347" s="24">
        <v>1337</v>
      </c>
      <c r="C1347" s="24">
        <v>97</v>
      </c>
      <c r="D1347" s="24" t="s">
        <v>402</v>
      </c>
      <c r="E1347" s="24">
        <v>20</v>
      </c>
      <c r="G1347" s="24">
        <v>0</v>
      </c>
      <c r="H1347" s="25">
        <v>0.8</v>
      </c>
      <c r="I1347" s="24">
        <v>1</v>
      </c>
    </row>
    <row r="1348" spans="1:10" ht="15.75" customHeight="1" x14ac:dyDescent="0.2">
      <c r="A1348" s="26">
        <v>1366</v>
      </c>
      <c r="B1348" s="24">
        <v>1338</v>
      </c>
      <c r="C1348" s="24">
        <v>97</v>
      </c>
      <c r="D1348" s="24" t="s">
        <v>402</v>
      </c>
      <c r="E1348" s="24">
        <v>21</v>
      </c>
      <c r="G1348" s="24">
        <f>1/12</f>
        <v>8.3333333333333329E-2</v>
      </c>
      <c r="H1348" s="25">
        <v>0.8</v>
      </c>
      <c r="I1348" s="24">
        <v>1</v>
      </c>
    </row>
    <row r="1349" spans="1:10" ht="15.75" customHeight="1" x14ac:dyDescent="0.2">
      <c r="A1349" s="26">
        <v>1367</v>
      </c>
      <c r="B1349" s="24">
        <v>1339</v>
      </c>
      <c r="C1349" s="24">
        <v>97</v>
      </c>
      <c r="D1349" s="24" t="s">
        <v>402</v>
      </c>
      <c r="E1349" s="24">
        <v>22</v>
      </c>
      <c r="G1349" s="24">
        <v>0</v>
      </c>
      <c r="H1349" s="25">
        <v>0.8</v>
      </c>
      <c r="I1349" s="24">
        <v>1</v>
      </c>
    </row>
    <row r="1350" spans="1:10" ht="15.75" customHeight="1" x14ac:dyDescent="0.2">
      <c r="A1350" s="26">
        <v>1368</v>
      </c>
      <c r="B1350" s="24">
        <v>1340</v>
      </c>
      <c r="C1350" s="24">
        <v>97</v>
      </c>
      <c r="D1350" s="24" t="s">
        <v>402</v>
      </c>
      <c r="E1350" s="24">
        <v>23</v>
      </c>
      <c r="G1350" s="24">
        <f>1/12</f>
        <v>8.3333333333333329E-2</v>
      </c>
      <c r="H1350" s="25">
        <v>0.8</v>
      </c>
      <c r="I1350" s="24">
        <v>1</v>
      </c>
    </row>
    <row r="1351" spans="1:10" ht="15.75" customHeight="1" x14ac:dyDescent="0.2">
      <c r="A1351" s="26">
        <v>1369</v>
      </c>
      <c r="B1351" s="24">
        <v>1341</v>
      </c>
      <c r="C1351" s="24">
        <v>97</v>
      </c>
      <c r="D1351" s="24" t="s">
        <v>402</v>
      </c>
      <c r="E1351" s="24">
        <v>24</v>
      </c>
      <c r="G1351" s="24">
        <v>0</v>
      </c>
      <c r="H1351" s="25">
        <v>0.8</v>
      </c>
      <c r="I1351" s="24">
        <v>1</v>
      </c>
    </row>
    <row r="1352" spans="1:10" ht="15.75" customHeight="1" x14ac:dyDescent="0.2">
      <c r="A1352" s="26">
        <v>1370</v>
      </c>
      <c r="B1352" s="24">
        <v>1342</v>
      </c>
      <c r="C1352" s="24">
        <v>97</v>
      </c>
      <c r="D1352" s="24" t="s">
        <v>402</v>
      </c>
      <c r="E1352" s="24">
        <v>25</v>
      </c>
      <c r="G1352" s="24">
        <f>1/12</f>
        <v>8.3333333333333329E-2</v>
      </c>
      <c r="H1352" s="25">
        <v>0.8</v>
      </c>
      <c r="I1352" s="24">
        <v>1</v>
      </c>
    </row>
    <row r="1353" spans="1:10" ht="15.75" customHeight="1" x14ac:dyDescent="0.2">
      <c r="A1353" s="26">
        <v>1371</v>
      </c>
      <c r="B1353" s="24">
        <v>1349</v>
      </c>
      <c r="C1353" s="24">
        <v>146</v>
      </c>
      <c r="D1353" s="24" t="str">
        <f>VLOOKUP(C1353,[1]Course!$A$1:$C$929, 3, FALSE)</f>
        <v>Literature Level 9</v>
      </c>
      <c r="E1353" s="24">
        <v>108</v>
      </c>
      <c r="F1353" s="24" t="s">
        <v>399</v>
      </c>
      <c r="G1353" s="24">
        <f>1/6</f>
        <v>0.16666666666666666</v>
      </c>
      <c r="H1353" s="25">
        <v>0.8</v>
      </c>
      <c r="I1353" s="24">
        <v>1</v>
      </c>
      <c r="J1353" s="24" t="s">
        <v>401</v>
      </c>
    </row>
    <row r="1354" spans="1:10" ht="15.75" customHeight="1" x14ac:dyDescent="0.2">
      <c r="A1354" s="26">
        <v>1372</v>
      </c>
      <c r="B1354" s="24">
        <v>1350</v>
      </c>
      <c r="C1354" s="24">
        <v>146</v>
      </c>
      <c r="D1354" s="24" t="str">
        <f>VLOOKUP(C1354,[1]Course!$A$1:$C$929, 3, FALSE)</f>
        <v>Literature Level 9</v>
      </c>
      <c r="E1354" s="24">
        <v>108</v>
      </c>
      <c r="F1354" s="24" t="s">
        <v>399</v>
      </c>
      <c r="G1354" s="24">
        <f>1/6</f>
        <v>0.16666666666666666</v>
      </c>
      <c r="H1354" s="25">
        <v>0.8</v>
      </c>
      <c r="I1354" s="24">
        <v>1</v>
      </c>
      <c r="J1354" s="24" t="s">
        <v>400</v>
      </c>
    </row>
    <row r="1355" spans="1:10" ht="15.75" customHeight="1" x14ac:dyDescent="0.2">
      <c r="A1355" s="26">
        <v>1373</v>
      </c>
      <c r="B1355" s="24">
        <v>1351</v>
      </c>
      <c r="C1355" s="24">
        <v>146</v>
      </c>
      <c r="D1355" s="24" t="str">
        <f>VLOOKUP(C1355,[1]Course!$A$1:$C$929, 3, FALSE)</f>
        <v>Literature Level 9</v>
      </c>
      <c r="E1355" s="24">
        <v>108</v>
      </c>
      <c r="F1355" s="24" t="s">
        <v>399</v>
      </c>
      <c r="G1355" s="24">
        <f>1/6</f>
        <v>0.16666666666666666</v>
      </c>
      <c r="H1355" s="25">
        <v>0.8</v>
      </c>
      <c r="I1355" s="24">
        <v>1</v>
      </c>
      <c r="J1355" s="24" t="s">
        <v>398</v>
      </c>
    </row>
    <row r="1356" spans="1:10" ht="15.75" customHeight="1" x14ac:dyDescent="0.2">
      <c r="A1356" s="26">
        <v>1364</v>
      </c>
      <c r="B1356" s="24">
        <v>1045</v>
      </c>
      <c r="C1356" s="24">
        <v>161</v>
      </c>
      <c r="D1356" s="24" t="str">
        <f>VLOOKUP(C1356,[1]Course!$A$1:$C$229, 3, FALSE)</f>
        <v>New Testament Church History I</v>
      </c>
      <c r="E1356" s="24">
        <v>121</v>
      </c>
      <c r="G1356" s="24">
        <f t="shared" ref="G1356:G1361" si="14">1/5</f>
        <v>0.2</v>
      </c>
      <c r="H1356" s="25">
        <v>0.8</v>
      </c>
      <c r="I1356" s="24">
        <v>1</v>
      </c>
    </row>
    <row r="1357" spans="1:10" ht="15.75" customHeight="1" x14ac:dyDescent="0.2">
      <c r="A1357" s="26">
        <v>1365</v>
      </c>
      <c r="B1357" s="24">
        <v>1046</v>
      </c>
      <c r="C1357" s="24">
        <v>161</v>
      </c>
      <c r="D1357" s="24" t="str">
        <f>VLOOKUP(C1357,[1]Course!$A$1:$C$229, 3, FALSE)</f>
        <v>New Testament Church History I</v>
      </c>
      <c r="E1357" s="24">
        <v>122</v>
      </c>
      <c r="G1357" s="24">
        <f t="shared" si="14"/>
        <v>0.2</v>
      </c>
      <c r="H1357" s="25">
        <v>0.8</v>
      </c>
      <c r="I1357" s="24">
        <v>1</v>
      </c>
    </row>
    <row r="1358" spans="1:10" ht="15.75" customHeight="1" x14ac:dyDescent="0.2">
      <c r="A1358" s="26">
        <v>1366</v>
      </c>
      <c r="B1358" s="24">
        <v>1047</v>
      </c>
      <c r="C1358" s="24">
        <v>161</v>
      </c>
      <c r="D1358" s="24" t="str">
        <f>VLOOKUP(C1358,[1]Course!$A$1:$C$229, 3, FALSE)</f>
        <v>New Testament Church History I</v>
      </c>
      <c r="E1358" s="24">
        <v>123</v>
      </c>
      <c r="G1358" s="24">
        <f t="shared" si="14"/>
        <v>0.2</v>
      </c>
      <c r="H1358" s="25">
        <v>0.8</v>
      </c>
      <c r="I1358" s="24">
        <v>1</v>
      </c>
    </row>
    <row r="1359" spans="1:10" ht="15.75" customHeight="1" x14ac:dyDescent="0.2">
      <c r="A1359" s="26">
        <v>1367</v>
      </c>
      <c r="B1359" s="24">
        <v>1048</v>
      </c>
      <c r="C1359" s="24">
        <v>161</v>
      </c>
      <c r="D1359" s="24" t="str">
        <f>VLOOKUP(C1359,[1]Course!$A$1:$C$229, 3, FALSE)</f>
        <v>New Testament Church History I</v>
      </c>
      <c r="E1359" s="24">
        <v>124</v>
      </c>
      <c r="G1359" s="24">
        <f t="shared" si="14"/>
        <v>0.2</v>
      </c>
      <c r="H1359" s="25">
        <v>0.8</v>
      </c>
      <c r="I1359" s="24">
        <v>1</v>
      </c>
    </row>
    <row r="1360" spans="1:10" ht="15.75" customHeight="1" x14ac:dyDescent="0.2">
      <c r="A1360" s="26">
        <v>1368</v>
      </c>
      <c r="B1360" s="24">
        <v>1049</v>
      </c>
      <c r="C1360" s="24">
        <v>161</v>
      </c>
      <c r="D1360" s="24" t="str">
        <f>VLOOKUP(C1360,[1]Course!$A$1:$C$229, 3, FALSE)</f>
        <v>New Testament Church History I</v>
      </c>
      <c r="E1360" s="24">
        <v>125</v>
      </c>
      <c r="G1360" s="24">
        <f t="shared" si="14"/>
        <v>0.2</v>
      </c>
      <c r="H1360" s="25">
        <v>0.8</v>
      </c>
      <c r="I1360" s="24">
        <v>1</v>
      </c>
    </row>
    <row r="1361" spans="1:9" ht="15.75" customHeight="1" x14ac:dyDescent="0.2">
      <c r="A1361" s="26">
        <v>1369</v>
      </c>
      <c r="B1361" s="24">
        <v>1050</v>
      </c>
      <c r="C1361" s="24">
        <v>161</v>
      </c>
      <c r="D1361" s="24" t="str">
        <f>VLOOKUP(C1361,[1]Course!$A$1:$C$229, 3, FALSE)</f>
        <v>New Testament Church History I</v>
      </c>
      <c r="E1361" s="24">
        <v>126</v>
      </c>
      <c r="G1361" s="24">
        <f t="shared" si="14"/>
        <v>0.2</v>
      </c>
      <c r="H1361" s="25">
        <v>0.8</v>
      </c>
      <c r="I1361" s="24">
        <v>1</v>
      </c>
    </row>
    <row r="1362" spans="1:9" ht="15.75" customHeight="1" x14ac:dyDescent="0.2">
      <c r="A1362" s="26">
        <v>1370</v>
      </c>
      <c r="B1362" s="24">
        <v>1169</v>
      </c>
      <c r="C1362" s="24">
        <v>164</v>
      </c>
      <c r="D1362" s="24" t="str">
        <f>VLOOKUP(C1362,[1]Course!$A$1:$C$229, 2, FALSE)</f>
        <v>U.S. Civics</v>
      </c>
      <c r="E1362" s="24">
        <v>133</v>
      </c>
      <c r="F1362" s="24" t="s">
        <v>397</v>
      </c>
      <c r="G1362" s="24">
        <f t="shared" ref="G1362:G1397" si="15">1/6</f>
        <v>0.16666666666666666</v>
      </c>
      <c r="H1362" s="25">
        <v>0.8</v>
      </c>
      <c r="I1362" s="24">
        <v>1</v>
      </c>
    </row>
    <row r="1363" spans="1:9" ht="15.75" customHeight="1" x14ac:dyDescent="0.2">
      <c r="A1363" s="24">
        <v>1371</v>
      </c>
      <c r="B1363" s="24">
        <v>1170</v>
      </c>
      <c r="C1363" s="24">
        <v>164</v>
      </c>
      <c r="D1363" s="24" t="str">
        <f>VLOOKUP(C1363,[1]Course!$A$1:$C$229, 2, FALSE)</f>
        <v>U.S. Civics</v>
      </c>
      <c r="E1363" s="24">
        <v>134</v>
      </c>
      <c r="F1363" s="24" t="s">
        <v>396</v>
      </c>
      <c r="G1363" s="24">
        <f t="shared" si="15"/>
        <v>0.16666666666666666</v>
      </c>
      <c r="H1363" s="25">
        <v>0.8</v>
      </c>
      <c r="I1363" s="24">
        <v>1</v>
      </c>
    </row>
    <row r="1364" spans="1:9" ht="15.75" customHeight="1" x14ac:dyDescent="0.2">
      <c r="A1364" s="24">
        <v>1372</v>
      </c>
      <c r="B1364" s="24">
        <v>1171</v>
      </c>
      <c r="C1364" s="24">
        <v>164</v>
      </c>
      <c r="D1364" s="24" t="str">
        <f>VLOOKUP(C1364,[1]Course!$A$1:$C$229, 2, FALSE)</f>
        <v>U.S. Civics</v>
      </c>
      <c r="E1364" s="24">
        <v>135</v>
      </c>
      <c r="F1364" s="24" t="s">
        <v>395</v>
      </c>
      <c r="G1364" s="24">
        <f t="shared" si="15"/>
        <v>0.16666666666666666</v>
      </c>
      <c r="H1364" s="25">
        <v>0.8</v>
      </c>
      <c r="I1364" s="24">
        <v>1</v>
      </c>
    </row>
    <row r="1365" spans="1:9" ht="15.75" customHeight="1" x14ac:dyDescent="0.2">
      <c r="A1365" s="24">
        <v>1373</v>
      </c>
      <c r="B1365" s="24">
        <v>1172</v>
      </c>
      <c r="C1365" s="24">
        <v>164</v>
      </c>
      <c r="D1365" s="24" t="str">
        <f>VLOOKUP(C1365,[1]Course!$A$1:$C$229, 2, FALSE)</f>
        <v>U.S. Civics</v>
      </c>
      <c r="E1365" s="24">
        <v>136</v>
      </c>
      <c r="F1365" s="24" t="s">
        <v>394</v>
      </c>
      <c r="G1365" s="24">
        <f t="shared" si="15"/>
        <v>0.16666666666666666</v>
      </c>
      <c r="H1365" s="25">
        <v>0.8</v>
      </c>
      <c r="I1365" s="24">
        <v>1</v>
      </c>
    </row>
    <row r="1366" spans="1:9" ht="15.75" customHeight="1" x14ac:dyDescent="0.2">
      <c r="A1366" s="24">
        <v>1374</v>
      </c>
      <c r="B1366" s="24">
        <v>1173</v>
      </c>
      <c r="C1366" s="24">
        <v>164</v>
      </c>
      <c r="D1366" s="24" t="str">
        <f>VLOOKUP(C1366,[1]Course!$A$1:$C$229, 2, FALSE)</f>
        <v>U.S. Civics</v>
      </c>
      <c r="E1366" s="24">
        <v>137</v>
      </c>
      <c r="F1366" s="24" t="s">
        <v>393</v>
      </c>
      <c r="G1366" s="24">
        <f t="shared" si="15"/>
        <v>0.16666666666666666</v>
      </c>
      <c r="H1366" s="25">
        <v>0.8</v>
      </c>
      <c r="I1366" s="24">
        <v>1</v>
      </c>
    </row>
    <row r="1367" spans="1:9" ht="15.75" customHeight="1" x14ac:dyDescent="0.2">
      <c r="A1367" s="24">
        <v>1375</v>
      </c>
      <c r="B1367" s="24">
        <v>1174</v>
      </c>
      <c r="C1367" s="24">
        <v>164</v>
      </c>
      <c r="D1367" s="24" t="str">
        <f>VLOOKUP(C1367,[1]Course!$A$1:$C$229, 2, FALSE)</f>
        <v>U.S. Civics</v>
      </c>
      <c r="E1367" s="24">
        <v>138</v>
      </c>
      <c r="F1367" s="24" t="s">
        <v>392</v>
      </c>
      <c r="G1367" s="24">
        <f t="shared" si="15"/>
        <v>0.16666666666666666</v>
      </c>
      <c r="H1367" s="25">
        <v>0.8</v>
      </c>
      <c r="I1367" s="24">
        <v>1</v>
      </c>
    </row>
    <row r="1368" spans="1:9" ht="15.75" customHeight="1" x14ac:dyDescent="0.2">
      <c r="A1368" s="24">
        <v>1376</v>
      </c>
      <c r="B1368" s="24">
        <v>1175</v>
      </c>
      <c r="C1368" s="24">
        <v>165</v>
      </c>
      <c r="D1368" s="24" t="str">
        <f>VLOOKUP(C1368,[1]Course!$A$1:$C$229, 2, FALSE)</f>
        <v>Economics</v>
      </c>
      <c r="E1368" s="24">
        <v>139</v>
      </c>
      <c r="F1368" s="24" t="s">
        <v>391</v>
      </c>
      <c r="G1368" s="24">
        <f t="shared" si="15"/>
        <v>0.16666666666666666</v>
      </c>
      <c r="H1368" s="25">
        <v>0.8</v>
      </c>
      <c r="I1368" s="24">
        <v>1</v>
      </c>
    </row>
    <row r="1369" spans="1:9" ht="15.75" customHeight="1" x14ac:dyDescent="0.2">
      <c r="A1369" s="24">
        <v>1377</v>
      </c>
      <c r="B1369" s="24">
        <v>1176</v>
      </c>
      <c r="C1369" s="24">
        <v>165</v>
      </c>
      <c r="D1369" s="24" t="str">
        <f>VLOOKUP(C1369,[1]Course!$A$1:$C$229, 2, FALSE)</f>
        <v>Economics</v>
      </c>
      <c r="E1369" s="24">
        <v>140</v>
      </c>
      <c r="F1369" s="24" t="s">
        <v>390</v>
      </c>
      <c r="G1369" s="24">
        <f t="shared" si="15"/>
        <v>0.16666666666666666</v>
      </c>
      <c r="H1369" s="25">
        <v>0.8</v>
      </c>
      <c r="I1369" s="24">
        <v>1</v>
      </c>
    </row>
    <row r="1370" spans="1:9" ht="15.75" customHeight="1" x14ac:dyDescent="0.2">
      <c r="A1370" s="24">
        <v>1378</v>
      </c>
      <c r="B1370" s="24">
        <v>1177</v>
      </c>
      <c r="C1370" s="24">
        <v>165</v>
      </c>
      <c r="D1370" s="24" t="str">
        <f>VLOOKUP(C1370,[1]Course!$A$1:$C$229, 2, FALSE)</f>
        <v>Economics</v>
      </c>
      <c r="E1370" s="24">
        <v>141</v>
      </c>
      <c r="F1370" s="24" t="s">
        <v>389</v>
      </c>
      <c r="G1370" s="24">
        <f t="shared" si="15"/>
        <v>0.16666666666666666</v>
      </c>
      <c r="H1370" s="25">
        <v>0.8</v>
      </c>
      <c r="I1370" s="24">
        <v>1</v>
      </c>
    </row>
    <row r="1371" spans="1:9" ht="15.75" customHeight="1" x14ac:dyDescent="0.2">
      <c r="A1371" s="24">
        <v>1379</v>
      </c>
      <c r="B1371" s="24">
        <v>1178</v>
      </c>
      <c r="C1371" s="24">
        <v>165</v>
      </c>
      <c r="D1371" s="24" t="str">
        <f>VLOOKUP(C1371,[1]Course!$A$1:$C$229, 2, FALSE)</f>
        <v>Economics</v>
      </c>
      <c r="E1371" s="24">
        <v>142</v>
      </c>
      <c r="F1371" s="24" t="s">
        <v>388</v>
      </c>
      <c r="G1371" s="24">
        <f t="shared" si="15"/>
        <v>0.16666666666666666</v>
      </c>
      <c r="H1371" s="25">
        <v>0.8</v>
      </c>
      <c r="I1371" s="24">
        <v>1</v>
      </c>
    </row>
    <row r="1372" spans="1:9" ht="15.75" customHeight="1" x14ac:dyDescent="0.2">
      <c r="A1372" s="24">
        <v>1380</v>
      </c>
      <c r="B1372" s="24">
        <v>1179</v>
      </c>
      <c r="C1372" s="24">
        <v>165</v>
      </c>
      <c r="D1372" s="24" t="str">
        <f>VLOOKUP(C1372,[1]Course!$A$1:$C$229, 2, FALSE)</f>
        <v>Economics</v>
      </c>
      <c r="E1372" s="24">
        <v>143</v>
      </c>
      <c r="F1372" s="24" t="s">
        <v>387</v>
      </c>
      <c r="G1372" s="24">
        <f t="shared" si="15"/>
        <v>0.16666666666666666</v>
      </c>
      <c r="H1372" s="25">
        <v>0.8</v>
      </c>
      <c r="I1372" s="24">
        <v>1</v>
      </c>
    </row>
    <row r="1373" spans="1:9" ht="15.75" customHeight="1" x14ac:dyDescent="0.2">
      <c r="A1373" s="24">
        <v>1381</v>
      </c>
      <c r="B1373" s="24">
        <v>1180</v>
      </c>
      <c r="C1373" s="24">
        <v>165</v>
      </c>
      <c r="D1373" s="24" t="str">
        <f>VLOOKUP(C1373,[1]Course!$A$1:$C$229, 2, FALSE)</f>
        <v>Economics</v>
      </c>
      <c r="E1373" s="24">
        <v>144</v>
      </c>
      <c r="F1373" s="24" t="s">
        <v>386</v>
      </c>
      <c r="G1373" s="24">
        <f t="shared" si="15"/>
        <v>0.16666666666666666</v>
      </c>
      <c r="H1373" s="25">
        <v>0.8</v>
      </c>
      <c r="I1373" s="24">
        <v>1</v>
      </c>
    </row>
    <row r="1374" spans="1:9" ht="15.75" customHeight="1" x14ac:dyDescent="0.2">
      <c r="A1374" s="24">
        <v>1382</v>
      </c>
      <c r="B1374" s="24">
        <v>679</v>
      </c>
      <c r="C1374" s="24">
        <v>59</v>
      </c>
      <c r="D1374" s="24" t="s">
        <v>374</v>
      </c>
      <c r="E1374" s="24">
        <v>97</v>
      </c>
      <c r="F1374" s="24" t="s">
        <v>385</v>
      </c>
      <c r="G1374" s="24">
        <f t="shared" si="15"/>
        <v>0.16666666666666666</v>
      </c>
      <c r="H1374" s="25">
        <v>0.8</v>
      </c>
      <c r="I1374" s="24">
        <v>1</v>
      </c>
    </row>
    <row r="1375" spans="1:9" ht="15.75" customHeight="1" x14ac:dyDescent="0.2">
      <c r="A1375" s="24">
        <v>1383</v>
      </c>
      <c r="B1375" s="24">
        <v>680</v>
      </c>
      <c r="C1375" s="24">
        <v>59</v>
      </c>
      <c r="D1375" s="24" t="s">
        <v>374</v>
      </c>
      <c r="E1375" s="24">
        <v>98</v>
      </c>
      <c r="F1375" s="24" t="s">
        <v>384</v>
      </c>
      <c r="G1375" s="24">
        <f t="shared" si="15"/>
        <v>0.16666666666666666</v>
      </c>
      <c r="H1375" s="25">
        <v>0.8</v>
      </c>
      <c r="I1375" s="24">
        <v>1</v>
      </c>
    </row>
    <row r="1376" spans="1:9" ht="15.75" customHeight="1" x14ac:dyDescent="0.2">
      <c r="A1376" s="24">
        <v>1384</v>
      </c>
      <c r="B1376" s="24">
        <v>681</v>
      </c>
      <c r="C1376" s="24">
        <v>59</v>
      </c>
      <c r="D1376" s="24" t="s">
        <v>374</v>
      </c>
      <c r="E1376" s="24">
        <v>99</v>
      </c>
      <c r="F1376" s="24" t="s">
        <v>383</v>
      </c>
      <c r="G1376" s="24">
        <f t="shared" si="15"/>
        <v>0.16666666666666666</v>
      </c>
      <c r="H1376" s="25">
        <v>0.8</v>
      </c>
      <c r="I1376" s="24">
        <v>1</v>
      </c>
    </row>
    <row r="1377" spans="1:9" ht="15.75" customHeight="1" x14ac:dyDescent="0.2">
      <c r="A1377" s="24">
        <v>1385</v>
      </c>
      <c r="B1377" s="24">
        <v>682</v>
      </c>
      <c r="C1377" s="24">
        <v>59</v>
      </c>
      <c r="D1377" s="24" t="s">
        <v>374</v>
      </c>
      <c r="E1377" s="24">
        <v>100</v>
      </c>
      <c r="F1377" s="24" t="s">
        <v>382</v>
      </c>
      <c r="G1377" s="24">
        <f t="shared" si="15"/>
        <v>0.16666666666666666</v>
      </c>
      <c r="H1377" s="25">
        <v>0.8</v>
      </c>
      <c r="I1377" s="24">
        <v>1</v>
      </c>
    </row>
    <row r="1378" spans="1:9" ht="15.75" customHeight="1" x14ac:dyDescent="0.2">
      <c r="A1378" s="24">
        <v>1386</v>
      </c>
      <c r="B1378" s="24">
        <v>683</v>
      </c>
      <c r="C1378" s="24">
        <v>59</v>
      </c>
      <c r="D1378" s="24" t="s">
        <v>374</v>
      </c>
      <c r="E1378" s="24">
        <v>101</v>
      </c>
      <c r="F1378" s="24" t="s">
        <v>381</v>
      </c>
      <c r="G1378" s="24">
        <f t="shared" si="15"/>
        <v>0.16666666666666666</v>
      </c>
      <c r="H1378" s="25">
        <v>0.8</v>
      </c>
      <c r="I1378" s="24">
        <v>1</v>
      </c>
    </row>
    <row r="1379" spans="1:9" ht="15.75" customHeight="1" x14ac:dyDescent="0.2">
      <c r="A1379" s="24">
        <v>1387</v>
      </c>
      <c r="B1379" s="24">
        <v>684</v>
      </c>
      <c r="C1379" s="24">
        <v>59</v>
      </c>
      <c r="D1379" s="24" t="s">
        <v>374</v>
      </c>
      <c r="E1379" s="24">
        <v>102</v>
      </c>
      <c r="F1379" s="24" t="s">
        <v>380</v>
      </c>
      <c r="G1379" s="24">
        <f t="shared" si="15"/>
        <v>0.16666666666666666</v>
      </c>
      <c r="H1379" s="25">
        <v>0.8</v>
      </c>
      <c r="I1379" s="24">
        <v>1</v>
      </c>
    </row>
    <row r="1380" spans="1:9" ht="15.75" customHeight="1" x14ac:dyDescent="0.2">
      <c r="A1380" s="24">
        <v>1388</v>
      </c>
      <c r="B1380" s="24">
        <v>685</v>
      </c>
      <c r="C1380" s="24">
        <v>59</v>
      </c>
      <c r="D1380" s="24" t="s">
        <v>374</v>
      </c>
      <c r="E1380" s="24">
        <v>103</v>
      </c>
      <c r="F1380" s="24" t="s">
        <v>379</v>
      </c>
      <c r="G1380" s="24">
        <f t="shared" si="15"/>
        <v>0.16666666666666666</v>
      </c>
      <c r="H1380" s="25">
        <v>0.8</v>
      </c>
      <c r="I1380" s="24">
        <v>1</v>
      </c>
    </row>
    <row r="1381" spans="1:9" ht="15.75" customHeight="1" x14ac:dyDescent="0.2">
      <c r="A1381" s="24">
        <v>1389</v>
      </c>
      <c r="B1381" s="24">
        <v>686</v>
      </c>
      <c r="C1381" s="24">
        <v>59</v>
      </c>
      <c r="D1381" s="24" t="s">
        <v>374</v>
      </c>
      <c r="E1381" s="24">
        <v>104</v>
      </c>
      <c r="F1381" s="24" t="s">
        <v>378</v>
      </c>
      <c r="G1381" s="24">
        <f t="shared" si="15"/>
        <v>0.16666666666666666</v>
      </c>
      <c r="H1381" s="25">
        <v>0.8</v>
      </c>
      <c r="I1381" s="24">
        <v>1</v>
      </c>
    </row>
    <row r="1382" spans="1:9" ht="15.75" customHeight="1" x14ac:dyDescent="0.2">
      <c r="A1382" s="24">
        <v>1390</v>
      </c>
      <c r="B1382" s="24">
        <v>687</v>
      </c>
      <c r="C1382" s="24">
        <v>59</v>
      </c>
      <c r="D1382" s="24" t="s">
        <v>374</v>
      </c>
      <c r="E1382" s="24">
        <v>105</v>
      </c>
      <c r="F1382" s="24" t="s">
        <v>377</v>
      </c>
      <c r="G1382" s="24">
        <f t="shared" si="15"/>
        <v>0.16666666666666666</v>
      </c>
      <c r="H1382" s="25">
        <v>0.8</v>
      </c>
      <c r="I1382" s="24">
        <v>1</v>
      </c>
    </row>
    <row r="1383" spans="1:9" ht="15.75" customHeight="1" x14ac:dyDescent="0.2">
      <c r="A1383" s="24">
        <v>1391</v>
      </c>
      <c r="B1383" s="24">
        <v>688</v>
      </c>
      <c r="C1383" s="24">
        <v>59</v>
      </c>
      <c r="D1383" s="24" t="s">
        <v>374</v>
      </c>
      <c r="E1383" s="24">
        <v>106</v>
      </c>
      <c r="F1383" s="24" t="s">
        <v>376</v>
      </c>
      <c r="G1383" s="24">
        <f t="shared" si="15"/>
        <v>0.16666666666666666</v>
      </c>
      <c r="H1383" s="25">
        <v>0.8</v>
      </c>
      <c r="I1383" s="24">
        <v>1</v>
      </c>
    </row>
    <row r="1384" spans="1:9" ht="15.75" customHeight="1" x14ac:dyDescent="0.2">
      <c r="A1384" s="24">
        <v>1392</v>
      </c>
      <c r="B1384" s="24">
        <v>689</v>
      </c>
      <c r="C1384" s="24">
        <v>59</v>
      </c>
      <c r="D1384" s="24" t="s">
        <v>374</v>
      </c>
      <c r="E1384" s="24">
        <v>107</v>
      </c>
      <c r="F1384" s="24" t="s">
        <v>375</v>
      </c>
      <c r="G1384" s="24">
        <f t="shared" si="15"/>
        <v>0.16666666666666666</v>
      </c>
      <c r="H1384" s="25">
        <v>0.8</v>
      </c>
      <c r="I1384" s="24">
        <v>1</v>
      </c>
    </row>
    <row r="1385" spans="1:9" ht="15.75" customHeight="1" x14ac:dyDescent="0.2">
      <c r="A1385" s="24">
        <v>1393</v>
      </c>
      <c r="B1385" s="24">
        <v>690</v>
      </c>
      <c r="C1385" s="24">
        <v>59</v>
      </c>
      <c r="D1385" s="24" t="s">
        <v>374</v>
      </c>
      <c r="E1385" s="24">
        <v>108</v>
      </c>
      <c r="F1385" s="24" t="s">
        <v>373</v>
      </c>
      <c r="G1385" s="24">
        <f t="shared" si="15"/>
        <v>0.16666666666666666</v>
      </c>
      <c r="H1385" s="25">
        <v>0.8</v>
      </c>
      <c r="I1385" s="24">
        <v>1</v>
      </c>
    </row>
    <row r="1386" spans="1:9" ht="15" customHeight="1" x14ac:dyDescent="0.2">
      <c r="A1386" s="24">
        <v>1394</v>
      </c>
      <c r="B1386" s="24">
        <v>1358</v>
      </c>
      <c r="C1386" s="24">
        <v>166</v>
      </c>
      <c r="D1386" s="24" t="s">
        <v>24</v>
      </c>
      <c r="E1386" s="24">
        <v>1</v>
      </c>
      <c r="G1386" s="24">
        <f t="shared" si="15"/>
        <v>0.16666666666666666</v>
      </c>
      <c r="H1386" s="25">
        <v>0.8</v>
      </c>
      <c r="I1386" s="24">
        <v>1</v>
      </c>
    </row>
    <row r="1387" spans="1:9" ht="15" customHeight="1" x14ac:dyDescent="0.2">
      <c r="A1387" s="24">
        <v>1395</v>
      </c>
      <c r="B1387" s="24">
        <v>1359</v>
      </c>
      <c r="C1387" s="24">
        <v>166</v>
      </c>
      <c r="D1387" s="24" t="s">
        <v>24</v>
      </c>
      <c r="E1387" s="24">
        <v>2</v>
      </c>
      <c r="G1387" s="24">
        <f t="shared" si="15"/>
        <v>0.16666666666666666</v>
      </c>
      <c r="H1387" s="25">
        <v>0.8</v>
      </c>
      <c r="I1387" s="24">
        <v>1</v>
      </c>
    </row>
    <row r="1388" spans="1:9" ht="15" customHeight="1" x14ac:dyDescent="0.2">
      <c r="A1388" s="24">
        <v>1396</v>
      </c>
      <c r="B1388" s="24">
        <v>1360</v>
      </c>
      <c r="C1388" s="24">
        <v>166</v>
      </c>
      <c r="D1388" s="24" t="s">
        <v>24</v>
      </c>
      <c r="E1388" s="24">
        <v>3</v>
      </c>
      <c r="G1388" s="24">
        <f t="shared" si="15"/>
        <v>0.16666666666666666</v>
      </c>
      <c r="H1388" s="25">
        <v>0.8</v>
      </c>
      <c r="I1388" s="24">
        <v>1</v>
      </c>
    </row>
    <row r="1389" spans="1:9" ht="15" customHeight="1" x14ac:dyDescent="0.2">
      <c r="A1389" s="24">
        <v>1397</v>
      </c>
      <c r="B1389" s="24">
        <v>1361</v>
      </c>
      <c r="C1389" s="24">
        <v>166</v>
      </c>
      <c r="D1389" s="24" t="s">
        <v>24</v>
      </c>
      <c r="E1389" s="24">
        <v>4</v>
      </c>
      <c r="G1389" s="24">
        <f t="shared" si="15"/>
        <v>0.16666666666666666</v>
      </c>
      <c r="H1389" s="25">
        <v>0.8</v>
      </c>
      <c r="I1389" s="24">
        <v>1</v>
      </c>
    </row>
    <row r="1390" spans="1:9" ht="15" customHeight="1" x14ac:dyDescent="0.2">
      <c r="A1390" s="24">
        <v>1398</v>
      </c>
      <c r="B1390" s="24">
        <v>1362</v>
      </c>
      <c r="C1390" s="24">
        <v>166</v>
      </c>
      <c r="D1390" s="24" t="s">
        <v>24</v>
      </c>
      <c r="E1390" s="24">
        <v>5</v>
      </c>
      <c r="G1390" s="24">
        <f t="shared" si="15"/>
        <v>0.16666666666666666</v>
      </c>
      <c r="H1390" s="25">
        <v>0.8</v>
      </c>
      <c r="I1390" s="24">
        <v>1</v>
      </c>
    </row>
    <row r="1391" spans="1:9" ht="15" customHeight="1" x14ac:dyDescent="0.2">
      <c r="A1391" s="24">
        <v>1399</v>
      </c>
      <c r="B1391" s="24">
        <v>1363</v>
      </c>
      <c r="C1391" s="24">
        <v>166</v>
      </c>
      <c r="D1391" s="24" t="s">
        <v>24</v>
      </c>
      <c r="E1391" s="24">
        <v>6</v>
      </c>
      <c r="G1391" s="24">
        <f t="shared" si="15"/>
        <v>0.16666666666666666</v>
      </c>
      <c r="H1391" s="25">
        <v>0.8</v>
      </c>
      <c r="I1391" s="24">
        <v>1</v>
      </c>
    </row>
    <row r="1392" spans="1:9" ht="15" customHeight="1" x14ac:dyDescent="0.2">
      <c r="A1392" s="24">
        <v>1400</v>
      </c>
      <c r="B1392" s="24">
        <v>1364</v>
      </c>
      <c r="C1392" s="24">
        <v>166</v>
      </c>
      <c r="D1392" s="24" t="s">
        <v>24</v>
      </c>
      <c r="E1392" s="24">
        <v>7</v>
      </c>
      <c r="G1392" s="24">
        <f t="shared" si="15"/>
        <v>0.16666666666666666</v>
      </c>
      <c r="H1392" s="25">
        <v>0.8</v>
      </c>
      <c r="I1392" s="24">
        <v>1</v>
      </c>
    </row>
    <row r="1393" spans="1:9" ht="15" customHeight="1" x14ac:dyDescent="0.2">
      <c r="A1393" s="24">
        <v>1401</v>
      </c>
      <c r="B1393" s="24">
        <v>1365</v>
      </c>
      <c r="C1393" s="24">
        <v>166</v>
      </c>
      <c r="D1393" s="24" t="s">
        <v>24</v>
      </c>
      <c r="E1393" s="24">
        <v>8</v>
      </c>
      <c r="G1393" s="24">
        <f t="shared" si="15"/>
        <v>0.16666666666666666</v>
      </c>
      <c r="H1393" s="25">
        <v>0.8</v>
      </c>
      <c r="I1393" s="24">
        <v>1</v>
      </c>
    </row>
    <row r="1394" spans="1:9" ht="15" customHeight="1" x14ac:dyDescent="0.2">
      <c r="A1394" s="24">
        <v>1402</v>
      </c>
      <c r="B1394" s="24">
        <v>1366</v>
      </c>
      <c r="C1394" s="24">
        <v>166</v>
      </c>
      <c r="D1394" s="24" t="s">
        <v>24</v>
      </c>
      <c r="E1394" s="24">
        <v>9</v>
      </c>
      <c r="G1394" s="24">
        <f t="shared" si="15"/>
        <v>0.16666666666666666</v>
      </c>
      <c r="H1394" s="25">
        <v>0.8</v>
      </c>
      <c r="I1394" s="24">
        <v>1</v>
      </c>
    </row>
    <row r="1395" spans="1:9" ht="15" customHeight="1" x14ac:dyDescent="0.2">
      <c r="A1395" s="24">
        <v>1403</v>
      </c>
      <c r="B1395" s="24">
        <v>1367</v>
      </c>
      <c r="C1395" s="24">
        <v>166</v>
      </c>
      <c r="D1395" s="24" t="s">
        <v>24</v>
      </c>
      <c r="E1395" s="24">
        <v>10</v>
      </c>
      <c r="G1395" s="24">
        <f t="shared" si="15"/>
        <v>0.16666666666666666</v>
      </c>
      <c r="H1395" s="25">
        <v>0.8</v>
      </c>
      <c r="I1395" s="24">
        <v>1</v>
      </c>
    </row>
    <row r="1396" spans="1:9" ht="15" customHeight="1" x14ac:dyDescent="0.2">
      <c r="A1396" s="24">
        <v>1404</v>
      </c>
      <c r="B1396" s="24">
        <v>1368</v>
      </c>
      <c r="C1396" s="24">
        <v>166</v>
      </c>
      <c r="D1396" s="24" t="s">
        <v>24</v>
      </c>
      <c r="E1396" s="24">
        <v>11</v>
      </c>
      <c r="G1396" s="24">
        <f t="shared" si="15"/>
        <v>0.16666666666666666</v>
      </c>
      <c r="H1396" s="25">
        <v>0.8</v>
      </c>
      <c r="I1396" s="24">
        <v>1</v>
      </c>
    </row>
    <row r="1397" spans="1:9" ht="15" customHeight="1" x14ac:dyDescent="0.2">
      <c r="A1397" s="24">
        <v>1405</v>
      </c>
      <c r="B1397" s="24">
        <v>1369</v>
      </c>
      <c r="C1397" s="24">
        <v>166</v>
      </c>
      <c r="D1397" s="24" t="s">
        <v>24</v>
      </c>
      <c r="E1397" s="24">
        <v>12</v>
      </c>
      <c r="G1397" s="24">
        <f t="shared" si="15"/>
        <v>0.16666666666666666</v>
      </c>
      <c r="H1397" s="25">
        <v>0.8</v>
      </c>
      <c r="I1397" s="24">
        <v>1</v>
      </c>
    </row>
  </sheetData>
  <autoFilter ref="A1:J1397" xr:uid="{00000000-0001-0000-1000-000000000000}"/>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0D51-89F9-4906-A957-383551B2824F}">
  <dimension ref="A1:F23"/>
  <sheetViews>
    <sheetView zoomScale="183" workbookViewId="0">
      <pane xSplit="2" ySplit="1" topLeftCell="C2" activePane="bottomRight" state="frozen"/>
      <selection pane="topRight" activeCell="C1" sqref="C1"/>
      <selection pane="bottomLeft" activeCell="A2" sqref="A2"/>
      <selection pane="bottomRight" activeCell="F17" sqref="F17"/>
    </sheetView>
  </sheetViews>
  <sheetFormatPr baseColWidth="10" defaultColWidth="8.83203125" defaultRowHeight="15" x14ac:dyDescent="0.2"/>
  <cols>
    <col min="1" max="1" width="3.1640625" bestFit="1" customWidth="1"/>
    <col min="2" max="2" width="16" bestFit="1" customWidth="1"/>
    <col min="3" max="3" width="12.5" bestFit="1" customWidth="1"/>
    <col min="4" max="4" width="37.33203125" bestFit="1" customWidth="1"/>
    <col min="5" max="5" width="9.1640625" bestFit="1" customWidth="1"/>
    <col min="6" max="6" width="22" bestFit="1" customWidth="1"/>
  </cols>
  <sheetData>
    <row r="1" spans="1:6" x14ac:dyDescent="0.2">
      <c r="A1" s="156" t="s">
        <v>372</v>
      </c>
      <c r="B1" s="156" t="s">
        <v>1698</v>
      </c>
      <c r="C1" s="156" t="s">
        <v>1699</v>
      </c>
      <c r="D1" s="156" t="s">
        <v>1700</v>
      </c>
      <c r="E1" s="156" t="s">
        <v>1701</v>
      </c>
      <c r="F1" s="156" t="s">
        <v>1601</v>
      </c>
    </row>
    <row r="2" spans="1:6" x14ac:dyDescent="0.2">
      <c r="A2" s="157">
        <v>1</v>
      </c>
      <c r="B2" s="157" t="s">
        <v>1702</v>
      </c>
      <c r="D2" s="157" t="s">
        <v>1703</v>
      </c>
      <c r="E2" s="157" t="s">
        <v>1703</v>
      </c>
      <c r="F2" t="str">
        <f>E2 &amp; IF(ISBLANK(C2), " ", " " &amp; C2 &amp; " ") &amp; B2</f>
        <v>Deborah Adeleke</v>
      </c>
    </row>
    <row r="3" spans="1:6" x14ac:dyDescent="0.2">
      <c r="A3" s="157">
        <v>2</v>
      </c>
      <c r="B3" s="157" t="s">
        <v>1702</v>
      </c>
      <c r="D3" s="157" t="s">
        <v>1704</v>
      </c>
      <c r="E3" s="157" t="s">
        <v>1705</v>
      </c>
      <c r="F3" t="str">
        <f t="shared" ref="F3:F23" si="0">E3 &amp; IF(ISBLANK(C3), " ", " " &amp; C3 &amp; " ") &amp; B3</f>
        <v>Oluwatobi Adeleke</v>
      </c>
    </row>
    <row r="4" spans="1:6" x14ac:dyDescent="0.2">
      <c r="A4" s="157">
        <v>3</v>
      </c>
      <c r="B4" s="157" t="s">
        <v>1702</v>
      </c>
      <c r="D4" s="157" t="s">
        <v>1706</v>
      </c>
      <c r="E4" s="157" t="s">
        <v>1707</v>
      </c>
      <c r="F4" t="str">
        <f t="shared" si="0"/>
        <v>Dorcas Adeleke</v>
      </c>
    </row>
    <row r="5" spans="1:6" x14ac:dyDescent="0.2">
      <c r="A5" s="157">
        <v>5</v>
      </c>
      <c r="B5" s="157" t="s">
        <v>1708</v>
      </c>
      <c r="D5" s="157" t="s">
        <v>1709</v>
      </c>
      <c r="E5" s="157" t="s">
        <v>1709</v>
      </c>
      <c r="F5" t="str">
        <f t="shared" si="0"/>
        <v>Zakariya Boulahdaraj</v>
      </c>
    </row>
    <row r="6" spans="1:6" x14ac:dyDescent="0.2">
      <c r="A6" s="157">
        <v>6</v>
      </c>
      <c r="B6" s="157" t="s">
        <v>1710</v>
      </c>
      <c r="C6" s="157" t="s">
        <v>1711</v>
      </c>
      <c r="D6" s="157" t="s">
        <v>1712</v>
      </c>
      <c r="E6" s="157" t="s">
        <v>1712</v>
      </c>
      <c r="F6" t="str">
        <f t="shared" si="0"/>
        <v>Ezra van den Brand</v>
      </c>
    </row>
    <row r="7" spans="1:6" x14ac:dyDescent="0.2">
      <c r="A7" s="157">
        <v>7</v>
      </c>
      <c r="B7" s="157" t="s">
        <v>1710</v>
      </c>
      <c r="C7" s="157" t="s">
        <v>1711</v>
      </c>
      <c r="D7" s="157" t="s">
        <v>1713</v>
      </c>
      <c r="E7" s="157" t="s">
        <v>1713</v>
      </c>
      <c r="F7" t="str">
        <f t="shared" si="0"/>
        <v>Lois-Daan van den Brand</v>
      </c>
    </row>
    <row r="8" spans="1:6" x14ac:dyDescent="0.2">
      <c r="A8" s="157">
        <v>8</v>
      </c>
      <c r="B8" s="157" t="s">
        <v>1714</v>
      </c>
      <c r="C8" s="157" t="s">
        <v>1715</v>
      </c>
      <c r="D8" s="157" t="s">
        <v>1716</v>
      </c>
      <c r="E8" s="157" t="s">
        <v>1716</v>
      </c>
      <c r="F8" t="str">
        <f t="shared" si="0"/>
        <v>Matthias de Bruijne</v>
      </c>
    </row>
    <row r="9" spans="1:6" x14ac:dyDescent="0.2">
      <c r="A9" s="157">
        <v>10</v>
      </c>
      <c r="B9" s="157" t="s">
        <v>1717</v>
      </c>
      <c r="D9" s="157" t="s">
        <v>1718</v>
      </c>
      <c r="E9" s="157" t="s">
        <v>1719</v>
      </c>
      <c r="F9" t="str">
        <f t="shared" si="0"/>
        <v>Eleazar Gonzalez Rodriguez</v>
      </c>
    </row>
    <row r="10" spans="1:6" x14ac:dyDescent="0.2">
      <c r="A10" s="157">
        <v>12</v>
      </c>
      <c r="B10" s="157" t="s">
        <v>1720</v>
      </c>
      <c r="D10" s="157" t="s">
        <v>1721</v>
      </c>
      <c r="E10" s="157" t="s">
        <v>1722</v>
      </c>
      <c r="F10" t="str">
        <f t="shared" si="0"/>
        <v>Stijn Harkes</v>
      </c>
    </row>
    <row r="11" spans="1:6" x14ac:dyDescent="0.2">
      <c r="A11" s="157">
        <v>13</v>
      </c>
      <c r="B11" s="157" t="s">
        <v>1720</v>
      </c>
      <c r="D11" s="157" t="s">
        <v>1723</v>
      </c>
      <c r="E11" s="157" t="s">
        <v>1724</v>
      </c>
      <c r="F11" t="str">
        <f t="shared" si="0"/>
        <v>Jona Harkes</v>
      </c>
    </row>
    <row r="12" spans="1:6" x14ac:dyDescent="0.2">
      <c r="A12" s="157">
        <v>19</v>
      </c>
      <c r="B12" s="157" t="s">
        <v>1725</v>
      </c>
      <c r="D12" s="157" t="s">
        <v>1726</v>
      </c>
      <c r="E12" s="157" t="s">
        <v>1727</v>
      </c>
      <c r="F12" t="str">
        <f t="shared" si="0"/>
        <v xml:space="preserve">Kevin Lee </v>
      </c>
    </row>
    <row r="13" spans="1:6" x14ac:dyDescent="0.2">
      <c r="A13" s="157">
        <v>20</v>
      </c>
      <c r="B13" s="157" t="s">
        <v>1725</v>
      </c>
      <c r="D13" s="157" t="s">
        <v>1728</v>
      </c>
      <c r="E13" s="157" t="s">
        <v>1729</v>
      </c>
      <c r="F13" t="str">
        <f t="shared" si="0"/>
        <v xml:space="preserve">Matthew Lee </v>
      </c>
    </row>
    <row r="14" spans="1:6" x14ac:dyDescent="0.2">
      <c r="A14" s="157">
        <v>21</v>
      </c>
      <c r="B14" s="157" t="s">
        <v>1730</v>
      </c>
      <c r="D14" s="157" t="s">
        <v>1731</v>
      </c>
      <c r="E14" s="157" t="s">
        <v>1732</v>
      </c>
      <c r="F14" t="str">
        <f t="shared" si="0"/>
        <v>Lina Littel</v>
      </c>
    </row>
    <row r="15" spans="1:6" x14ac:dyDescent="0.2">
      <c r="A15" s="157">
        <v>22</v>
      </c>
      <c r="B15" s="157" t="s">
        <v>1730</v>
      </c>
      <c r="D15" s="157" t="s">
        <v>1733</v>
      </c>
      <c r="E15" s="157" t="s">
        <v>1734</v>
      </c>
      <c r="F15" t="str">
        <f t="shared" si="0"/>
        <v>Sam Littel</v>
      </c>
    </row>
    <row r="16" spans="1:6" x14ac:dyDescent="0.2">
      <c r="A16" s="157">
        <v>23</v>
      </c>
      <c r="B16" s="157" t="s">
        <v>1730</v>
      </c>
      <c r="D16" s="157" t="s">
        <v>1735</v>
      </c>
      <c r="E16" s="157" t="s">
        <v>1736</v>
      </c>
      <c r="F16" t="str">
        <f t="shared" si="0"/>
        <v>Noa Littel</v>
      </c>
    </row>
    <row r="17" spans="1:6" x14ac:dyDescent="0.2">
      <c r="A17" s="157">
        <v>24</v>
      </c>
      <c r="B17" s="157" t="s">
        <v>1737</v>
      </c>
      <c r="D17" s="157" t="s">
        <v>1738</v>
      </c>
      <c r="E17" s="157" t="s">
        <v>1739</v>
      </c>
      <c r="F17" t="str">
        <f t="shared" si="0"/>
        <v>Dani Trimp</v>
      </c>
    </row>
    <row r="18" spans="1:6" x14ac:dyDescent="0.2">
      <c r="A18" s="157">
        <v>25</v>
      </c>
      <c r="B18" s="157" t="s">
        <v>1737</v>
      </c>
      <c r="D18" s="157" t="s">
        <v>1740</v>
      </c>
      <c r="E18" s="157" t="s">
        <v>1741</v>
      </c>
      <c r="F18" t="str">
        <f t="shared" si="0"/>
        <v>Aron Trimp</v>
      </c>
    </row>
    <row r="19" spans="1:6" x14ac:dyDescent="0.2">
      <c r="A19" s="157">
        <v>29</v>
      </c>
      <c r="B19" s="157" t="s">
        <v>1602</v>
      </c>
      <c r="D19" s="157" t="s">
        <v>1742</v>
      </c>
      <c r="E19" s="157" t="s">
        <v>1603</v>
      </c>
      <c r="F19" t="str">
        <f t="shared" si="0"/>
        <v>Nathan Yong</v>
      </c>
    </row>
    <row r="20" spans="1:6" x14ac:dyDescent="0.2">
      <c r="A20" s="157">
        <v>53</v>
      </c>
      <c r="B20" s="157" t="s">
        <v>1743</v>
      </c>
      <c r="D20" s="157" t="s">
        <v>1744</v>
      </c>
      <c r="E20" s="157" t="s">
        <v>1744</v>
      </c>
      <c r="F20" t="str">
        <f t="shared" si="0"/>
        <v>Boaz Hoogendoorn</v>
      </c>
    </row>
    <row r="21" spans="1:6" x14ac:dyDescent="0.2">
      <c r="A21" s="157">
        <v>54</v>
      </c>
      <c r="B21" s="157" t="s">
        <v>1745</v>
      </c>
      <c r="E21" s="157" t="s">
        <v>1746</v>
      </c>
      <c r="F21" t="str">
        <f t="shared" si="0"/>
        <v>Refaja Steenbeek</v>
      </c>
    </row>
    <row r="22" spans="1:6" x14ac:dyDescent="0.2">
      <c r="A22" s="157">
        <v>55</v>
      </c>
      <c r="B22" s="157" t="s">
        <v>1745</v>
      </c>
      <c r="D22" s="157" t="s">
        <v>1747</v>
      </c>
      <c r="E22" s="157" t="s">
        <v>1747</v>
      </c>
      <c r="F22" t="str">
        <f t="shared" si="0"/>
        <v>Gabriël Steenbeek</v>
      </c>
    </row>
    <row r="23" spans="1:6" x14ac:dyDescent="0.2">
      <c r="A23" s="157">
        <v>56</v>
      </c>
      <c r="B23" s="157" t="s">
        <v>1748</v>
      </c>
      <c r="E23" s="157" t="s">
        <v>1749</v>
      </c>
      <c r="F23" t="str">
        <f t="shared" si="0"/>
        <v>Sofia Chen</v>
      </c>
    </row>
  </sheetData>
  <autoFilter ref="A1:F23" xr:uid="{F7C70D51-89F9-4906-A957-383551B2824F}"/>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43E2-E922-9E42-A194-9D0360C356FF}">
  <dimension ref="A1:M1623"/>
  <sheetViews>
    <sheetView zoomScale="150" workbookViewId="0">
      <pane xSplit="2" ySplit="1" topLeftCell="C1580" activePane="bottomRight" state="frozen"/>
      <selection pane="topRight" activeCell="C1" sqref="C1"/>
      <selection pane="bottomLeft" activeCell="A2" sqref="A2"/>
      <selection pane="bottomRight" activeCell="B1584" sqref="B1584:I1584"/>
    </sheetView>
  </sheetViews>
  <sheetFormatPr baseColWidth="10" defaultColWidth="14.5" defaultRowHeight="15" customHeight="1" x14ac:dyDescent="0.2"/>
  <cols>
    <col min="1" max="6" width="11.5" customWidth="1"/>
    <col min="7" max="7" width="14.6640625" customWidth="1"/>
    <col min="8" max="26" width="11.5" customWidth="1"/>
  </cols>
  <sheetData>
    <row r="1" spans="1:11" x14ac:dyDescent="0.2">
      <c r="A1" s="156" t="s">
        <v>372</v>
      </c>
      <c r="B1" s="156" t="s">
        <v>1578</v>
      </c>
      <c r="C1" s="156" t="s">
        <v>1766</v>
      </c>
      <c r="D1" s="156" t="s">
        <v>1767</v>
      </c>
      <c r="E1" s="156" t="s">
        <v>1768</v>
      </c>
      <c r="F1" s="156" t="s">
        <v>1769</v>
      </c>
      <c r="G1" s="156" t="s">
        <v>1540</v>
      </c>
      <c r="H1" s="156" t="s">
        <v>1691</v>
      </c>
      <c r="I1" s="156" t="s">
        <v>1770</v>
      </c>
      <c r="J1" s="156" t="s">
        <v>1771</v>
      </c>
      <c r="K1" s="156" t="s">
        <v>1779</v>
      </c>
    </row>
    <row r="2" spans="1:11" x14ac:dyDescent="0.2">
      <c r="A2" s="157">
        <v>1</v>
      </c>
      <c r="B2" s="163">
        <v>44792</v>
      </c>
      <c r="C2" s="157">
        <f t="shared" ref="C2:C256" si="0">IF(OR(WEEKDAY(B2) = 7, WEEKDAY(B2) = 1), 1, 0)</f>
        <v>0</v>
      </c>
      <c r="D2" s="157">
        <v>1</v>
      </c>
      <c r="E2" s="157">
        <f t="shared" ref="E2:E256" si="1">IF((C2+D2)&gt;0, 1, 0)</f>
        <v>1</v>
      </c>
      <c r="F2" s="157" t="str">
        <f t="shared" ref="F2:F256" si="2">TEXT(B2, "dddd")</f>
        <v>Friday</v>
      </c>
      <c r="G2" s="157" t="s">
        <v>1772</v>
      </c>
      <c r="H2" s="157">
        <v>5</v>
      </c>
      <c r="I2" s="157">
        <v>5</v>
      </c>
      <c r="J2" s="157">
        <f>_xlfn.ISOWEEKNUM(B2)</f>
        <v>33</v>
      </c>
    </row>
    <row r="3" spans="1:11" x14ac:dyDescent="0.2">
      <c r="A3" s="157">
        <v>2</v>
      </c>
      <c r="B3" s="163">
        <v>44793</v>
      </c>
      <c r="C3" s="157">
        <f t="shared" si="0"/>
        <v>1</v>
      </c>
      <c r="D3" s="157">
        <v>1</v>
      </c>
      <c r="E3" s="157">
        <f t="shared" si="1"/>
        <v>1</v>
      </c>
      <c r="F3" s="157" t="str">
        <f t="shared" si="2"/>
        <v>Saturday</v>
      </c>
      <c r="G3" s="157" t="s">
        <v>1772</v>
      </c>
      <c r="H3" s="157">
        <v>5</v>
      </c>
      <c r="I3" s="157">
        <v>5</v>
      </c>
      <c r="J3" s="157">
        <f t="shared" ref="J3:J66" si="3">_xlfn.ISOWEEKNUM(B3)</f>
        <v>33</v>
      </c>
    </row>
    <row r="4" spans="1:11" x14ac:dyDescent="0.2">
      <c r="A4" s="157">
        <v>3</v>
      </c>
      <c r="B4" s="163">
        <v>44794</v>
      </c>
      <c r="C4" s="157">
        <f t="shared" si="0"/>
        <v>1</v>
      </c>
      <c r="D4" s="157">
        <v>1</v>
      </c>
      <c r="E4" s="157">
        <f t="shared" si="1"/>
        <v>1</v>
      </c>
      <c r="F4" s="157" t="str">
        <f t="shared" si="2"/>
        <v>Sunday</v>
      </c>
      <c r="G4" s="157" t="s">
        <v>1772</v>
      </c>
      <c r="H4" s="157">
        <v>5</v>
      </c>
      <c r="I4" s="157">
        <v>5</v>
      </c>
      <c r="J4" s="157">
        <f t="shared" si="3"/>
        <v>33</v>
      </c>
    </row>
    <row r="5" spans="1:11" x14ac:dyDescent="0.2">
      <c r="A5" s="157">
        <v>4</v>
      </c>
      <c r="B5" s="163">
        <v>44795</v>
      </c>
      <c r="C5" s="157">
        <f t="shared" si="0"/>
        <v>0</v>
      </c>
      <c r="D5" s="157">
        <v>0</v>
      </c>
      <c r="E5" s="157">
        <f t="shared" si="1"/>
        <v>0</v>
      </c>
      <c r="F5" s="157" t="str">
        <f t="shared" si="2"/>
        <v>Monday</v>
      </c>
      <c r="G5" s="156"/>
      <c r="H5" s="157">
        <v>1</v>
      </c>
      <c r="I5" s="157">
        <f t="shared" ref="I5:I68" si="4">IF(J5&gt;J4, IF(H5&lt;&gt;H4,1, I4+1),I4)</f>
        <v>1</v>
      </c>
      <c r="J5" s="157">
        <f t="shared" si="3"/>
        <v>34</v>
      </c>
    </row>
    <row r="6" spans="1:11" x14ac:dyDescent="0.2">
      <c r="A6" s="157">
        <v>5</v>
      </c>
      <c r="B6" s="163">
        <v>44796</v>
      </c>
      <c r="C6" s="157">
        <f t="shared" si="0"/>
        <v>0</v>
      </c>
      <c r="D6" s="157">
        <v>0</v>
      </c>
      <c r="E6" s="157">
        <f t="shared" si="1"/>
        <v>0</v>
      </c>
      <c r="F6" s="157" t="str">
        <f t="shared" si="2"/>
        <v>Tuesday</v>
      </c>
      <c r="G6" s="156"/>
      <c r="H6" s="157">
        <v>1</v>
      </c>
      <c r="I6" s="157">
        <f t="shared" si="4"/>
        <v>1</v>
      </c>
      <c r="J6" s="157">
        <f t="shared" si="3"/>
        <v>34</v>
      </c>
    </row>
    <row r="7" spans="1:11" x14ac:dyDescent="0.2">
      <c r="A7" s="157">
        <v>6</v>
      </c>
      <c r="B7" s="163">
        <v>44797</v>
      </c>
      <c r="C7" s="157">
        <f t="shared" si="0"/>
        <v>0</v>
      </c>
      <c r="D7" s="157">
        <v>0</v>
      </c>
      <c r="E7" s="157">
        <f t="shared" si="1"/>
        <v>0</v>
      </c>
      <c r="F7" s="157" t="str">
        <f t="shared" si="2"/>
        <v>Wednesday</v>
      </c>
      <c r="G7" s="156"/>
      <c r="H7" s="157">
        <v>1</v>
      </c>
      <c r="I7" s="157">
        <f t="shared" si="4"/>
        <v>1</v>
      </c>
      <c r="J7" s="157">
        <f t="shared" si="3"/>
        <v>34</v>
      </c>
    </row>
    <row r="8" spans="1:11" x14ac:dyDescent="0.2">
      <c r="A8" s="157">
        <v>7</v>
      </c>
      <c r="B8" s="163">
        <v>44798</v>
      </c>
      <c r="C8" s="157">
        <f t="shared" si="0"/>
        <v>0</v>
      </c>
      <c r="D8" s="157">
        <v>0</v>
      </c>
      <c r="E8" s="157">
        <f t="shared" si="1"/>
        <v>0</v>
      </c>
      <c r="F8" s="157" t="str">
        <f t="shared" si="2"/>
        <v>Thursday</v>
      </c>
      <c r="G8" s="156"/>
      <c r="H8" s="157">
        <v>1</v>
      </c>
      <c r="I8" s="157">
        <f t="shared" si="4"/>
        <v>1</v>
      </c>
      <c r="J8" s="157">
        <f t="shared" si="3"/>
        <v>34</v>
      </c>
    </row>
    <row r="9" spans="1:11" x14ac:dyDescent="0.2">
      <c r="A9" s="157">
        <v>8</v>
      </c>
      <c r="B9" s="163">
        <v>44799</v>
      </c>
      <c r="C9" s="157">
        <f t="shared" si="0"/>
        <v>0</v>
      </c>
      <c r="D9" s="157">
        <v>0</v>
      </c>
      <c r="E9" s="157">
        <f t="shared" si="1"/>
        <v>0</v>
      </c>
      <c r="F9" s="157" t="str">
        <f t="shared" si="2"/>
        <v>Friday</v>
      </c>
      <c r="G9" s="156"/>
      <c r="H9" s="157">
        <v>1</v>
      </c>
      <c r="I9" s="157">
        <f t="shared" si="4"/>
        <v>1</v>
      </c>
      <c r="J9" s="157">
        <f t="shared" si="3"/>
        <v>34</v>
      </c>
    </row>
    <row r="10" spans="1:11" x14ac:dyDescent="0.2">
      <c r="A10" s="157">
        <v>9</v>
      </c>
      <c r="B10" s="163">
        <v>44800</v>
      </c>
      <c r="C10" s="157">
        <f t="shared" si="0"/>
        <v>1</v>
      </c>
      <c r="D10" s="157">
        <v>0</v>
      </c>
      <c r="E10" s="157">
        <f t="shared" si="1"/>
        <v>1</v>
      </c>
      <c r="F10" s="157" t="str">
        <f t="shared" si="2"/>
        <v>Saturday</v>
      </c>
      <c r="G10" s="156"/>
      <c r="H10" s="157">
        <v>1</v>
      </c>
      <c r="I10" s="157">
        <f t="shared" si="4"/>
        <v>1</v>
      </c>
      <c r="J10" s="157">
        <f t="shared" si="3"/>
        <v>34</v>
      </c>
    </row>
    <row r="11" spans="1:11" x14ac:dyDescent="0.2">
      <c r="A11" s="157">
        <v>10</v>
      </c>
      <c r="B11" s="163">
        <v>44801</v>
      </c>
      <c r="C11" s="157">
        <f t="shared" si="0"/>
        <v>1</v>
      </c>
      <c r="D11" s="157">
        <v>0</v>
      </c>
      <c r="E11" s="157">
        <f t="shared" si="1"/>
        <v>1</v>
      </c>
      <c r="F11" s="157" t="str">
        <f t="shared" si="2"/>
        <v>Sunday</v>
      </c>
      <c r="G11" s="156"/>
      <c r="H11" s="157">
        <v>1</v>
      </c>
      <c r="I11" s="157">
        <f t="shared" si="4"/>
        <v>1</v>
      </c>
      <c r="J11" s="157">
        <f t="shared" si="3"/>
        <v>34</v>
      </c>
    </row>
    <row r="12" spans="1:11" x14ac:dyDescent="0.2">
      <c r="A12" s="157">
        <v>11</v>
      </c>
      <c r="B12" s="163">
        <v>44802</v>
      </c>
      <c r="C12" s="157">
        <f t="shared" si="0"/>
        <v>0</v>
      </c>
      <c r="D12" s="157">
        <v>0</v>
      </c>
      <c r="E12" s="157">
        <f t="shared" si="1"/>
        <v>0</v>
      </c>
      <c r="F12" s="157" t="str">
        <f t="shared" si="2"/>
        <v>Monday</v>
      </c>
      <c r="H12" s="157">
        <v>1</v>
      </c>
      <c r="I12" s="157">
        <f t="shared" si="4"/>
        <v>2</v>
      </c>
      <c r="J12" s="157">
        <f t="shared" si="3"/>
        <v>35</v>
      </c>
    </row>
    <row r="13" spans="1:11" x14ac:dyDescent="0.2">
      <c r="A13" s="157">
        <v>12</v>
      </c>
      <c r="B13" s="163">
        <v>44803</v>
      </c>
      <c r="C13" s="157">
        <f t="shared" si="0"/>
        <v>0</v>
      </c>
      <c r="D13" s="157">
        <v>0</v>
      </c>
      <c r="E13" s="157">
        <f t="shared" si="1"/>
        <v>0</v>
      </c>
      <c r="F13" s="157" t="str">
        <f t="shared" si="2"/>
        <v>Tuesday</v>
      </c>
      <c r="H13" s="157">
        <v>1</v>
      </c>
      <c r="I13" s="157">
        <f t="shared" si="4"/>
        <v>2</v>
      </c>
      <c r="J13" s="157">
        <f t="shared" si="3"/>
        <v>35</v>
      </c>
    </row>
    <row r="14" spans="1:11" x14ac:dyDescent="0.2">
      <c r="A14" s="157">
        <v>13</v>
      </c>
      <c r="B14" s="163">
        <v>44804</v>
      </c>
      <c r="C14" s="157">
        <f t="shared" si="0"/>
        <v>0</v>
      </c>
      <c r="D14" s="157">
        <v>0</v>
      </c>
      <c r="E14" s="157">
        <f t="shared" si="1"/>
        <v>0</v>
      </c>
      <c r="F14" s="157" t="str">
        <f t="shared" si="2"/>
        <v>Wednesday</v>
      </c>
      <c r="H14" s="157">
        <v>1</v>
      </c>
      <c r="I14" s="157">
        <f t="shared" si="4"/>
        <v>2</v>
      </c>
      <c r="J14" s="157">
        <f t="shared" si="3"/>
        <v>35</v>
      </c>
    </row>
    <row r="15" spans="1:11" x14ac:dyDescent="0.2">
      <c r="A15" s="157">
        <v>14</v>
      </c>
      <c r="B15" s="163">
        <v>44805</v>
      </c>
      <c r="C15" s="157">
        <f t="shared" si="0"/>
        <v>0</v>
      </c>
      <c r="D15" s="157">
        <v>0</v>
      </c>
      <c r="E15" s="157">
        <f t="shared" si="1"/>
        <v>0</v>
      </c>
      <c r="F15" s="157" t="str">
        <f t="shared" si="2"/>
        <v>Thursday</v>
      </c>
      <c r="H15" s="157">
        <v>1</v>
      </c>
      <c r="I15" s="157">
        <f t="shared" si="4"/>
        <v>2</v>
      </c>
      <c r="J15" s="157">
        <f t="shared" si="3"/>
        <v>35</v>
      </c>
    </row>
    <row r="16" spans="1:11" x14ac:dyDescent="0.2">
      <c r="A16" s="157">
        <v>15</v>
      </c>
      <c r="B16" s="163">
        <v>44806</v>
      </c>
      <c r="C16" s="157">
        <f t="shared" si="0"/>
        <v>0</v>
      </c>
      <c r="D16" s="157">
        <v>0</v>
      </c>
      <c r="E16" s="157">
        <f t="shared" si="1"/>
        <v>0</v>
      </c>
      <c r="F16" s="157" t="str">
        <f t="shared" si="2"/>
        <v>Friday</v>
      </c>
      <c r="H16" s="157">
        <v>1</v>
      </c>
      <c r="I16" s="157">
        <f t="shared" si="4"/>
        <v>2</v>
      </c>
      <c r="J16" s="157">
        <f t="shared" si="3"/>
        <v>35</v>
      </c>
    </row>
    <row r="17" spans="1:10" x14ac:dyDescent="0.2">
      <c r="A17" s="157">
        <v>16</v>
      </c>
      <c r="B17" s="163">
        <v>44807</v>
      </c>
      <c r="C17" s="157">
        <f t="shared" si="0"/>
        <v>1</v>
      </c>
      <c r="D17" s="157">
        <v>0</v>
      </c>
      <c r="E17" s="157">
        <f t="shared" si="1"/>
        <v>1</v>
      </c>
      <c r="F17" s="157" t="str">
        <f t="shared" si="2"/>
        <v>Saturday</v>
      </c>
      <c r="H17" s="157">
        <v>1</v>
      </c>
      <c r="I17" s="157">
        <f t="shared" si="4"/>
        <v>2</v>
      </c>
      <c r="J17" s="157">
        <f t="shared" si="3"/>
        <v>35</v>
      </c>
    </row>
    <row r="18" spans="1:10" x14ac:dyDescent="0.2">
      <c r="A18" s="157">
        <v>17</v>
      </c>
      <c r="B18" s="163">
        <v>44808</v>
      </c>
      <c r="C18" s="157">
        <f t="shared" si="0"/>
        <v>1</v>
      </c>
      <c r="D18" s="157">
        <v>0</v>
      </c>
      <c r="E18" s="157">
        <f t="shared" si="1"/>
        <v>1</v>
      </c>
      <c r="F18" s="157" t="str">
        <f t="shared" si="2"/>
        <v>Sunday</v>
      </c>
      <c r="H18" s="157">
        <v>1</v>
      </c>
      <c r="I18" s="157">
        <f t="shared" si="4"/>
        <v>2</v>
      </c>
      <c r="J18" s="157">
        <f t="shared" si="3"/>
        <v>35</v>
      </c>
    </row>
    <row r="19" spans="1:10" x14ac:dyDescent="0.2">
      <c r="A19" s="157">
        <v>18</v>
      </c>
      <c r="B19" s="163">
        <v>44809</v>
      </c>
      <c r="C19" s="157">
        <f t="shared" si="0"/>
        <v>0</v>
      </c>
      <c r="D19" s="157">
        <v>0</v>
      </c>
      <c r="E19" s="157">
        <f t="shared" si="1"/>
        <v>0</v>
      </c>
      <c r="F19" s="157" t="str">
        <f t="shared" si="2"/>
        <v>Monday</v>
      </c>
      <c r="H19" s="157">
        <v>1</v>
      </c>
      <c r="I19" s="157">
        <f t="shared" si="4"/>
        <v>3</v>
      </c>
      <c r="J19" s="157">
        <f t="shared" si="3"/>
        <v>36</v>
      </c>
    </row>
    <row r="20" spans="1:10" x14ac:dyDescent="0.2">
      <c r="A20" s="157">
        <v>19</v>
      </c>
      <c r="B20" s="163">
        <v>44810</v>
      </c>
      <c r="C20" s="157">
        <f t="shared" si="0"/>
        <v>0</v>
      </c>
      <c r="D20" s="157">
        <v>0</v>
      </c>
      <c r="E20" s="157">
        <f t="shared" si="1"/>
        <v>0</v>
      </c>
      <c r="F20" s="157" t="str">
        <f t="shared" si="2"/>
        <v>Tuesday</v>
      </c>
      <c r="H20" s="157">
        <v>1</v>
      </c>
      <c r="I20" s="157">
        <f t="shared" si="4"/>
        <v>3</v>
      </c>
      <c r="J20" s="157">
        <f t="shared" si="3"/>
        <v>36</v>
      </c>
    </row>
    <row r="21" spans="1:10" ht="15.75" customHeight="1" x14ac:dyDescent="0.2">
      <c r="A21" s="157">
        <v>20</v>
      </c>
      <c r="B21" s="163">
        <v>44811</v>
      </c>
      <c r="C21" s="157">
        <f t="shared" si="0"/>
        <v>0</v>
      </c>
      <c r="D21" s="157">
        <v>0</v>
      </c>
      <c r="E21" s="157">
        <f t="shared" si="1"/>
        <v>0</v>
      </c>
      <c r="F21" s="157" t="str">
        <f t="shared" si="2"/>
        <v>Wednesday</v>
      </c>
      <c r="H21" s="157">
        <v>1</v>
      </c>
      <c r="I21" s="157">
        <f t="shared" si="4"/>
        <v>3</v>
      </c>
      <c r="J21" s="157">
        <f t="shared" si="3"/>
        <v>36</v>
      </c>
    </row>
    <row r="22" spans="1:10" ht="15.75" customHeight="1" x14ac:dyDescent="0.2">
      <c r="A22" s="157">
        <v>21</v>
      </c>
      <c r="B22" s="163">
        <v>44812</v>
      </c>
      <c r="C22" s="157">
        <f t="shared" si="0"/>
        <v>0</v>
      </c>
      <c r="D22" s="157">
        <v>0</v>
      </c>
      <c r="E22" s="157">
        <f t="shared" si="1"/>
        <v>0</v>
      </c>
      <c r="F22" s="157" t="str">
        <f t="shared" si="2"/>
        <v>Thursday</v>
      </c>
      <c r="H22" s="157">
        <v>1</v>
      </c>
      <c r="I22" s="157">
        <f t="shared" si="4"/>
        <v>3</v>
      </c>
      <c r="J22" s="157">
        <f t="shared" si="3"/>
        <v>36</v>
      </c>
    </row>
    <row r="23" spans="1:10" ht="15.75" customHeight="1" x14ac:dyDescent="0.2">
      <c r="A23" s="157">
        <v>22</v>
      </c>
      <c r="B23" s="163">
        <v>44813</v>
      </c>
      <c r="C23" s="157">
        <f t="shared" si="0"/>
        <v>0</v>
      </c>
      <c r="D23" s="157">
        <v>0</v>
      </c>
      <c r="E23" s="157">
        <f t="shared" si="1"/>
        <v>0</v>
      </c>
      <c r="F23" s="157" t="str">
        <f t="shared" si="2"/>
        <v>Friday</v>
      </c>
      <c r="H23" s="157">
        <v>1</v>
      </c>
      <c r="I23" s="157">
        <f t="shared" si="4"/>
        <v>3</v>
      </c>
      <c r="J23" s="157">
        <f t="shared" si="3"/>
        <v>36</v>
      </c>
    </row>
    <row r="24" spans="1:10" ht="15.75" customHeight="1" x14ac:dyDescent="0.2">
      <c r="A24" s="157">
        <v>23</v>
      </c>
      <c r="B24" s="163">
        <v>44814</v>
      </c>
      <c r="C24" s="157">
        <f t="shared" si="0"/>
        <v>1</v>
      </c>
      <c r="D24" s="157">
        <v>0</v>
      </c>
      <c r="E24" s="157">
        <f t="shared" si="1"/>
        <v>1</v>
      </c>
      <c r="F24" s="157" t="str">
        <f t="shared" si="2"/>
        <v>Saturday</v>
      </c>
      <c r="H24" s="157">
        <v>1</v>
      </c>
      <c r="I24" s="157">
        <f t="shared" si="4"/>
        <v>3</v>
      </c>
      <c r="J24" s="157">
        <f t="shared" si="3"/>
        <v>36</v>
      </c>
    </row>
    <row r="25" spans="1:10" ht="15.75" customHeight="1" x14ac:dyDescent="0.2">
      <c r="A25" s="157">
        <v>24</v>
      </c>
      <c r="B25" s="163">
        <v>44815</v>
      </c>
      <c r="C25" s="157">
        <f t="shared" si="0"/>
        <v>1</v>
      </c>
      <c r="D25" s="157">
        <v>0</v>
      </c>
      <c r="E25" s="157">
        <f t="shared" si="1"/>
        <v>1</v>
      </c>
      <c r="F25" s="157" t="str">
        <f t="shared" si="2"/>
        <v>Sunday</v>
      </c>
      <c r="H25" s="157">
        <v>1</v>
      </c>
      <c r="I25" s="157">
        <f t="shared" si="4"/>
        <v>3</v>
      </c>
      <c r="J25" s="157">
        <f t="shared" si="3"/>
        <v>36</v>
      </c>
    </row>
    <row r="26" spans="1:10" ht="15.75" customHeight="1" x14ac:dyDescent="0.2">
      <c r="A26" s="157">
        <v>25</v>
      </c>
      <c r="B26" s="163">
        <v>44816</v>
      </c>
      <c r="C26" s="157">
        <f t="shared" si="0"/>
        <v>0</v>
      </c>
      <c r="D26" s="157">
        <v>0</v>
      </c>
      <c r="E26" s="157">
        <f t="shared" si="1"/>
        <v>0</v>
      </c>
      <c r="F26" s="157" t="str">
        <f t="shared" si="2"/>
        <v>Monday</v>
      </c>
      <c r="H26" s="157">
        <v>1</v>
      </c>
      <c r="I26" s="157">
        <f t="shared" si="4"/>
        <v>4</v>
      </c>
      <c r="J26" s="157">
        <f t="shared" si="3"/>
        <v>37</v>
      </c>
    </row>
    <row r="27" spans="1:10" ht="15.75" customHeight="1" x14ac:dyDescent="0.2">
      <c r="A27" s="157">
        <v>26</v>
      </c>
      <c r="B27" s="163">
        <v>44817</v>
      </c>
      <c r="C27" s="157">
        <f t="shared" si="0"/>
        <v>0</v>
      </c>
      <c r="D27" s="157">
        <v>0</v>
      </c>
      <c r="E27" s="157">
        <f t="shared" si="1"/>
        <v>0</v>
      </c>
      <c r="F27" s="157" t="str">
        <f t="shared" si="2"/>
        <v>Tuesday</v>
      </c>
      <c r="H27" s="157">
        <v>1</v>
      </c>
      <c r="I27" s="157">
        <f t="shared" si="4"/>
        <v>4</v>
      </c>
      <c r="J27" s="157">
        <f t="shared" si="3"/>
        <v>37</v>
      </c>
    </row>
    <row r="28" spans="1:10" ht="15.75" customHeight="1" x14ac:dyDescent="0.2">
      <c r="A28" s="157">
        <v>27</v>
      </c>
      <c r="B28" s="163">
        <v>44818</v>
      </c>
      <c r="C28" s="157">
        <f t="shared" si="0"/>
        <v>0</v>
      </c>
      <c r="D28" s="157">
        <v>0</v>
      </c>
      <c r="E28" s="157">
        <f t="shared" si="1"/>
        <v>0</v>
      </c>
      <c r="F28" s="157" t="str">
        <f t="shared" si="2"/>
        <v>Wednesday</v>
      </c>
      <c r="H28" s="157">
        <v>1</v>
      </c>
      <c r="I28" s="157">
        <f t="shared" si="4"/>
        <v>4</v>
      </c>
      <c r="J28" s="157">
        <f t="shared" si="3"/>
        <v>37</v>
      </c>
    </row>
    <row r="29" spans="1:10" ht="15.75" customHeight="1" x14ac:dyDescent="0.2">
      <c r="A29" s="157">
        <v>28</v>
      </c>
      <c r="B29" s="163">
        <v>44819</v>
      </c>
      <c r="C29" s="157">
        <f t="shared" si="0"/>
        <v>0</v>
      </c>
      <c r="D29" s="157">
        <v>0</v>
      </c>
      <c r="E29" s="157">
        <f t="shared" si="1"/>
        <v>0</v>
      </c>
      <c r="F29" s="157" t="str">
        <f t="shared" si="2"/>
        <v>Thursday</v>
      </c>
      <c r="H29" s="157">
        <v>1</v>
      </c>
      <c r="I29" s="157">
        <f t="shared" si="4"/>
        <v>4</v>
      </c>
      <c r="J29" s="157">
        <f t="shared" si="3"/>
        <v>37</v>
      </c>
    </row>
    <row r="30" spans="1:10" ht="15.75" customHeight="1" x14ac:dyDescent="0.2">
      <c r="A30" s="157">
        <v>29</v>
      </c>
      <c r="B30" s="163">
        <v>44820</v>
      </c>
      <c r="C30" s="157">
        <f t="shared" si="0"/>
        <v>0</v>
      </c>
      <c r="D30" s="157">
        <v>0</v>
      </c>
      <c r="E30" s="157">
        <f t="shared" si="1"/>
        <v>0</v>
      </c>
      <c r="F30" s="157" t="str">
        <f t="shared" si="2"/>
        <v>Friday</v>
      </c>
      <c r="H30" s="157">
        <v>1</v>
      </c>
      <c r="I30" s="157">
        <f t="shared" si="4"/>
        <v>4</v>
      </c>
      <c r="J30" s="157">
        <f t="shared" si="3"/>
        <v>37</v>
      </c>
    </row>
    <row r="31" spans="1:10" ht="15.75" customHeight="1" x14ac:dyDescent="0.2">
      <c r="A31" s="157">
        <v>30</v>
      </c>
      <c r="B31" s="163">
        <v>44821</v>
      </c>
      <c r="C31" s="157">
        <f t="shared" si="0"/>
        <v>1</v>
      </c>
      <c r="D31" s="157">
        <v>0</v>
      </c>
      <c r="E31" s="157">
        <f t="shared" si="1"/>
        <v>1</v>
      </c>
      <c r="F31" s="157" t="str">
        <f t="shared" si="2"/>
        <v>Saturday</v>
      </c>
      <c r="H31" s="157">
        <v>1</v>
      </c>
      <c r="I31" s="157">
        <f t="shared" si="4"/>
        <v>4</v>
      </c>
      <c r="J31" s="157">
        <f t="shared" si="3"/>
        <v>37</v>
      </c>
    </row>
    <row r="32" spans="1:10" ht="15.75" customHeight="1" x14ac:dyDescent="0.2">
      <c r="A32" s="157">
        <v>31</v>
      </c>
      <c r="B32" s="163">
        <v>44822</v>
      </c>
      <c r="C32" s="157">
        <f t="shared" si="0"/>
        <v>1</v>
      </c>
      <c r="D32" s="157">
        <v>0</v>
      </c>
      <c r="E32" s="157">
        <f t="shared" si="1"/>
        <v>1</v>
      </c>
      <c r="F32" s="157" t="str">
        <f t="shared" si="2"/>
        <v>Sunday</v>
      </c>
      <c r="H32" s="157">
        <v>1</v>
      </c>
      <c r="I32" s="157">
        <f t="shared" si="4"/>
        <v>4</v>
      </c>
      <c r="J32" s="157">
        <f t="shared" si="3"/>
        <v>37</v>
      </c>
    </row>
    <row r="33" spans="1:10" ht="15.75" customHeight="1" x14ac:dyDescent="0.2">
      <c r="A33" s="157">
        <v>32</v>
      </c>
      <c r="B33" s="163">
        <v>44823</v>
      </c>
      <c r="C33" s="157">
        <f t="shared" si="0"/>
        <v>0</v>
      </c>
      <c r="D33" s="157">
        <v>0</v>
      </c>
      <c r="E33" s="157">
        <f t="shared" si="1"/>
        <v>0</v>
      </c>
      <c r="F33" s="157" t="str">
        <f t="shared" si="2"/>
        <v>Monday</v>
      </c>
      <c r="H33" s="157">
        <v>1</v>
      </c>
      <c r="I33" s="157">
        <f t="shared" si="4"/>
        <v>5</v>
      </c>
      <c r="J33" s="157">
        <f t="shared" si="3"/>
        <v>38</v>
      </c>
    </row>
    <row r="34" spans="1:10" ht="15.75" customHeight="1" x14ac:dyDescent="0.2">
      <c r="A34" s="157">
        <v>33</v>
      </c>
      <c r="B34" s="163">
        <v>44824</v>
      </c>
      <c r="C34" s="157">
        <f t="shared" si="0"/>
        <v>0</v>
      </c>
      <c r="D34" s="157">
        <v>0</v>
      </c>
      <c r="E34" s="157">
        <f t="shared" si="1"/>
        <v>0</v>
      </c>
      <c r="F34" s="157" t="str">
        <f t="shared" si="2"/>
        <v>Tuesday</v>
      </c>
      <c r="H34" s="157">
        <v>1</v>
      </c>
      <c r="I34" s="157">
        <f t="shared" si="4"/>
        <v>5</v>
      </c>
      <c r="J34" s="157">
        <f t="shared" si="3"/>
        <v>38</v>
      </c>
    </row>
    <row r="35" spans="1:10" ht="15.75" customHeight="1" x14ac:dyDescent="0.2">
      <c r="A35" s="157">
        <v>34</v>
      </c>
      <c r="B35" s="163">
        <v>44825</v>
      </c>
      <c r="C35" s="157">
        <f t="shared" si="0"/>
        <v>0</v>
      </c>
      <c r="D35" s="157">
        <v>0</v>
      </c>
      <c r="E35" s="157">
        <f t="shared" si="1"/>
        <v>0</v>
      </c>
      <c r="F35" s="157" t="str">
        <f t="shared" si="2"/>
        <v>Wednesday</v>
      </c>
      <c r="H35" s="157">
        <v>1</v>
      </c>
      <c r="I35" s="157">
        <f t="shared" si="4"/>
        <v>5</v>
      </c>
      <c r="J35" s="157">
        <f t="shared" si="3"/>
        <v>38</v>
      </c>
    </row>
    <row r="36" spans="1:10" ht="15.75" customHeight="1" x14ac:dyDescent="0.2">
      <c r="A36" s="157">
        <v>35</v>
      </c>
      <c r="B36" s="163">
        <v>44826</v>
      </c>
      <c r="C36" s="157">
        <f t="shared" si="0"/>
        <v>0</v>
      </c>
      <c r="D36" s="157">
        <v>0</v>
      </c>
      <c r="E36" s="157">
        <f t="shared" si="1"/>
        <v>0</v>
      </c>
      <c r="F36" s="157" t="str">
        <f t="shared" si="2"/>
        <v>Thursday</v>
      </c>
      <c r="H36" s="157">
        <v>1</v>
      </c>
      <c r="I36" s="157">
        <f t="shared" si="4"/>
        <v>5</v>
      </c>
      <c r="J36" s="157">
        <f t="shared" si="3"/>
        <v>38</v>
      </c>
    </row>
    <row r="37" spans="1:10" ht="15.75" customHeight="1" x14ac:dyDescent="0.2">
      <c r="A37" s="157">
        <v>36</v>
      </c>
      <c r="B37" s="163">
        <v>44827</v>
      </c>
      <c r="C37" s="157">
        <f t="shared" si="0"/>
        <v>0</v>
      </c>
      <c r="D37" s="157">
        <v>0</v>
      </c>
      <c r="E37" s="157">
        <f t="shared" si="1"/>
        <v>0</v>
      </c>
      <c r="F37" s="157" t="str">
        <f t="shared" si="2"/>
        <v>Friday</v>
      </c>
      <c r="H37" s="157">
        <v>1</v>
      </c>
      <c r="I37" s="157">
        <f t="shared" si="4"/>
        <v>5</v>
      </c>
      <c r="J37" s="157">
        <f t="shared" si="3"/>
        <v>38</v>
      </c>
    </row>
    <row r="38" spans="1:10" ht="15.75" customHeight="1" x14ac:dyDescent="0.2">
      <c r="A38" s="157">
        <v>37</v>
      </c>
      <c r="B38" s="163">
        <v>44828</v>
      </c>
      <c r="C38" s="157">
        <f t="shared" si="0"/>
        <v>1</v>
      </c>
      <c r="D38" s="157">
        <v>0</v>
      </c>
      <c r="E38" s="157">
        <f t="shared" si="1"/>
        <v>1</v>
      </c>
      <c r="F38" s="157" t="str">
        <f t="shared" si="2"/>
        <v>Saturday</v>
      </c>
      <c r="H38" s="157">
        <v>1</v>
      </c>
      <c r="I38" s="157">
        <f t="shared" si="4"/>
        <v>5</v>
      </c>
      <c r="J38" s="157">
        <f t="shared" si="3"/>
        <v>38</v>
      </c>
    </row>
    <row r="39" spans="1:10" ht="15.75" customHeight="1" x14ac:dyDescent="0.2">
      <c r="A39" s="157">
        <v>38</v>
      </c>
      <c r="B39" s="163">
        <v>44829</v>
      </c>
      <c r="C39" s="157">
        <f t="shared" si="0"/>
        <v>1</v>
      </c>
      <c r="D39" s="157">
        <v>0</v>
      </c>
      <c r="E39" s="157">
        <f t="shared" si="1"/>
        <v>1</v>
      </c>
      <c r="F39" s="157" t="str">
        <f t="shared" si="2"/>
        <v>Sunday</v>
      </c>
      <c r="H39" s="157">
        <v>1</v>
      </c>
      <c r="I39" s="157">
        <f t="shared" si="4"/>
        <v>5</v>
      </c>
      <c r="J39" s="157">
        <f t="shared" si="3"/>
        <v>38</v>
      </c>
    </row>
    <row r="40" spans="1:10" ht="15.75" customHeight="1" x14ac:dyDescent="0.2">
      <c r="A40" s="157">
        <v>39</v>
      </c>
      <c r="B40" s="163">
        <v>44830</v>
      </c>
      <c r="C40" s="157">
        <f t="shared" si="0"/>
        <v>0</v>
      </c>
      <c r="D40" s="157">
        <v>0</v>
      </c>
      <c r="E40" s="157">
        <f t="shared" si="1"/>
        <v>0</v>
      </c>
      <c r="F40" s="157" t="str">
        <f t="shared" si="2"/>
        <v>Monday</v>
      </c>
      <c r="H40" s="157">
        <v>1</v>
      </c>
      <c r="I40" s="157">
        <f t="shared" si="4"/>
        <v>6</v>
      </c>
      <c r="J40" s="157">
        <f t="shared" si="3"/>
        <v>39</v>
      </c>
    </row>
    <row r="41" spans="1:10" ht="15.75" customHeight="1" x14ac:dyDescent="0.2">
      <c r="A41" s="157">
        <v>40</v>
      </c>
      <c r="B41" s="163">
        <v>44831</v>
      </c>
      <c r="C41" s="157">
        <f t="shared" si="0"/>
        <v>0</v>
      </c>
      <c r="D41" s="157">
        <v>0</v>
      </c>
      <c r="E41" s="157">
        <f t="shared" si="1"/>
        <v>0</v>
      </c>
      <c r="F41" s="157" t="str">
        <f t="shared" si="2"/>
        <v>Tuesday</v>
      </c>
      <c r="H41" s="157">
        <v>1</v>
      </c>
      <c r="I41" s="157">
        <f t="shared" si="4"/>
        <v>6</v>
      </c>
      <c r="J41" s="157">
        <f t="shared" si="3"/>
        <v>39</v>
      </c>
    </row>
    <row r="42" spans="1:10" ht="15.75" customHeight="1" x14ac:dyDescent="0.2">
      <c r="A42" s="157">
        <v>41</v>
      </c>
      <c r="B42" s="163">
        <v>44832</v>
      </c>
      <c r="C42" s="157">
        <f t="shared" si="0"/>
        <v>0</v>
      </c>
      <c r="D42" s="157">
        <v>0</v>
      </c>
      <c r="E42" s="157">
        <f t="shared" si="1"/>
        <v>0</v>
      </c>
      <c r="F42" s="157" t="str">
        <f t="shared" si="2"/>
        <v>Wednesday</v>
      </c>
      <c r="H42" s="157">
        <v>1</v>
      </c>
      <c r="I42" s="157">
        <f t="shared" si="4"/>
        <v>6</v>
      </c>
      <c r="J42" s="157">
        <f t="shared" si="3"/>
        <v>39</v>
      </c>
    </row>
    <row r="43" spans="1:10" ht="15.75" customHeight="1" x14ac:dyDescent="0.2">
      <c r="A43" s="157">
        <v>42</v>
      </c>
      <c r="B43" s="163">
        <v>44833</v>
      </c>
      <c r="C43" s="157">
        <f t="shared" si="0"/>
        <v>0</v>
      </c>
      <c r="D43" s="157">
        <v>0</v>
      </c>
      <c r="E43" s="157">
        <f t="shared" si="1"/>
        <v>0</v>
      </c>
      <c r="F43" s="157" t="str">
        <f t="shared" si="2"/>
        <v>Thursday</v>
      </c>
      <c r="H43" s="157">
        <v>1</v>
      </c>
      <c r="I43" s="157">
        <f t="shared" si="4"/>
        <v>6</v>
      </c>
      <c r="J43" s="157">
        <f t="shared" si="3"/>
        <v>39</v>
      </c>
    </row>
    <row r="44" spans="1:10" ht="15.75" customHeight="1" x14ac:dyDescent="0.2">
      <c r="A44" s="157">
        <v>43</v>
      </c>
      <c r="B44" s="163">
        <v>44834</v>
      </c>
      <c r="C44" s="157">
        <f t="shared" si="0"/>
        <v>0</v>
      </c>
      <c r="D44" s="157">
        <v>0</v>
      </c>
      <c r="E44" s="157">
        <f t="shared" si="1"/>
        <v>0</v>
      </c>
      <c r="F44" s="157" t="str">
        <f t="shared" si="2"/>
        <v>Friday</v>
      </c>
      <c r="H44" s="157">
        <v>1</v>
      </c>
      <c r="I44" s="157">
        <f t="shared" si="4"/>
        <v>6</v>
      </c>
      <c r="J44" s="157">
        <f t="shared" si="3"/>
        <v>39</v>
      </c>
    </row>
    <row r="45" spans="1:10" ht="15.75" customHeight="1" x14ac:dyDescent="0.2">
      <c r="A45" s="157">
        <v>44</v>
      </c>
      <c r="B45" s="163">
        <v>44835</v>
      </c>
      <c r="C45" s="157">
        <f t="shared" si="0"/>
        <v>1</v>
      </c>
      <c r="D45" s="157">
        <v>0</v>
      </c>
      <c r="E45" s="157">
        <f t="shared" si="1"/>
        <v>1</v>
      </c>
      <c r="F45" s="157" t="str">
        <f t="shared" si="2"/>
        <v>Saturday</v>
      </c>
      <c r="H45" s="157">
        <v>1</v>
      </c>
      <c r="I45" s="157">
        <f t="shared" si="4"/>
        <v>6</v>
      </c>
      <c r="J45" s="157">
        <f t="shared" si="3"/>
        <v>39</v>
      </c>
    </row>
    <row r="46" spans="1:10" ht="15.75" customHeight="1" x14ac:dyDescent="0.2">
      <c r="A46" s="157">
        <v>45</v>
      </c>
      <c r="B46" s="163">
        <v>44836</v>
      </c>
      <c r="C46" s="157">
        <f t="shared" si="0"/>
        <v>1</v>
      </c>
      <c r="D46" s="157">
        <v>0</v>
      </c>
      <c r="E46" s="157">
        <f t="shared" si="1"/>
        <v>1</v>
      </c>
      <c r="F46" s="157" t="str">
        <f t="shared" si="2"/>
        <v>Sunday</v>
      </c>
      <c r="H46" s="157">
        <v>1</v>
      </c>
      <c r="I46" s="157">
        <f t="shared" si="4"/>
        <v>6</v>
      </c>
      <c r="J46" s="157">
        <f t="shared" si="3"/>
        <v>39</v>
      </c>
    </row>
    <row r="47" spans="1:10" ht="15.75" customHeight="1" x14ac:dyDescent="0.2">
      <c r="A47" s="157">
        <v>46</v>
      </c>
      <c r="B47" s="163">
        <v>44837</v>
      </c>
      <c r="C47" s="157">
        <f t="shared" si="0"/>
        <v>0</v>
      </c>
      <c r="D47" s="157">
        <v>0</v>
      </c>
      <c r="E47" s="157">
        <f t="shared" si="1"/>
        <v>0</v>
      </c>
      <c r="F47" s="157" t="str">
        <f t="shared" si="2"/>
        <v>Monday</v>
      </c>
      <c r="H47" s="157">
        <v>1</v>
      </c>
      <c r="I47" s="157">
        <f t="shared" si="4"/>
        <v>7</v>
      </c>
      <c r="J47" s="157">
        <f t="shared" si="3"/>
        <v>40</v>
      </c>
    </row>
    <row r="48" spans="1:10" ht="15.75" customHeight="1" x14ac:dyDescent="0.2">
      <c r="A48" s="157">
        <v>47</v>
      </c>
      <c r="B48" s="163">
        <v>44838</v>
      </c>
      <c r="C48" s="157">
        <f t="shared" si="0"/>
        <v>0</v>
      </c>
      <c r="D48" s="157">
        <v>0</v>
      </c>
      <c r="E48" s="157">
        <f t="shared" si="1"/>
        <v>0</v>
      </c>
      <c r="F48" s="157" t="str">
        <f t="shared" si="2"/>
        <v>Tuesday</v>
      </c>
      <c r="H48" s="157">
        <v>1</v>
      </c>
      <c r="I48" s="157">
        <f t="shared" si="4"/>
        <v>7</v>
      </c>
      <c r="J48" s="157">
        <f t="shared" si="3"/>
        <v>40</v>
      </c>
    </row>
    <row r="49" spans="1:10" ht="15.75" customHeight="1" x14ac:dyDescent="0.2">
      <c r="A49" s="157">
        <v>48</v>
      </c>
      <c r="B49" s="163">
        <v>44839</v>
      </c>
      <c r="C49" s="157">
        <f t="shared" si="0"/>
        <v>0</v>
      </c>
      <c r="D49" s="157">
        <v>0</v>
      </c>
      <c r="E49" s="157">
        <f t="shared" si="1"/>
        <v>0</v>
      </c>
      <c r="F49" s="157" t="str">
        <f t="shared" si="2"/>
        <v>Wednesday</v>
      </c>
      <c r="H49" s="157">
        <v>1</v>
      </c>
      <c r="I49" s="157">
        <f t="shared" si="4"/>
        <v>7</v>
      </c>
      <c r="J49" s="157">
        <f t="shared" si="3"/>
        <v>40</v>
      </c>
    </row>
    <row r="50" spans="1:10" ht="15.75" customHeight="1" x14ac:dyDescent="0.2">
      <c r="A50" s="157">
        <v>49</v>
      </c>
      <c r="B50" s="163">
        <v>44840</v>
      </c>
      <c r="C50" s="157">
        <f t="shared" si="0"/>
        <v>0</v>
      </c>
      <c r="D50" s="157">
        <v>0</v>
      </c>
      <c r="E50" s="157">
        <f t="shared" si="1"/>
        <v>0</v>
      </c>
      <c r="F50" s="157" t="str">
        <f t="shared" si="2"/>
        <v>Thursday</v>
      </c>
      <c r="H50" s="157">
        <v>1</v>
      </c>
      <c r="I50" s="157">
        <f t="shared" si="4"/>
        <v>7</v>
      </c>
      <c r="J50" s="157">
        <f t="shared" si="3"/>
        <v>40</v>
      </c>
    </row>
    <row r="51" spans="1:10" ht="15.75" customHeight="1" x14ac:dyDescent="0.2">
      <c r="A51" s="157">
        <v>50</v>
      </c>
      <c r="B51" s="163">
        <v>44841</v>
      </c>
      <c r="C51" s="157">
        <f t="shared" si="0"/>
        <v>0</v>
      </c>
      <c r="D51" s="157">
        <v>0</v>
      </c>
      <c r="E51" s="157">
        <f t="shared" si="1"/>
        <v>0</v>
      </c>
      <c r="F51" s="157" t="str">
        <f t="shared" si="2"/>
        <v>Friday</v>
      </c>
      <c r="H51" s="157">
        <v>1</v>
      </c>
      <c r="I51" s="157">
        <f t="shared" si="4"/>
        <v>7</v>
      </c>
      <c r="J51" s="157">
        <f t="shared" si="3"/>
        <v>40</v>
      </c>
    </row>
    <row r="52" spans="1:10" ht="15.75" customHeight="1" x14ac:dyDescent="0.2">
      <c r="A52" s="157">
        <v>51</v>
      </c>
      <c r="B52" s="163">
        <v>44842</v>
      </c>
      <c r="C52" s="157">
        <f t="shared" si="0"/>
        <v>1</v>
      </c>
      <c r="D52" s="157">
        <v>0</v>
      </c>
      <c r="E52" s="157">
        <f t="shared" si="1"/>
        <v>1</v>
      </c>
      <c r="F52" s="157" t="str">
        <f t="shared" si="2"/>
        <v>Saturday</v>
      </c>
      <c r="H52" s="157">
        <v>1</v>
      </c>
      <c r="I52" s="157">
        <f t="shared" si="4"/>
        <v>7</v>
      </c>
      <c r="J52" s="157">
        <f t="shared" si="3"/>
        <v>40</v>
      </c>
    </row>
    <row r="53" spans="1:10" ht="15.75" customHeight="1" x14ac:dyDescent="0.2">
      <c r="A53" s="157">
        <v>52</v>
      </c>
      <c r="B53" s="163">
        <v>44843</v>
      </c>
      <c r="C53" s="157">
        <f t="shared" si="0"/>
        <v>1</v>
      </c>
      <c r="D53" s="157">
        <v>0</v>
      </c>
      <c r="E53" s="157">
        <f t="shared" si="1"/>
        <v>1</v>
      </c>
      <c r="F53" s="157" t="str">
        <f t="shared" si="2"/>
        <v>Sunday</v>
      </c>
      <c r="H53" s="157">
        <v>1</v>
      </c>
      <c r="I53" s="157">
        <f t="shared" si="4"/>
        <v>7</v>
      </c>
      <c r="J53" s="157">
        <f t="shared" si="3"/>
        <v>40</v>
      </c>
    </row>
    <row r="54" spans="1:10" ht="15.75" customHeight="1" x14ac:dyDescent="0.2">
      <c r="A54" s="157">
        <v>53</v>
      </c>
      <c r="B54" s="163">
        <v>44844</v>
      </c>
      <c r="C54" s="157">
        <f t="shared" si="0"/>
        <v>0</v>
      </c>
      <c r="D54" s="157">
        <v>0</v>
      </c>
      <c r="E54" s="157">
        <f t="shared" si="1"/>
        <v>0</v>
      </c>
      <c r="F54" s="157" t="str">
        <f t="shared" si="2"/>
        <v>Monday</v>
      </c>
      <c r="H54" s="157">
        <v>1</v>
      </c>
      <c r="I54" s="157">
        <f t="shared" si="4"/>
        <v>8</v>
      </c>
      <c r="J54" s="157">
        <f t="shared" si="3"/>
        <v>41</v>
      </c>
    </row>
    <row r="55" spans="1:10" ht="15.75" customHeight="1" x14ac:dyDescent="0.2">
      <c r="A55" s="157">
        <v>54</v>
      </c>
      <c r="B55" s="163">
        <v>44845</v>
      </c>
      <c r="C55" s="157">
        <f t="shared" si="0"/>
        <v>0</v>
      </c>
      <c r="D55" s="157">
        <v>0</v>
      </c>
      <c r="E55" s="157">
        <f t="shared" si="1"/>
        <v>0</v>
      </c>
      <c r="F55" s="157" t="str">
        <f t="shared" si="2"/>
        <v>Tuesday</v>
      </c>
      <c r="H55" s="157">
        <v>1</v>
      </c>
      <c r="I55" s="157">
        <f t="shared" si="4"/>
        <v>8</v>
      </c>
      <c r="J55" s="157">
        <f t="shared" si="3"/>
        <v>41</v>
      </c>
    </row>
    <row r="56" spans="1:10" ht="15.75" customHeight="1" x14ac:dyDescent="0.2">
      <c r="A56" s="157">
        <v>55</v>
      </c>
      <c r="B56" s="163">
        <v>44846</v>
      </c>
      <c r="C56" s="157">
        <f t="shared" si="0"/>
        <v>0</v>
      </c>
      <c r="D56" s="157">
        <v>0</v>
      </c>
      <c r="E56" s="157">
        <f t="shared" si="1"/>
        <v>0</v>
      </c>
      <c r="F56" s="157" t="str">
        <f t="shared" si="2"/>
        <v>Wednesday</v>
      </c>
      <c r="H56" s="157">
        <v>1</v>
      </c>
      <c r="I56" s="157">
        <f t="shared" si="4"/>
        <v>8</v>
      </c>
      <c r="J56" s="157">
        <f t="shared" si="3"/>
        <v>41</v>
      </c>
    </row>
    <row r="57" spans="1:10" ht="15.75" customHeight="1" x14ac:dyDescent="0.2">
      <c r="A57" s="157">
        <v>56</v>
      </c>
      <c r="B57" s="163">
        <v>44847</v>
      </c>
      <c r="C57" s="157">
        <f t="shared" si="0"/>
        <v>0</v>
      </c>
      <c r="D57" s="157">
        <v>0</v>
      </c>
      <c r="E57" s="157">
        <f t="shared" si="1"/>
        <v>0</v>
      </c>
      <c r="F57" s="157" t="str">
        <f t="shared" si="2"/>
        <v>Thursday</v>
      </c>
      <c r="H57" s="157">
        <v>1</v>
      </c>
      <c r="I57" s="157">
        <f t="shared" si="4"/>
        <v>8</v>
      </c>
      <c r="J57" s="157">
        <f t="shared" si="3"/>
        <v>41</v>
      </c>
    </row>
    <row r="58" spans="1:10" ht="15.75" customHeight="1" x14ac:dyDescent="0.2">
      <c r="A58" s="157">
        <v>57</v>
      </c>
      <c r="B58" s="163">
        <v>44848</v>
      </c>
      <c r="C58" s="157">
        <f t="shared" si="0"/>
        <v>0</v>
      </c>
      <c r="D58" s="157">
        <v>0</v>
      </c>
      <c r="E58" s="157">
        <f t="shared" si="1"/>
        <v>0</v>
      </c>
      <c r="F58" s="157" t="str">
        <f t="shared" si="2"/>
        <v>Friday</v>
      </c>
      <c r="H58" s="157">
        <v>1</v>
      </c>
      <c r="I58" s="157">
        <f t="shared" si="4"/>
        <v>8</v>
      </c>
      <c r="J58" s="157">
        <f t="shared" si="3"/>
        <v>41</v>
      </c>
    </row>
    <row r="59" spans="1:10" ht="15.75" customHeight="1" x14ac:dyDescent="0.2">
      <c r="A59" s="157">
        <v>58</v>
      </c>
      <c r="B59" s="163">
        <v>44849</v>
      </c>
      <c r="C59" s="157">
        <f t="shared" si="0"/>
        <v>1</v>
      </c>
      <c r="D59" s="157">
        <v>0</v>
      </c>
      <c r="E59" s="157">
        <f t="shared" si="1"/>
        <v>1</v>
      </c>
      <c r="F59" s="157" t="str">
        <f t="shared" si="2"/>
        <v>Saturday</v>
      </c>
      <c r="H59" s="157">
        <v>1</v>
      </c>
      <c r="I59" s="157">
        <f t="shared" si="4"/>
        <v>8</v>
      </c>
      <c r="J59" s="157">
        <f t="shared" si="3"/>
        <v>41</v>
      </c>
    </row>
    <row r="60" spans="1:10" ht="15.75" customHeight="1" x14ac:dyDescent="0.2">
      <c r="A60" s="157">
        <v>59</v>
      </c>
      <c r="B60" s="163">
        <v>44850</v>
      </c>
      <c r="C60" s="157">
        <f t="shared" si="0"/>
        <v>1</v>
      </c>
      <c r="D60" s="157">
        <v>0</v>
      </c>
      <c r="E60" s="157">
        <f t="shared" si="1"/>
        <v>1</v>
      </c>
      <c r="F60" s="157" t="str">
        <f t="shared" si="2"/>
        <v>Sunday</v>
      </c>
      <c r="H60" s="157">
        <v>1</v>
      </c>
      <c r="I60" s="157">
        <f t="shared" si="4"/>
        <v>8</v>
      </c>
      <c r="J60" s="157">
        <f t="shared" si="3"/>
        <v>41</v>
      </c>
    </row>
    <row r="61" spans="1:10" ht="15.75" customHeight="1" x14ac:dyDescent="0.2">
      <c r="A61" s="157">
        <v>60</v>
      </c>
      <c r="B61" s="163">
        <v>44851</v>
      </c>
      <c r="C61" s="157">
        <f t="shared" si="0"/>
        <v>0</v>
      </c>
      <c r="D61" s="157">
        <v>0</v>
      </c>
      <c r="E61" s="157">
        <f t="shared" si="1"/>
        <v>0</v>
      </c>
      <c r="F61" s="157" t="str">
        <f t="shared" si="2"/>
        <v>Monday</v>
      </c>
      <c r="H61" s="157">
        <v>1</v>
      </c>
      <c r="I61" s="157">
        <f t="shared" si="4"/>
        <v>9</v>
      </c>
      <c r="J61" s="157">
        <f t="shared" si="3"/>
        <v>42</v>
      </c>
    </row>
    <row r="62" spans="1:10" ht="15.75" customHeight="1" x14ac:dyDescent="0.2">
      <c r="A62" s="157">
        <v>61</v>
      </c>
      <c r="B62" s="163">
        <v>44852</v>
      </c>
      <c r="C62" s="157">
        <f t="shared" si="0"/>
        <v>0</v>
      </c>
      <c r="D62" s="157">
        <v>0</v>
      </c>
      <c r="E62" s="157">
        <f t="shared" si="1"/>
        <v>0</v>
      </c>
      <c r="F62" s="157" t="str">
        <f t="shared" si="2"/>
        <v>Tuesday</v>
      </c>
      <c r="H62" s="157">
        <v>1</v>
      </c>
      <c r="I62" s="157">
        <f t="shared" si="4"/>
        <v>9</v>
      </c>
      <c r="J62" s="157">
        <f t="shared" si="3"/>
        <v>42</v>
      </c>
    </row>
    <row r="63" spans="1:10" ht="15.75" customHeight="1" x14ac:dyDescent="0.2">
      <c r="A63" s="157">
        <v>62</v>
      </c>
      <c r="B63" s="163">
        <v>44853</v>
      </c>
      <c r="C63" s="157">
        <f t="shared" si="0"/>
        <v>0</v>
      </c>
      <c r="D63" s="157">
        <v>0</v>
      </c>
      <c r="E63" s="157">
        <f t="shared" si="1"/>
        <v>0</v>
      </c>
      <c r="F63" s="157" t="str">
        <f t="shared" si="2"/>
        <v>Wednesday</v>
      </c>
      <c r="H63" s="157">
        <v>1</v>
      </c>
      <c r="I63" s="157">
        <f t="shared" si="4"/>
        <v>9</v>
      </c>
      <c r="J63" s="157">
        <f t="shared" si="3"/>
        <v>42</v>
      </c>
    </row>
    <row r="64" spans="1:10" ht="15.75" customHeight="1" x14ac:dyDescent="0.2">
      <c r="A64" s="157">
        <v>63</v>
      </c>
      <c r="B64" s="163">
        <v>44854</v>
      </c>
      <c r="C64" s="157">
        <f t="shared" si="0"/>
        <v>0</v>
      </c>
      <c r="D64" s="157">
        <v>0</v>
      </c>
      <c r="E64" s="157">
        <f t="shared" si="1"/>
        <v>0</v>
      </c>
      <c r="F64" s="157" t="str">
        <f t="shared" si="2"/>
        <v>Thursday</v>
      </c>
      <c r="H64" s="157">
        <v>1</v>
      </c>
      <c r="I64" s="157">
        <f t="shared" si="4"/>
        <v>9</v>
      </c>
      <c r="J64" s="157">
        <f t="shared" si="3"/>
        <v>42</v>
      </c>
    </row>
    <row r="65" spans="1:10" ht="15.75" customHeight="1" x14ac:dyDescent="0.2">
      <c r="A65" s="157">
        <v>64</v>
      </c>
      <c r="B65" s="163">
        <v>44855</v>
      </c>
      <c r="C65" s="157">
        <f t="shared" si="0"/>
        <v>0</v>
      </c>
      <c r="D65" s="157">
        <v>0</v>
      </c>
      <c r="E65" s="157">
        <f t="shared" si="1"/>
        <v>0</v>
      </c>
      <c r="F65" s="157" t="str">
        <f t="shared" si="2"/>
        <v>Friday</v>
      </c>
      <c r="H65" s="157">
        <v>1</v>
      </c>
      <c r="I65" s="157">
        <f t="shared" si="4"/>
        <v>9</v>
      </c>
      <c r="J65" s="157">
        <f t="shared" si="3"/>
        <v>42</v>
      </c>
    </row>
    <row r="66" spans="1:10" ht="15.75" customHeight="1" x14ac:dyDescent="0.2">
      <c r="A66" s="157">
        <v>65</v>
      </c>
      <c r="B66" s="163">
        <v>44856</v>
      </c>
      <c r="C66" s="157">
        <f t="shared" si="0"/>
        <v>1</v>
      </c>
      <c r="D66" s="157">
        <v>0</v>
      </c>
      <c r="E66" s="157">
        <f t="shared" si="1"/>
        <v>1</v>
      </c>
      <c r="F66" s="157" t="str">
        <f t="shared" si="2"/>
        <v>Saturday</v>
      </c>
      <c r="H66" s="157">
        <v>1</v>
      </c>
      <c r="I66" s="157">
        <f t="shared" si="4"/>
        <v>9</v>
      </c>
      <c r="J66" s="157">
        <f t="shared" si="3"/>
        <v>42</v>
      </c>
    </row>
    <row r="67" spans="1:10" ht="15.75" customHeight="1" x14ac:dyDescent="0.2">
      <c r="A67" s="157">
        <v>66</v>
      </c>
      <c r="B67" s="163">
        <v>44857</v>
      </c>
      <c r="C67" s="157">
        <f t="shared" si="0"/>
        <v>1</v>
      </c>
      <c r="D67" s="157">
        <v>0</v>
      </c>
      <c r="E67" s="157">
        <f t="shared" si="1"/>
        <v>1</v>
      </c>
      <c r="F67" s="157" t="str">
        <f t="shared" si="2"/>
        <v>Sunday</v>
      </c>
      <c r="H67" s="157">
        <v>1</v>
      </c>
      <c r="I67" s="157">
        <f t="shared" si="4"/>
        <v>9</v>
      </c>
      <c r="J67" s="157">
        <f t="shared" ref="J67:J130" si="5">_xlfn.ISOWEEKNUM(B67)</f>
        <v>42</v>
      </c>
    </row>
    <row r="68" spans="1:10" ht="15.75" customHeight="1" x14ac:dyDescent="0.2">
      <c r="A68" s="157">
        <v>67</v>
      </c>
      <c r="B68" s="163">
        <v>44858</v>
      </c>
      <c r="C68" s="157">
        <f t="shared" si="0"/>
        <v>0</v>
      </c>
      <c r="D68" s="157">
        <v>1</v>
      </c>
      <c r="E68" s="157">
        <f t="shared" si="1"/>
        <v>1</v>
      </c>
      <c r="F68" s="157" t="str">
        <f t="shared" si="2"/>
        <v>Monday</v>
      </c>
      <c r="G68" s="157" t="s">
        <v>1773</v>
      </c>
      <c r="H68" s="157">
        <v>1</v>
      </c>
      <c r="I68" s="157">
        <f t="shared" si="4"/>
        <v>10</v>
      </c>
      <c r="J68" s="157">
        <f t="shared" si="5"/>
        <v>43</v>
      </c>
    </row>
    <row r="69" spans="1:10" ht="15.75" customHeight="1" x14ac:dyDescent="0.2">
      <c r="A69" s="157">
        <v>68</v>
      </c>
      <c r="B69" s="163">
        <v>44859</v>
      </c>
      <c r="C69" s="157">
        <f t="shared" si="0"/>
        <v>0</v>
      </c>
      <c r="D69" s="157">
        <v>1</v>
      </c>
      <c r="E69" s="157">
        <f t="shared" si="1"/>
        <v>1</v>
      </c>
      <c r="F69" s="157" t="str">
        <f t="shared" si="2"/>
        <v>Tuesday</v>
      </c>
      <c r="G69" s="157" t="s">
        <v>1773</v>
      </c>
      <c r="H69" s="157">
        <v>1</v>
      </c>
      <c r="I69" s="157">
        <f t="shared" ref="I69:I132" si="6">IF(J69&gt;J68, IF(H69&lt;&gt;H68,1, I68+1),I68)</f>
        <v>10</v>
      </c>
      <c r="J69" s="157">
        <f t="shared" si="5"/>
        <v>43</v>
      </c>
    </row>
    <row r="70" spans="1:10" ht="15.75" customHeight="1" x14ac:dyDescent="0.2">
      <c r="A70" s="157">
        <v>69</v>
      </c>
      <c r="B70" s="163">
        <v>44860</v>
      </c>
      <c r="C70" s="157">
        <f t="shared" si="0"/>
        <v>0</v>
      </c>
      <c r="D70" s="157">
        <v>1</v>
      </c>
      <c r="E70" s="157">
        <f t="shared" si="1"/>
        <v>1</v>
      </c>
      <c r="F70" s="157" t="str">
        <f t="shared" si="2"/>
        <v>Wednesday</v>
      </c>
      <c r="G70" s="157" t="s">
        <v>1773</v>
      </c>
      <c r="H70" s="157">
        <v>1</v>
      </c>
      <c r="I70" s="157">
        <f t="shared" si="6"/>
        <v>10</v>
      </c>
      <c r="J70" s="157">
        <f t="shared" si="5"/>
        <v>43</v>
      </c>
    </row>
    <row r="71" spans="1:10" ht="15.75" customHeight="1" x14ac:dyDescent="0.2">
      <c r="A71" s="157">
        <v>70</v>
      </c>
      <c r="B71" s="163">
        <v>44861</v>
      </c>
      <c r="C71" s="157">
        <f t="shared" si="0"/>
        <v>0</v>
      </c>
      <c r="D71" s="157">
        <v>1</v>
      </c>
      <c r="E71" s="157">
        <f t="shared" si="1"/>
        <v>1</v>
      </c>
      <c r="F71" s="157" t="str">
        <f t="shared" si="2"/>
        <v>Thursday</v>
      </c>
      <c r="G71" s="157" t="s">
        <v>1773</v>
      </c>
      <c r="H71" s="157">
        <v>1</v>
      </c>
      <c r="I71" s="157">
        <f t="shared" si="6"/>
        <v>10</v>
      </c>
      <c r="J71" s="157">
        <f t="shared" si="5"/>
        <v>43</v>
      </c>
    </row>
    <row r="72" spans="1:10" ht="15.75" customHeight="1" x14ac:dyDescent="0.2">
      <c r="A72" s="157">
        <v>71</v>
      </c>
      <c r="B72" s="163">
        <v>44862</v>
      </c>
      <c r="C72" s="157">
        <f t="shared" si="0"/>
        <v>0</v>
      </c>
      <c r="D72" s="157">
        <v>1</v>
      </c>
      <c r="E72" s="157">
        <f t="shared" si="1"/>
        <v>1</v>
      </c>
      <c r="F72" s="157" t="str">
        <f t="shared" si="2"/>
        <v>Friday</v>
      </c>
      <c r="G72" s="157" t="s">
        <v>1773</v>
      </c>
      <c r="H72" s="157">
        <v>1</v>
      </c>
      <c r="I72" s="157">
        <f t="shared" si="6"/>
        <v>10</v>
      </c>
      <c r="J72" s="157">
        <f t="shared" si="5"/>
        <v>43</v>
      </c>
    </row>
    <row r="73" spans="1:10" ht="15.75" customHeight="1" x14ac:dyDescent="0.2">
      <c r="A73" s="157">
        <v>72</v>
      </c>
      <c r="B73" s="163">
        <v>44863</v>
      </c>
      <c r="C73" s="157">
        <f t="shared" si="0"/>
        <v>1</v>
      </c>
      <c r="D73" s="157">
        <v>1</v>
      </c>
      <c r="E73" s="157">
        <f t="shared" si="1"/>
        <v>1</v>
      </c>
      <c r="F73" s="157" t="str">
        <f t="shared" si="2"/>
        <v>Saturday</v>
      </c>
      <c r="G73" s="157" t="s">
        <v>1773</v>
      </c>
      <c r="H73" s="157">
        <v>1</v>
      </c>
      <c r="I73" s="157">
        <f t="shared" si="6"/>
        <v>10</v>
      </c>
      <c r="J73" s="157">
        <f t="shared" si="5"/>
        <v>43</v>
      </c>
    </row>
    <row r="74" spans="1:10" ht="15.75" customHeight="1" x14ac:dyDescent="0.2">
      <c r="A74" s="157">
        <v>73</v>
      </c>
      <c r="B74" s="163">
        <v>44864</v>
      </c>
      <c r="C74" s="157">
        <f t="shared" si="0"/>
        <v>1</v>
      </c>
      <c r="D74" s="157">
        <v>1</v>
      </c>
      <c r="E74" s="157">
        <f t="shared" si="1"/>
        <v>1</v>
      </c>
      <c r="F74" s="157" t="str">
        <f t="shared" si="2"/>
        <v>Sunday</v>
      </c>
      <c r="G74" s="157" t="s">
        <v>1773</v>
      </c>
      <c r="H74" s="157">
        <v>1</v>
      </c>
      <c r="I74" s="157">
        <f t="shared" si="6"/>
        <v>10</v>
      </c>
      <c r="J74" s="157">
        <f t="shared" si="5"/>
        <v>43</v>
      </c>
    </row>
    <row r="75" spans="1:10" ht="15.75" customHeight="1" x14ac:dyDescent="0.2">
      <c r="A75" s="157">
        <v>74</v>
      </c>
      <c r="B75" s="163">
        <v>44865</v>
      </c>
      <c r="C75" s="157">
        <f t="shared" si="0"/>
        <v>0</v>
      </c>
      <c r="D75" s="157">
        <v>1</v>
      </c>
      <c r="E75" s="157">
        <f t="shared" si="1"/>
        <v>1</v>
      </c>
      <c r="F75" s="157" t="str">
        <f t="shared" si="2"/>
        <v>Monday</v>
      </c>
      <c r="G75" s="157" t="s">
        <v>1774</v>
      </c>
      <c r="H75" s="157">
        <v>2</v>
      </c>
      <c r="I75" s="157">
        <f t="shared" si="6"/>
        <v>1</v>
      </c>
      <c r="J75" s="157">
        <f t="shared" si="5"/>
        <v>44</v>
      </c>
    </row>
    <row r="76" spans="1:10" ht="15.75" customHeight="1" x14ac:dyDescent="0.2">
      <c r="A76" s="157">
        <v>75</v>
      </c>
      <c r="B76" s="163">
        <v>44866</v>
      </c>
      <c r="C76" s="157">
        <f t="shared" si="0"/>
        <v>0</v>
      </c>
      <c r="D76" s="157">
        <v>0</v>
      </c>
      <c r="E76" s="157">
        <f t="shared" si="1"/>
        <v>0</v>
      </c>
      <c r="F76" s="157" t="str">
        <f t="shared" si="2"/>
        <v>Tuesday</v>
      </c>
      <c r="H76" s="157">
        <v>2</v>
      </c>
      <c r="I76" s="157">
        <f t="shared" si="6"/>
        <v>1</v>
      </c>
      <c r="J76" s="157">
        <f t="shared" si="5"/>
        <v>44</v>
      </c>
    </row>
    <row r="77" spans="1:10" ht="15.75" customHeight="1" x14ac:dyDescent="0.2">
      <c r="A77" s="157">
        <v>76</v>
      </c>
      <c r="B77" s="163">
        <v>44867</v>
      </c>
      <c r="C77" s="157">
        <f t="shared" si="0"/>
        <v>0</v>
      </c>
      <c r="D77" s="157">
        <v>0</v>
      </c>
      <c r="E77" s="157">
        <f t="shared" si="1"/>
        <v>0</v>
      </c>
      <c r="F77" s="157" t="str">
        <f t="shared" si="2"/>
        <v>Wednesday</v>
      </c>
      <c r="H77" s="157">
        <v>2</v>
      </c>
      <c r="I77" s="157">
        <f t="shared" si="6"/>
        <v>1</v>
      </c>
      <c r="J77" s="157">
        <f t="shared" si="5"/>
        <v>44</v>
      </c>
    </row>
    <row r="78" spans="1:10" ht="15.75" customHeight="1" x14ac:dyDescent="0.2">
      <c r="A78" s="157">
        <v>77</v>
      </c>
      <c r="B78" s="163">
        <v>44868</v>
      </c>
      <c r="C78" s="157">
        <f t="shared" si="0"/>
        <v>0</v>
      </c>
      <c r="D78" s="157">
        <v>0</v>
      </c>
      <c r="E78" s="157">
        <f t="shared" si="1"/>
        <v>0</v>
      </c>
      <c r="F78" s="157" t="str">
        <f t="shared" si="2"/>
        <v>Thursday</v>
      </c>
      <c r="H78" s="157">
        <v>2</v>
      </c>
      <c r="I78" s="157">
        <f t="shared" si="6"/>
        <v>1</v>
      </c>
      <c r="J78" s="157">
        <f t="shared" si="5"/>
        <v>44</v>
      </c>
    </row>
    <row r="79" spans="1:10" ht="15.75" customHeight="1" x14ac:dyDescent="0.2">
      <c r="A79" s="157">
        <v>78</v>
      </c>
      <c r="B79" s="163">
        <v>44869</v>
      </c>
      <c r="C79" s="157">
        <f t="shared" si="0"/>
        <v>0</v>
      </c>
      <c r="D79" s="157">
        <v>0</v>
      </c>
      <c r="E79" s="157">
        <f t="shared" si="1"/>
        <v>0</v>
      </c>
      <c r="F79" s="157" t="str">
        <f t="shared" si="2"/>
        <v>Friday</v>
      </c>
      <c r="H79" s="157">
        <v>2</v>
      </c>
      <c r="I79" s="157">
        <f t="shared" si="6"/>
        <v>1</v>
      </c>
      <c r="J79" s="157">
        <f t="shared" si="5"/>
        <v>44</v>
      </c>
    </row>
    <row r="80" spans="1:10" ht="15.75" customHeight="1" x14ac:dyDescent="0.2">
      <c r="A80" s="157">
        <v>79</v>
      </c>
      <c r="B80" s="163">
        <v>44870</v>
      </c>
      <c r="C80" s="157">
        <f t="shared" si="0"/>
        <v>1</v>
      </c>
      <c r="D80" s="157">
        <v>0</v>
      </c>
      <c r="E80" s="157">
        <f t="shared" si="1"/>
        <v>1</v>
      </c>
      <c r="F80" s="157" t="str">
        <f t="shared" si="2"/>
        <v>Saturday</v>
      </c>
      <c r="H80" s="157">
        <v>2</v>
      </c>
      <c r="I80" s="157">
        <f t="shared" si="6"/>
        <v>1</v>
      </c>
      <c r="J80" s="157">
        <f t="shared" si="5"/>
        <v>44</v>
      </c>
    </row>
    <row r="81" spans="1:10" ht="15.75" customHeight="1" x14ac:dyDescent="0.2">
      <c r="A81" s="157">
        <v>80</v>
      </c>
      <c r="B81" s="163">
        <v>44871</v>
      </c>
      <c r="C81" s="157">
        <f t="shared" si="0"/>
        <v>1</v>
      </c>
      <c r="D81" s="157">
        <v>0</v>
      </c>
      <c r="E81" s="157">
        <f t="shared" si="1"/>
        <v>1</v>
      </c>
      <c r="F81" s="157" t="str">
        <f t="shared" si="2"/>
        <v>Sunday</v>
      </c>
      <c r="H81" s="157">
        <v>2</v>
      </c>
      <c r="I81" s="157">
        <f t="shared" si="6"/>
        <v>1</v>
      </c>
      <c r="J81" s="157">
        <f t="shared" si="5"/>
        <v>44</v>
      </c>
    </row>
    <row r="82" spans="1:10" ht="15.75" customHeight="1" x14ac:dyDescent="0.2">
      <c r="A82" s="157">
        <v>81</v>
      </c>
      <c r="B82" s="163">
        <v>44872</v>
      </c>
      <c r="C82" s="157">
        <f t="shared" si="0"/>
        <v>0</v>
      </c>
      <c r="D82" s="157">
        <v>0</v>
      </c>
      <c r="E82" s="157">
        <f t="shared" si="1"/>
        <v>0</v>
      </c>
      <c r="F82" s="157" t="str">
        <f t="shared" si="2"/>
        <v>Monday</v>
      </c>
      <c r="H82" s="157">
        <v>2</v>
      </c>
      <c r="I82" s="157">
        <f t="shared" si="6"/>
        <v>2</v>
      </c>
      <c r="J82" s="157">
        <f t="shared" si="5"/>
        <v>45</v>
      </c>
    </row>
    <row r="83" spans="1:10" ht="15.75" customHeight="1" x14ac:dyDescent="0.2">
      <c r="A83" s="157">
        <v>82</v>
      </c>
      <c r="B83" s="163">
        <v>44873</v>
      </c>
      <c r="C83" s="157">
        <f t="shared" si="0"/>
        <v>0</v>
      </c>
      <c r="D83" s="157">
        <v>0</v>
      </c>
      <c r="E83" s="157">
        <f t="shared" si="1"/>
        <v>0</v>
      </c>
      <c r="F83" s="157" t="str">
        <f t="shared" si="2"/>
        <v>Tuesday</v>
      </c>
      <c r="H83" s="157">
        <v>2</v>
      </c>
      <c r="I83" s="157">
        <f t="shared" si="6"/>
        <v>2</v>
      </c>
      <c r="J83" s="157">
        <f t="shared" si="5"/>
        <v>45</v>
      </c>
    </row>
    <row r="84" spans="1:10" ht="15.75" customHeight="1" x14ac:dyDescent="0.2">
      <c r="A84" s="157">
        <v>83</v>
      </c>
      <c r="B84" s="163">
        <v>44874</v>
      </c>
      <c r="C84" s="157">
        <f t="shared" si="0"/>
        <v>0</v>
      </c>
      <c r="D84" s="157">
        <v>0</v>
      </c>
      <c r="E84" s="157">
        <f t="shared" si="1"/>
        <v>0</v>
      </c>
      <c r="F84" s="157" t="str">
        <f t="shared" si="2"/>
        <v>Wednesday</v>
      </c>
      <c r="H84" s="157">
        <v>2</v>
      </c>
      <c r="I84" s="157">
        <f t="shared" si="6"/>
        <v>2</v>
      </c>
      <c r="J84" s="157">
        <f t="shared" si="5"/>
        <v>45</v>
      </c>
    </row>
    <row r="85" spans="1:10" ht="15.75" customHeight="1" x14ac:dyDescent="0.2">
      <c r="A85" s="157">
        <v>84</v>
      </c>
      <c r="B85" s="163">
        <v>44875</v>
      </c>
      <c r="C85" s="157">
        <f t="shared" si="0"/>
        <v>0</v>
      </c>
      <c r="D85" s="157">
        <v>0</v>
      </c>
      <c r="E85" s="157">
        <f t="shared" si="1"/>
        <v>0</v>
      </c>
      <c r="F85" s="157" t="str">
        <f t="shared" si="2"/>
        <v>Thursday</v>
      </c>
      <c r="H85" s="157">
        <v>2</v>
      </c>
      <c r="I85" s="157">
        <f t="shared" si="6"/>
        <v>2</v>
      </c>
      <c r="J85" s="157">
        <f t="shared" si="5"/>
        <v>45</v>
      </c>
    </row>
    <row r="86" spans="1:10" ht="15.75" customHeight="1" x14ac:dyDescent="0.2">
      <c r="A86" s="157">
        <v>85</v>
      </c>
      <c r="B86" s="163">
        <v>44876</v>
      </c>
      <c r="C86" s="157">
        <f t="shared" si="0"/>
        <v>0</v>
      </c>
      <c r="D86" s="157">
        <v>0</v>
      </c>
      <c r="E86" s="157">
        <f t="shared" si="1"/>
        <v>0</v>
      </c>
      <c r="F86" s="157" t="str">
        <f t="shared" si="2"/>
        <v>Friday</v>
      </c>
      <c r="H86" s="157">
        <v>2</v>
      </c>
      <c r="I86" s="157">
        <f t="shared" si="6"/>
        <v>2</v>
      </c>
      <c r="J86" s="157">
        <f t="shared" si="5"/>
        <v>45</v>
      </c>
    </row>
    <row r="87" spans="1:10" ht="15.75" customHeight="1" x14ac:dyDescent="0.2">
      <c r="A87" s="157">
        <v>86</v>
      </c>
      <c r="B87" s="163">
        <v>44877</v>
      </c>
      <c r="C87" s="157">
        <f t="shared" si="0"/>
        <v>1</v>
      </c>
      <c r="D87" s="157">
        <v>0</v>
      </c>
      <c r="E87" s="157">
        <f t="shared" si="1"/>
        <v>1</v>
      </c>
      <c r="F87" s="157" t="str">
        <f t="shared" si="2"/>
        <v>Saturday</v>
      </c>
      <c r="H87" s="157">
        <v>2</v>
      </c>
      <c r="I87" s="157">
        <f t="shared" si="6"/>
        <v>2</v>
      </c>
      <c r="J87" s="157">
        <f t="shared" si="5"/>
        <v>45</v>
      </c>
    </row>
    <row r="88" spans="1:10" ht="15.75" customHeight="1" x14ac:dyDescent="0.2">
      <c r="A88" s="157">
        <v>87</v>
      </c>
      <c r="B88" s="163">
        <v>44878</v>
      </c>
      <c r="C88" s="157">
        <f t="shared" si="0"/>
        <v>1</v>
      </c>
      <c r="D88" s="157">
        <v>0</v>
      </c>
      <c r="E88" s="157">
        <f t="shared" si="1"/>
        <v>1</v>
      </c>
      <c r="F88" s="157" t="str">
        <f t="shared" si="2"/>
        <v>Sunday</v>
      </c>
      <c r="H88" s="157">
        <v>2</v>
      </c>
      <c r="I88" s="157">
        <f t="shared" si="6"/>
        <v>2</v>
      </c>
      <c r="J88" s="157">
        <f t="shared" si="5"/>
        <v>45</v>
      </c>
    </row>
    <row r="89" spans="1:10" ht="15.75" customHeight="1" x14ac:dyDescent="0.2">
      <c r="A89" s="157">
        <v>88</v>
      </c>
      <c r="B89" s="163">
        <v>44879</v>
      </c>
      <c r="C89" s="157">
        <f t="shared" si="0"/>
        <v>0</v>
      </c>
      <c r="D89" s="157">
        <v>0</v>
      </c>
      <c r="E89" s="157">
        <f t="shared" si="1"/>
        <v>0</v>
      </c>
      <c r="F89" s="157" t="str">
        <f t="shared" si="2"/>
        <v>Monday</v>
      </c>
      <c r="H89" s="157">
        <v>2</v>
      </c>
      <c r="I89" s="157">
        <f t="shared" si="6"/>
        <v>3</v>
      </c>
      <c r="J89" s="157">
        <f t="shared" si="5"/>
        <v>46</v>
      </c>
    </row>
    <row r="90" spans="1:10" ht="15.75" customHeight="1" x14ac:dyDescent="0.2">
      <c r="A90" s="157">
        <v>89</v>
      </c>
      <c r="B90" s="163">
        <v>44880</v>
      </c>
      <c r="C90" s="157">
        <f t="shared" si="0"/>
        <v>0</v>
      </c>
      <c r="D90" s="157">
        <v>0</v>
      </c>
      <c r="E90" s="157">
        <f t="shared" si="1"/>
        <v>0</v>
      </c>
      <c r="F90" s="157" t="str">
        <f t="shared" si="2"/>
        <v>Tuesday</v>
      </c>
      <c r="H90" s="157">
        <v>2</v>
      </c>
      <c r="I90" s="157">
        <f t="shared" si="6"/>
        <v>3</v>
      </c>
      <c r="J90" s="157">
        <f t="shared" si="5"/>
        <v>46</v>
      </c>
    </row>
    <row r="91" spans="1:10" ht="15.75" customHeight="1" x14ac:dyDescent="0.2">
      <c r="A91" s="157">
        <v>90</v>
      </c>
      <c r="B91" s="163">
        <v>44881</v>
      </c>
      <c r="C91" s="157">
        <f t="shared" si="0"/>
        <v>0</v>
      </c>
      <c r="D91" s="157">
        <v>0</v>
      </c>
      <c r="E91" s="157">
        <f t="shared" si="1"/>
        <v>0</v>
      </c>
      <c r="F91" s="157" t="str">
        <f t="shared" si="2"/>
        <v>Wednesday</v>
      </c>
      <c r="H91" s="157">
        <v>2</v>
      </c>
      <c r="I91" s="157">
        <f t="shared" si="6"/>
        <v>3</v>
      </c>
      <c r="J91" s="157">
        <f t="shared" si="5"/>
        <v>46</v>
      </c>
    </row>
    <row r="92" spans="1:10" ht="15.75" customHeight="1" x14ac:dyDescent="0.2">
      <c r="A92" s="157">
        <v>91</v>
      </c>
      <c r="B92" s="163">
        <v>44882</v>
      </c>
      <c r="C92" s="157">
        <f t="shared" si="0"/>
        <v>0</v>
      </c>
      <c r="D92" s="157">
        <v>0</v>
      </c>
      <c r="E92" s="157">
        <f t="shared" si="1"/>
        <v>0</v>
      </c>
      <c r="F92" s="157" t="str">
        <f t="shared" si="2"/>
        <v>Thursday</v>
      </c>
      <c r="H92" s="157">
        <v>2</v>
      </c>
      <c r="I92" s="157">
        <f t="shared" si="6"/>
        <v>3</v>
      </c>
      <c r="J92" s="157">
        <f t="shared" si="5"/>
        <v>46</v>
      </c>
    </row>
    <row r="93" spans="1:10" ht="15.75" customHeight="1" x14ac:dyDescent="0.2">
      <c r="A93" s="157">
        <v>92</v>
      </c>
      <c r="B93" s="163">
        <v>44883</v>
      </c>
      <c r="C93" s="157">
        <f t="shared" si="0"/>
        <v>0</v>
      </c>
      <c r="D93" s="157">
        <v>0</v>
      </c>
      <c r="E93" s="157">
        <f t="shared" si="1"/>
        <v>0</v>
      </c>
      <c r="F93" s="157" t="str">
        <f t="shared" si="2"/>
        <v>Friday</v>
      </c>
      <c r="H93" s="157">
        <v>2</v>
      </c>
      <c r="I93" s="157">
        <f t="shared" si="6"/>
        <v>3</v>
      </c>
      <c r="J93" s="157">
        <f t="shared" si="5"/>
        <v>46</v>
      </c>
    </row>
    <row r="94" spans="1:10" ht="15.75" customHeight="1" x14ac:dyDescent="0.2">
      <c r="A94" s="157">
        <v>93</v>
      </c>
      <c r="B94" s="163">
        <v>44884</v>
      </c>
      <c r="C94" s="157">
        <f t="shared" si="0"/>
        <v>1</v>
      </c>
      <c r="D94" s="157">
        <v>0</v>
      </c>
      <c r="E94" s="157">
        <f t="shared" si="1"/>
        <v>1</v>
      </c>
      <c r="F94" s="157" t="str">
        <f t="shared" si="2"/>
        <v>Saturday</v>
      </c>
      <c r="H94" s="157">
        <v>2</v>
      </c>
      <c r="I94" s="157">
        <f t="shared" si="6"/>
        <v>3</v>
      </c>
      <c r="J94" s="157">
        <f t="shared" si="5"/>
        <v>46</v>
      </c>
    </row>
    <row r="95" spans="1:10" ht="15.75" customHeight="1" x14ac:dyDescent="0.2">
      <c r="A95" s="157">
        <v>94</v>
      </c>
      <c r="B95" s="163">
        <v>44885</v>
      </c>
      <c r="C95" s="157">
        <f t="shared" si="0"/>
        <v>1</v>
      </c>
      <c r="D95" s="157">
        <v>0</v>
      </c>
      <c r="E95" s="157">
        <f t="shared" si="1"/>
        <v>1</v>
      </c>
      <c r="F95" s="157" t="str">
        <f t="shared" si="2"/>
        <v>Sunday</v>
      </c>
      <c r="H95" s="157">
        <v>2</v>
      </c>
      <c r="I95" s="157">
        <f t="shared" si="6"/>
        <v>3</v>
      </c>
      <c r="J95" s="157">
        <f t="shared" si="5"/>
        <v>46</v>
      </c>
    </row>
    <row r="96" spans="1:10" ht="15.75" customHeight="1" x14ac:dyDescent="0.2">
      <c r="A96" s="157">
        <v>95</v>
      </c>
      <c r="B96" s="163">
        <v>44886</v>
      </c>
      <c r="C96" s="157">
        <f t="shared" si="0"/>
        <v>0</v>
      </c>
      <c r="D96" s="157">
        <v>0</v>
      </c>
      <c r="E96" s="157">
        <f t="shared" si="1"/>
        <v>0</v>
      </c>
      <c r="F96" s="157" t="str">
        <f t="shared" si="2"/>
        <v>Monday</v>
      </c>
      <c r="H96" s="157">
        <v>2</v>
      </c>
      <c r="I96" s="157">
        <f t="shared" si="6"/>
        <v>4</v>
      </c>
      <c r="J96" s="157">
        <f t="shared" si="5"/>
        <v>47</v>
      </c>
    </row>
    <row r="97" spans="1:10" ht="15.75" customHeight="1" x14ac:dyDescent="0.2">
      <c r="A97" s="157">
        <v>96</v>
      </c>
      <c r="B97" s="163">
        <v>44887</v>
      </c>
      <c r="C97" s="157">
        <f t="shared" si="0"/>
        <v>0</v>
      </c>
      <c r="D97" s="157">
        <v>0</v>
      </c>
      <c r="E97" s="157">
        <f t="shared" si="1"/>
        <v>0</v>
      </c>
      <c r="F97" s="157" t="str">
        <f t="shared" si="2"/>
        <v>Tuesday</v>
      </c>
      <c r="H97" s="157">
        <v>2</v>
      </c>
      <c r="I97" s="157">
        <f t="shared" si="6"/>
        <v>4</v>
      </c>
      <c r="J97" s="157">
        <f t="shared" si="5"/>
        <v>47</v>
      </c>
    </row>
    <row r="98" spans="1:10" ht="15.75" customHeight="1" x14ac:dyDescent="0.2">
      <c r="A98" s="157">
        <v>97</v>
      </c>
      <c r="B98" s="163">
        <v>44888</v>
      </c>
      <c r="C98" s="157">
        <f t="shared" si="0"/>
        <v>0</v>
      </c>
      <c r="D98" s="157">
        <v>0</v>
      </c>
      <c r="E98" s="157">
        <f t="shared" si="1"/>
        <v>0</v>
      </c>
      <c r="F98" s="157" t="str">
        <f t="shared" si="2"/>
        <v>Wednesday</v>
      </c>
      <c r="H98" s="157">
        <v>2</v>
      </c>
      <c r="I98" s="157">
        <f t="shared" si="6"/>
        <v>4</v>
      </c>
      <c r="J98" s="157">
        <f t="shared" si="5"/>
        <v>47</v>
      </c>
    </row>
    <row r="99" spans="1:10" ht="15.75" customHeight="1" x14ac:dyDescent="0.2">
      <c r="A99" s="157">
        <v>98</v>
      </c>
      <c r="B99" s="163">
        <v>44889</v>
      </c>
      <c r="C99" s="157">
        <f t="shared" si="0"/>
        <v>0</v>
      </c>
      <c r="D99" s="157">
        <v>0</v>
      </c>
      <c r="E99" s="157">
        <f t="shared" si="1"/>
        <v>0</v>
      </c>
      <c r="F99" s="157" t="str">
        <f t="shared" si="2"/>
        <v>Thursday</v>
      </c>
      <c r="H99" s="157">
        <v>2</v>
      </c>
      <c r="I99" s="157">
        <f t="shared" si="6"/>
        <v>4</v>
      </c>
      <c r="J99" s="157">
        <f t="shared" si="5"/>
        <v>47</v>
      </c>
    </row>
    <row r="100" spans="1:10" ht="15.75" customHeight="1" x14ac:dyDescent="0.2">
      <c r="A100" s="157">
        <v>99</v>
      </c>
      <c r="B100" s="163">
        <v>44890</v>
      </c>
      <c r="C100" s="157">
        <f t="shared" si="0"/>
        <v>0</v>
      </c>
      <c r="D100" s="157">
        <v>0</v>
      </c>
      <c r="E100" s="157">
        <f t="shared" si="1"/>
        <v>0</v>
      </c>
      <c r="F100" s="157" t="str">
        <f t="shared" si="2"/>
        <v>Friday</v>
      </c>
      <c r="H100" s="157">
        <v>2</v>
      </c>
      <c r="I100" s="157">
        <f t="shared" si="6"/>
        <v>4</v>
      </c>
      <c r="J100" s="157">
        <f t="shared" si="5"/>
        <v>47</v>
      </c>
    </row>
    <row r="101" spans="1:10" ht="15.75" customHeight="1" x14ac:dyDescent="0.2">
      <c r="A101" s="157">
        <v>100</v>
      </c>
      <c r="B101" s="163">
        <v>44891</v>
      </c>
      <c r="C101" s="157">
        <f t="shared" si="0"/>
        <v>1</v>
      </c>
      <c r="D101" s="157">
        <v>0</v>
      </c>
      <c r="E101" s="157">
        <f t="shared" si="1"/>
        <v>1</v>
      </c>
      <c r="F101" s="157" t="str">
        <f t="shared" si="2"/>
        <v>Saturday</v>
      </c>
      <c r="H101" s="157">
        <v>2</v>
      </c>
      <c r="I101" s="157">
        <f t="shared" si="6"/>
        <v>4</v>
      </c>
      <c r="J101" s="157">
        <f t="shared" si="5"/>
        <v>47</v>
      </c>
    </row>
    <row r="102" spans="1:10" ht="15.75" customHeight="1" x14ac:dyDescent="0.2">
      <c r="A102" s="157">
        <v>101</v>
      </c>
      <c r="B102" s="163">
        <v>44892</v>
      </c>
      <c r="C102" s="157">
        <f t="shared" si="0"/>
        <v>1</v>
      </c>
      <c r="D102" s="157">
        <v>0</v>
      </c>
      <c r="E102" s="157">
        <f t="shared" si="1"/>
        <v>1</v>
      </c>
      <c r="F102" s="157" t="str">
        <f t="shared" si="2"/>
        <v>Sunday</v>
      </c>
      <c r="H102" s="157">
        <v>2</v>
      </c>
      <c r="I102" s="157">
        <f t="shared" si="6"/>
        <v>4</v>
      </c>
      <c r="J102" s="157">
        <f t="shared" si="5"/>
        <v>47</v>
      </c>
    </row>
    <row r="103" spans="1:10" ht="15.75" customHeight="1" x14ac:dyDescent="0.2">
      <c r="A103" s="157">
        <v>102</v>
      </c>
      <c r="B103" s="163">
        <v>44893</v>
      </c>
      <c r="C103" s="157">
        <f t="shared" si="0"/>
        <v>0</v>
      </c>
      <c r="D103" s="157">
        <v>0</v>
      </c>
      <c r="E103" s="157">
        <f t="shared" si="1"/>
        <v>0</v>
      </c>
      <c r="F103" s="157" t="str">
        <f t="shared" si="2"/>
        <v>Monday</v>
      </c>
      <c r="H103" s="157">
        <v>2</v>
      </c>
      <c r="I103" s="157">
        <f t="shared" si="6"/>
        <v>5</v>
      </c>
      <c r="J103" s="157">
        <f t="shared" si="5"/>
        <v>48</v>
      </c>
    </row>
    <row r="104" spans="1:10" ht="15.75" customHeight="1" x14ac:dyDescent="0.2">
      <c r="A104" s="157">
        <v>103</v>
      </c>
      <c r="B104" s="163">
        <v>44894</v>
      </c>
      <c r="C104" s="157">
        <f t="shared" si="0"/>
        <v>0</v>
      </c>
      <c r="D104" s="157">
        <v>0</v>
      </c>
      <c r="E104" s="157">
        <f t="shared" si="1"/>
        <v>0</v>
      </c>
      <c r="F104" s="157" t="str">
        <f t="shared" si="2"/>
        <v>Tuesday</v>
      </c>
      <c r="H104" s="157">
        <v>2</v>
      </c>
      <c r="I104" s="157">
        <f t="shared" si="6"/>
        <v>5</v>
      </c>
      <c r="J104" s="157">
        <f t="shared" si="5"/>
        <v>48</v>
      </c>
    </row>
    <row r="105" spans="1:10" ht="15.75" customHeight="1" x14ac:dyDescent="0.2">
      <c r="A105" s="157">
        <v>104</v>
      </c>
      <c r="B105" s="163">
        <v>44895</v>
      </c>
      <c r="C105" s="157">
        <f t="shared" si="0"/>
        <v>0</v>
      </c>
      <c r="D105" s="157">
        <v>0</v>
      </c>
      <c r="E105" s="157">
        <f t="shared" si="1"/>
        <v>0</v>
      </c>
      <c r="F105" s="157" t="str">
        <f t="shared" si="2"/>
        <v>Wednesday</v>
      </c>
      <c r="H105" s="157">
        <v>2</v>
      </c>
      <c r="I105" s="157">
        <f t="shared" si="6"/>
        <v>5</v>
      </c>
      <c r="J105" s="157">
        <f t="shared" si="5"/>
        <v>48</v>
      </c>
    </row>
    <row r="106" spans="1:10" ht="15.75" customHeight="1" x14ac:dyDescent="0.2">
      <c r="A106" s="157">
        <v>105</v>
      </c>
      <c r="B106" s="163">
        <v>44896</v>
      </c>
      <c r="C106" s="157">
        <f t="shared" si="0"/>
        <v>0</v>
      </c>
      <c r="D106" s="157">
        <v>0</v>
      </c>
      <c r="E106" s="157">
        <f t="shared" si="1"/>
        <v>0</v>
      </c>
      <c r="F106" s="157" t="str">
        <f t="shared" si="2"/>
        <v>Thursday</v>
      </c>
      <c r="H106" s="157">
        <v>2</v>
      </c>
      <c r="I106" s="157">
        <f t="shared" si="6"/>
        <v>5</v>
      </c>
      <c r="J106" s="157">
        <f t="shared" si="5"/>
        <v>48</v>
      </c>
    </row>
    <row r="107" spans="1:10" ht="15.75" customHeight="1" x14ac:dyDescent="0.2">
      <c r="A107" s="157">
        <v>106</v>
      </c>
      <c r="B107" s="163">
        <v>44897</v>
      </c>
      <c r="C107" s="157">
        <f t="shared" si="0"/>
        <v>0</v>
      </c>
      <c r="D107" s="157">
        <v>0</v>
      </c>
      <c r="E107" s="157">
        <f t="shared" si="1"/>
        <v>0</v>
      </c>
      <c r="F107" s="157" t="str">
        <f t="shared" si="2"/>
        <v>Friday</v>
      </c>
      <c r="H107" s="157">
        <v>2</v>
      </c>
      <c r="I107" s="157">
        <f t="shared" si="6"/>
        <v>5</v>
      </c>
      <c r="J107" s="157">
        <f t="shared" si="5"/>
        <v>48</v>
      </c>
    </row>
    <row r="108" spans="1:10" ht="15.75" customHeight="1" x14ac:dyDescent="0.2">
      <c r="A108" s="157">
        <v>107</v>
      </c>
      <c r="B108" s="163">
        <v>44898</v>
      </c>
      <c r="C108" s="157">
        <f t="shared" si="0"/>
        <v>1</v>
      </c>
      <c r="D108" s="157">
        <v>0</v>
      </c>
      <c r="E108" s="157">
        <f t="shared" si="1"/>
        <v>1</v>
      </c>
      <c r="F108" s="157" t="str">
        <f t="shared" si="2"/>
        <v>Saturday</v>
      </c>
      <c r="H108" s="157">
        <v>2</v>
      </c>
      <c r="I108" s="157">
        <f t="shared" si="6"/>
        <v>5</v>
      </c>
      <c r="J108" s="157">
        <f t="shared" si="5"/>
        <v>48</v>
      </c>
    </row>
    <row r="109" spans="1:10" ht="15.75" customHeight="1" x14ac:dyDescent="0.2">
      <c r="A109" s="157">
        <v>108</v>
      </c>
      <c r="B109" s="163">
        <v>44899</v>
      </c>
      <c r="C109" s="157">
        <f t="shared" si="0"/>
        <v>1</v>
      </c>
      <c r="D109" s="157">
        <v>0</v>
      </c>
      <c r="E109" s="157">
        <f t="shared" si="1"/>
        <v>1</v>
      </c>
      <c r="F109" s="157" t="str">
        <f t="shared" si="2"/>
        <v>Sunday</v>
      </c>
      <c r="H109" s="157">
        <v>2</v>
      </c>
      <c r="I109" s="157">
        <f t="shared" si="6"/>
        <v>5</v>
      </c>
      <c r="J109" s="157">
        <f t="shared" si="5"/>
        <v>48</v>
      </c>
    </row>
    <row r="110" spans="1:10" ht="15.75" customHeight="1" x14ac:dyDescent="0.2">
      <c r="A110" s="157">
        <v>109</v>
      </c>
      <c r="B110" s="163">
        <v>44900</v>
      </c>
      <c r="C110" s="157">
        <f t="shared" si="0"/>
        <v>0</v>
      </c>
      <c r="D110" s="157">
        <v>0</v>
      </c>
      <c r="E110" s="157">
        <f t="shared" si="1"/>
        <v>0</v>
      </c>
      <c r="F110" s="157" t="str">
        <f t="shared" si="2"/>
        <v>Monday</v>
      </c>
      <c r="H110" s="157">
        <v>2</v>
      </c>
      <c r="I110" s="157">
        <f t="shared" si="6"/>
        <v>6</v>
      </c>
      <c r="J110" s="157">
        <f t="shared" si="5"/>
        <v>49</v>
      </c>
    </row>
    <row r="111" spans="1:10" ht="15.75" customHeight="1" x14ac:dyDescent="0.2">
      <c r="A111" s="157">
        <v>110</v>
      </c>
      <c r="B111" s="163">
        <v>44901</v>
      </c>
      <c r="C111" s="157">
        <f t="shared" si="0"/>
        <v>0</v>
      </c>
      <c r="D111" s="157">
        <v>0</v>
      </c>
      <c r="E111" s="157">
        <f t="shared" si="1"/>
        <v>0</v>
      </c>
      <c r="F111" s="157" t="str">
        <f t="shared" si="2"/>
        <v>Tuesday</v>
      </c>
      <c r="H111" s="157">
        <v>2</v>
      </c>
      <c r="I111" s="157">
        <f t="shared" si="6"/>
        <v>6</v>
      </c>
      <c r="J111" s="157">
        <f t="shared" si="5"/>
        <v>49</v>
      </c>
    </row>
    <row r="112" spans="1:10" ht="15.75" customHeight="1" x14ac:dyDescent="0.2">
      <c r="A112" s="157">
        <v>111</v>
      </c>
      <c r="B112" s="163">
        <v>44902</v>
      </c>
      <c r="C112" s="157">
        <f t="shared" si="0"/>
        <v>0</v>
      </c>
      <c r="D112" s="157">
        <v>0</v>
      </c>
      <c r="E112" s="157">
        <f t="shared" si="1"/>
        <v>0</v>
      </c>
      <c r="F112" s="157" t="str">
        <f t="shared" si="2"/>
        <v>Wednesday</v>
      </c>
      <c r="H112" s="157">
        <v>2</v>
      </c>
      <c r="I112" s="157">
        <f t="shared" si="6"/>
        <v>6</v>
      </c>
      <c r="J112" s="157">
        <f t="shared" si="5"/>
        <v>49</v>
      </c>
    </row>
    <row r="113" spans="1:10" ht="15.75" customHeight="1" x14ac:dyDescent="0.2">
      <c r="A113" s="157">
        <v>112</v>
      </c>
      <c r="B113" s="163">
        <v>44903</v>
      </c>
      <c r="C113" s="157">
        <f t="shared" si="0"/>
        <v>0</v>
      </c>
      <c r="D113" s="157">
        <v>0</v>
      </c>
      <c r="E113" s="157">
        <f t="shared" si="1"/>
        <v>0</v>
      </c>
      <c r="F113" s="157" t="str">
        <f t="shared" si="2"/>
        <v>Thursday</v>
      </c>
      <c r="H113" s="157">
        <v>2</v>
      </c>
      <c r="I113" s="157">
        <f t="shared" si="6"/>
        <v>6</v>
      </c>
      <c r="J113" s="157">
        <f t="shared" si="5"/>
        <v>49</v>
      </c>
    </row>
    <row r="114" spans="1:10" ht="15.75" customHeight="1" x14ac:dyDescent="0.2">
      <c r="A114" s="157">
        <v>113</v>
      </c>
      <c r="B114" s="163">
        <v>44904</v>
      </c>
      <c r="C114" s="157">
        <f t="shared" si="0"/>
        <v>0</v>
      </c>
      <c r="D114" s="157">
        <v>0</v>
      </c>
      <c r="E114" s="157">
        <f t="shared" si="1"/>
        <v>0</v>
      </c>
      <c r="F114" s="157" t="str">
        <f t="shared" si="2"/>
        <v>Friday</v>
      </c>
      <c r="H114" s="157">
        <v>2</v>
      </c>
      <c r="I114" s="157">
        <f t="shared" si="6"/>
        <v>6</v>
      </c>
      <c r="J114" s="157">
        <f t="shared" si="5"/>
        <v>49</v>
      </c>
    </row>
    <row r="115" spans="1:10" ht="15.75" customHeight="1" x14ac:dyDescent="0.2">
      <c r="A115" s="157">
        <v>114</v>
      </c>
      <c r="B115" s="163">
        <v>44905</v>
      </c>
      <c r="C115" s="157">
        <f t="shared" si="0"/>
        <v>1</v>
      </c>
      <c r="D115" s="157">
        <v>0</v>
      </c>
      <c r="E115" s="157">
        <f t="shared" si="1"/>
        <v>1</v>
      </c>
      <c r="F115" s="157" t="str">
        <f t="shared" si="2"/>
        <v>Saturday</v>
      </c>
      <c r="H115" s="157">
        <v>2</v>
      </c>
      <c r="I115" s="157">
        <f t="shared" si="6"/>
        <v>6</v>
      </c>
      <c r="J115" s="157">
        <f t="shared" si="5"/>
        <v>49</v>
      </c>
    </row>
    <row r="116" spans="1:10" ht="15.75" customHeight="1" x14ac:dyDescent="0.2">
      <c r="A116" s="157">
        <v>115</v>
      </c>
      <c r="B116" s="163">
        <v>44906</v>
      </c>
      <c r="C116" s="157">
        <f t="shared" si="0"/>
        <v>1</v>
      </c>
      <c r="D116" s="157">
        <v>0</v>
      </c>
      <c r="E116" s="157">
        <f t="shared" si="1"/>
        <v>1</v>
      </c>
      <c r="F116" s="157" t="str">
        <f t="shared" si="2"/>
        <v>Sunday</v>
      </c>
      <c r="H116" s="157">
        <v>2</v>
      </c>
      <c r="I116" s="157">
        <f t="shared" si="6"/>
        <v>6</v>
      </c>
      <c r="J116" s="157">
        <f t="shared" si="5"/>
        <v>49</v>
      </c>
    </row>
    <row r="117" spans="1:10" ht="15.75" customHeight="1" x14ac:dyDescent="0.2">
      <c r="A117" s="157">
        <v>116</v>
      </c>
      <c r="B117" s="163">
        <v>44907</v>
      </c>
      <c r="C117" s="157">
        <f t="shared" si="0"/>
        <v>0</v>
      </c>
      <c r="D117" s="157">
        <v>0</v>
      </c>
      <c r="E117" s="157">
        <f t="shared" si="1"/>
        <v>0</v>
      </c>
      <c r="F117" s="157" t="str">
        <f t="shared" si="2"/>
        <v>Monday</v>
      </c>
      <c r="H117" s="157">
        <v>2</v>
      </c>
      <c r="I117" s="157">
        <f t="shared" si="6"/>
        <v>7</v>
      </c>
      <c r="J117" s="157">
        <f t="shared" si="5"/>
        <v>50</v>
      </c>
    </row>
    <row r="118" spans="1:10" ht="15.75" customHeight="1" x14ac:dyDescent="0.2">
      <c r="A118" s="157">
        <v>117</v>
      </c>
      <c r="B118" s="163">
        <v>44908</v>
      </c>
      <c r="C118" s="157">
        <f t="shared" si="0"/>
        <v>0</v>
      </c>
      <c r="D118" s="157">
        <v>0</v>
      </c>
      <c r="E118" s="157">
        <f t="shared" si="1"/>
        <v>0</v>
      </c>
      <c r="F118" s="157" t="str">
        <f t="shared" si="2"/>
        <v>Tuesday</v>
      </c>
      <c r="H118" s="157">
        <v>2</v>
      </c>
      <c r="I118" s="157">
        <f t="shared" si="6"/>
        <v>7</v>
      </c>
      <c r="J118" s="157">
        <f t="shared" si="5"/>
        <v>50</v>
      </c>
    </row>
    <row r="119" spans="1:10" ht="15.75" customHeight="1" x14ac:dyDescent="0.2">
      <c r="A119" s="157">
        <v>118</v>
      </c>
      <c r="B119" s="163">
        <v>44909</v>
      </c>
      <c r="C119" s="157">
        <f t="shared" si="0"/>
        <v>0</v>
      </c>
      <c r="D119" s="157">
        <v>0</v>
      </c>
      <c r="E119" s="157">
        <f t="shared" si="1"/>
        <v>0</v>
      </c>
      <c r="F119" s="157" t="str">
        <f t="shared" si="2"/>
        <v>Wednesday</v>
      </c>
      <c r="H119" s="157">
        <v>2</v>
      </c>
      <c r="I119" s="157">
        <f t="shared" si="6"/>
        <v>7</v>
      </c>
      <c r="J119" s="157">
        <f t="shared" si="5"/>
        <v>50</v>
      </c>
    </row>
    <row r="120" spans="1:10" ht="15.75" customHeight="1" x14ac:dyDescent="0.2">
      <c r="A120" s="157">
        <v>119</v>
      </c>
      <c r="B120" s="163">
        <v>44910</v>
      </c>
      <c r="C120" s="157">
        <f t="shared" si="0"/>
        <v>0</v>
      </c>
      <c r="D120" s="157">
        <v>0</v>
      </c>
      <c r="E120" s="157">
        <f t="shared" si="1"/>
        <v>0</v>
      </c>
      <c r="F120" s="157" t="str">
        <f t="shared" si="2"/>
        <v>Thursday</v>
      </c>
      <c r="H120" s="157">
        <v>2</v>
      </c>
      <c r="I120" s="157">
        <f t="shared" si="6"/>
        <v>7</v>
      </c>
      <c r="J120" s="157">
        <f t="shared" si="5"/>
        <v>50</v>
      </c>
    </row>
    <row r="121" spans="1:10" ht="15.75" customHeight="1" x14ac:dyDescent="0.2">
      <c r="A121" s="157">
        <v>120</v>
      </c>
      <c r="B121" s="163">
        <v>44911</v>
      </c>
      <c r="C121" s="157">
        <f t="shared" si="0"/>
        <v>0</v>
      </c>
      <c r="D121" s="157">
        <v>0</v>
      </c>
      <c r="E121" s="157">
        <f t="shared" si="1"/>
        <v>0</v>
      </c>
      <c r="F121" s="157" t="str">
        <f t="shared" si="2"/>
        <v>Friday</v>
      </c>
      <c r="H121" s="157">
        <v>2</v>
      </c>
      <c r="I121" s="157">
        <f t="shared" si="6"/>
        <v>7</v>
      </c>
      <c r="J121" s="157">
        <f t="shared" si="5"/>
        <v>50</v>
      </c>
    </row>
    <row r="122" spans="1:10" ht="15.75" customHeight="1" x14ac:dyDescent="0.2">
      <c r="A122" s="157">
        <v>121</v>
      </c>
      <c r="B122" s="163">
        <v>44912</v>
      </c>
      <c r="C122" s="157">
        <f t="shared" si="0"/>
        <v>1</v>
      </c>
      <c r="D122" s="157">
        <v>0</v>
      </c>
      <c r="E122" s="157">
        <f t="shared" si="1"/>
        <v>1</v>
      </c>
      <c r="F122" s="157" t="str">
        <f t="shared" si="2"/>
        <v>Saturday</v>
      </c>
      <c r="H122" s="157">
        <v>2</v>
      </c>
      <c r="I122" s="157">
        <f t="shared" si="6"/>
        <v>7</v>
      </c>
      <c r="J122" s="157">
        <f t="shared" si="5"/>
        <v>50</v>
      </c>
    </row>
    <row r="123" spans="1:10" ht="15.75" customHeight="1" x14ac:dyDescent="0.2">
      <c r="A123" s="157">
        <v>122</v>
      </c>
      <c r="B123" s="163">
        <v>44913</v>
      </c>
      <c r="C123" s="157">
        <f t="shared" si="0"/>
        <v>1</v>
      </c>
      <c r="D123" s="157">
        <v>0</v>
      </c>
      <c r="E123" s="157">
        <f t="shared" si="1"/>
        <v>1</v>
      </c>
      <c r="F123" s="157" t="str">
        <f t="shared" si="2"/>
        <v>Sunday</v>
      </c>
      <c r="H123" s="157">
        <v>2</v>
      </c>
      <c r="I123" s="157">
        <f t="shared" si="6"/>
        <v>7</v>
      </c>
      <c r="J123" s="157">
        <f t="shared" si="5"/>
        <v>50</v>
      </c>
    </row>
    <row r="124" spans="1:10" ht="15.75" customHeight="1" x14ac:dyDescent="0.2">
      <c r="A124" s="157">
        <v>123</v>
      </c>
      <c r="B124" s="163">
        <v>44914</v>
      </c>
      <c r="C124" s="157">
        <f t="shared" si="0"/>
        <v>0</v>
      </c>
      <c r="D124" s="157">
        <v>0</v>
      </c>
      <c r="E124" s="157">
        <f t="shared" si="1"/>
        <v>0</v>
      </c>
      <c r="F124" s="157" t="str">
        <f t="shared" si="2"/>
        <v>Monday</v>
      </c>
      <c r="H124" s="157">
        <v>2</v>
      </c>
      <c r="I124" s="157">
        <f t="shared" si="6"/>
        <v>8</v>
      </c>
      <c r="J124" s="157">
        <f t="shared" si="5"/>
        <v>51</v>
      </c>
    </row>
    <row r="125" spans="1:10" ht="15.75" customHeight="1" x14ac:dyDescent="0.2">
      <c r="A125" s="157">
        <v>124</v>
      </c>
      <c r="B125" s="163">
        <v>44915</v>
      </c>
      <c r="C125" s="157">
        <f t="shared" si="0"/>
        <v>0</v>
      </c>
      <c r="D125" s="157">
        <v>0</v>
      </c>
      <c r="E125" s="157">
        <f t="shared" si="1"/>
        <v>0</v>
      </c>
      <c r="F125" s="157" t="str">
        <f t="shared" si="2"/>
        <v>Tuesday</v>
      </c>
      <c r="H125" s="157">
        <v>2</v>
      </c>
      <c r="I125" s="157">
        <f t="shared" si="6"/>
        <v>8</v>
      </c>
      <c r="J125" s="157">
        <f t="shared" si="5"/>
        <v>51</v>
      </c>
    </row>
    <row r="126" spans="1:10" ht="15.75" customHeight="1" x14ac:dyDescent="0.2">
      <c r="A126" s="157">
        <v>125</v>
      </c>
      <c r="B126" s="163">
        <v>44916</v>
      </c>
      <c r="C126" s="157">
        <f t="shared" si="0"/>
        <v>0</v>
      </c>
      <c r="D126" s="157">
        <v>0</v>
      </c>
      <c r="E126" s="157">
        <f t="shared" si="1"/>
        <v>0</v>
      </c>
      <c r="F126" s="157" t="str">
        <f t="shared" si="2"/>
        <v>Wednesday</v>
      </c>
      <c r="H126" s="157">
        <v>2</v>
      </c>
      <c r="I126" s="157">
        <f t="shared" si="6"/>
        <v>8</v>
      </c>
      <c r="J126" s="157">
        <f t="shared" si="5"/>
        <v>51</v>
      </c>
    </row>
    <row r="127" spans="1:10" ht="15.75" customHeight="1" x14ac:dyDescent="0.2">
      <c r="A127" s="157">
        <v>126</v>
      </c>
      <c r="B127" s="163">
        <v>44917</v>
      </c>
      <c r="C127" s="157">
        <f t="shared" si="0"/>
        <v>0</v>
      </c>
      <c r="D127" s="157">
        <v>0</v>
      </c>
      <c r="E127" s="157">
        <f t="shared" si="1"/>
        <v>0</v>
      </c>
      <c r="F127" s="157" t="str">
        <f t="shared" si="2"/>
        <v>Thursday</v>
      </c>
      <c r="H127" s="157">
        <v>2</v>
      </c>
      <c r="I127" s="157">
        <f t="shared" si="6"/>
        <v>8</v>
      </c>
      <c r="J127" s="157">
        <f t="shared" si="5"/>
        <v>51</v>
      </c>
    </row>
    <row r="128" spans="1:10" ht="15.75" customHeight="1" x14ac:dyDescent="0.2">
      <c r="A128" s="157">
        <v>127</v>
      </c>
      <c r="B128" s="163">
        <v>44918</v>
      </c>
      <c r="C128" s="157">
        <f t="shared" si="0"/>
        <v>0</v>
      </c>
      <c r="D128" s="157">
        <v>0</v>
      </c>
      <c r="E128" s="157">
        <f t="shared" si="1"/>
        <v>0</v>
      </c>
      <c r="F128" s="157" t="str">
        <f t="shared" si="2"/>
        <v>Friday</v>
      </c>
      <c r="H128" s="157">
        <v>2</v>
      </c>
      <c r="I128" s="157">
        <f t="shared" si="6"/>
        <v>8</v>
      </c>
      <c r="J128" s="157">
        <f t="shared" si="5"/>
        <v>51</v>
      </c>
    </row>
    <row r="129" spans="1:10" ht="15.75" customHeight="1" x14ac:dyDescent="0.2">
      <c r="A129" s="157">
        <v>128</v>
      </c>
      <c r="B129" s="163">
        <v>44919</v>
      </c>
      <c r="C129" s="157">
        <f t="shared" si="0"/>
        <v>1</v>
      </c>
      <c r="D129" s="157">
        <v>0</v>
      </c>
      <c r="E129" s="157">
        <f t="shared" si="1"/>
        <v>1</v>
      </c>
      <c r="F129" s="157" t="str">
        <f t="shared" si="2"/>
        <v>Saturday</v>
      </c>
      <c r="H129" s="157">
        <v>2</v>
      </c>
      <c r="I129" s="157">
        <f t="shared" si="6"/>
        <v>8</v>
      </c>
      <c r="J129" s="157">
        <f t="shared" si="5"/>
        <v>51</v>
      </c>
    </row>
    <row r="130" spans="1:10" ht="15.75" customHeight="1" x14ac:dyDescent="0.2">
      <c r="A130" s="157">
        <v>129</v>
      </c>
      <c r="B130" s="163">
        <v>44920</v>
      </c>
      <c r="C130" s="157">
        <f t="shared" si="0"/>
        <v>1</v>
      </c>
      <c r="D130" s="157">
        <v>1</v>
      </c>
      <c r="E130" s="157">
        <f t="shared" si="1"/>
        <v>1</v>
      </c>
      <c r="F130" s="157" t="str">
        <f t="shared" si="2"/>
        <v>Sunday</v>
      </c>
      <c r="G130" s="157" t="s">
        <v>1775</v>
      </c>
      <c r="H130" s="157">
        <v>2</v>
      </c>
      <c r="I130" s="157">
        <f t="shared" si="6"/>
        <v>8</v>
      </c>
      <c r="J130" s="157">
        <f t="shared" si="5"/>
        <v>51</v>
      </c>
    </row>
    <row r="131" spans="1:10" ht="15.75" customHeight="1" x14ac:dyDescent="0.2">
      <c r="A131" s="157">
        <v>130</v>
      </c>
      <c r="B131" s="163">
        <v>44921</v>
      </c>
      <c r="C131" s="157">
        <f t="shared" si="0"/>
        <v>0</v>
      </c>
      <c r="D131" s="157">
        <v>1</v>
      </c>
      <c r="E131" s="157">
        <f t="shared" si="1"/>
        <v>1</v>
      </c>
      <c r="F131" s="157" t="str">
        <f t="shared" si="2"/>
        <v>Monday</v>
      </c>
      <c r="G131" s="157" t="s">
        <v>1775</v>
      </c>
      <c r="H131" s="157">
        <v>2</v>
      </c>
      <c r="I131" s="157">
        <f t="shared" si="6"/>
        <v>9</v>
      </c>
      <c r="J131" s="157">
        <f t="shared" ref="J131:J194" si="7">_xlfn.ISOWEEKNUM(B131)</f>
        <v>52</v>
      </c>
    </row>
    <row r="132" spans="1:10" ht="15.75" customHeight="1" x14ac:dyDescent="0.2">
      <c r="A132" s="157">
        <v>131</v>
      </c>
      <c r="B132" s="163">
        <v>44922</v>
      </c>
      <c r="C132" s="157">
        <f t="shared" si="0"/>
        <v>0</v>
      </c>
      <c r="D132" s="157">
        <v>1</v>
      </c>
      <c r="E132" s="157">
        <f t="shared" si="1"/>
        <v>1</v>
      </c>
      <c r="F132" s="157" t="str">
        <f t="shared" si="2"/>
        <v>Tuesday</v>
      </c>
      <c r="G132" s="157" t="s">
        <v>1775</v>
      </c>
      <c r="H132" s="157">
        <v>2</v>
      </c>
      <c r="I132" s="157">
        <f t="shared" si="6"/>
        <v>9</v>
      </c>
      <c r="J132" s="157">
        <f t="shared" si="7"/>
        <v>52</v>
      </c>
    </row>
    <row r="133" spans="1:10" ht="15.75" customHeight="1" x14ac:dyDescent="0.2">
      <c r="A133" s="157">
        <v>132</v>
      </c>
      <c r="B133" s="163">
        <v>44923</v>
      </c>
      <c r="C133" s="157">
        <f t="shared" si="0"/>
        <v>0</v>
      </c>
      <c r="D133" s="157">
        <v>1</v>
      </c>
      <c r="E133" s="157">
        <f t="shared" si="1"/>
        <v>1</v>
      </c>
      <c r="F133" s="157" t="str">
        <f t="shared" si="2"/>
        <v>Wednesday</v>
      </c>
      <c r="G133" s="157" t="s">
        <v>1775</v>
      </c>
      <c r="H133" s="157">
        <v>2</v>
      </c>
      <c r="I133" s="157">
        <f t="shared" ref="I133:I196" si="8">IF(J133&gt;J132, IF(H133&lt;&gt;H132,1, I132+1),I132)</f>
        <v>9</v>
      </c>
      <c r="J133" s="157">
        <f t="shared" si="7"/>
        <v>52</v>
      </c>
    </row>
    <row r="134" spans="1:10" ht="15.75" customHeight="1" x14ac:dyDescent="0.2">
      <c r="A134" s="157">
        <v>133</v>
      </c>
      <c r="B134" s="163">
        <v>44924</v>
      </c>
      <c r="C134" s="157">
        <f t="shared" si="0"/>
        <v>0</v>
      </c>
      <c r="D134" s="157">
        <v>1</v>
      </c>
      <c r="E134" s="157">
        <f t="shared" si="1"/>
        <v>1</v>
      </c>
      <c r="F134" s="157" t="str">
        <f t="shared" si="2"/>
        <v>Thursday</v>
      </c>
      <c r="G134" s="157" t="s">
        <v>1775</v>
      </c>
      <c r="H134" s="157">
        <v>2</v>
      </c>
      <c r="I134" s="157">
        <f t="shared" si="8"/>
        <v>9</v>
      </c>
      <c r="J134" s="157">
        <f t="shared" si="7"/>
        <v>52</v>
      </c>
    </row>
    <row r="135" spans="1:10" ht="15.75" customHeight="1" x14ac:dyDescent="0.2">
      <c r="A135" s="157">
        <v>134</v>
      </c>
      <c r="B135" s="163">
        <v>44925</v>
      </c>
      <c r="C135" s="157">
        <f t="shared" si="0"/>
        <v>0</v>
      </c>
      <c r="D135" s="157">
        <v>1</v>
      </c>
      <c r="E135" s="157">
        <f t="shared" si="1"/>
        <v>1</v>
      </c>
      <c r="F135" s="157" t="str">
        <f t="shared" si="2"/>
        <v>Friday</v>
      </c>
      <c r="G135" s="157" t="s">
        <v>1775</v>
      </c>
      <c r="H135" s="157">
        <v>2</v>
      </c>
      <c r="I135" s="157">
        <f t="shared" si="8"/>
        <v>9</v>
      </c>
      <c r="J135" s="157">
        <f t="shared" si="7"/>
        <v>52</v>
      </c>
    </row>
    <row r="136" spans="1:10" ht="15.75" customHeight="1" x14ac:dyDescent="0.2">
      <c r="A136" s="157">
        <v>135</v>
      </c>
      <c r="B136" s="163">
        <v>44926</v>
      </c>
      <c r="C136" s="157">
        <f t="shared" si="0"/>
        <v>1</v>
      </c>
      <c r="D136" s="157">
        <v>1</v>
      </c>
      <c r="E136" s="157">
        <f t="shared" si="1"/>
        <v>1</v>
      </c>
      <c r="F136" s="157" t="str">
        <f t="shared" si="2"/>
        <v>Saturday</v>
      </c>
      <c r="G136" s="157" t="s">
        <v>1775</v>
      </c>
      <c r="H136" s="157">
        <v>2</v>
      </c>
      <c r="I136" s="157">
        <f t="shared" si="8"/>
        <v>9</v>
      </c>
      <c r="J136" s="157">
        <f t="shared" si="7"/>
        <v>52</v>
      </c>
    </row>
    <row r="137" spans="1:10" ht="15.75" customHeight="1" x14ac:dyDescent="0.2">
      <c r="A137" s="157">
        <v>136</v>
      </c>
      <c r="B137" s="163">
        <v>44927</v>
      </c>
      <c r="C137" s="157">
        <f t="shared" si="0"/>
        <v>1</v>
      </c>
      <c r="D137" s="157">
        <v>1</v>
      </c>
      <c r="E137" s="157">
        <f t="shared" si="1"/>
        <v>1</v>
      </c>
      <c r="F137" s="157" t="str">
        <f t="shared" si="2"/>
        <v>Sunday</v>
      </c>
      <c r="G137" s="157" t="s">
        <v>1775</v>
      </c>
      <c r="H137" s="157">
        <v>2</v>
      </c>
      <c r="I137" s="157">
        <f t="shared" si="8"/>
        <v>9</v>
      </c>
      <c r="J137" s="157">
        <f t="shared" si="7"/>
        <v>52</v>
      </c>
    </row>
    <row r="138" spans="1:10" ht="15.75" customHeight="1" x14ac:dyDescent="0.2">
      <c r="A138" s="157">
        <v>137</v>
      </c>
      <c r="B138" s="163">
        <v>44928</v>
      </c>
      <c r="C138" s="157">
        <f t="shared" si="0"/>
        <v>0</v>
      </c>
      <c r="D138" s="157">
        <v>1</v>
      </c>
      <c r="E138" s="157">
        <f t="shared" si="1"/>
        <v>1</v>
      </c>
      <c r="F138" s="157" t="str">
        <f t="shared" si="2"/>
        <v>Monday</v>
      </c>
      <c r="G138" s="157" t="s">
        <v>1775</v>
      </c>
      <c r="H138" s="157">
        <v>2</v>
      </c>
      <c r="I138" s="157">
        <f t="shared" si="8"/>
        <v>9</v>
      </c>
      <c r="J138" s="157">
        <f t="shared" si="7"/>
        <v>1</v>
      </c>
    </row>
    <row r="139" spans="1:10" ht="15.75" customHeight="1" x14ac:dyDescent="0.2">
      <c r="A139" s="157">
        <v>138</v>
      </c>
      <c r="B139" s="163">
        <v>44929</v>
      </c>
      <c r="C139" s="157">
        <f t="shared" si="0"/>
        <v>0</v>
      </c>
      <c r="D139" s="157">
        <v>1</v>
      </c>
      <c r="E139" s="157">
        <f t="shared" si="1"/>
        <v>1</v>
      </c>
      <c r="F139" s="157" t="str">
        <f t="shared" si="2"/>
        <v>Tuesday</v>
      </c>
      <c r="G139" s="157" t="s">
        <v>1775</v>
      </c>
      <c r="H139" s="157">
        <v>2</v>
      </c>
      <c r="I139" s="157">
        <f t="shared" si="8"/>
        <v>9</v>
      </c>
      <c r="J139" s="157">
        <f t="shared" si="7"/>
        <v>1</v>
      </c>
    </row>
    <row r="140" spans="1:10" ht="15.75" customHeight="1" x14ac:dyDescent="0.2">
      <c r="A140" s="157">
        <v>139</v>
      </c>
      <c r="B140" s="163">
        <v>44930</v>
      </c>
      <c r="C140" s="157">
        <f t="shared" si="0"/>
        <v>0</v>
      </c>
      <c r="D140" s="157">
        <v>1</v>
      </c>
      <c r="E140" s="157">
        <f t="shared" si="1"/>
        <v>1</v>
      </c>
      <c r="F140" s="157" t="str">
        <f t="shared" si="2"/>
        <v>Wednesday</v>
      </c>
      <c r="G140" s="157" t="s">
        <v>1775</v>
      </c>
      <c r="H140" s="157">
        <v>2</v>
      </c>
      <c r="I140" s="157">
        <f t="shared" si="8"/>
        <v>9</v>
      </c>
      <c r="J140" s="157">
        <f t="shared" si="7"/>
        <v>1</v>
      </c>
    </row>
    <row r="141" spans="1:10" ht="15.75" customHeight="1" x14ac:dyDescent="0.2">
      <c r="A141" s="157">
        <v>140</v>
      </c>
      <c r="B141" s="163">
        <v>44931</v>
      </c>
      <c r="C141" s="157">
        <f t="shared" si="0"/>
        <v>0</v>
      </c>
      <c r="D141" s="157">
        <v>1</v>
      </c>
      <c r="E141" s="157">
        <f t="shared" si="1"/>
        <v>1</v>
      </c>
      <c r="F141" s="157" t="str">
        <f t="shared" si="2"/>
        <v>Thursday</v>
      </c>
      <c r="G141" s="157" t="s">
        <v>1775</v>
      </c>
      <c r="H141" s="157">
        <v>2</v>
      </c>
      <c r="I141" s="157">
        <f t="shared" si="8"/>
        <v>9</v>
      </c>
      <c r="J141" s="157">
        <f t="shared" si="7"/>
        <v>1</v>
      </c>
    </row>
    <row r="142" spans="1:10" ht="15.75" customHeight="1" x14ac:dyDescent="0.2">
      <c r="A142" s="157">
        <v>141</v>
      </c>
      <c r="B142" s="163">
        <v>44932</v>
      </c>
      <c r="C142" s="157">
        <f t="shared" si="0"/>
        <v>0</v>
      </c>
      <c r="D142" s="157">
        <v>1</v>
      </c>
      <c r="E142" s="157">
        <f t="shared" si="1"/>
        <v>1</v>
      </c>
      <c r="F142" s="157" t="str">
        <f t="shared" si="2"/>
        <v>Friday</v>
      </c>
      <c r="G142" s="157" t="s">
        <v>1775</v>
      </c>
      <c r="H142" s="157">
        <v>2</v>
      </c>
      <c r="I142" s="157">
        <f t="shared" si="8"/>
        <v>9</v>
      </c>
      <c r="J142" s="157">
        <f t="shared" si="7"/>
        <v>1</v>
      </c>
    </row>
    <row r="143" spans="1:10" ht="15.75" customHeight="1" x14ac:dyDescent="0.2">
      <c r="A143" s="157">
        <v>142</v>
      </c>
      <c r="B143" s="163">
        <v>44933</v>
      </c>
      <c r="C143" s="157">
        <f t="shared" si="0"/>
        <v>1</v>
      </c>
      <c r="D143" s="157">
        <v>1</v>
      </c>
      <c r="E143" s="157">
        <f t="shared" si="1"/>
        <v>1</v>
      </c>
      <c r="F143" s="157" t="str">
        <f t="shared" si="2"/>
        <v>Saturday</v>
      </c>
      <c r="G143" s="157" t="s">
        <v>1775</v>
      </c>
      <c r="H143" s="157">
        <v>2</v>
      </c>
      <c r="I143" s="157">
        <f t="shared" si="8"/>
        <v>9</v>
      </c>
      <c r="J143" s="157">
        <f t="shared" si="7"/>
        <v>1</v>
      </c>
    </row>
    <row r="144" spans="1:10" ht="15.75" customHeight="1" x14ac:dyDescent="0.2">
      <c r="A144" s="157">
        <v>143</v>
      </c>
      <c r="B144" s="163">
        <v>44934</v>
      </c>
      <c r="C144" s="157">
        <f t="shared" si="0"/>
        <v>1</v>
      </c>
      <c r="D144" s="157">
        <v>1</v>
      </c>
      <c r="E144" s="157">
        <f t="shared" si="1"/>
        <v>1</v>
      </c>
      <c r="F144" s="157" t="str">
        <f t="shared" si="2"/>
        <v>Sunday</v>
      </c>
      <c r="G144" s="157" t="s">
        <v>1775</v>
      </c>
      <c r="H144" s="157">
        <v>2</v>
      </c>
      <c r="I144" s="157">
        <f t="shared" si="8"/>
        <v>9</v>
      </c>
      <c r="J144" s="157">
        <f t="shared" si="7"/>
        <v>1</v>
      </c>
    </row>
    <row r="145" spans="1:10" ht="15.75" customHeight="1" x14ac:dyDescent="0.2">
      <c r="A145" s="157">
        <v>144</v>
      </c>
      <c r="B145" s="163">
        <v>44935</v>
      </c>
      <c r="C145" s="157">
        <f t="shared" si="0"/>
        <v>0</v>
      </c>
      <c r="D145" s="157">
        <v>1</v>
      </c>
      <c r="E145" s="157">
        <f t="shared" si="1"/>
        <v>1</v>
      </c>
      <c r="F145" s="157" t="str">
        <f t="shared" si="2"/>
        <v>Monday</v>
      </c>
      <c r="G145" s="157" t="s">
        <v>1774</v>
      </c>
      <c r="H145" s="157">
        <v>3</v>
      </c>
      <c r="I145" s="157">
        <f t="shared" si="8"/>
        <v>1</v>
      </c>
      <c r="J145" s="157">
        <f t="shared" si="7"/>
        <v>2</v>
      </c>
    </row>
    <row r="146" spans="1:10" ht="15.75" customHeight="1" x14ac:dyDescent="0.2">
      <c r="A146" s="157">
        <v>145</v>
      </c>
      <c r="B146" s="163">
        <v>44936</v>
      </c>
      <c r="C146" s="157">
        <f t="shared" si="0"/>
        <v>0</v>
      </c>
      <c r="D146" s="157">
        <v>0</v>
      </c>
      <c r="E146" s="157">
        <f t="shared" si="1"/>
        <v>0</v>
      </c>
      <c r="F146" s="157" t="str">
        <f t="shared" si="2"/>
        <v>Tuesday</v>
      </c>
      <c r="H146" s="157">
        <v>3</v>
      </c>
      <c r="I146" s="157">
        <f t="shared" si="8"/>
        <v>1</v>
      </c>
      <c r="J146" s="157">
        <f t="shared" si="7"/>
        <v>2</v>
      </c>
    </row>
    <row r="147" spans="1:10" ht="15.75" customHeight="1" x14ac:dyDescent="0.2">
      <c r="A147" s="157">
        <v>146</v>
      </c>
      <c r="B147" s="163">
        <v>44937</v>
      </c>
      <c r="C147" s="157">
        <f t="shared" si="0"/>
        <v>0</v>
      </c>
      <c r="D147" s="157">
        <v>0</v>
      </c>
      <c r="E147" s="157">
        <f t="shared" si="1"/>
        <v>0</v>
      </c>
      <c r="F147" s="157" t="str">
        <f t="shared" si="2"/>
        <v>Wednesday</v>
      </c>
      <c r="H147" s="157">
        <v>3</v>
      </c>
      <c r="I147" s="157">
        <f t="shared" si="8"/>
        <v>1</v>
      </c>
      <c r="J147" s="157">
        <f t="shared" si="7"/>
        <v>2</v>
      </c>
    </row>
    <row r="148" spans="1:10" ht="15.75" customHeight="1" x14ac:dyDescent="0.2">
      <c r="A148" s="157">
        <v>147</v>
      </c>
      <c r="B148" s="163">
        <v>44938</v>
      </c>
      <c r="C148" s="157">
        <f t="shared" si="0"/>
        <v>0</v>
      </c>
      <c r="D148" s="157">
        <v>0</v>
      </c>
      <c r="E148" s="157">
        <f t="shared" si="1"/>
        <v>0</v>
      </c>
      <c r="F148" s="157" t="str">
        <f t="shared" si="2"/>
        <v>Thursday</v>
      </c>
      <c r="H148" s="157">
        <v>3</v>
      </c>
      <c r="I148" s="157">
        <f t="shared" si="8"/>
        <v>1</v>
      </c>
      <c r="J148" s="157">
        <f t="shared" si="7"/>
        <v>2</v>
      </c>
    </row>
    <row r="149" spans="1:10" ht="15.75" customHeight="1" x14ac:dyDescent="0.2">
      <c r="A149" s="157">
        <v>148</v>
      </c>
      <c r="B149" s="163">
        <v>44939</v>
      </c>
      <c r="C149" s="157">
        <f t="shared" si="0"/>
        <v>0</v>
      </c>
      <c r="D149" s="157">
        <v>0</v>
      </c>
      <c r="E149" s="157">
        <f t="shared" si="1"/>
        <v>0</v>
      </c>
      <c r="F149" s="157" t="str">
        <f t="shared" si="2"/>
        <v>Friday</v>
      </c>
      <c r="H149" s="157">
        <v>3</v>
      </c>
      <c r="I149" s="157">
        <f t="shared" si="8"/>
        <v>1</v>
      </c>
      <c r="J149" s="157">
        <f t="shared" si="7"/>
        <v>2</v>
      </c>
    </row>
    <row r="150" spans="1:10" ht="15.75" customHeight="1" x14ac:dyDescent="0.2">
      <c r="A150" s="157">
        <v>149</v>
      </c>
      <c r="B150" s="163">
        <v>44940</v>
      </c>
      <c r="C150" s="157">
        <f t="shared" si="0"/>
        <v>1</v>
      </c>
      <c r="D150" s="157">
        <v>0</v>
      </c>
      <c r="E150" s="157">
        <f t="shared" si="1"/>
        <v>1</v>
      </c>
      <c r="F150" s="157" t="str">
        <f t="shared" si="2"/>
        <v>Saturday</v>
      </c>
      <c r="H150" s="157">
        <v>3</v>
      </c>
      <c r="I150" s="157">
        <f t="shared" si="8"/>
        <v>1</v>
      </c>
      <c r="J150" s="157">
        <f t="shared" si="7"/>
        <v>2</v>
      </c>
    </row>
    <row r="151" spans="1:10" ht="15.75" customHeight="1" x14ac:dyDescent="0.2">
      <c r="A151" s="157">
        <v>150</v>
      </c>
      <c r="B151" s="163">
        <v>44941</v>
      </c>
      <c r="C151" s="157">
        <f t="shared" si="0"/>
        <v>1</v>
      </c>
      <c r="D151" s="157">
        <v>0</v>
      </c>
      <c r="E151" s="157">
        <f t="shared" si="1"/>
        <v>1</v>
      </c>
      <c r="F151" s="157" t="str">
        <f t="shared" si="2"/>
        <v>Sunday</v>
      </c>
      <c r="H151" s="157">
        <v>3</v>
      </c>
      <c r="I151" s="157">
        <f t="shared" si="8"/>
        <v>1</v>
      </c>
      <c r="J151" s="157">
        <f t="shared" si="7"/>
        <v>2</v>
      </c>
    </row>
    <row r="152" spans="1:10" ht="15.75" customHeight="1" x14ac:dyDescent="0.2">
      <c r="A152" s="157">
        <v>151</v>
      </c>
      <c r="B152" s="163">
        <v>44942</v>
      </c>
      <c r="C152" s="157">
        <f t="shared" si="0"/>
        <v>0</v>
      </c>
      <c r="D152" s="157">
        <v>0</v>
      </c>
      <c r="E152" s="157">
        <f t="shared" si="1"/>
        <v>0</v>
      </c>
      <c r="F152" s="157" t="str">
        <f t="shared" si="2"/>
        <v>Monday</v>
      </c>
      <c r="H152" s="157">
        <v>3</v>
      </c>
      <c r="I152" s="157">
        <f t="shared" si="8"/>
        <v>2</v>
      </c>
      <c r="J152" s="157">
        <f t="shared" si="7"/>
        <v>3</v>
      </c>
    </row>
    <row r="153" spans="1:10" ht="15.75" customHeight="1" x14ac:dyDescent="0.2">
      <c r="A153" s="157">
        <v>152</v>
      </c>
      <c r="B153" s="163">
        <v>44943</v>
      </c>
      <c r="C153" s="157">
        <f t="shared" si="0"/>
        <v>0</v>
      </c>
      <c r="D153" s="157">
        <v>0</v>
      </c>
      <c r="E153" s="157">
        <f t="shared" si="1"/>
        <v>0</v>
      </c>
      <c r="F153" s="157" t="str">
        <f t="shared" si="2"/>
        <v>Tuesday</v>
      </c>
      <c r="H153" s="157">
        <v>3</v>
      </c>
      <c r="I153" s="157">
        <f t="shared" si="8"/>
        <v>2</v>
      </c>
      <c r="J153" s="157">
        <f t="shared" si="7"/>
        <v>3</v>
      </c>
    </row>
    <row r="154" spans="1:10" ht="15.75" customHeight="1" x14ac:dyDescent="0.2">
      <c r="A154" s="157">
        <v>153</v>
      </c>
      <c r="B154" s="163">
        <v>44944</v>
      </c>
      <c r="C154" s="157">
        <f t="shared" si="0"/>
        <v>0</v>
      </c>
      <c r="D154" s="157">
        <v>0</v>
      </c>
      <c r="E154" s="157">
        <f t="shared" si="1"/>
        <v>0</v>
      </c>
      <c r="F154" s="157" t="str">
        <f t="shared" si="2"/>
        <v>Wednesday</v>
      </c>
      <c r="H154" s="157">
        <v>3</v>
      </c>
      <c r="I154" s="157">
        <f t="shared" si="8"/>
        <v>2</v>
      </c>
      <c r="J154" s="157">
        <f t="shared" si="7"/>
        <v>3</v>
      </c>
    </row>
    <row r="155" spans="1:10" ht="15.75" customHeight="1" x14ac:dyDescent="0.2">
      <c r="A155" s="157">
        <v>154</v>
      </c>
      <c r="B155" s="163">
        <v>44945</v>
      </c>
      <c r="C155" s="157">
        <f t="shared" si="0"/>
        <v>0</v>
      </c>
      <c r="D155" s="157">
        <v>0</v>
      </c>
      <c r="E155" s="157">
        <f t="shared" si="1"/>
        <v>0</v>
      </c>
      <c r="F155" s="157" t="str">
        <f t="shared" si="2"/>
        <v>Thursday</v>
      </c>
      <c r="H155" s="157">
        <v>3</v>
      </c>
      <c r="I155" s="157">
        <f t="shared" si="8"/>
        <v>2</v>
      </c>
      <c r="J155" s="157">
        <f t="shared" si="7"/>
        <v>3</v>
      </c>
    </row>
    <row r="156" spans="1:10" ht="15.75" customHeight="1" x14ac:dyDescent="0.2">
      <c r="A156" s="157">
        <v>155</v>
      </c>
      <c r="B156" s="163">
        <v>44946</v>
      </c>
      <c r="C156" s="157">
        <f t="shared" si="0"/>
        <v>0</v>
      </c>
      <c r="D156" s="157">
        <v>0</v>
      </c>
      <c r="E156" s="157">
        <f t="shared" si="1"/>
        <v>0</v>
      </c>
      <c r="F156" s="157" t="str">
        <f t="shared" si="2"/>
        <v>Friday</v>
      </c>
      <c r="H156" s="157">
        <v>3</v>
      </c>
      <c r="I156" s="157">
        <f t="shared" si="8"/>
        <v>2</v>
      </c>
      <c r="J156" s="157">
        <f t="shared" si="7"/>
        <v>3</v>
      </c>
    </row>
    <row r="157" spans="1:10" ht="15.75" customHeight="1" x14ac:dyDescent="0.2">
      <c r="A157" s="157">
        <v>156</v>
      </c>
      <c r="B157" s="163">
        <v>44947</v>
      </c>
      <c r="C157" s="157">
        <f t="shared" si="0"/>
        <v>1</v>
      </c>
      <c r="D157" s="157">
        <v>0</v>
      </c>
      <c r="E157" s="157">
        <f t="shared" si="1"/>
        <v>1</v>
      </c>
      <c r="F157" s="157" t="str">
        <f t="shared" si="2"/>
        <v>Saturday</v>
      </c>
      <c r="H157" s="157">
        <v>3</v>
      </c>
      <c r="I157" s="157">
        <f t="shared" si="8"/>
        <v>2</v>
      </c>
      <c r="J157" s="157">
        <f t="shared" si="7"/>
        <v>3</v>
      </c>
    </row>
    <row r="158" spans="1:10" ht="15.75" customHeight="1" x14ac:dyDescent="0.2">
      <c r="A158" s="157">
        <v>157</v>
      </c>
      <c r="B158" s="163">
        <v>44948</v>
      </c>
      <c r="C158" s="157">
        <f t="shared" si="0"/>
        <v>1</v>
      </c>
      <c r="D158" s="157">
        <v>0</v>
      </c>
      <c r="E158" s="157">
        <f t="shared" si="1"/>
        <v>1</v>
      </c>
      <c r="F158" s="157" t="str">
        <f t="shared" si="2"/>
        <v>Sunday</v>
      </c>
      <c r="H158" s="157">
        <v>3</v>
      </c>
      <c r="I158" s="157">
        <f t="shared" si="8"/>
        <v>2</v>
      </c>
      <c r="J158" s="157">
        <f t="shared" si="7"/>
        <v>3</v>
      </c>
    </row>
    <row r="159" spans="1:10" ht="15.75" customHeight="1" x14ac:dyDescent="0.2">
      <c r="A159" s="157">
        <v>158</v>
      </c>
      <c r="B159" s="163">
        <v>44949</v>
      </c>
      <c r="C159" s="157">
        <f t="shared" si="0"/>
        <v>0</v>
      </c>
      <c r="D159" s="157">
        <v>0</v>
      </c>
      <c r="E159" s="157">
        <f t="shared" si="1"/>
        <v>0</v>
      </c>
      <c r="F159" s="157" t="str">
        <f t="shared" si="2"/>
        <v>Monday</v>
      </c>
      <c r="H159" s="157">
        <v>3</v>
      </c>
      <c r="I159" s="157">
        <f t="shared" si="8"/>
        <v>3</v>
      </c>
      <c r="J159" s="157">
        <f t="shared" si="7"/>
        <v>4</v>
      </c>
    </row>
    <row r="160" spans="1:10" ht="15.75" customHeight="1" x14ac:dyDescent="0.2">
      <c r="A160" s="157">
        <v>159</v>
      </c>
      <c r="B160" s="163">
        <v>44950</v>
      </c>
      <c r="C160" s="157">
        <f t="shared" si="0"/>
        <v>0</v>
      </c>
      <c r="D160" s="157">
        <v>0</v>
      </c>
      <c r="E160" s="157">
        <f t="shared" si="1"/>
        <v>0</v>
      </c>
      <c r="F160" s="157" t="str">
        <f t="shared" si="2"/>
        <v>Tuesday</v>
      </c>
      <c r="H160" s="157">
        <v>3</v>
      </c>
      <c r="I160" s="157">
        <f t="shared" si="8"/>
        <v>3</v>
      </c>
      <c r="J160" s="157">
        <f t="shared" si="7"/>
        <v>4</v>
      </c>
    </row>
    <row r="161" spans="1:10" ht="15.75" customHeight="1" x14ac:dyDescent="0.2">
      <c r="A161" s="157">
        <v>160</v>
      </c>
      <c r="B161" s="163">
        <v>44951</v>
      </c>
      <c r="C161" s="157">
        <f t="shared" si="0"/>
        <v>0</v>
      </c>
      <c r="D161" s="157">
        <v>0</v>
      </c>
      <c r="E161" s="157">
        <f t="shared" si="1"/>
        <v>0</v>
      </c>
      <c r="F161" s="157" t="str">
        <f t="shared" si="2"/>
        <v>Wednesday</v>
      </c>
      <c r="H161" s="157">
        <v>3</v>
      </c>
      <c r="I161" s="157">
        <f t="shared" si="8"/>
        <v>3</v>
      </c>
      <c r="J161" s="157">
        <f t="shared" si="7"/>
        <v>4</v>
      </c>
    </row>
    <row r="162" spans="1:10" ht="15.75" customHeight="1" x14ac:dyDescent="0.2">
      <c r="A162" s="157">
        <v>161</v>
      </c>
      <c r="B162" s="163">
        <v>44952</v>
      </c>
      <c r="C162" s="157">
        <f t="shared" si="0"/>
        <v>0</v>
      </c>
      <c r="D162" s="157">
        <v>0</v>
      </c>
      <c r="E162" s="157">
        <f t="shared" si="1"/>
        <v>0</v>
      </c>
      <c r="F162" s="157" t="str">
        <f t="shared" si="2"/>
        <v>Thursday</v>
      </c>
      <c r="H162" s="157">
        <v>3</v>
      </c>
      <c r="I162" s="157">
        <f t="shared" si="8"/>
        <v>3</v>
      </c>
      <c r="J162" s="157">
        <f t="shared" si="7"/>
        <v>4</v>
      </c>
    </row>
    <row r="163" spans="1:10" ht="15.75" customHeight="1" x14ac:dyDescent="0.2">
      <c r="A163" s="157">
        <v>162</v>
      </c>
      <c r="B163" s="163">
        <v>44953</v>
      </c>
      <c r="C163" s="157">
        <f t="shared" si="0"/>
        <v>0</v>
      </c>
      <c r="D163" s="157">
        <v>0</v>
      </c>
      <c r="E163" s="157">
        <f t="shared" si="1"/>
        <v>0</v>
      </c>
      <c r="F163" s="157" t="str">
        <f t="shared" si="2"/>
        <v>Friday</v>
      </c>
      <c r="H163" s="157">
        <v>3</v>
      </c>
      <c r="I163" s="157">
        <f t="shared" si="8"/>
        <v>3</v>
      </c>
      <c r="J163" s="157">
        <f t="shared" si="7"/>
        <v>4</v>
      </c>
    </row>
    <row r="164" spans="1:10" ht="15.75" customHeight="1" x14ac:dyDescent="0.2">
      <c r="A164" s="157">
        <v>163</v>
      </c>
      <c r="B164" s="163">
        <v>44954</v>
      </c>
      <c r="C164" s="157">
        <f t="shared" si="0"/>
        <v>1</v>
      </c>
      <c r="D164" s="157">
        <v>0</v>
      </c>
      <c r="E164" s="157">
        <f t="shared" si="1"/>
        <v>1</v>
      </c>
      <c r="F164" s="157" t="str">
        <f t="shared" si="2"/>
        <v>Saturday</v>
      </c>
      <c r="H164" s="157">
        <v>3</v>
      </c>
      <c r="I164" s="157">
        <f t="shared" si="8"/>
        <v>3</v>
      </c>
      <c r="J164" s="157">
        <f t="shared" si="7"/>
        <v>4</v>
      </c>
    </row>
    <row r="165" spans="1:10" ht="15.75" customHeight="1" x14ac:dyDescent="0.2">
      <c r="A165" s="157">
        <v>164</v>
      </c>
      <c r="B165" s="163">
        <v>44955</v>
      </c>
      <c r="C165" s="157">
        <f t="shared" si="0"/>
        <v>1</v>
      </c>
      <c r="D165" s="157">
        <v>0</v>
      </c>
      <c r="E165" s="157">
        <f t="shared" si="1"/>
        <v>1</v>
      </c>
      <c r="F165" s="157" t="str">
        <f t="shared" si="2"/>
        <v>Sunday</v>
      </c>
      <c r="H165" s="157">
        <v>3</v>
      </c>
      <c r="I165" s="157">
        <f t="shared" si="8"/>
        <v>3</v>
      </c>
      <c r="J165" s="157">
        <f t="shared" si="7"/>
        <v>4</v>
      </c>
    </row>
    <row r="166" spans="1:10" ht="15.75" customHeight="1" x14ac:dyDescent="0.2">
      <c r="A166" s="157">
        <v>165</v>
      </c>
      <c r="B166" s="163">
        <v>44956</v>
      </c>
      <c r="C166" s="157">
        <f t="shared" si="0"/>
        <v>0</v>
      </c>
      <c r="D166" s="157">
        <v>0</v>
      </c>
      <c r="E166" s="157">
        <f t="shared" si="1"/>
        <v>0</v>
      </c>
      <c r="F166" s="157" t="str">
        <f t="shared" si="2"/>
        <v>Monday</v>
      </c>
      <c r="H166" s="157">
        <v>3</v>
      </c>
      <c r="I166" s="157">
        <f t="shared" si="8"/>
        <v>4</v>
      </c>
      <c r="J166" s="157">
        <f t="shared" si="7"/>
        <v>5</v>
      </c>
    </row>
    <row r="167" spans="1:10" ht="15.75" customHeight="1" x14ac:dyDescent="0.2">
      <c r="A167" s="157">
        <v>166</v>
      </c>
      <c r="B167" s="163">
        <v>44957</v>
      </c>
      <c r="C167" s="157">
        <f t="shared" si="0"/>
        <v>0</v>
      </c>
      <c r="D167" s="157">
        <v>0</v>
      </c>
      <c r="E167" s="157">
        <f t="shared" si="1"/>
        <v>0</v>
      </c>
      <c r="F167" s="157" t="str">
        <f t="shared" si="2"/>
        <v>Tuesday</v>
      </c>
      <c r="H167" s="157">
        <v>3</v>
      </c>
      <c r="I167" s="157">
        <f t="shared" si="8"/>
        <v>4</v>
      </c>
      <c r="J167" s="157">
        <f t="shared" si="7"/>
        <v>5</v>
      </c>
    </row>
    <row r="168" spans="1:10" ht="15.75" customHeight="1" x14ac:dyDescent="0.2">
      <c r="A168" s="157">
        <v>167</v>
      </c>
      <c r="B168" s="163">
        <v>44958</v>
      </c>
      <c r="C168" s="157">
        <f t="shared" si="0"/>
        <v>0</v>
      </c>
      <c r="D168" s="157">
        <v>0</v>
      </c>
      <c r="E168" s="157">
        <f t="shared" si="1"/>
        <v>0</v>
      </c>
      <c r="F168" s="157" t="str">
        <f t="shared" si="2"/>
        <v>Wednesday</v>
      </c>
      <c r="H168" s="157">
        <v>3</v>
      </c>
      <c r="I168" s="157">
        <f t="shared" si="8"/>
        <v>4</v>
      </c>
      <c r="J168" s="157">
        <f t="shared" si="7"/>
        <v>5</v>
      </c>
    </row>
    <row r="169" spans="1:10" ht="15.75" customHeight="1" x14ac:dyDescent="0.2">
      <c r="A169" s="157">
        <v>168</v>
      </c>
      <c r="B169" s="163">
        <v>44959</v>
      </c>
      <c r="C169" s="157">
        <f t="shared" si="0"/>
        <v>0</v>
      </c>
      <c r="D169" s="157">
        <v>0</v>
      </c>
      <c r="E169" s="157">
        <f t="shared" si="1"/>
        <v>0</v>
      </c>
      <c r="F169" s="157" t="str">
        <f t="shared" si="2"/>
        <v>Thursday</v>
      </c>
      <c r="H169" s="157">
        <v>3</v>
      </c>
      <c r="I169" s="157">
        <f t="shared" si="8"/>
        <v>4</v>
      </c>
      <c r="J169" s="157">
        <f t="shared" si="7"/>
        <v>5</v>
      </c>
    </row>
    <row r="170" spans="1:10" ht="15.75" customHeight="1" x14ac:dyDescent="0.2">
      <c r="A170" s="157">
        <v>169</v>
      </c>
      <c r="B170" s="163">
        <v>44960</v>
      </c>
      <c r="C170" s="157">
        <f t="shared" si="0"/>
        <v>0</v>
      </c>
      <c r="D170" s="157">
        <v>0</v>
      </c>
      <c r="E170" s="157">
        <f t="shared" si="1"/>
        <v>0</v>
      </c>
      <c r="F170" s="157" t="str">
        <f t="shared" si="2"/>
        <v>Friday</v>
      </c>
      <c r="H170" s="157">
        <v>3</v>
      </c>
      <c r="I170" s="157">
        <f t="shared" si="8"/>
        <v>4</v>
      </c>
      <c r="J170" s="157">
        <f t="shared" si="7"/>
        <v>5</v>
      </c>
    </row>
    <row r="171" spans="1:10" ht="15.75" customHeight="1" x14ac:dyDescent="0.2">
      <c r="A171" s="157">
        <v>170</v>
      </c>
      <c r="B171" s="163">
        <v>44961</v>
      </c>
      <c r="C171" s="157">
        <f t="shared" si="0"/>
        <v>1</v>
      </c>
      <c r="D171" s="157">
        <v>0</v>
      </c>
      <c r="E171" s="157">
        <f t="shared" si="1"/>
        <v>1</v>
      </c>
      <c r="F171" s="157" t="str">
        <f t="shared" si="2"/>
        <v>Saturday</v>
      </c>
      <c r="H171" s="157">
        <v>3</v>
      </c>
      <c r="I171" s="157">
        <f t="shared" si="8"/>
        <v>4</v>
      </c>
      <c r="J171" s="157">
        <f t="shared" si="7"/>
        <v>5</v>
      </c>
    </row>
    <row r="172" spans="1:10" ht="15.75" customHeight="1" x14ac:dyDescent="0.2">
      <c r="A172" s="157">
        <v>171</v>
      </c>
      <c r="B172" s="163">
        <v>44962</v>
      </c>
      <c r="C172" s="157">
        <f t="shared" si="0"/>
        <v>1</v>
      </c>
      <c r="D172" s="157">
        <v>0</v>
      </c>
      <c r="E172" s="157">
        <f t="shared" si="1"/>
        <v>1</v>
      </c>
      <c r="F172" s="157" t="str">
        <f t="shared" si="2"/>
        <v>Sunday</v>
      </c>
      <c r="H172" s="157">
        <v>3</v>
      </c>
      <c r="I172" s="157">
        <f t="shared" si="8"/>
        <v>4</v>
      </c>
      <c r="J172" s="157">
        <f t="shared" si="7"/>
        <v>5</v>
      </c>
    </row>
    <row r="173" spans="1:10" ht="15.75" customHeight="1" x14ac:dyDescent="0.2">
      <c r="A173" s="157">
        <v>172</v>
      </c>
      <c r="B173" s="163">
        <v>44963</v>
      </c>
      <c r="C173" s="157">
        <f t="shared" si="0"/>
        <v>0</v>
      </c>
      <c r="D173" s="157">
        <v>0</v>
      </c>
      <c r="E173" s="157">
        <f t="shared" si="1"/>
        <v>0</v>
      </c>
      <c r="F173" s="157" t="str">
        <f t="shared" si="2"/>
        <v>Monday</v>
      </c>
      <c r="H173" s="157">
        <v>3</v>
      </c>
      <c r="I173" s="157">
        <f t="shared" si="8"/>
        <v>5</v>
      </c>
      <c r="J173" s="157">
        <f t="shared" si="7"/>
        <v>6</v>
      </c>
    </row>
    <row r="174" spans="1:10" ht="15.75" customHeight="1" x14ac:dyDescent="0.2">
      <c r="A174" s="157">
        <v>173</v>
      </c>
      <c r="B174" s="163">
        <v>44964</v>
      </c>
      <c r="C174" s="157">
        <f t="shared" si="0"/>
        <v>0</v>
      </c>
      <c r="D174" s="157">
        <v>0</v>
      </c>
      <c r="E174" s="157">
        <f t="shared" si="1"/>
        <v>0</v>
      </c>
      <c r="F174" s="157" t="str">
        <f t="shared" si="2"/>
        <v>Tuesday</v>
      </c>
      <c r="H174" s="157">
        <v>3</v>
      </c>
      <c r="I174" s="157">
        <f t="shared" si="8"/>
        <v>5</v>
      </c>
      <c r="J174" s="157">
        <f t="shared" si="7"/>
        <v>6</v>
      </c>
    </row>
    <row r="175" spans="1:10" ht="15.75" customHeight="1" x14ac:dyDescent="0.2">
      <c r="A175" s="157">
        <v>174</v>
      </c>
      <c r="B175" s="163">
        <v>44965</v>
      </c>
      <c r="C175" s="157">
        <f t="shared" si="0"/>
        <v>0</v>
      </c>
      <c r="D175" s="157">
        <v>0</v>
      </c>
      <c r="E175" s="157">
        <f t="shared" si="1"/>
        <v>0</v>
      </c>
      <c r="F175" s="157" t="str">
        <f t="shared" si="2"/>
        <v>Wednesday</v>
      </c>
      <c r="H175" s="157">
        <v>3</v>
      </c>
      <c r="I175" s="157">
        <f t="shared" si="8"/>
        <v>5</v>
      </c>
      <c r="J175" s="157">
        <f t="shared" si="7"/>
        <v>6</v>
      </c>
    </row>
    <row r="176" spans="1:10" ht="15.75" customHeight="1" x14ac:dyDescent="0.2">
      <c r="A176" s="157">
        <v>175</v>
      </c>
      <c r="B176" s="163">
        <v>44966</v>
      </c>
      <c r="C176" s="157">
        <f t="shared" si="0"/>
        <v>0</v>
      </c>
      <c r="D176" s="157">
        <v>0</v>
      </c>
      <c r="E176" s="157">
        <f t="shared" si="1"/>
        <v>0</v>
      </c>
      <c r="F176" s="157" t="str">
        <f t="shared" si="2"/>
        <v>Thursday</v>
      </c>
      <c r="H176" s="157">
        <v>3</v>
      </c>
      <c r="I176" s="157">
        <f t="shared" si="8"/>
        <v>5</v>
      </c>
      <c r="J176" s="157">
        <f t="shared" si="7"/>
        <v>6</v>
      </c>
    </row>
    <row r="177" spans="1:10" ht="15.75" customHeight="1" x14ac:dyDescent="0.2">
      <c r="A177" s="157">
        <v>176</v>
      </c>
      <c r="B177" s="163">
        <v>44967</v>
      </c>
      <c r="C177" s="157">
        <f t="shared" si="0"/>
        <v>0</v>
      </c>
      <c r="D177" s="157">
        <v>0</v>
      </c>
      <c r="E177" s="157">
        <f t="shared" si="1"/>
        <v>0</v>
      </c>
      <c r="F177" s="157" t="str">
        <f t="shared" si="2"/>
        <v>Friday</v>
      </c>
      <c r="H177" s="157">
        <v>3</v>
      </c>
      <c r="I177" s="157">
        <f t="shared" si="8"/>
        <v>5</v>
      </c>
      <c r="J177" s="157">
        <f t="shared" si="7"/>
        <v>6</v>
      </c>
    </row>
    <row r="178" spans="1:10" ht="15.75" customHeight="1" x14ac:dyDescent="0.2">
      <c r="A178" s="157">
        <v>177</v>
      </c>
      <c r="B178" s="163">
        <v>44968</v>
      </c>
      <c r="C178" s="157">
        <f t="shared" si="0"/>
        <v>1</v>
      </c>
      <c r="D178" s="157">
        <v>0</v>
      </c>
      <c r="E178" s="157">
        <f t="shared" si="1"/>
        <v>1</v>
      </c>
      <c r="F178" s="157" t="str">
        <f t="shared" si="2"/>
        <v>Saturday</v>
      </c>
      <c r="H178" s="157">
        <v>3</v>
      </c>
      <c r="I178" s="157">
        <f t="shared" si="8"/>
        <v>5</v>
      </c>
      <c r="J178" s="157">
        <f t="shared" si="7"/>
        <v>6</v>
      </c>
    </row>
    <row r="179" spans="1:10" ht="15.75" customHeight="1" x14ac:dyDescent="0.2">
      <c r="A179" s="157">
        <v>178</v>
      </c>
      <c r="B179" s="163">
        <v>44969</v>
      </c>
      <c r="C179" s="157">
        <f t="shared" si="0"/>
        <v>1</v>
      </c>
      <c r="D179" s="157">
        <v>0</v>
      </c>
      <c r="E179" s="157">
        <f t="shared" si="1"/>
        <v>1</v>
      </c>
      <c r="F179" s="157" t="str">
        <f t="shared" si="2"/>
        <v>Sunday</v>
      </c>
      <c r="H179" s="157">
        <v>3</v>
      </c>
      <c r="I179" s="157">
        <f t="shared" si="8"/>
        <v>5</v>
      </c>
      <c r="J179" s="157">
        <f t="shared" si="7"/>
        <v>6</v>
      </c>
    </row>
    <row r="180" spans="1:10" ht="15.75" customHeight="1" x14ac:dyDescent="0.2">
      <c r="A180" s="157">
        <v>179</v>
      </c>
      <c r="B180" s="163">
        <v>44970</v>
      </c>
      <c r="C180" s="157">
        <f t="shared" si="0"/>
        <v>0</v>
      </c>
      <c r="D180" s="157">
        <v>0</v>
      </c>
      <c r="E180" s="157">
        <f t="shared" si="1"/>
        <v>0</v>
      </c>
      <c r="F180" s="157" t="str">
        <f t="shared" si="2"/>
        <v>Monday</v>
      </c>
      <c r="H180" s="157">
        <v>3</v>
      </c>
      <c r="I180" s="157">
        <f t="shared" si="8"/>
        <v>6</v>
      </c>
      <c r="J180" s="157">
        <f t="shared" si="7"/>
        <v>7</v>
      </c>
    </row>
    <row r="181" spans="1:10" ht="15.75" customHeight="1" x14ac:dyDescent="0.2">
      <c r="A181" s="157">
        <v>180</v>
      </c>
      <c r="B181" s="163">
        <v>44971</v>
      </c>
      <c r="C181" s="157">
        <f t="shared" si="0"/>
        <v>0</v>
      </c>
      <c r="D181" s="157">
        <v>0</v>
      </c>
      <c r="E181" s="157">
        <f t="shared" si="1"/>
        <v>0</v>
      </c>
      <c r="F181" s="157" t="str">
        <f t="shared" si="2"/>
        <v>Tuesday</v>
      </c>
      <c r="H181" s="157">
        <v>3</v>
      </c>
      <c r="I181" s="157">
        <f t="shared" si="8"/>
        <v>6</v>
      </c>
      <c r="J181" s="157">
        <f t="shared" si="7"/>
        <v>7</v>
      </c>
    </row>
    <row r="182" spans="1:10" ht="15.75" customHeight="1" x14ac:dyDescent="0.2">
      <c r="A182" s="157">
        <v>181</v>
      </c>
      <c r="B182" s="163">
        <v>44972</v>
      </c>
      <c r="C182" s="157">
        <f t="shared" si="0"/>
        <v>0</v>
      </c>
      <c r="D182" s="157">
        <v>0</v>
      </c>
      <c r="E182" s="157">
        <f t="shared" si="1"/>
        <v>0</v>
      </c>
      <c r="F182" s="157" t="str">
        <f t="shared" si="2"/>
        <v>Wednesday</v>
      </c>
      <c r="H182" s="157">
        <v>3</v>
      </c>
      <c r="I182" s="157">
        <f t="shared" si="8"/>
        <v>6</v>
      </c>
      <c r="J182" s="157">
        <f t="shared" si="7"/>
        <v>7</v>
      </c>
    </row>
    <row r="183" spans="1:10" ht="15.75" customHeight="1" x14ac:dyDescent="0.2">
      <c r="A183" s="157">
        <v>182</v>
      </c>
      <c r="B183" s="163">
        <v>44973</v>
      </c>
      <c r="C183" s="157">
        <f t="shared" si="0"/>
        <v>0</v>
      </c>
      <c r="D183" s="157">
        <v>0</v>
      </c>
      <c r="E183" s="157">
        <f t="shared" si="1"/>
        <v>0</v>
      </c>
      <c r="F183" s="157" t="str">
        <f t="shared" si="2"/>
        <v>Thursday</v>
      </c>
      <c r="H183" s="157">
        <v>3</v>
      </c>
      <c r="I183" s="157">
        <f t="shared" si="8"/>
        <v>6</v>
      </c>
      <c r="J183" s="157">
        <f t="shared" si="7"/>
        <v>7</v>
      </c>
    </row>
    <row r="184" spans="1:10" ht="15.75" customHeight="1" x14ac:dyDescent="0.2">
      <c r="A184" s="157">
        <v>183</v>
      </c>
      <c r="B184" s="163">
        <v>44974</v>
      </c>
      <c r="C184" s="157">
        <f t="shared" si="0"/>
        <v>0</v>
      </c>
      <c r="D184" s="157">
        <v>0</v>
      </c>
      <c r="E184" s="157">
        <f t="shared" si="1"/>
        <v>0</v>
      </c>
      <c r="F184" s="157" t="str">
        <f t="shared" si="2"/>
        <v>Friday</v>
      </c>
      <c r="H184" s="157">
        <v>3</v>
      </c>
      <c r="I184" s="157">
        <f t="shared" si="8"/>
        <v>6</v>
      </c>
      <c r="J184" s="157">
        <f t="shared" si="7"/>
        <v>7</v>
      </c>
    </row>
    <row r="185" spans="1:10" ht="15.75" customHeight="1" x14ac:dyDescent="0.2">
      <c r="A185" s="157">
        <v>184</v>
      </c>
      <c r="B185" s="163">
        <v>44975</v>
      </c>
      <c r="C185" s="157">
        <f t="shared" si="0"/>
        <v>1</v>
      </c>
      <c r="D185" s="157">
        <v>0</v>
      </c>
      <c r="E185" s="157">
        <f t="shared" si="1"/>
        <v>1</v>
      </c>
      <c r="F185" s="157" t="str">
        <f t="shared" si="2"/>
        <v>Saturday</v>
      </c>
      <c r="H185" s="157">
        <v>3</v>
      </c>
      <c r="I185" s="157">
        <f t="shared" si="8"/>
        <v>6</v>
      </c>
      <c r="J185" s="157">
        <f t="shared" si="7"/>
        <v>7</v>
      </c>
    </row>
    <row r="186" spans="1:10" ht="15.75" customHeight="1" x14ac:dyDescent="0.2">
      <c r="A186" s="157">
        <v>185</v>
      </c>
      <c r="B186" s="163">
        <v>44976</v>
      </c>
      <c r="C186" s="157">
        <f t="shared" si="0"/>
        <v>1</v>
      </c>
      <c r="D186" s="157">
        <v>0</v>
      </c>
      <c r="E186" s="157">
        <f t="shared" si="1"/>
        <v>1</v>
      </c>
      <c r="F186" s="157" t="str">
        <f t="shared" si="2"/>
        <v>Sunday</v>
      </c>
      <c r="H186" s="157">
        <v>3</v>
      </c>
      <c r="I186" s="157">
        <f t="shared" si="8"/>
        <v>6</v>
      </c>
      <c r="J186" s="157">
        <f t="shared" si="7"/>
        <v>7</v>
      </c>
    </row>
    <row r="187" spans="1:10" ht="15.75" customHeight="1" x14ac:dyDescent="0.2">
      <c r="A187" s="157">
        <v>186</v>
      </c>
      <c r="B187" s="163">
        <v>44977</v>
      </c>
      <c r="C187" s="157">
        <f t="shared" si="0"/>
        <v>0</v>
      </c>
      <c r="D187" s="157">
        <v>0</v>
      </c>
      <c r="E187" s="157">
        <f t="shared" si="1"/>
        <v>0</v>
      </c>
      <c r="F187" s="157" t="str">
        <f t="shared" si="2"/>
        <v>Monday</v>
      </c>
      <c r="H187" s="157">
        <v>3</v>
      </c>
      <c r="I187" s="157">
        <f t="shared" si="8"/>
        <v>7</v>
      </c>
      <c r="J187" s="157">
        <f t="shared" si="7"/>
        <v>8</v>
      </c>
    </row>
    <row r="188" spans="1:10" ht="15.75" customHeight="1" x14ac:dyDescent="0.2">
      <c r="A188" s="157">
        <v>187</v>
      </c>
      <c r="B188" s="163">
        <v>44978</v>
      </c>
      <c r="C188" s="157">
        <f t="shared" si="0"/>
        <v>0</v>
      </c>
      <c r="D188" s="157">
        <v>0</v>
      </c>
      <c r="E188" s="157">
        <f t="shared" si="1"/>
        <v>0</v>
      </c>
      <c r="F188" s="157" t="str">
        <f t="shared" si="2"/>
        <v>Tuesday</v>
      </c>
      <c r="H188" s="157">
        <v>3</v>
      </c>
      <c r="I188" s="157">
        <f t="shared" si="8"/>
        <v>7</v>
      </c>
      <c r="J188" s="157">
        <f t="shared" si="7"/>
        <v>8</v>
      </c>
    </row>
    <row r="189" spans="1:10" ht="15.75" customHeight="1" x14ac:dyDescent="0.2">
      <c r="A189" s="157">
        <v>188</v>
      </c>
      <c r="B189" s="163">
        <v>44979</v>
      </c>
      <c r="C189" s="157">
        <f t="shared" si="0"/>
        <v>0</v>
      </c>
      <c r="D189" s="157">
        <v>0</v>
      </c>
      <c r="E189" s="157">
        <f t="shared" si="1"/>
        <v>0</v>
      </c>
      <c r="F189" s="157" t="str">
        <f t="shared" si="2"/>
        <v>Wednesday</v>
      </c>
      <c r="H189" s="157">
        <v>3</v>
      </c>
      <c r="I189" s="157">
        <f t="shared" si="8"/>
        <v>7</v>
      </c>
      <c r="J189" s="157">
        <f t="shared" si="7"/>
        <v>8</v>
      </c>
    </row>
    <row r="190" spans="1:10" ht="15.75" customHeight="1" x14ac:dyDescent="0.2">
      <c r="A190" s="157">
        <v>189</v>
      </c>
      <c r="B190" s="163">
        <v>44980</v>
      </c>
      <c r="C190" s="157">
        <f t="shared" si="0"/>
        <v>0</v>
      </c>
      <c r="D190" s="157">
        <v>0</v>
      </c>
      <c r="E190" s="157">
        <f t="shared" si="1"/>
        <v>0</v>
      </c>
      <c r="F190" s="157" t="str">
        <f t="shared" si="2"/>
        <v>Thursday</v>
      </c>
      <c r="H190" s="157">
        <v>3</v>
      </c>
      <c r="I190" s="157">
        <f t="shared" si="8"/>
        <v>7</v>
      </c>
      <c r="J190" s="157">
        <f t="shared" si="7"/>
        <v>8</v>
      </c>
    </row>
    <row r="191" spans="1:10" ht="15.75" customHeight="1" x14ac:dyDescent="0.2">
      <c r="A191" s="157">
        <v>190</v>
      </c>
      <c r="B191" s="163">
        <v>44981</v>
      </c>
      <c r="C191" s="157">
        <f t="shared" si="0"/>
        <v>0</v>
      </c>
      <c r="D191" s="157">
        <v>0</v>
      </c>
      <c r="E191" s="157">
        <f t="shared" si="1"/>
        <v>0</v>
      </c>
      <c r="F191" s="157" t="str">
        <f t="shared" si="2"/>
        <v>Friday</v>
      </c>
      <c r="H191" s="157">
        <v>3</v>
      </c>
      <c r="I191" s="157">
        <f t="shared" si="8"/>
        <v>7</v>
      </c>
      <c r="J191" s="157">
        <f t="shared" si="7"/>
        <v>8</v>
      </c>
    </row>
    <row r="192" spans="1:10" ht="15.75" customHeight="1" x14ac:dyDescent="0.2">
      <c r="A192" s="157">
        <v>191</v>
      </c>
      <c r="B192" s="163">
        <v>44982</v>
      </c>
      <c r="C192" s="157">
        <f t="shared" si="0"/>
        <v>1</v>
      </c>
      <c r="D192" s="157">
        <v>0</v>
      </c>
      <c r="E192" s="157">
        <f t="shared" si="1"/>
        <v>1</v>
      </c>
      <c r="F192" s="157" t="str">
        <f t="shared" si="2"/>
        <v>Saturday</v>
      </c>
      <c r="H192" s="157">
        <v>3</v>
      </c>
      <c r="I192" s="157">
        <f t="shared" si="8"/>
        <v>7</v>
      </c>
      <c r="J192" s="157">
        <f t="shared" si="7"/>
        <v>8</v>
      </c>
    </row>
    <row r="193" spans="1:10" ht="15.75" customHeight="1" x14ac:dyDescent="0.2">
      <c r="A193" s="157">
        <v>192</v>
      </c>
      <c r="B193" s="163">
        <v>44983</v>
      </c>
      <c r="C193" s="157">
        <f t="shared" si="0"/>
        <v>1</v>
      </c>
      <c r="D193" s="157">
        <v>0</v>
      </c>
      <c r="E193" s="157">
        <f t="shared" si="1"/>
        <v>1</v>
      </c>
      <c r="F193" s="157" t="str">
        <f t="shared" si="2"/>
        <v>Sunday</v>
      </c>
      <c r="H193" s="157">
        <v>3</v>
      </c>
      <c r="I193" s="157">
        <f t="shared" si="8"/>
        <v>7</v>
      </c>
      <c r="J193" s="157">
        <f t="shared" si="7"/>
        <v>8</v>
      </c>
    </row>
    <row r="194" spans="1:10" ht="15.75" customHeight="1" x14ac:dyDescent="0.2">
      <c r="A194" s="157">
        <v>193</v>
      </c>
      <c r="B194" s="163">
        <v>44984</v>
      </c>
      <c r="C194" s="157">
        <f t="shared" si="0"/>
        <v>0</v>
      </c>
      <c r="D194" s="157">
        <v>1</v>
      </c>
      <c r="E194" s="157">
        <f t="shared" si="1"/>
        <v>1</v>
      </c>
      <c r="F194" s="157" t="str">
        <f t="shared" si="2"/>
        <v>Monday</v>
      </c>
      <c r="G194" s="157" t="s">
        <v>1776</v>
      </c>
      <c r="H194" s="157">
        <v>3</v>
      </c>
      <c r="I194" s="157">
        <f t="shared" si="8"/>
        <v>8</v>
      </c>
      <c r="J194" s="157">
        <f t="shared" si="7"/>
        <v>9</v>
      </c>
    </row>
    <row r="195" spans="1:10" ht="15.75" customHeight="1" x14ac:dyDescent="0.2">
      <c r="A195" s="157">
        <v>194</v>
      </c>
      <c r="B195" s="163">
        <v>44985</v>
      </c>
      <c r="C195" s="157">
        <f t="shared" si="0"/>
        <v>0</v>
      </c>
      <c r="D195" s="157">
        <v>1</v>
      </c>
      <c r="E195" s="157">
        <f t="shared" si="1"/>
        <v>1</v>
      </c>
      <c r="F195" s="157" t="str">
        <f t="shared" si="2"/>
        <v>Tuesday</v>
      </c>
      <c r="G195" s="157" t="s">
        <v>1776</v>
      </c>
      <c r="H195" s="157">
        <v>3</v>
      </c>
      <c r="I195" s="157">
        <f t="shared" si="8"/>
        <v>8</v>
      </c>
      <c r="J195" s="157">
        <f t="shared" ref="J195:J258" si="9">_xlfn.ISOWEEKNUM(B195)</f>
        <v>9</v>
      </c>
    </row>
    <row r="196" spans="1:10" ht="15.75" customHeight="1" x14ac:dyDescent="0.2">
      <c r="A196" s="157">
        <v>195</v>
      </c>
      <c r="B196" s="163">
        <v>44986</v>
      </c>
      <c r="C196" s="157">
        <f t="shared" si="0"/>
        <v>0</v>
      </c>
      <c r="D196" s="157">
        <v>1</v>
      </c>
      <c r="E196" s="157">
        <f t="shared" si="1"/>
        <v>1</v>
      </c>
      <c r="F196" s="157" t="str">
        <f t="shared" si="2"/>
        <v>Wednesday</v>
      </c>
      <c r="G196" s="157" t="s">
        <v>1776</v>
      </c>
      <c r="H196" s="157">
        <v>3</v>
      </c>
      <c r="I196" s="157">
        <f t="shared" si="8"/>
        <v>8</v>
      </c>
      <c r="J196" s="157">
        <f t="shared" si="9"/>
        <v>9</v>
      </c>
    </row>
    <row r="197" spans="1:10" ht="15.75" customHeight="1" x14ac:dyDescent="0.2">
      <c r="A197" s="157">
        <v>196</v>
      </c>
      <c r="B197" s="163">
        <v>44987</v>
      </c>
      <c r="C197" s="157">
        <f t="shared" si="0"/>
        <v>0</v>
      </c>
      <c r="D197" s="157">
        <v>1</v>
      </c>
      <c r="E197" s="157">
        <f t="shared" si="1"/>
        <v>1</v>
      </c>
      <c r="F197" s="157" t="str">
        <f t="shared" si="2"/>
        <v>Thursday</v>
      </c>
      <c r="G197" s="157" t="s">
        <v>1776</v>
      </c>
      <c r="H197" s="157">
        <v>3</v>
      </c>
      <c r="I197" s="157">
        <f t="shared" ref="I197:I260" si="10">IF(J197&gt;J196, IF(H197&lt;&gt;H196,1, I196+1),I196)</f>
        <v>8</v>
      </c>
      <c r="J197" s="157">
        <f t="shared" si="9"/>
        <v>9</v>
      </c>
    </row>
    <row r="198" spans="1:10" ht="15.75" customHeight="1" x14ac:dyDescent="0.2">
      <c r="A198" s="157">
        <v>197</v>
      </c>
      <c r="B198" s="163">
        <v>44988</v>
      </c>
      <c r="C198" s="157">
        <f t="shared" si="0"/>
        <v>0</v>
      </c>
      <c r="D198" s="157">
        <v>1</v>
      </c>
      <c r="E198" s="157">
        <f t="shared" si="1"/>
        <v>1</v>
      </c>
      <c r="F198" s="157" t="str">
        <f t="shared" si="2"/>
        <v>Friday</v>
      </c>
      <c r="G198" s="157" t="s">
        <v>1776</v>
      </c>
      <c r="H198" s="157">
        <v>3</v>
      </c>
      <c r="I198" s="157">
        <f t="shared" si="10"/>
        <v>8</v>
      </c>
      <c r="J198" s="157">
        <f t="shared" si="9"/>
        <v>9</v>
      </c>
    </row>
    <row r="199" spans="1:10" ht="15.75" customHeight="1" x14ac:dyDescent="0.2">
      <c r="A199" s="157">
        <v>198</v>
      </c>
      <c r="B199" s="163">
        <v>44989</v>
      </c>
      <c r="C199" s="157">
        <f t="shared" si="0"/>
        <v>1</v>
      </c>
      <c r="D199" s="157">
        <v>1</v>
      </c>
      <c r="E199" s="157">
        <f t="shared" si="1"/>
        <v>1</v>
      </c>
      <c r="F199" s="157" t="str">
        <f t="shared" si="2"/>
        <v>Saturday</v>
      </c>
      <c r="G199" s="157" t="s">
        <v>1776</v>
      </c>
      <c r="H199" s="157">
        <v>3</v>
      </c>
      <c r="I199" s="157">
        <f t="shared" si="10"/>
        <v>8</v>
      </c>
      <c r="J199" s="157">
        <f t="shared" si="9"/>
        <v>9</v>
      </c>
    </row>
    <row r="200" spans="1:10" ht="15.75" customHeight="1" x14ac:dyDescent="0.2">
      <c r="A200" s="157">
        <v>199</v>
      </c>
      <c r="B200" s="163">
        <v>44990</v>
      </c>
      <c r="C200" s="157">
        <f t="shared" si="0"/>
        <v>1</v>
      </c>
      <c r="D200" s="157">
        <v>1</v>
      </c>
      <c r="E200" s="157">
        <f t="shared" si="1"/>
        <v>1</v>
      </c>
      <c r="F200" s="157" t="str">
        <f t="shared" si="2"/>
        <v>Sunday</v>
      </c>
      <c r="G200" s="157" t="s">
        <v>1776</v>
      </c>
      <c r="H200" s="157">
        <v>3</v>
      </c>
      <c r="I200" s="157">
        <f t="shared" si="10"/>
        <v>8</v>
      </c>
      <c r="J200" s="157">
        <f t="shared" si="9"/>
        <v>9</v>
      </c>
    </row>
    <row r="201" spans="1:10" ht="15.75" customHeight="1" x14ac:dyDescent="0.2">
      <c r="A201" s="157">
        <v>200</v>
      </c>
      <c r="B201" s="163">
        <v>44991</v>
      </c>
      <c r="C201" s="157">
        <f t="shared" si="0"/>
        <v>0</v>
      </c>
      <c r="D201" s="157">
        <v>1</v>
      </c>
      <c r="E201" s="157">
        <f t="shared" si="1"/>
        <v>1</v>
      </c>
      <c r="F201" s="157" t="str">
        <f t="shared" si="2"/>
        <v>Monday</v>
      </c>
      <c r="G201" s="157" t="s">
        <v>1774</v>
      </c>
      <c r="H201" s="157">
        <v>4</v>
      </c>
      <c r="I201" s="157">
        <f t="shared" si="10"/>
        <v>1</v>
      </c>
      <c r="J201" s="157">
        <f t="shared" si="9"/>
        <v>10</v>
      </c>
    </row>
    <row r="202" spans="1:10" ht="15.75" customHeight="1" x14ac:dyDescent="0.2">
      <c r="A202" s="157">
        <v>201</v>
      </c>
      <c r="B202" s="163">
        <v>44992</v>
      </c>
      <c r="C202" s="157">
        <f t="shared" si="0"/>
        <v>0</v>
      </c>
      <c r="D202" s="157">
        <v>0</v>
      </c>
      <c r="E202" s="157">
        <f t="shared" si="1"/>
        <v>0</v>
      </c>
      <c r="F202" s="157" t="str">
        <f t="shared" si="2"/>
        <v>Tuesday</v>
      </c>
      <c r="H202" s="157">
        <v>4</v>
      </c>
      <c r="I202" s="157">
        <f t="shared" si="10"/>
        <v>1</v>
      </c>
      <c r="J202" s="157">
        <f t="shared" si="9"/>
        <v>10</v>
      </c>
    </row>
    <row r="203" spans="1:10" ht="15.75" customHeight="1" x14ac:dyDescent="0.2">
      <c r="A203" s="157">
        <v>202</v>
      </c>
      <c r="B203" s="163">
        <v>44993</v>
      </c>
      <c r="C203" s="157">
        <f t="shared" si="0"/>
        <v>0</v>
      </c>
      <c r="D203" s="157">
        <v>0</v>
      </c>
      <c r="E203" s="157">
        <f t="shared" si="1"/>
        <v>0</v>
      </c>
      <c r="F203" s="157" t="str">
        <f t="shared" si="2"/>
        <v>Wednesday</v>
      </c>
      <c r="H203" s="157">
        <v>4</v>
      </c>
      <c r="I203" s="157">
        <f t="shared" si="10"/>
        <v>1</v>
      </c>
      <c r="J203" s="157">
        <f t="shared" si="9"/>
        <v>10</v>
      </c>
    </row>
    <row r="204" spans="1:10" ht="15.75" customHeight="1" x14ac:dyDescent="0.2">
      <c r="A204" s="157">
        <v>203</v>
      </c>
      <c r="B204" s="163">
        <v>44994</v>
      </c>
      <c r="C204" s="157">
        <f t="shared" si="0"/>
        <v>0</v>
      </c>
      <c r="D204" s="157">
        <v>0</v>
      </c>
      <c r="E204" s="157">
        <f t="shared" si="1"/>
        <v>0</v>
      </c>
      <c r="F204" s="157" t="str">
        <f t="shared" si="2"/>
        <v>Thursday</v>
      </c>
      <c r="H204" s="157">
        <v>4</v>
      </c>
      <c r="I204" s="157">
        <f t="shared" si="10"/>
        <v>1</v>
      </c>
      <c r="J204" s="157">
        <f t="shared" si="9"/>
        <v>10</v>
      </c>
    </row>
    <row r="205" spans="1:10" ht="15.75" customHeight="1" x14ac:dyDescent="0.2">
      <c r="A205" s="157">
        <v>204</v>
      </c>
      <c r="B205" s="163">
        <v>44995</v>
      </c>
      <c r="C205" s="157">
        <f t="shared" si="0"/>
        <v>0</v>
      </c>
      <c r="D205" s="157">
        <v>0</v>
      </c>
      <c r="E205" s="157">
        <f t="shared" si="1"/>
        <v>0</v>
      </c>
      <c r="F205" s="157" t="str">
        <f t="shared" si="2"/>
        <v>Friday</v>
      </c>
      <c r="H205" s="157">
        <v>4</v>
      </c>
      <c r="I205" s="157">
        <f t="shared" si="10"/>
        <v>1</v>
      </c>
      <c r="J205" s="157">
        <f t="shared" si="9"/>
        <v>10</v>
      </c>
    </row>
    <row r="206" spans="1:10" ht="15.75" customHeight="1" x14ac:dyDescent="0.2">
      <c r="A206" s="157">
        <v>205</v>
      </c>
      <c r="B206" s="163">
        <v>44996</v>
      </c>
      <c r="C206" s="157">
        <f t="shared" si="0"/>
        <v>1</v>
      </c>
      <c r="D206" s="157">
        <v>0</v>
      </c>
      <c r="E206" s="157">
        <f t="shared" si="1"/>
        <v>1</v>
      </c>
      <c r="F206" s="157" t="str">
        <f t="shared" si="2"/>
        <v>Saturday</v>
      </c>
      <c r="H206" s="157">
        <v>4</v>
      </c>
      <c r="I206" s="157">
        <f t="shared" si="10"/>
        <v>1</v>
      </c>
      <c r="J206" s="157">
        <f t="shared" si="9"/>
        <v>10</v>
      </c>
    </row>
    <row r="207" spans="1:10" ht="15.75" customHeight="1" x14ac:dyDescent="0.2">
      <c r="A207" s="157">
        <v>206</v>
      </c>
      <c r="B207" s="163">
        <v>44997</v>
      </c>
      <c r="C207" s="157">
        <f t="shared" si="0"/>
        <v>1</v>
      </c>
      <c r="D207" s="157">
        <v>0</v>
      </c>
      <c r="E207" s="157">
        <f t="shared" si="1"/>
        <v>1</v>
      </c>
      <c r="F207" s="157" t="str">
        <f t="shared" si="2"/>
        <v>Sunday</v>
      </c>
      <c r="H207" s="157">
        <v>4</v>
      </c>
      <c r="I207" s="157">
        <f t="shared" si="10"/>
        <v>1</v>
      </c>
      <c r="J207" s="157">
        <f t="shared" si="9"/>
        <v>10</v>
      </c>
    </row>
    <row r="208" spans="1:10" ht="15.75" customHeight="1" x14ac:dyDescent="0.2">
      <c r="A208" s="157">
        <v>207</v>
      </c>
      <c r="B208" s="163">
        <v>44998</v>
      </c>
      <c r="C208" s="157">
        <f t="shared" si="0"/>
        <v>0</v>
      </c>
      <c r="D208" s="157">
        <v>0</v>
      </c>
      <c r="E208" s="157">
        <f t="shared" si="1"/>
        <v>0</v>
      </c>
      <c r="F208" s="157" t="str">
        <f t="shared" si="2"/>
        <v>Monday</v>
      </c>
      <c r="H208" s="157">
        <v>4</v>
      </c>
      <c r="I208" s="157">
        <f t="shared" si="10"/>
        <v>2</v>
      </c>
      <c r="J208" s="157">
        <f t="shared" si="9"/>
        <v>11</v>
      </c>
    </row>
    <row r="209" spans="1:10" ht="15.75" customHeight="1" x14ac:dyDescent="0.2">
      <c r="A209" s="157">
        <v>208</v>
      </c>
      <c r="B209" s="163">
        <v>44999</v>
      </c>
      <c r="C209" s="157">
        <f t="shared" si="0"/>
        <v>0</v>
      </c>
      <c r="D209" s="157">
        <v>0</v>
      </c>
      <c r="E209" s="157">
        <f t="shared" si="1"/>
        <v>0</v>
      </c>
      <c r="F209" s="157" t="str">
        <f t="shared" si="2"/>
        <v>Tuesday</v>
      </c>
      <c r="H209" s="157">
        <v>4</v>
      </c>
      <c r="I209" s="157">
        <f t="shared" si="10"/>
        <v>2</v>
      </c>
      <c r="J209" s="157">
        <f t="shared" si="9"/>
        <v>11</v>
      </c>
    </row>
    <row r="210" spans="1:10" ht="15.75" customHeight="1" x14ac:dyDescent="0.2">
      <c r="A210" s="157">
        <v>209</v>
      </c>
      <c r="B210" s="163">
        <v>45000</v>
      </c>
      <c r="C210" s="157">
        <f t="shared" si="0"/>
        <v>0</v>
      </c>
      <c r="D210" s="157">
        <v>0</v>
      </c>
      <c r="E210" s="157">
        <f t="shared" si="1"/>
        <v>0</v>
      </c>
      <c r="F210" s="157" t="str">
        <f t="shared" si="2"/>
        <v>Wednesday</v>
      </c>
      <c r="H210" s="157">
        <v>4</v>
      </c>
      <c r="I210" s="157">
        <f t="shared" si="10"/>
        <v>2</v>
      </c>
      <c r="J210" s="157">
        <f t="shared" si="9"/>
        <v>11</v>
      </c>
    </row>
    <row r="211" spans="1:10" ht="15.75" customHeight="1" x14ac:dyDescent="0.2">
      <c r="A211" s="157">
        <v>210</v>
      </c>
      <c r="B211" s="163">
        <v>45001</v>
      </c>
      <c r="C211" s="157">
        <f t="shared" si="0"/>
        <v>0</v>
      </c>
      <c r="D211" s="157">
        <v>0</v>
      </c>
      <c r="E211" s="157">
        <f t="shared" si="1"/>
        <v>0</v>
      </c>
      <c r="F211" s="157" t="str">
        <f t="shared" si="2"/>
        <v>Thursday</v>
      </c>
      <c r="H211" s="157">
        <v>4</v>
      </c>
      <c r="I211" s="157">
        <f t="shared" si="10"/>
        <v>2</v>
      </c>
      <c r="J211" s="157">
        <f t="shared" si="9"/>
        <v>11</v>
      </c>
    </row>
    <row r="212" spans="1:10" ht="15.75" customHeight="1" x14ac:dyDescent="0.2">
      <c r="A212" s="157">
        <v>211</v>
      </c>
      <c r="B212" s="163">
        <v>45002</v>
      </c>
      <c r="C212" s="157">
        <f t="shared" si="0"/>
        <v>0</v>
      </c>
      <c r="D212" s="157">
        <v>0</v>
      </c>
      <c r="E212" s="157">
        <f t="shared" si="1"/>
        <v>0</v>
      </c>
      <c r="F212" s="157" t="str">
        <f t="shared" si="2"/>
        <v>Friday</v>
      </c>
      <c r="H212" s="157">
        <v>4</v>
      </c>
      <c r="I212" s="157">
        <f t="shared" si="10"/>
        <v>2</v>
      </c>
      <c r="J212" s="157">
        <f t="shared" si="9"/>
        <v>11</v>
      </c>
    </row>
    <row r="213" spans="1:10" ht="15.75" customHeight="1" x14ac:dyDescent="0.2">
      <c r="A213" s="157">
        <v>212</v>
      </c>
      <c r="B213" s="163">
        <v>45003</v>
      </c>
      <c r="C213" s="157">
        <f t="shared" si="0"/>
        <v>1</v>
      </c>
      <c r="D213" s="157">
        <v>0</v>
      </c>
      <c r="E213" s="157">
        <f t="shared" si="1"/>
        <v>1</v>
      </c>
      <c r="F213" s="157" t="str">
        <f t="shared" si="2"/>
        <v>Saturday</v>
      </c>
      <c r="H213" s="157">
        <v>4</v>
      </c>
      <c r="I213" s="157">
        <f t="shared" si="10"/>
        <v>2</v>
      </c>
      <c r="J213" s="157">
        <f t="shared" si="9"/>
        <v>11</v>
      </c>
    </row>
    <row r="214" spans="1:10" ht="15.75" customHeight="1" x14ac:dyDescent="0.2">
      <c r="A214" s="157">
        <v>213</v>
      </c>
      <c r="B214" s="163">
        <v>45004</v>
      </c>
      <c r="C214" s="157">
        <f t="shared" si="0"/>
        <v>1</v>
      </c>
      <c r="D214" s="157">
        <v>0</v>
      </c>
      <c r="E214" s="157">
        <f t="shared" si="1"/>
        <v>1</v>
      </c>
      <c r="F214" s="157" t="str">
        <f t="shared" si="2"/>
        <v>Sunday</v>
      </c>
      <c r="H214" s="157">
        <v>4</v>
      </c>
      <c r="I214" s="157">
        <f t="shared" si="10"/>
        <v>2</v>
      </c>
      <c r="J214" s="157">
        <f t="shared" si="9"/>
        <v>11</v>
      </c>
    </row>
    <row r="215" spans="1:10" ht="15.75" customHeight="1" x14ac:dyDescent="0.2">
      <c r="A215" s="157">
        <v>214</v>
      </c>
      <c r="B215" s="163">
        <v>45005</v>
      </c>
      <c r="C215" s="157">
        <f t="shared" si="0"/>
        <v>0</v>
      </c>
      <c r="D215" s="157">
        <v>0</v>
      </c>
      <c r="E215" s="157">
        <f t="shared" si="1"/>
        <v>0</v>
      </c>
      <c r="F215" s="157" t="str">
        <f t="shared" si="2"/>
        <v>Monday</v>
      </c>
      <c r="H215" s="157">
        <v>4</v>
      </c>
      <c r="I215" s="157">
        <f t="shared" si="10"/>
        <v>3</v>
      </c>
      <c r="J215" s="157">
        <f t="shared" si="9"/>
        <v>12</v>
      </c>
    </row>
    <row r="216" spans="1:10" ht="15.75" customHeight="1" x14ac:dyDescent="0.2">
      <c r="A216" s="157">
        <v>215</v>
      </c>
      <c r="B216" s="163">
        <v>45006</v>
      </c>
      <c r="C216" s="157">
        <f t="shared" si="0"/>
        <v>0</v>
      </c>
      <c r="D216" s="157">
        <v>0</v>
      </c>
      <c r="E216" s="157">
        <f t="shared" si="1"/>
        <v>0</v>
      </c>
      <c r="F216" s="157" t="str">
        <f t="shared" si="2"/>
        <v>Tuesday</v>
      </c>
      <c r="H216" s="157">
        <v>4</v>
      </c>
      <c r="I216" s="157">
        <f t="shared" si="10"/>
        <v>3</v>
      </c>
      <c r="J216" s="157">
        <f t="shared" si="9"/>
        <v>12</v>
      </c>
    </row>
    <row r="217" spans="1:10" ht="15.75" customHeight="1" x14ac:dyDescent="0.2">
      <c r="A217" s="157">
        <v>216</v>
      </c>
      <c r="B217" s="163">
        <v>45007</v>
      </c>
      <c r="C217" s="157">
        <f t="shared" si="0"/>
        <v>0</v>
      </c>
      <c r="D217" s="157">
        <v>0</v>
      </c>
      <c r="E217" s="157">
        <f t="shared" si="1"/>
        <v>0</v>
      </c>
      <c r="F217" s="157" t="str">
        <f t="shared" si="2"/>
        <v>Wednesday</v>
      </c>
      <c r="H217" s="157">
        <v>4</v>
      </c>
      <c r="I217" s="157">
        <f t="shared" si="10"/>
        <v>3</v>
      </c>
      <c r="J217" s="157">
        <f t="shared" si="9"/>
        <v>12</v>
      </c>
    </row>
    <row r="218" spans="1:10" ht="15.75" customHeight="1" x14ac:dyDescent="0.2">
      <c r="A218" s="157">
        <v>217</v>
      </c>
      <c r="B218" s="163">
        <v>45008</v>
      </c>
      <c r="C218" s="157">
        <f t="shared" si="0"/>
        <v>0</v>
      </c>
      <c r="D218" s="157">
        <v>0</v>
      </c>
      <c r="E218" s="157">
        <f t="shared" si="1"/>
        <v>0</v>
      </c>
      <c r="F218" s="157" t="str">
        <f t="shared" si="2"/>
        <v>Thursday</v>
      </c>
      <c r="H218" s="157">
        <v>4</v>
      </c>
      <c r="I218" s="157">
        <f t="shared" si="10"/>
        <v>3</v>
      </c>
      <c r="J218" s="157">
        <f t="shared" si="9"/>
        <v>12</v>
      </c>
    </row>
    <row r="219" spans="1:10" ht="15.75" customHeight="1" x14ac:dyDescent="0.2">
      <c r="A219" s="157">
        <v>218</v>
      </c>
      <c r="B219" s="163">
        <v>45009</v>
      </c>
      <c r="C219" s="157">
        <f t="shared" si="0"/>
        <v>0</v>
      </c>
      <c r="D219" s="157">
        <v>0</v>
      </c>
      <c r="E219" s="157">
        <f t="shared" si="1"/>
        <v>0</v>
      </c>
      <c r="F219" s="157" t="str">
        <f t="shared" si="2"/>
        <v>Friday</v>
      </c>
      <c r="H219" s="157">
        <v>4</v>
      </c>
      <c r="I219" s="157">
        <f t="shared" si="10"/>
        <v>3</v>
      </c>
      <c r="J219" s="157">
        <f t="shared" si="9"/>
        <v>12</v>
      </c>
    </row>
    <row r="220" spans="1:10" ht="15.75" customHeight="1" x14ac:dyDescent="0.2">
      <c r="A220" s="157">
        <v>219</v>
      </c>
      <c r="B220" s="163">
        <v>45010</v>
      </c>
      <c r="C220" s="157">
        <f t="shared" si="0"/>
        <v>1</v>
      </c>
      <c r="D220" s="157">
        <v>0</v>
      </c>
      <c r="E220" s="157">
        <f t="shared" si="1"/>
        <v>1</v>
      </c>
      <c r="F220" s="157" t="str">
        <f t="shared" si="2"/>
        <v>Saturday</v>
      </c>
      <c r="H220" s="157">
        <v>4</v>
      </c>
      <c r="I220" s="157">
        <f t="shared" si="10"/>
        <v>3</v>
      </c>
      <c r="J220" s="157">
        <f t="shared" si="9"/>
        <v>12</v>
      </c>
    </row>
    <row r="221" spans="1:10" ht="15.75" customHeight="1" x14ac:dyDescent="0.2">
      <c r="A221" s="157">
        <v>220</v>
      </c>
      <c r="B221" s="163">
        <v>45011</v>
      </c>
      <c r="C221" s="157">
        <f t="shared" si="0"/>
        <v>1</v>
      </c>
      <c r="D221" s="157">
        <v>0</v>
      </c>
      <c r="E221" s="157">
        <f t="shared" si="1"/>
        <v>1</v>
      </c>
      <c r="F221" s="157" t="str">
        <f t="shared" si="2"/>
        <v>Sunday</v>
      </c>
      <c r="H221" s="157">
        <v>4</v>
      </c>
      <c r="I221" s="157">
        <f t="shared" si="10"/>
        <v>3</v>
      </c>
      <c r="J221" s="157">
        <f t="shared" si="9"/>
        <v>12</v>
      </c>
    </row>
    <row r="222" spans="1:10" ht="15.75" customHeight="1" x14ac:dyDescent="0.2">
      <c r="A222" s="157">
        <v>221</v>
      </c>
      <c r="B222" s="163">
        <v>45012</v>
      </c>
      <c r="C222" s="157">
        <f t="shared" si="0"/>
        <v>0</v>
      </c>
      <c r="D222" s="157">
        <v>0</v>
      </c>
      <c r="E222" s="157">
        <f t="shared" si="1"/>
        <v>0</v>
      </c>
      <c r="F222" s="157" t="str">
        <f t="shared" si="2"/>
        <v>Monday</v>
      </c>
      <c r="H222" s="157">
        <v>4</v>
      </c>
      <c r="I222" s="157">
        <f t="shared" si="10"/>
        <v>4</v>
      </c>
      <c r="J222" s="157">
        <f t="shared" si="9"/>
        <v>13</v>
      </c>
    </row>
    <row r="223" spans="1:10" ht="15.75" customHeight="1" x14ac:dyDescent="0.2">
      <c r="A223" s="157">
        <v>222</v>
      </c>
      <c r="B223" s="163">
        <v>45013</v>
      </c>
      <c r="C223" s="157">
        <f t="shared" si="0"/>
        <v>0</v>
      </c>
      <c r="D223" s="157">
        <v>0</v>
      </c>
      <c r="E223" s="157">
        <f t="shared" si="1"/>
        <v>0</v>
      </c>
      <c r="F223" s="157" t="str">
        <f t="shared" si="2"/>
        <v>Tuesday</v>
      </c>
      <c r="H223" s="157">
        <v>4</v>
      </c>
      <c r="I223" s="157">
        <f t="shared" si="10"/>
        <v>4</v>
      </c>
      <c r="J223" s="157">
        <f t="shared" si="9"/>
        <v>13</v>
      </c>
    </row>
    <row r="224" spans="1:10" ht="15.75" customHeight="1" x14ac:dyDescent="0.2">
      <c r="A224" s="157">
        <v>223</v>
      </c>
      <c r="B224" s="163">
        <v>45014</v>
      </c>
      <c r="C224" s="157">
        <f t="shared" si="0"/>
        <v>0</v>
      </c>
      <c r="D224" s="157">
        <v>0</v>
      </c>
      <c r="E224" s="157">
        <f t="shared" si="1"/>
        <v>0</v>
      </c>
      <c r="F224" s="157" t="str">
        <f t="shared" si="2"/>
        <v>Wednesday</v>
      </c>
      <c r="H224" s="157">
        <v>4</v>
      </c>
      <c r="I224" s="157">
        <f t="shared" si="10"/>
        <v>4</v>
      </c>
      <c r="J224" s="157">
        <f t="shared" si="9"/>
        <v>13</v>
      </c>
    </row>
    <row r="225" spans="1:10" ht="15.75" customHeight="1" x14ac:dyDescent="0.2">
      <c r="A225" s="157">
        <v>224</v>
      </c>
      <c r="B225" s="163">
        <v>45015</v>
      </c>
      <c r="C225" s="157">
        <f t="shared" si="0"/>
        <v>0</v>
      </c>
      <c r="D225" s="157">
        <v>0</v>
      </c>
      <c r="E225" s="157">
        <f t="shared" si="1"/>
        <v>0</v>
      </c>
      <c r="F225" s="157" t="str">
        <f t="shared" si="2"/>
        <v>Thursday</v>
      </c>
      <c r="H225" s="157">
        <v>4</v>
      </c>
      <c r="I225" s="157">
        <f t="shared" si="10"/>
        <v>4</v>
      </c>
      <c r="J225" s="157">
        <f t="shared" si="9"/>
        <v>13</v>
      </c>
    </row>
    <row r="226" spans="1:10" ht="15.75" customHeight="1" x14ac:dyDescent="0.2">
      <c r="A226" s="157">
        <v>225</v>
      </c>
      <c r="B226" s="163">
        <v>45016</v>
      </c>
      <c r="C226" s="157">
        <f t="shared" si="0"/>
        <v>0</v>
      </c>
      <c r="D226" s="157">
        <v>0</v>
      </c>
      <c r="E226" s="157">
        <f t="shared" si="1"/>
        <v>0</v>
      </c>
      <c r="F226" s="157" t="str">
        <f t="shared" si="2"/>
        <v>Friday</v>
      </c>
      <c r="H226" s="157">
        <v>4</v>
      </c>
      <c r="I226" s="157">
        <f t="shared" si="10"/>
        <v>4</v>
      </c>
      <c r="J226" s="157">
        <f t="shared" si="9"/>
        <v>13</v>
      </c>
    </row>
    <row r="227" spans="1:10" ht="15.75" customHeight="1" x14ac:dyDescent="0.2">
      <c r="A227" s="157">
        <v>226</v>
      </c>
      <c r="B227" s="163">
        <v>45017</v>
      </c>
      <c r="C227" s="157">
        <f t="shared" si="0"/>
        <v>1</v>
      </c>
      <c r="D227" s="157">
        <v>0</v>
      </c>
      <c r="E227" s="157">
        <f t="shared" si="1"/>
        <v>1</v>
      </c>
      <c r="F227" s="157" t="str">
        <f t="shared" si="2"/>
        <v>Saturday</v>
      </c>
      <c r="H227" s="157">
        <v>4</v>
      </c>
      <c r="I227" s="157">
        <f t="shared" si="10"/>
        <v>4</v>
      </c>
      <c r="J227" s="157">
        <f t="shared" si="9"/>
        <v>13</v>
      </c>
    </row>
    <row r="228" spans="1:10" ht="15.75" customHeight="1" x14ac:dyDescent="0.2">
      <c r="A228" s="157">
        <v>227</v>
      </c>
      <c r="B228" s="163">
        <v>45018</v>
      </c>
      <c r="C228" s="157">
        <f t="shared" si="0"/>
        <v>1</v>
      </c>
      <c r="D228" s="157">
        <v>0</v>
      </c>
      <c r="E228" s="157">
        <f t="shared" si="1"/>
        <v>1</v>
      </c>
      <c r="F228" s="157" t="str">
        <f t="shared" si="2"/>
        <v>Sunday</v>
      </c>
      <c r="H228" s="157">
        <v>4</v>
      </c>
      <c r="I228" s="157">
        <f t="shared" si="10"/>
        <v>4</v>
      </c>
      <c r="J228" s="157">
        <f t="shared" si="9"/>
        <v>13</v>
      </c>
    </row>
    <row r="229" spans="1:10" ht="15.75" customHeight="1" x14ac:dyDescent="0.2">
      <c r="A229" s="157">
        <v>228</v>
      </c>
      <c r="B229" s="163">
        <v>45019</v>
      </c>
      <c r="C229" s="157">
        <f t="shared" si="0"/>
        <v>0</v>
      </c>
      <c r="D229" s="157">
        <v>0</v>
      </c>
      <c r="E229" s="157">
        <f t="shared" si="1"/>
        <v>0</v>
      </c>
      <c r="F229" s="157" t="str">
        <f t="shared" si="2"/>
        <v>Monday</v>
      </c>
      <c r="H229" s="157">
        <v>4</v>
      </c>
      <c r="I229" s="157">
        <f t="shared" si="10"/>
        <v>5</v>
      </c>
      <c r="J229" s="157">
        <f t="shared" si="9"/>
        <v>14</v>
      </c>
    </row>
    <row r="230" spans="1:10" ht="15.75" customHeight="1" x14ac:dyDescent="0.2">
      <c r="A230" s="157">
        <v>229</v>
      </c>
      <c r="B230" s="163">
        <v>45020</v>
      </c>
      <c r="C230" s="157">
        <f t="shared" si="0"/>
        <v>0</v>
      </c>
      <c r="D230" s="157">
        <v>0</v>
      </c>
      <c r="E230" s="157">
        <f t="shared" si="1"/>
        <v>0</v>
      </c>
      <c r="F230" s="157" t="str">
        <f t="shared" si="2"/>
        <v>Tuesday</v>
      </c>
      <c r="H230" s="157">
        <v>4</v>
      </c>
      <c r="I230" s="157">
        <f t="shared" si="10"/>
        <v>5</v>
      </c>
      <c r="J230" s="157">
        <f t="shared" si="9"/>
        <v>14</v>
      </c>
    </row>
    <row r="231" spans="1:10" ht="15.75" customHeight="1" x14ac:dyDescent="0.2">
      <c r="A231" s="157">
        <v>230</v>
      </c>
      <c r="B231" s="163">
        <v>45021</v>
      </c>
      <c r="C231" s="157">
        <f t="shared" si="0"/>
        <v>0</v>
      </c>
      <c r="D231" s="157">
        <v>0</v>
      </c>
      <c r="E231" s="157">
        <f t="shared" si="1"/>
        <v>0</v>
      </c>
      <c r="F231" s="157" t="str">
        <f t="shared" si="2"/>
        <v>Wednesday</v>
      </c>
      <c r="H231" s="157">
        <v>4</v>
      </c>
      <c r="I231" s="157">
        <f t="shared" si="10"/>
        <v>5</v>
      </c>
      <c r="J231" s="157">
        <f t="shared" si="9"/>
        <v>14</v>
      </c>
    </row>
    <row r="232" spans="1:10" ht="15.75" customHeight="1" x14ac:dyDescent="0.2">
      <c r="A232" s="157">
        <v>231</v>
      </c>
      <c r="B232" s="163">
        <v>45022</v>
      </c>
      <c r="C232" s="157">
        <f t="shared" si="0"/>
        <v>0</v>
      </c>
      <c r="D232" s="157">
        <v>0</v>
      </c>
      <c r="E232" s="157">
        <f t="shared" si="1"/>
        <v>0</v>
      </c>
      <c r="F232" s="157" t="str">
        <f t="shared" si="2"/>
        <v>Thursday</v>
      </c>
      <c r="H232" s="157">
        <v>4</v>
      </c>
      <c r="I232" s="157">
        <f t="shared" si="10"/>
        <v>5</v>
      </c>
      <c r="J232" s="157">
        <f t="shared" si="9"/>
        <v>14</v>
      </c>
    </row>
    <row r="233" spans="1:10" ht="15.75" customHeight="1" x14ac:dyDescent="0.2">
      <c r="A233" s="157">
        <v>232</v>
      </c>
      <c r="B233" s="163">
        <v>45023</v>
      </c>
      <c r="C233" s="157">
        <f t="shared" si="0"/>
        <v>0</v>
      </c>
      <c r="D233" s="157">
        <v>0</v>
      </c>
      <c r="E233" s="157">
        <f t="shared" si="1"/>
        <v>0</v>
      </c>
      <c r="F233" s="157" t="str">
        <f t="shared" si="2"/>
        <v>Friday</v>
      </c>
      <c r="H233" s="157">
        <v>4</v>
      </c>
      <c r="I233" s="157">
        <f t="shared" si="10"/>
        <v>5</v>
      </c>
      <c r="J233" s="157">
        <f t="shared" si="9"/>
        <v>14</v>
      </c>
    </row>
    <row r="234" spans="1:10" ht="15.75" customHeight="1" x14ac:dyDescent="0.2">
      <c r="A234" s="157">
        <v>233</v>
      </c>
      <c r="B234" s="163">
        <v>45024</v>
      </c>
      <c r="C234" s="157">
        <f t="shared" si="0"/>
        <v>1</v>
      </c>
      <c r="D234" s="157">
        <v>0</v>
      </c>
      <c r="E234" s="157">
        <f t="shared" si="1"/>
        <v>1</v>
      </c>
      <c r="F234" s="157" t="str">
        <f t="shared" si="2"/>
        <v>Saturday</v>
      </c>
      <c r="H234" s="157">
        <v>4</v>
      </c>
      <c r="I234" s="157">
        <f t="shared" si="10"/>
        <v>5</v>
      </c>
      <c r="J234" s="157">
        <f t="shared" si="9"/>
        <v>14</v>
      </c>
    </row>
    <row r="235" spans="1:10" ht="15.75" customHeight="1" x14ac:dyDescent="0.2">
      <c r="A235" s="157">
        <v>234</v>
      </c>
      <c r="B235" s="163">
        <v>45025</v>
      </c>
      <c r="C235" s="157">
        <f t="shared" si="0"/>
        <v>1</v>
      </c>
      <c r="D235" s="157">
        <v>0</v>
      </c>
      <c r="E235" s="157">
        <f t="shared" si="1"/>
        <v>1</v>
      </c>
      <c r="F235" s="157" t="str">
        <f t="shared" si="2"/>
        <v>Sunday</v>
      </c>
      <c r="H235" s="157">
        <v>4</v>
      </c>
      <c r="I235" s="157">
        <f t="shared" si="10"/>
        <v>5</v>
      </c>
      <c r="J235" s="157">
        <f t="shared" si="9"/>
        <v>14</v>
      </c>
    </row>
    <row r="236" spans="1:10" ht="15.75" customHeight="1" x14ac:dyDescent="0.2">
      <c r="A236" s="157">
        <v>235</v>
      </c>
      <c r="B236" s="163">
        <v>45026</v>
      </c>
      <c r="C236" s="157">
        <f t="shared" si="0"/>
        <v>0</v>
      </c>
      <c r="D236" s="157">
        <v>0</v>
      </c>
      <c r="E236" s="157">
        <f t="shared" si="1"/>
        <v>0</v>
      </c>
      <c r="F236" s="157" t="str">
        <f t="shared" si="2"/>
        <v>Monday</v>
      </c>
      <c r="H236" s="157">
        <v>4</v>
      </c>
      <c r="I236" s="157">
        <f t="shared" si="10"/>
        <v>6</v>
      </c>
      <c r="J236" s="157">
        <f t="shared" si="9"/>
        <v>15</v>
      </c>
    </row>
    <row r="237" spans="1:10" ht="15.75" customHeight="1" x14ac:dyDescent="0.2">
      <c r="A237" s="157">
        <v>236</v>
      </c>
      <c r="B237" s="163">
        <v>45027</v>
      </c>
      <c r="C237" s="157">
        <f t="shared" si="0"/>
        <v>0</v>
      </c>
      <c r="D237" s="157">
        <v>0</v>
      </c>
      <c r="E237" s="157">
        <f t="shared" si="1"/>
        <v>0</v>
      </c>
      <c r="F237" s="157" t="str">
        <f t="shared" si="2"/>
        <v>Tuesday</v>
      </c>
      <c r="H237" s="157">
        <v>4</v>
      </c>
      <c r="I237" s="157">
        <f t="shared" si="10"/>
        <v>6</v>
      </c>
      <c r="J237" s="157">
        <f t="shared" si="9"/>
        <v>15</v>
      </c>
    </row>
    <row r="238" spans="1:10" ht="15.75" customHeight="1" x14ac:dyDescent="0.2">
      <c r="A238" s="157">
        <v>237</v>
      </c>
      <c r="B238" s="163">
        <v>45028</v>
      </c>
      <c r="C238" s="157">
        <f t="shared" si="0"/>
        <v>0</v>
      </c>
      <c r="D238" s="157">
        <v>0</v>
      </c>
      <c r="E238" s="157">
        <f t="shared" si="1"/>
        <v>0</v>
      </c>
      <c r="F238" s="157" t="str">
        <f t="shared" si="2"/>
        <v>Wednesday</v>
      </c>
      <c r="H238" s="157">
        <v>4</v>
      </c>
      <c r="I238" s="157">
        <f t="shared" si="10"/>
        <v>6</v>
      </c>
      <c r="J238" s="157">
        <f t="shared" si="9"/>
        <v>15</v>
      </c>
    </row>
    <row r="239" spans="1:10" ht="15.75" customHeight="1" x14ac:dyDescent="0.2">
      <c r="A239" s="157">
        <v>238</v>
      </c>
      <c r="B239" s="163">
        <v>45029</v>
      </c>
      <c r="C239" s="157">
        <f t="shared" si="0"/>
        <v>0</v>
      </c>
      <c r="D239" s="157">
        <v>0</v>
      </c>
      <c r="E239" s="157">
        <f t="shared" si="1"/>
        <v>0</v>
      </c>
      <c r="F239" s="157" t="str">
        <f t="shared" si="2"/>
        <v>Thursday</v>
      </c>
      <c r="H239" s="157">
        <v>4</v>
      </c>
      <c r="I239" s="157">
        <f t="shared" si="10"/>
        <v>6</v>
      </c>
      <c r="J239" s="157">
        <f t="shared" si="9"/>
        <v>15</v>
      </c>
    </row>
    <row r="240" spans="1:10" ht="15.75" customHeight="1" x14ac:dyDescent="0.2">
      <c r="A240" s="157">
        <v>239</v>
      </c>
      <c r="B240" s="163">
        <v>45030</v>
      </c>
      <c r="C240" s="157">
        <f t="shared" si="0"/>
        <v>0</v>
      </c>
      <c r="D240" s="157">
        <v>0</v>
      </c>
      <c r="E240" s="157">
        <f t="shared" si="1"/>
        <v>0</v>
      </c>
      <c r="F240" s="157" t="str">
        <f t="shared" si="2"/>
        <v>Friday</v>
      </c>
      <c r="H240" s="157">
        <v>4</v>
      </c>
      <c r="I240" s="157">
        <f t="shared" si="10"/>
        <v>6</v>
      </c>
      <c r="J240" s="157">
        <f t="shared" si="9"/>
        <v>15</v>
      </c>
    </row>
    <row r="241" spans="1:10" ht="15.75" customHeight="1" x14ac:dyDescent="0.2">
      <c r="A241" s="157">
        <v>240</v>
      </c>
      <c r="B241" s="163">
        <v>45031</v>
      </c>
      <c r="C241" s="157">
        <f t="shared" si="0"/>
        <v>1</v>
      </c>
      <c r="D241" s="157">
        <v>0</v>
      </c>
      <c r="E241" s="157">
        <f t="shared" si="1"/>
        <v>1</v>
      </c>
      <c r="F241" s="157" t="str">
        <f t="shared" si="2"/>
        <v>Saturday</v>
      </c>
      <c r="H241" s="157">
        <v>4</v>
      </c>
      <c r="I241" s="157">
        <f t="shared" si="10"/>
        <v>6</v>
      </c>
      <c r="J241" s="157">
        <f t="shared" si="9"/>
        <v>15</v>
      </c>
    </row>
    <row r="242" spans="1:10" ht="15.75" customHeight="1" x14ac:dyDescent="0.2">
      <c r="A242" s="157">
        <v>241</v>
      </c>
      <c r="B242" s="163">
        <v>45032</v>
      </c>
      <c r="C242" s="157">
        <f t="shared" si="0"/>
        <v>1</v>
      </c>
      <c r="D242" s="157">
        <v>0</v>
      </c>
      <c r="E242" s="157">
        <f t="shared" si="1"/>
        <v>1</v>
      </c>
      <c r="F242" s="157" t="str">
        <f t="shared" si="2"/>
        <v>Sunday</v>
      </c>
      <c r="H242" s="157">
        <v>4</v>
      </c>
      <c r="I242" s="157">
        <f t="shared" si="10"/>
        <v>6</v>
      </c>
      <c r="J242" s="157">
        <f t="shared" si="9"/>
        <v>15</v>
      </c>
    </row>
    <row r="243" spans="1:10" ht="15.75" customHeight="1" x14ac:dyDescent="0.2">
      <c r="A243" s="157">
        <v>242</v>
      </c>
      <c r="B243" s="163">
        <v>45033</v>
      </c>
      <c r="C243" s="157">
        <f t="shared" si="0"/>
        <v>0</v>
      </c>
      <c r="D243" s="157">
        <v>0</v>
      </c>
      <c r="E243" s="157">
        <f t="shared" si="1"/>
        <v>0</v>
      </c>
      <c r="F243" s="157" t="str">
        <f t="shared" si="2"/>
        <v>Monday</v>
      </c>
      <c r="H243" s="157">
        <v>4</v>
      </c>
      <c r="I243" s="157">
        <f t="shared" si="10"/>
        <v>7</v>
      </c>
      <c r="J243" s="157">
        <f t="shared" si="9"/>
        <v>16</v>
      </c>
    </row>
    <row r="244" spans="1:10" ht="15.75" customHeight="1" x14ac:dyDescent="0.2">
      <c r="A244" s="157">
        <v>243</v>
      </c>
      <c r="B244" s="163">
        <v>45034</v>
      </c>
      <c r="C244" s="157">
        <f t="shared" si="0"/>
        <v>0</v>
      </c>
      <c r="D244" s="157">
        <v>0</v>
      </c>
      <c r="E244" s="157">
        <f t="shared" si="1"/>
        <v>0</v>
      </c>
      <c r="F244" s="157" t="str">
        <f t="shared" si="2"/>
        <v>Tuesday</v>
      </c>
      <c r="H244" s="157">
        <v>4</v>
      </c>
      <c r="I244" s="157">
        <f t="shared" si="10"/>
        <v>7</v>
      </c>
      <c r="J244" s="157">
        <f t="shared" si="9"/>
        <v>16</v>
      </c>
    </row>
    <row r="245" spans="1:10" ht="15.75" customHeight="1" x14ac:dyDescent="0.2">
      <c r="A245" s="157">
        <v>244</v>
      </c>
      <c r="B245" s="163">
        <v>45035</v>
      </c>
      <c r="C245" s="157">
        <f t="shared" si="0"/>
        <v>0</v>
      </c>
      <c r="D245" s="157">
        <v>0</v>
      </c>
      <c r="E245" s="157">
        <f t="shared" si="1"/>
        <v>0</v>
      </c>
      <c r="F245" s="157" t="str">
        <f t="shared" si="2"/>
        <v>Wednesday</v>
      </c>
      <c r="H245" s="157">
        <v>4</v>
      </c>
      <c r="I245" s="157">
        <f t="shared" si="10"/>
        <v>7</v>
      </c>
      <c r="J245" s="157">
        <f t="shared" si="9"/>
        <v>16</v>
      </c>
    </row>
    <row r="246" spans="1:10" ht="15.75" customHeight="1" x14ac:dyDescent="0.2">
      <c r="A246" s="157">
        <v>245</v>
      </c>
      <c r="B246" s="163">
        <v>45036</v>
      </c>
      <c r="C246" s="157">
        <f t="shared" si="0"/>
        <v>0</v>
      </c>
      <c r="D246" s="157">
        <v>0</v>
      </c>
      <c r="E246" s="157">
        <f t="shared" si="1"/>
        <v>0</v>
      </c>
      <c r="F246" s="157" t="str">
        <f t="shared" si="2"/>
        <v>Thursday</v>
      </c>
      <c r="H246" s="157">
        <v>4</v>
      </c>
      <c r="I246" s="157">
        <f t="shared" si="10"/>
        <v>7</v>
      </c>
      <c r="J246" s="157">
        <f t="shared" si="9"/>
        <v>16</v>
      </c>
    </row>
    <row r="247" spans="1:10" ht="15.75" customHeight="1" x14ac:dyDescent="0.2">
      <c r="A247" s="157">
        <v>246</v>
      </c>
      <c r="B247" s="163">
        <v>45037</v>
      </c>
      <c r="C247" s="157">
        <f t="shared" si="0"/>
        <v>0</v>
      </c>
      <c r="D247" s="157">
        <v>0</v>
      </c>
      <c r="E247" s="157">
        <f t="shared" si="1"/>
        <v>0</v>
      </c>
      <c r="F247" s="157" t="str">
        <f t="shared" si="2"/>
        <v>Friday</v>
      </c>
      <c r="H247" s="157">
        <v>4</v>
      </c>
      <c r="I247" s="157">
        <f t="shared" si="10"/>
        <v>7</v>
      </c>
      <c r="J247" s="157">
        <f t="shared" si="9"/>
        <v>16</v>
      </c>
    </row>
    <row r="248" spans="1:10" ht="15.75" customHeight="1" x14ac:dyDescent="0.2">
      <c r="A248" s="157">
        <v>247</v>
      </c>
      <c r="B248" s="163">
        <v>45038</v>
      </c>
      <c r="C248" s="157">
        <f t="shared" si="0"/>
        <v>1</v>
      </c>
      <c r="D248" s="157">
        <v>0</v>
      </c>
      <c r="E248" s="157">
        <f t="shared" si="1"/>
        <v>1</v>
      </c>
      <c r="F248" s="157" t="str">
        <f t="shared" si="2"/>
        <v>Saturday</v>
      </c>
      <c r="H248" s="157">
        <v>4</v>
      </c>
      <c r="I248" s="157">
        <f t="shared" si="10"/>
        <v>7</v>
      </c>
      <c r="J248" s="157">
        <f t="shared" si="9"/>
        <v>16</v>
      </c>
    </row>
    <row r="249" spans="1:10" ht="15.75" customHeight="1" x14ac:dyDescent="0.2">
      <c r="A249" s="157">
        <v>248</v>
      </c>
      <c r="B249" s="163">
        <v>45039</v>
      </c>
      <c r="C249" s="157">
        <f t="shared" si="0"/>
        <v>1</v>
      </c>
      <c r="D249" s="157">
        <v>0</v>
      </c>
      <c r="E249" s="157">
        <f t="shared" si="1"/>
        <v>1</v>
      </c>
      <c r="F249" s="157" t="str">
        <f t="shared" si="2"/>
        <v>Sunday</v>
      </c>
      <c r="H249" s="157">
        <v>4</v>
      </c>
      <c r="I249" s="157">
        <f t="shared" si="10"/>
        <v>7</v>
      </c>
      <c r="J249" s="157">
        <f t="shared" si="9"/>
        <v>16</v>
      </c>
    </row>
    <row r="250" spans="1:10" ht="15.75" customHeight="1" x14ac:dyDescent="0.2">
      <c r="A250" s="157">
        <v>249</v>
      </c>
      <c r="B250" s="163">
        <v>45040</v>
      </c>
      <c r="C250" s="157">
        <f t="shared" si="0"/>
        <v>0</v>
      </c>
      <c r="D250" s="157">
        <v>0</v>
      </c>
      <c r="E250" s="157">
        <f t="shared" si="1"/>
        <v>0</v>
      </c>
      <c r="F250" s="157" t="str">
        <f t="shared" si="2"/>
        <v>Monday</v>
      </c>
      <c r="H250" s="157">
        <v>4</v>
      </c>
      <c r="I250" s="157">
        <f t="shared" si="10"/>
        <v>8</v>
      </c>
      <c r="J250" s="157">
        <f t="shared" si="9"/>
        <v>17</v>
      </c>
    </row>
    <row r="251" spans="1:10" ht="15.75" customHeight="1" x14ac:dyDescent="0.2">
      <c r="A251" s="157">
        <v>250</v>
      </c>
      <c r="B251" s="163">
        <v>45041</v>
      </c>
      <c r="C251" s="157">
        <f t="shared" si="0"/>
        <v>0</v>
      </c>
      <c r="D251" s="157">
        <v>0</v>
      </c>
      <c r="E251" s="157">
        <f t="shared" si="1"/>
        <v>0</v>
      </c>
      <c r="F251" s="157" t="str">
        <f t="shared" si="2"/>
        <v>Tuesday</v>
      </c>
      <c r="H251" s="157">
        <v>4</v>
      </c>
      <c r="I251" s="157">
        <f t="shared" si="10"/>
        <v>8</v>
      </c>
      <c r="J251" s="157">
        <f t="shared" si="9"/>
        <v>17</v>
      </c>
    </row>
    <row r="252" spans="1:10" ht="15.75" customHeight="1" x14ac:dyDescent="0.2">
      <c r="A252" s="157">
        <v>251</v>
      </c>
      <c r="B252" s="163">
        <v>45042</v>
      </c>
      <c r="C252" s="157">
        <f t="shared" si="0"/>
        <v>0</v>
      </c>
      <c r="D252" s="157">
        <v>0</v>
      </c>
      <c r="E252" s="157">
        <f t="shared" si="1"/>
        <v>0</v>
      </c>
      <c r="F252" s="157" t="str">
        <f t="shared" si="2"/>
        <v>Wednesday</v>
      </c>
      <c r="H252" s="157">
        <v>4</v>
      </c>
      <c r="I252" s="157">
        <f t="shared" si="10"/>
        <v>8</v>
      </c>
      <c r="J252" s="157">
        <f t="shared" si="9"/>
        <v>17</v>
      </c>
    </row>
    <row r="253" spans="1:10" ht="15.75" customHeight="1" x14ac:dyDescent="0.2">
      <c r="A253" s="157">
        <v>252</v>
      </c>
      <c r="B253" s="163">
        <v>45043</v>
      </c>
      <c r="C253" s="157">
        <f t="shared" si="0"/>
        <v>0</v>
      </c>
      <c r="D253" s="157">
        <v>0</v>
      </c>
      <c r="E253" s="157">
        <f t="shared" si="1"/>
        <v>0</v>
      </c>
      <c r="F253" s="157" t="str">
        <f t="shared" si="2"/>
        <v>Thursday</v>
      </c>
      <c r="H253" s="157">
        <v>4</v>
      </c>
      <c r="I253" s="157">
        <f t="shared" si="10"/>
        <v>8</v>
      </c>
      <c r="J253" s="157">
        <f t="shared" si="9"/>
        <v>17</v>
      </c>
    </row>
    <row r="254" spans="1:10" ht="15.75" customHeight="1" x14ac:dyDescent="0.2">
      <c r="A254" s="157">
        <v>253</v>
      </c>
      <c r="B254" s="163">
        <v>45044</v>
      </c>
      <c r="C254" s="157">
        <f t="shared" si="0"/>
        <v>0</v>
      </c>
      <c r="D254" s="157">
        <v>0</v>
      </c>
      <c r="E254" s="157">
        <f t="shared" si="1"/>
        <v>0</v>
      </c>
      <c r="F254" s="157" t="str">
        <f t="shared" si="2"/>
        <v>Friday</v>
      </c>
      <c r="H254" s="157">
        <v>4</v>
      </c>
      <c r="I254" s="157">
        <f t="shared" si="10"/>
        <v>8</v>
      </c>
      <c r="J254" s="157">
        <f t="shared" si="9"/>
        <v>17</v>
      </c>
    </row>
    <row r="255" spans="1:10" ht="15.75" customHeight="1" x14ac:dyDescent="0.2">
      <c r="A255" s="157">
        <v>254</v>
      </c>
      <c r="B255" s="163">
        <v>45045</v>
      </c>
      <c r="C255" s="157">
        <f t="shared" si="0"/>
        <v>1</v>
      </c>
      <c r="D255" s="157">
        <v>1</v>
      </c>
      <c r="E255" s="157">
        <f t="shared" si="1"/>
        <v>1</v>
      </c>
      <c r="F255" s="157" t="str">
        <f t="shared" si="2"/>
        <v>Saturday</v>
      </c>
      <c r="G255" s="157" t="s">
        <v>1777</v>
      </c>
      <c r="H255" s="157">
        <v>4</v>
      </c>
      <c r="I255" s="157">
        <f t="shared" si="10"/>
        <v>8</v>
      </c>
      <c r="J255" s="157">
        <f t="shared" si="9"/>
        <v>17</v>
      </c>
    </row>
    <row r="256" spans="1:10" ht="15.75" customHeight="1" x14ac:dyDescent="0.2">
      <c r="A256" s="157">
        <v>255</v>
      </c>
      <c r="B256" s="163">
        <v>45046</v>
      </c>
      <c r="C256" s="157">
        <f t="shared" si="0"/>
        <v>1</v>
      </c>
      <c r="D256" s="157">
        <v>1</v>
      </c>
      <c r="E256" s="157">
        <f t="shared" si="1"/>
        <v>1</v>
      </c>
      <c r="F256" s="157" t="str">
        <f t="shared" si="2"/>
        <v>Sunday</v>
      </c>
      <c r="G256" s="157" t="s">
        <v>1777</v>
      </c>
      <c r="H256" s="157">
        <v>4</v>
      </c>
      <c r="I256" s="157">
        <f t="shared" si="10"/>
        <v>8</v>
      </c>
      <c r="J256" s="157">
        <f t="shared" si="9"/>
        <v>17</v>
      </c>
    </row>
    <row r="257" spans="1:10" ht="15.75" customHeight="1" x14ac:dyDescent="0.2">
      <c r="A257" s="157">
        <v>256</v>
      </c>
      <c r="B257" s="163">
        <v>45047</v>
      </c>
      <c r="C257" s="157">
        <f t="shared" ref="C257:C511" si="11">IF(OR(WEEKDAY(B257) = 7, WEEKDAY(B257) = 1), 1, 0)</f>
        <v>0</v>
      </c>
      <c r="D257" s="157">
        <v>1</v>
      </c>
      <c r="E257" s="157">
        <f t="shared" ref="E257:E511" si="12">IF((C257+D257)&gt;0, 1, 0)</f>
        <v>1</v>
      </c>
      <c r="F257" s="157" t="str">
        <f t="shared" ref="F257:F511" si="13">TEXT(B257, "dddd")</f>
        <v>Monday</v>
      </c>
      <c r="G257" s="157" t="s">
        <v>1777</v>
      </c>
      <c r="H257" s="157">
        <v>4</v>
      </c>
      <c r="I257" s="157">
        <f t="shared" si="10"/>
        <v>9</v>
      </c>
      <c r="J257" s="157">
        <f t="shared" si="9"/>
        <v>18</v>
      </c>
    </row>
    <row r="258" spans="1:10" ht="15.75" customHeight="1" x14ac:dyDescent="0.2">
      <c r="A258" s="157">
        <v>257</v>
      </c>
      <c r="B258" s="163">
        <v>45048</v>
      </c>
      <c r="C258" s="157">
        <f t="shared" si="11"/>
        <v>0</v>
      </c>
      <c r="D258" s="157">
        <v>1</v>
      </c>
      <c r="E258" s="157">
        <f t="shared" si="12"/>
        <v>1</v>
      </c>
      <c r="F258" s="157" t="str">
        <f t="shared" si="13"/>
        <v>Tuesday</v>
      </c>
      <c r="G258" s="157" t="s">
        <v>1777</v>
      </c>
      <c r="H258" s="157">
        <v>4</v>
      </c>
      <c r="I258" s="157">
        <f t="shared" si="10"/>
        <v>9</v>
      </c>
      <c r="J258" s="157">
        <f t="shared" si="9"/>
        <v>18</v>
      </c>
    </row>
    <row r="259" spans="1:10" ht="15.75" customHeight="1" x14ac:dyDescent="0.2">
      <c r="A259" s="157">
        <v>258</v>
      </c>
      <c r="B259" s="163">
        <v>45049</v>
      </c>
      <c r="C259" s="157">
        <f t="shared" si="11"/>
        <v>0</v>
      </c>
      <c r="D259" s="157">
        <v>1</v>
      </c>
      <c r="E259" s="157">
        <f t="shared" si="12"/>
        <v>1</v>
      </c>
      <c r="F259" s="157" t="str">
        <f t="shared" si="13"/>
        <v>Wednesday</v>
      </c>
      <c r="G259" s="157" t="s">
        <v>1777</v>
      </c>
      <c r="H259" s="157">
        <v>4</v>
      </c>
      <c r="I259" s="157">
        <f t="shared" si="10"/>
        <v>9</v>
      </c>
      <c r="J259" s="157">
        <f t="shared" ref="J259:J322" si="14">_xlfn.ISOWEEKNUM(B259)</f>
        <v>18</v>
      </c>
    </row>
    <row r="260" spans="1:10" ht="15.75" customHeight="1" x14ac:dyDescent="0.2">
      <c r="A260" s="157">
        <v>259</v>
      </c>
      <c r="B260" s="163">
        <v>45050</v>
      </c>
      <c r="C260" s="157">
        <f t="shared" si="11"/>
        <v>0</v>
      </c>
      <c r="D260" s="157">
        <v>1</v>
      </c>
      <c r="E260" s="157">
        <f t="shared" si="12"/>
        <v>1</v>
      </c>
      <c r="F260" s="157" t="str">
        <f t="shared" si="13"/>
        <v>Thursday</v>
      </c>
      <c r="G260" s="157" t="s">
        <v>1777</v>
      </c>
      <c r="H260" s="157">
        <v>4</v>
      </c>
      <c r="I260" s="157">
        <f t="shared" si="10"/>
        <v>9</v>
      </c>
      <c r="J260" s="157">
        <f t="shared" si="14"/>
        <v>18</v>
      </c>
    </row>
    <row r="261" spans="1:10" ht="15.75" customHeight="1" x14ac:dyDescent="0.2">
      <c r="A261" s="157">
        <v>260</v>
      </c>
      <c r="B261" s="163">
        <v>45051</v>
      </c>
      <c r="C261" s="157">
        <f t="shared" si="11"/>
        <v>0</v>
      </c>
      <c r="D261" s="157">
        <v>1</v>
      </c>
      <c r="E261" s="157">
        <f t="shared" si="12"/>
        <v>1</v>
      </c>
      <c r="F261" s="157" t="str">
        <f t="shared" si="13"/>
        <v>Friday</v>
      </c>
      <c r="G261" s="157" t="s">
        <v>1777</v>
      </c>
      <c r="H261" s="157">
        <v>4</v>
      </c>
      <c r="I261" s="157">
        <f t="shared" ref="I261:I324" si="15">IF(J261&gt;J260, IF(H261&lt;&gt;H260,1, I260+1),I260)</f>
        <v>9</v>
      </c>
      <c r="J261" s="157">
        <f t="shared" si="14"/>
        <v>18</v>
      </c>
    </row>
    <row r="262" spans="1:10" ht="15.75" customHeight="1" x14ac:dyDescent="0.2">
      <c r="A262" s="157">
        <v>261</v>
      </c>
      <c r="B262" s="163">
        <v>45052</v>
      </c>
      <c r="C262" s="157">
        <f t="shared" si="11"/>
        <v>1</v>
      </c>
      <c r="D262" s="157">
        <v>1</v>
      </c>
      <c r="E262" s="157">
        <f t="shared" si="12"/>
        <v>1</v>
      </c>
      <c r="F262" s="157" t="str">
        <f t="shared" si="13"/>
        <v>Saturday</v>
      </c>
      <c r="G262" s="157" t="s">
        <v>1777</v>
      </c>
      <c r="H262" s="157">
        <v>4</v>
      </c>
      <c r="I262" s="157">
        <f t="shared" si="15"/>
        <v>9</v>
      </c>
      <c r="J262" s="157">
        <f t="shared" si="14"/>
        <v>18</v>
      </c>
    </row>
    <row r="263" spans="1:10" ht="15.75" customHeight="1" x14ac:dyDescent="0.2">
      <c r="A263" s="157">
        <v>262</v>
      </c>
      <c r="B263" s="163">
        <v>45053</v>
      </c>
      <c r="C263" s="157">
        <f t="shared" si="11"/>
        <v>1</v>
      </c>
      <c r="D263" s="157">
        <v>1</v>
      </c>
      <c r="E263" s="157">
        <f t="shared" si="12"/>
        <v>1</v>
      </c>
      <c r="F263" s="157" t="str">
        <f t="shared" si="13"/>
        <v>Sunday</v>
      </c>
      <c r="G263" s="157" t="s">
        <v>1777</v>
      </c>
      <c r="H263" s="157">
        <v>4</v>
      </c>
      <c r="I263" s="157">
        <f t="shared" si="15"/>
        <v>9</v>
      </c>
      <c r="J263" s="157">
        <f t="shared" si="14"/>
        <v>18</v>
      </c>
    </row>
    <row r="264" spans="1:10" ht="15.75" customHeight="1" x14ac:dyDescent="0.2">
      <c r="A264" s="157">
        <v>263</v>
      </c>
      <c r="B264" s="163">
        <v>45054</v>
      </c>
      <c r="C264" s="157">
        <f t="shared" si="11"/>
        <v>0</v>
      </c>
      <c r="D264" s="157">
        <v>1</v>
      </c>
      <c r="E264" s="157">
        <f t="shared" si="12"/>
        <v>1</v>
      </c>
      <c r="F264" s="157" t="str">
        <f t="shared" si="13"/>
        <v>Monday</v>
      </c>
      <c r="G264" s="157" t="s">
        <v>1777</v>
      </c>
      <c r="H264" s="157">
        <v>4</v>
      </c>
      <c r="I264" s="157">
        <f t="shared" si="15"/>
        <v>10</v>
      </c>
      <c r="J264" s="157">
        <f t="shared" si="14"/>
        <v>19</v>
      </c>
    </row>
    <row r="265" spans="1:10" ht="15.75" customHeight="1" x14ac:dyDescent="0.2">
      <c r="A265" s="157">
        <v>264</v>
      </c>
      <c r="B265" s="163">
        <v>45055</v>
      </c>
      <c r="C265" s="157">
        <f t="shared" si="11"/>
        <v>0</v>
      </c>
      <c r="D265" s="157">
        <v>1</v>
      </c>
      <c r="E265" s="157">
        <f t="shared" si="12"/>
        <v>1</v>
      </c>
      <c r="F265" s="157" t="str">
        <f t="shared" si="13"/>
        <v>Tuesday</v>
      </c>
      <c r="G265" s="157" t="s">
        <v>1777</v>
      </c>
      <c r="H265" s="157">
        <v>4</v>
      </c>
      <c r="I265" s="157">
        <f t="shared" si="15"/>
        <v>10</v>
      </c>
      <c r="J265" s="157">
        <f t="shared" si="14"/>
        <v>19</v>
      </c>
    </row>
    <row r="266" spans="1:10" ht="15.75" customHeight="1" x14ac:dyDescent="0.2">
      <c r="A266" s="157">
        <v>265</v>
      </c>
      <c r="B266" s="163">
        <v>45056</v>
      </c>
      <c r="C266" s="157">
        <f t="shared" si="11"/>
        <v>0</v>
      </c>
      <c r="D266" s="157">
        <v>1</v>
      </c>
      <c r="E266" s="157">
        <f t="shared" si="12"/>
        <v>1</v>
      </c>
      <c r="F266" s="157" t="str">
        <f t="shared" si="13"/>
        <v>Wednesday</v>
      </c>
      <c r="G266" s="157" t="s">
        <v>1777</v>
      </c>
      <c r="H266" s="157">
        <v>4</v>
      </c>
      <c r="I266" s="157">
        <f t="shared" si="15"/>
        <v>10</v>
      </c>
      <c r="J266" s="157">
        <f t="shared" si="14"/>
        <v>19</v>
      </c>
    </row>
    <row r="267" spans="1:10" ht="15.75" customHeight="1" x14ac:dyDescent="0.2">
      <c r="A267" s="157">
        <v>266</v>
      </c>
      <c r="B267" s="163">
        <v>45057</v>
      </c>
      <c r="C267" s="157">
        <f t="shared" si="11"/>
        <v>0</v>
      </c>
      <c r="D267" s="157">
        <v>1</v>
      </c>
      <c r="E267" s="157">
        <f t="shared" si="12"/>
        <v>1</v>
      </c>
      <c r="F267" s="157" t="str">
        <f t="shared" si="13"/>
        <v>Thursday</v>
      </c>
      <c r="G267" s="157" t="s">
        <v>1777</v>
      </c>
      <c r="H267" s="157">
        <v>4</v>
      </c>
      <c r="I267" s="157">
        <f t="shared" si="15"/>
        <v>10</v>
      </c>
      <c r="J267" s="157">
        <f t="shared" si="14"/>
        <v>19</v>
      </c>
    </row>
    <row r="268" spans="1:10" ht="15.75" customHeight="1" x14ac:dyDescent="0.2">
      <c r="A268" s="157">
        <v>267</v>
      </c>
      <c r="B268" s="163">
        <v>45058</v>
      </c>
      <c r="C268" s="157">
        <f t="shared" si="11"/>
        <v>0</v>
      </c>
      <c r="D268" s="157">
        <v>1</v>
      </c>
      <c r="E268" s="157">
        <f t="shared" si="12"/>
        <v>1</v>
      </c>
      <c r="F268" s="157" t="str">
        <f t="shared" si="13"/>
        <v>Friday</v>
      </c>
      <c r="G268" s="157" t="s">
        <v>1777</v>
      </c>
      <c r="H268" s="157">
        <v>4</v>
      </c>
      <c r="I268" s="157">
        <f t="shared" si="15"/>
        <v>10</v>
      </c>
      <c r="J268" s="157">
        <f t="shared" si="14"/>
        <v>19</v>
      </c>
    </row>
    <row r="269" spans="1:10" ht="15.75" customHeight="1" x14ac:dyDescent="0.2">
      <c r="A269" s="157">
        <v>268</v>
      </c>
      <c r="B269" s="163">
        <v>45059</v>
      </c>
      <c r="C269" s="157">
        <f t="shared" si="11"/>
        <v>1</v>
      </c>
      <c r="D269" s="157">
        <v>1</v>
      </c>
      <c r="E269" s="157">
        <f t="shared" si="12"/>
        <v>1</v>
      </c>
      <c r="F269" s="157" t="str">
        <f t="shared" si="13"/>
        <v>Saturday</v>
      </c>
      <c r="G269" s="157" t="s">
        <v>1777</v>
      </c>
      <c r="H269" s="157">
        <v>4</v>
      </c>
      <c r="I269" s="157">
        <f t="shared" si="15"/>
        <v>10</v>
      </c>
      <c r="J269" s="157">
        <f t="shared" si="14"/>
        <v>19</v>
      </c>
    </row>
    <row r="270" spans="1:10" ht="15.75" customHeight="1" x14ac:dyDescent="0.2">
      <c r="A270" s="157">
        <v>269</v>
      </c>
      <c r="B270" s="163">
        <v>45060</v>
      </c>
      <c r="C270" s="157">
        <f t="shared" si="11"/>
        <v>1</v>
      </c>
      <c r="D270" s="157">
        <v>1</v>
      </c>
      <c r="E270" s="157">
        <f t="shared" si="12"/>
        <v>1</v>
      </c>
      <c r="F270" s="157" t="str">
        <f t="shared" si="13"/>
        <v>Sunday</v>
      </c>
      <c r="G270" s="157" t="s">
        <v>1777</v>
      </c>
      <c r="H270" s="157">
        <v>4</v>
      </c>
      <c r="I270" s="157">
        <f t="shared" si="15"/>
        <v>10</v>
      </c>
      <c r="J270" s="157">
        <f t="shared" si="14"/>
        <v>19</v>
      </c>
    </row>
    <row r="271" spans="1:10" ht="15.75" customHeight="1" x14ac:dyDescent="0.2">
      <c r="A271" s="157">
        <v>270</v>
      </c>
      <c r="B271" s="163">
        <v>45061</v>
      </c>
      <c r="C271" s="157">
        <f t="shared" si="11"/>
        <v>0</v>
      </c>
      <c r="D271" s="157">
        <v>1</v>
      </c>
      <c r="E271" s="157">
        <f t="shared" si="12"/>
        <v>1</v>
      </c>
      <c r="F271" s="157" t="str">
        <f t="shared" si="13"/>
        <v>Monday</v>
      </c>
      <c r="G271" s="157" t="s">
        <v>1774</v>
      </c>
      <c r="H271" s="157">
        <v>5</v>
      </c>
      <c r="I271" s="157">
        <f t="shared" si="15"/>
        <v>1</v>
      </c>
      <c r="J271" s="157">
        <f t="shared" si="14"/>
        <v>20</v>
      </c>
    </row>
    <row r="272" spans="1:10" ht="15.75" customHeight="1" x14ac:dyDescent="0.2">
      <c r="A272" s="157">
        <v>271</v>
      </c>
      <c r="B272" s="163">
        <v>45062</v>
      </c>
      <c r="C272" s="157">
        <f t="shared" si="11"/>
        <v>0</v>
      </c>
      <c r="D272" s="157">
        <v>0</v>
      </c>
      <c r="E272" s="157">
        <f t="shared" si="12"/>
        <v>0</v>
      </c>
      <c r="F272" s="157" t="str">
        <f t="shared" si="13"/>
        <v>Tuesday</v>
      </c>
      <c r="H272" s="157">
        <v>5</v>
      </c>
      <c r="I272" s="157">
        <f t="shared" si="15"/>
        <v>1</v>
      </c>
      <c r="J272" s="157">
        <f t="shared" si="14"/>
        <v>20</v>
      </c>
    </row>
    <row r="273" spans="1:10" ht="15.75" customHeight="1" x14ac:dyDescent="0.2">
      <c r="A273" s="157">
        <v>272</v>
      </c>
      <c r="B273" s="163">
        <v>45063</v>
      </c>
      <c r="C273" s="157">
        <f t="shared" si="11"/>
        <v>0</v>
      </c>
      <c r="D273" s="157">
        <v>0</v>
      </c>
      <c r="E273" s="157">
        <f t="shared" si="12"/>
        <v>0</v>
      </c>
      <c r="F273" s="157" t="str">
        <f t="shared" si="13"/>
        <v>Wednesday</v>
      </c>
      <c r="H273" s="157">
        <v>5</v>
      </c>
      <c r="I273" s="157">
        <f t="shared" si="15"/>
        <v>1</v>
      </c>
      <c r="J273" s="157">
        <f t="shared" si="14"/>
        <v>20</v>
      </c>
    </row>
    <row r="274" spans="1:10" ht="15.75" customHeight="1" x14ac:dyDescent="0.2">
      <c r="A274" s="157">
        <v>273</v>
      </c>
      <c r="B274" s="163">
        <v>45064</v>
      </c>
      <c r="C274" s="157">
        <f t="shared" si="11"/>
        <v>0</v>
      </c>
      <c r="D274" s="157">
        <v>0</v>
      </c>
      <c r="E274" s="157">
        <f t="shared" si="12"/>
        <v>0</v>
      </c>
      <c r="F274" s="157" t="str">
        <f t="shared" si="13"/>
        <v>Thursday</v>
      </c>
      <c r="H274" s="157">
        <v>5</v>
      </c>
      <c r="I274" s="157">
        <f t="shared" si="15"/>
        <v>1</v>
      </c>
      <c r="J274" s="157">
        <f t="shared" si="14"/>
        <v>20</v>
      </c>
    </row>
    <row r="275" spans="1:10" ht="15.75" customHeight="1" x14ac:dyDescent="0.2">
      <c r="A275" s="157">
        <v>274</v>
      </c>
      <c r="B275" s="163">
        <v>45065</v>
      </c>
      <c r="C275" s="157">
        <f t="shared" si="11"/>
        <v>0</v>
      </c>
      <c r="D275" s="157">
        <v>0</v>
      </c>
      <c r="E275" s="157">
        <f t="shared" si="12"/>
        <v>0</v>
      </c>
      <c r="F275" s="157" t="str">
        <f t="shared" si="13"/>
        <v>Friday</v>
      </c>
      <c r="H275" s="157">
        <v>5</v>
      </c>
      <c r="I275" s="157">
        <f t="shared" si="15"/>
        <v>1</v>
      </c>
      <c r="J275" s="157">
        <f t="shared" si="14"/>
        <v>20</v>
      </c>
    </row>
    <row r="276" spans="1:10" ht="15.75" customHeight="1" x14ac:dyDescent="0.2">
      <c r="A276" s="157">
        <v>275</v>
      </c>
      <c r="B276" s="163">
        <v>45066</v>
      </c>
      <c r="C276" s="157">
        <f t="shared" si="11"/>
        <v>1</v>
      </c>
      <c r="D276" s="157">
        <v>0</v>
      </c>
      <c r="E276" s="157">
        <f t="shared" si="12"/>
        <v>1</v>
      </c>
      <c r="F276" s="157" t="str">
        <f t="shared" si="13"/>
        <v>Saturday</v>
      </c>
      <c r="H276" s="157">
        <v>5</v>
      </c>
      <c r="I276" s="157">
        <f t="shared" si="15"/>
        <v>1</v>
      </c>
      <c r="J276" s="157">
        <f t="shared" si="14"/>
        <v>20</v>
      </c>
    </row>
    <row r="277" spans="1:10" ht="15.75" customHeight="1" x14ac:dyDescent="0.2">
      <c r="A277" s="157">
        <v>276</v>
      </c>
      <c r="B277" s="163">
        <v>45067</v>
      </c>
      <c r="C277" s="157">
        <f t="shared" si="11"/>
        <v>1</v>
      </c>
      <c r="D277" s="157">
        <v>0</v>
      </c>
      <c r="E277" s="157">
        <f t="shared" si="12"/>
        <v>1</v>
      </c>
      <c r="F277" s="157" t="str">
        <f t="shared" si="13"/>
        <v>Sunday</v>
      </c>
      <c r="H277" s="157">
        <v>5</v>
      </c>
      <c r="I277" s="157">
        <f t="shared" si="15"/>
        <v>1</v>
      </c>
      <c r="J277" s="157">
        <f t="shared" si="14"/>
        <v>20</v>
      </c>
    </row>
    <row r="278" spans="1:10" ht="15.75" customHeight="1" x14ac:dyDescent="0.2">
      <c r="A278" s="157">
        <v>277</v>
      </c>
      <c r="B278" s="163">
        <v>45068</v>
      </c>
      <c r="C278" s="157">
        <f t="shared" si="11"/>
        <v>0</v>
      </c>
      <c r="D278" s="157">
        <v>0</v>
      </c>
      <c r="E278" s="157">
        <f t="shared" si="12"/>
        <v>0</v>
      </c>
      <c r="F278" s="157" t="str">
        <f t="shared" si="13"/>
        <v>Monday</v>
      </c>
      <c r="H278" s="157">
        <v>5</v>
      </c>
      <c r="I278" s="157">
        <f t="shared" si="15"/>
        <v>2</v>
      </c>
      <c r="J278" s="157">
        <f t="shared" si="14"/>
        <v>21</v>
      </c>
    </row>
    <row r="279" spans="1:10" ht="15.75" customHeight="1" x14ac:dyDescent="0.2">
      <c r="A279" s="157">
        <v>278</v>
      </c>
      <c r="B279" s="163">
        <v>45069</v>
      </c>
      <c r="C279" s="157">
        <f t="shared" si="11"/>
        <v>0</v>
      </c>
      <c r="D279" s="157">
        <v>0</v>
      </c>
      <c r="E279" s="157">
        <f t="shared" si="12"/>
        <v>0</v>
      </c>
      <c r="F279" s="157" t="str">
        <f t="shared" si="13"/>
        <v>Tuesday</v>
      </c>
      <c r="H279" s="157">
        <v>5</v>
      </c>
      <c r="I279" s="157">
        <f t="shared" si="15"/>
        <v>2</v>
      </c>
      <c r="J279" s="157">
        <f t="shared" si="14"/>
        <v>21</v>
      </c>
    </row>
    <row r="280" spans="1:10" ht="15.75" customHeight="1" x14ac:dyDescent="0.2">
      <c r="A280" s="157">
        <v>279</v>
      </c>
      <c r="B280" s="163">
        <v>45070</v>
      </c>
      <c r="C280" s="157">
        <f t="shared" si="11"/>
        <v>0</v>
      </c>
      <c r="D280" s="157">
        <v>0</v>
      </c>
      <c r="E280" s="157">
        <f t="shared" si="12"/>
        <v>0</v>
      </c>
      <c r="F280" s="157" t="str">
        <f t="shared" si="13"/>
        <v>Wednesday</v>
      </c>
      <c r="H280" s="157">
        <v>5</v>
      </c>
      <c r="I280" s="157">
        <f t="shared" si="15"/>
        <v>2</v>
      </c>
      <c r="J280" s="157">
        <f t="shared" si="14"/>
        <v>21</v>
      </c>
    </row>
    <row r="281" spans="1:10" ht="15.75" customHeight="1" x14ac:dyDescent="0.2">
      <c r="A281" s="157">
        <v>280</v>
      </c>
      <c r="B281" s="163">
        <v>45071</v>
      </c>
      <c r="C281" s="157">
        <f t="shared" si="11"/>
        <v>0</v>
      </c>
      <c r="D281" s="157">
        <v>0</v>
      </c>
      <c r="E281" s="157">
        <f t="shared" si="12"/>
        <v>0</v>
      </c>
      <c r="F281" s="157" t="str">
        <f t="shared" si="13"/>
        <v>Thursday</v>
      </c>
      <c r="H281" s="157">
        <v>5</v>
      </c>
      <c r="I281" s="157">
        <f t="shared" si="15"/>
        <v>2</v>
      </c>
      <c r="J281" s="157">
        <f t="shared" si="14"/>
        <v>21</v>
      </c>
    </row>
    <row r="282" spans="1:10" ht="15.75" customHeight="1" x14ac:dyDescent="0.2">
      <c r="A282" s="157">
        <v>281</v>
      </c>
      <c r="B282" s="163">
        <v>45072</v>
      </c>
      <c r="C282" s="157">
        <f t="shared" si="11"/>
        <v>0</v>
      </c>
      <c r="D282" s="157">
        <v>0</v>
      </c>
      <c r="E282" s="157">
        <f t="shared" si="12"/>
        <v>0</v>
      </c>
      <c r="F282" s="157" t="str">
        <f t="shared" si="13"/>
        <v>Friday</v>
      </c>
      <c r="H282" s="157">
        <v>5</v>
      </c>
      <c r="I282" s="157">
        <f t="shared" si="15"/>
        <v>2</v>
      </c>
      <c r="J282" s="157">
        <f t="shared" si="14"/>
        <v>21</v>
      </c>
    </row>
    <row r="283" spans="1:10" ht="15.75" customHeight="1" x14ac:dyDescent="0.2">
      <c r="A283" s="157">
        <v>282</v>
      </c>
      <c r="B283" s="163">
        <v>45073</v>
      </c>
      <c r="C283" s="157">
        <f t="shared" si="11"/>
        <v>1</v>
      </c>
      <c r="D283" s="157">
        <v>0</v>
      </c>
      <c r="E283" s="157">
        <f t="shared" si="12"/>
        <v>1</v>
      </c>
      <c r="F283" s="157" t="str">
        <f t="shared" si="13"/>
        <v>Saturday</v>
      </c>
      <c r="H283" s="157">
        <v>5</v>
      </c>
      <c r="I283" s="157">
        <f t="shared" si="15"/>
        <v>2</v>
      </c>
      <c r="J283" s="157">
        <f t="shared" si="14"/>
        <v>21</v>
      </c>
    </row>
    <row r="284" spans="1:10" ht="15.75" customHeight="1" x14ac:dyDescent="0.2">
      <c r="A284" s="157">
        <v>283</v>
      </c>
      <c r="B284" s="163">
        <v>45074</v>
      </c>
      <c r="C284" s="157">
        <f t="shared" si="11"/>
        <v>1</v>
      </c>
      <c r="D284" s="157">
        <v>0</v>
      </c>
      <c r="E284" s="157">
        <f t="shared" si="12"/>
        <v>1</v>
      </c>
      <c r="F284" s="157" t="str">
        <f t="shared" si="13"/>
        <v>Sunday</v>
      </c>
      <c r="H284" s="157">
        <v>5</v>
      </c>
      <c r="I284" s="157">
        <f t="shared" si="15"/>
        <v>2</v>
      </c>
      <c r="J284" s="157">
        <f t="shared" si="14"/>
        <v>21</v>
      </c>
    </row>
    <row r="285" spans="1:10" ht="15.75" customHeight="1" x14ac:dyDescent="0.2">
      <c r="A285" s="157">
        <v>284</v>
      </c>
      <c r="B285" s="163">
        <v>45075</v>
      </c>
      <c r="C285" s="157">
        <f t="shared" si="11"/>
        <v>0</v>
      </c>
      <c r="D285" s="157">
        <v>0</v>
      </c>
      <c r="E285" s="157">
        <f t="shared" si="12"/>
        <v>0</v>
      </c>
      <c r="F285" s="157" t="str">
        <f t="shared" si="13"/>
        <v>Monday</v>
      </c>
      <c r="H285" s="157">
        <v>5</v>
      </c>
      <c r="I285" s="157">
        <f t="shared" si="15"/>
        <v>3</v>
      </c>
      <c r="J285" s="157">
        <f t="shared" si="14"/>
        <v>22</v>
      </c>
    </row>
    <row r="286" spans="1:10" ht="15.75" customHeight="1" x14ac:dyDescent="0.2">
      <c r="A286" s="157">
        <v>285</v>
      </c>
      <c r="B286" s="163">
        <v>45076</v>
      </c>
      <c r="C286" s="157">
        <f t="shared" si="11"/>
        <v>0</v>
      </c>
      <c r="D286" s="157">
        <v>0</v>
      </c>
      <c r="E286" s="157">
        <f t="shared" si="12"/>
        <v>0</v>
      </c>
      <c r="F286" s="157" t="str">
        <f t="shared" si="13"/>
        <v>Tuesday</v>
      </c>
      <c r="H286" s="157">
        <v>5</v>
      </c>
      <c r="I286" s="157">
        <f t="shared" si="15"/>
        <v>3</v>
      </c>
      <c r="J286" s="157">
        <f t="shared" si="14"/>
        <v>22</v>
      </c>
    </row>
    <row r="287" spans="1:10" ht="15.75" customHeight="1" x14ac:dyDescent="0.2">
      <c r="A287" s="157">
        <v>286</v>
      </c>
      <c r="B287" s="163">
        <v>45077</v>
      </c>
      <c r="C287" s="157">
        <f t="shared" si="11"/>
        <v>0</v>
      </c>
      <c r="D287" s="157">
        <v>0</v>
      </c>
      <c r="E287" s="157">
        <f t="shared" si="12"/>
        <v>0</v>
      </c>
      <c r="F287" s="157" t="str">
        <f t="shared" si="13"/>
        <v>Wednesday</v>
      </c>
      <c r="H287" s="157">
        <v>5</v>
      </c>
      <c r="I287" s="157">
        <f t="shared" si="15"/>
        <v>3</v>
      </c>
      <c r="J287" s="157">
        <f t="shared" si="14"/>
        <v>22</v>
      </c>
    </row>
    <row r="288" spans="1:10" ht="15.75" customHeight="1" x14ac:dyDescent="0.2">
      <c r="A288" s="157">
        <v>287</v>
      </c>
      <c r="B288" s="163">
        <v>45078</v>
      </c>
      <c r="C288" s="157">
        <f t="shared" si="11"/>
        <v>0</v>
      </c>
      <c r="D288" s="157">
        <v>0</v>
      </c>
      <c r="E288" s="157">
        <f t="shared" si="12"/>
        <v>0</v>
      </c>
      <c r="F288" s="157" t="str">
        <f t="shared" si="13"/>
        <v>Thursday</v>
      </c>
      <c r="H288" s="157">
        <v>5</v>
      </c>
      <c r="I288" s="157">
        <f t="shared" si="15"/>
        <v>3</v>
      </c>
      <c r="J288" s="157">
        <f t="shared" si="14"/>
        <v>22</v>
      </c>
    </row>
    <row r="289" spans="1:10" ht="15.75" customHeight="1" x14ac:dyDescent="0.2">
      <c r="A289" s="157">
        <v>288</v>
      </c>
      <c r="B289" s="163">
        <v>45079</v>
      </c>
      <c r="C289" s="157">
        <f t="shared" si="11"/>
        <v>0</v>
      </c>
      <c r="D289" s="157">
        <v>0</v>
      </c>
      <c r="E289" s="157">
        <f t="shared" si="12"/>
        <v>0</v>
      </c>
      <c r="F289" s="157" t="str">
        <f t="shared" si="13"/>
        <v>Friday</v>
      </c>
      <c r="H289" s="157">
        <v>5</v>
      </c>
      <c r="I289" s="157">
        <f t="shared" si="15"/>
        <v>3</v>
      </c>
      <c r="J289" s="157">
        <f t="shared" si="14"/>
        <v>22</v>
      </c>
    </row>
    <row r="290" spans="1:10" ht="15.75" customHeight="1" x14ac:dyDescent="0.2">
      <c r="A290" s="157">
        <v>289</v>
      </c>
      <c r="B290" s="163">
        <v>45080</v>
      </c>
      <c r="C290" s="157">
        <f t="shared" si="11"/>
        <v>1</v>
      </c>
      <c r="D290" s="157">
        <v>0</v>
      </c>
      <c r="E290" s="157">
        <f t="shared" si="12"/>
        <v>1</v>
      </c>
      <c r="F290" s="157" t="str">
        <f t="shared" si="13"/>
        <v>Saturday</v>
      </c>
      <c r="H290" s="157">
        <v>5</v>
      </c>
      <c r="I290" s="157">
        <f t="shared" si="15"/>
        <v>3</v>
      </c>
      <c r="J290" s="157">
        <f t="shared" si="14"/>
        <v>22</v>
      </c>
    </row>
    <row r="291" spans="1:10" ht="15.75" customHeight="1" x14ac:dyDescent="0.2">
      <c r="A291" s="157">
        <v>290</v>
      </c>
      <c r="B291" s="163">
        <v>45081</v>
      </c>
      <c r="C291" s="157">
        <f t="shared" si="11"/>
        <v>1</v>
      </c>
      <c r="D291" s="157">
        <v>0</v>
      </c>
      <c r="E291" s="157">
        <f t="shared" si="12"/>
        <v>1</v>
      </c>
      <c r="F291" s="157" t="str">
        <f t="shared" si="13"/>
        <v>Sunday</v>
      </c>
      <c r="H291" s="157">
        <v>5</v>
      </c>
      <c r="I291" s="157">
        <f t="shared" si="15"/>
        <v>3</v>
      </c>
      <c r="J291" s="157">
        <f t="shared" si="14"/>
        <v>22</v>
      </c>
    </row>
    <row r="292" spans="1:10" ht="15.75" customHeight="1" x14ac:dyDescent="0.2">
      <c r="A292" s="157">
        <v>291</v>
      </c>
      <c r="B292" s="163">
        <v>45082</v>
      </c>
      <c r="C292" s="157">
        <f t="shared" si="11"/>
        <v>0</v>
      </c>
      <c r="D292" s="157">
        <v>0</v>
      </c>
      <c r="E292" s="157">
        <f t="shared" si="12"/>
        <v>0</v>
      </c>
      <c r="F292" s="157" t="str">
        <f t="shared" si="13"/>
        <v>Monday</v>
      </c>
      <c r="H292" s="157">
        <v>5</v>
      </c>
      <c r="I292" s="157">
        <f t="shared" si="15"/>
        <v>4</v>
      </c>
      <c r="J292" s="157">
        <f t="shared" si="14"/>
        <v>23</v>
      </c>
    </row>
    <row r="293" spans="1:10" ht="15.75" customHeight="1" x14ac:dyDescent="0.2">
      <c r="A293" s="157">
        <v>292</v>
      </c>
      <c r="B293" s="163">
        <v>45083</v>
      </c>
      <c r="C293" s="157">
        <f t="shared" si="11"/>
        <v>0</v>
      </c>
      <c r="D293" s="157">
        <v>0</v>
      </c>
      <c r="E293" s="157">
        <f t="shared" si="12"/>
        <v>0</v>
      </c>
      <c r="F293" s="157" t="str">
        <f t="shared" si="13"/>
        <v>Tuesday</v>
      </c>
      <c r="H293" s="157">
        <v>5</v>
      </c>
      <c r="I293" s="157">
        <f t="shared" si="15"/>
        <v>4</v>
      </c>
      <c r="J293" s="157">
        <f t="shared" si="14"/>
        <v>23</v>
      </c>
    </row>
    <row r="294" spans="1:10" ht="15.75" customHeight="1" x14ac:dyDescent="0.2">
      <c r="A294" s="157">
        <v>293</v>
      </c>
      <c r="B294" s="163">
        <v>45084</v>
      </c>
      <c r="C294" s="157">
        <f t="shared" si="11"/>
        <v>0</v>
      </c>
      <c r="D294" s="157">
        <v>0</v>
      </c>
      <c r="E294" s="157">
        <f t="shared" si="12"/>
        <v>0</v>
      </c>
      <c r="F294" s="157" t="str">
        <f t="shared" si="13"/>
        <v>Wednesday</v>
      </c>
      <c r="H294" s="157">
        <v>5</v>
      </c>
      <c r="I294" s="157">
        <f t="shared" si="15"/>
        <v>4</v>
      </c>
      <c r="J294" s="157">
        <f t="shared" si="14"/>
        <v>23</v>
      </c>
    </row>
    <row r="295" spans="1:10" ht="15.75" customHeight="1" x14ac:dyDescent="0.2">
      <c r="A295" s="157">
        <v>294</v>
      </c>
      <c r="B295" s="163">
        <v>45085</v>
      </c>
      <c r="C295" s="157">
        <f t="shared" si="11"/>
        <v>0</v>
      </c>
      <c r="D295" s="157">
        <v>0</v>
      </c>
      <c r="E295" s="157">
        <f t="shared" si="12"/>
        <v>0</v>
      </c>
      <c r="F295" s="157" t="str">
        <f t="shared" si="13"/>
        <v>Thursday</v>
      </c>
      <c r="H295" s="157">
        <v>5</v>
      </c>
      <c r="I295" s="157">
        <f t="shared" si="15"/>
        <v>4</v>
      </c>
      <c r="J295" s="157">
        <f t="shared" si="14"/>
        <v>23</v>
      </c>
    </row>
    <row r="296" spans="1:10" ht="15.75" customHeight="1" x14ac:dyDescent="0.2">
      <c r="A296" s="157">
        <v>295</v>
      </c>
      <c r="B296" s="163">
        <v>45086</v>
      </c>
      <c r="C296" s="157">
        <f t="shared" si="11"/>
        <v>0</v>
      </c>
      <c r="D296" s="157">
        <v>0</v>
      </c>
      <c r="E296" s="157">
        <f t="shared" si="12"/>
        <v>0</v>
      </c>
      <c r="F296" s="157" t="str">
        <f t="shared" si="13"/>
        <v>Friday</v>
      </c>
      <c r="H296" s="157">
        <v>5</v>
      </c>
      <c r="I296" s="157">
        <f t="shared" si="15"/>
        <v>4</v>
      </c>
      <c r="J296" s="157">
        <f t="shared" si="14"/>
        <v>23</v>
      </c>
    </row>
    <row r="297" spans="1:10" ht="15.75" customHeight="1" x14ac:dyDescent="0.2">
      <c r="A297" s="157">
        <v>296</v>
      </c>
      <c r="B297" s="163">
        <v>45087</v>
      </c>
      <c r="C297" s="157">
        <f t="shared" si="11"/>
        <v>1</v>
      </c>
      <c r="D297" s="157">
        <v>0</v>
      </c>
      <c r="E297" s="157">
        <f t="shared" si="12"/>
        <v>1</v>
      </c>
      <c r="F297" s="157" t="str">
        <f t="shared" si="13"/>
        <v>Saturday</v>
      </c>
      <c r="H297" s="157">
        <v>5</v>
      </c>
      <c r="I297" s="157">
        <f t="shared" si="15"/>
        <v>4</v>
      </c>
      <c r="J297" s="157">
        <f t="shared" si="14"/>
        <v>23</v>
      </c>
    </row>
    <row r="298" spans="1:10" ht="15.75" customHeight="1" x14ac:dyDescent="0.2">
      <c r="A298" s="157">
        <v>297</v>
      </c>
      <c r="B298" s="163">
        <v>45088</v>
      </c>
      <c r="C298" s="157">
        <f t="shared" si="11"/>
        <v>1</v>
      </c>
      <c r="D298" s="157">
        <v>0</v>
      </c>
      <c r="E298" s="157">
        <f t="shared" si="12"/>
        <v>1</v>
      </c>
      <c r="F298" s="157" t="str">
        <f t="shared" si="13"/>
        <v>Sunday</v>
      </c>
      <c r="H298" s="157">
        <v>5</v>
      </c>
      <c r="I298" s="157">
        <f t="shared" si="15"/>
        <v>4</v>
      </c>
      <c r="J298" s="157">
        <f t="shared" si="14"/>
        <v>23</v>
      </c>
    </row>
    <row r="299" spans="1:10" ht="15.75" customHeight="1" x14ac:dyDescent="0.2">
      <c r="A299" s="157">
        <v>298</v>
      </c>
      <c r="B299" s="163">
        <v>45089</v>
      </c>
      <c r="C299" s="157">
        <f t="shared" si="11"/>
        <v>0</v>
      </c>
      <c r="D299" s="157">
        <v>0</v>
      </c>
      <c r="E299" s="157">
        <f t="shared" si="12"/>
        <v>0</v>
      </c>
      <c r="F299" s="157" t="str">
        <f t="shared" si="13"/>
        <v>Monday</v>
      </c>
      <c r="H299" s="157">
        <v>5</v>
      </c>
      <c r="I299" s="157">
        <f t="shared" si="15"/>
        <v>5</v>
      </c>
      <c r="J299" s="157">
        <f t="shared" si="14"/>
        <v>24</v>
      </c>
    </row>
    <row r="300" spans="1:10" ht="15.75" customHeight="1" x14ac:dyDescent="0.2">
      <c r="A300" s="157">
        <v>299</v>
      </c>
      <c r="B300" s="163">
        <v>45090</v>
      </c>
      <c r="C300" s="157">
        <f t="shared" si="11"/>
        <v>0</v>
      </c>
      <c r="D300" s="157">
        <v>0</v>
      </c>
      <c r="E300" s="157">
        <f t="shared" si="12"/>
        <v>0</v>
      </c>
      <c r="F300" s="157" t="str">
        <f t="shared" si="13"/>
        <v>Tuesday</v>
      </c>
      <c r="H300" s="157">
        <v>5</v>
      </c>
      <c r="I300" s="157">
        <f t="shared" si="15"/>
        <v>5</v>
      </c>
      <c r="J300" s="157">
        <f t="shared" si="14"/>
        <v>24</v>
      </c>
    </row>
    <row r="301" spans="1:10" ht="15.75" customHeight="1" x14ac:dyDescent="0.2">
      <c r="A301" s="157">
        <v>300</v>
      </c>
      <c r="B301" s="163">
        <v>45091</v>
      </c>
      <c r="C301" s="157">
        <f t="shared" si="11"/>
        <v>0</v>
      </c>
      <c r="D301" s="157">
        <v>0</v>
      </c>
      <c r="E301" s="157">
        <f t="shared" si="12"/>
        <v>0</v>
      </c>
      <c r="F301" s="157" t="str">
        <f t="shared" si="13"/>
        <v>Wednesday</v>
      </c>
      <c r="H301" s="157">
        <v>5</v>
      </c>
      <c r="I301" s="157">
        <f t="shared" si="15"/>
        <v>5</v>
      </c>
      <c r="J301" s="157">
        <f t="shared" si="14"/>
        <v>24</v>
      </c>
    </row>
    <row r="302" spans="1:10" ht="15.75" customHeight="1" x14ac:dyDescent="0.2">
      <c r="A302" s="157">
        <v>301</v>
      </c>
      <c r="B302" s="163">
        <v>45092</v>
      </c>
      <c r="C302" s="157">
        <f t="shared" si="11"/>
        <v>0</v>
      </c>
      <c r="D302" s="157">
        <v>0</v>
      </c>
      <c r="E302" s="157">
        <f t="shared" si="12"/>
        <v>0</v>
      </c>
      <c r="F302" s="157" t="str">
        <f t="shared" si="13"/>
        <v>Thursday</v>
      </c>
      <c r="H302" s="157">
        <v>5</v>
      </c>
      <c r="I302" s="157">
        <f t="shared" si="15"/>
        <v>5</v>
      </c>
      <c r="J302" s="157">
        <f t="shared" si="14"/>
        <v>24</v>
      </c>
    </row>
    <row r="303" spans="1:10" ht="15.75" customHeight="1" x14ac:dyDescent="0.2">
      <c r="A303" s="157">
        <v>302</v>
      </c>
      <c r="B303" s="163">
        <v>45093</v>
      </c>
      <c r="C303" s="157">
        <f t="shared" si="11"/>
        <v>0</v>
      </c>
      <c r="D303" s="157">
        <v>0</v>
      </c>
      <c r="E303" s="157">
        <f t="shared" si="12"/>
        <v>0</v>
      </c>
      <c r="F303" s="157" t="str">
        <f t="shared" si="13"/>
        <v>Friday</v>
      </c>
      <c r="H303" s="157">
        <v>5</v>
      </c>
      <c r="I303" s="157">
        <f t="shared" si="15"/>
        <v>5</v>
      </c>
      <c r="J303" s="157">
        <f t="shared" si="14"/>
        <v>24</v>
      </c>
    </row>
    <row r="304" spans="1:10" ht="15.75" customHeight="1" x14ac:dyDescent="0.2">
      <c r="A304" s="157">
        <v>303</v>
      </c>
      <c r="B304" s="163">
        <v>45094</v>
      </c>
      <c r="C304" s="157">
        <f t="shared" si="11"/>
        <v>1</v>
      </c>
      <c r="D304" s="157">
        <v>0</v>
      </c>
      <c r="E304" s="157">
        <f t="shared" si="12"/>
        <v>1</v>
      </c>
      <c r="F304" s="157" t="str">
        <f t="shared" si="13"/>
        <v>Saturday</v>
      </c>
      <c r="H304" s="157">
        <v>5</v>
      </c>
      <c r="I304" s="157">
        <f t="shared" si="15"/>
        <v>5</v>
      </c>
      <c r="J304" s="157">
        <f t="shared" si="14"/>
        <v>24</v>
      </c>
    </row>
    <row r="305" spans="1:10" ht="15.75" customHeight="1" x14ac:dyDescent="0.2">
      <c r="A305" s="157">
        <v>304</v>
      </c>
      <c r="B305" s="163">
        <v>45095</v>
      </c>
      <c r="C305" s="157">
        <f t="shared" si="11"/>
        <v>1</v>
      </c>
      <c r="D305" s="157">
        <v>0</v>
      </c>
      <c r="E305" s="157">
        <f t="shared" si="12"/>
        <v>1</v>
      </c>
      <c r="F305" s="157" t="str">
        <f t="shared" si="13"/>
        <v>Sunday</v>
      </c>
      <c r="H305" s="157">
        <v>5</v>
      </c>
      <c r="I305" s="157">
        <f t="shared" si="15"/>
        <v>5</v>
      </c>
      <c r="J305" s="157">
        <f t="shared" si="14"/>
        <v>24</v>
      </c>
    </row>
    <row r="306" spans="1:10" ht="15.75" customHeight="1" x14ac:dyDescent="0.2">
      <c r="A306" s="157">
        <v>305</v>
      </c>
      <c r="B306" s="163">
        <v>45096</v>
      </c>
      <c r="C306" s="157">
        <f t="shared" si="11"/>
        <v>0</v>
      </c>
      <c r="D306" s="157">
        <v>0</v>
      </c>
      <c r="E306" s="157">
        <f t="shared" si="12"/>
        <v>0</v>
      </c>
      <c r="F306" s="157" t="str">
        <f t="shared" si="13"/>
        <v>Monday</v>
      </c>
      <c r="H306" s="157">
        <v>5</v>
      </c>
      <c r="I306" s="157">
        <f t="shared" si="15"/>
        <v>6</v>
      </c>
      <c r="J306" s="157">
        <f t="shared" si="14"/>
        <v>25</v>
      </c>
    </row>
    <row r="307" spans="1:10" ht="15.75" customHeight="1" x14ac:dyDescent="0.2">
      <c r="A307" s="157">
        <v>306</v>
      </c>
      <c r="B307" s="163">
        <v>45097</v>
      </c>
      <c r="C307" s="157">
        <f t="shared" si="11"/>
        <v>0</v>
      </c>
      <c r="D307" s="157">
        <v>0</v>
      </c>
      <c r="E307" s="157">
        <f t="shared" si="12"/>
        <v>0</v>
      </c>
      <c r="F307" s="157" t="str">
        <f t="shared" si="13"/>
        <v>Tuesday</v>
      </c>
      <c r="H307" s="157">
        <v>5</v>
      </c>
      <c r="I307" s="157">
        <f t="shared" si="15"/>
        <v>6</v>
      </c>
      <c r="J307" s="157">
        <f t="shared" si="14"/>
        <v>25</v>
      </c>
    </row>
    <row r="308" spans="1:10" ht="15.75" customHeight="1" x14ac:dyDescent="0.2">
      <c r="A308" s="157">
        <v>307</v>
      </c>
      <c r="B308" s="163">
        <v>45098</v>
      </c>
      <c r="C308" s="157">
        <f t="shared" si="11"/>
        <v>0</v>
      </c>
      <c r="D308" s="157">
        <v>0</v>
      </c>
      <c r="E308" s="157">
        <f t="shared" si="12"/>
        <v>0</v>
      </c>
      <c r="F308" s="157" t="str">
        <f t="shared" si="13"/>
        <v>Wednesday</v>
      </c>
      <c r="H308" s="157">
        <v>5</v>
      </c>
      <c r="I308" s="157">
        <f t="shared" si="15"/>
        <v>6</v>
      </c>
      <c r="J308" s="157">
        <f t="shared" si="14"/>
        <v>25</v>
      </c>
    </row>
    <row r="309" spans="1:10" ht="15.75" customHeight="1" x14ac:dyDescent="0.2">
      <c r="A309" s="157">
        <v>308</v>
      </c>
      <c r="B309" s="163">
        <v>45099</v>
      </c>
      <c r="C309" s="157">
        <f t="shared" si="11"/>
        <v>0</v>
      </c>
      <c r="D309" s="157">
        <v>0</v>
      </c>
      <c r="E309" s="157">
        <f t="shared" si="12"/>
        <v>0</v>
      </c>
      <c r="F309" s="157" t="str">
        <f t="shared" si="13"/>
        <v>Thursday</v>
      </c>
      <c r="H309" s="157">
        <v>5</v>
      </c>
      <c r="I309" s="157">
        <f t="shared" si="15"/>
        <v>6</v>
      </c>
      <c r="J309" s="157">
        <f t="shared" si="14"/>
        <v>25</v>
      </c>
    </row>
    <row r="310" spans="1:10" ht="15.75" customHeight="1" x14ac:dyDescent="0.2">
      <c r="A310" s="157">
        <v>309</v>
      </c>
      <c r="B310" s="163">
        <v>45100</v>
      </c>
      <c r="C310" s="157">
        <f t="shared" si="11"/>
        <v>0</v>
      </c>
      <c r="D310" s="157">
        <v>0</v>
      </c>
      <c r="E310" s="157">
        <f t="shared" si="12"/>
        <v>0</v>
      </c>
      <c r="F310" s="157" t="str">
        <f t="shared" si="13"/>
        <v>Friday</v>
      </c>
      <c r="H310" s="157">
        <v>5</v>
      </c>
      <c r="I310" s="157">
        <f t="shared" si="15"/>
        <v>6</v>
      </c>
      <c r="J310" s="157">
        <f t="shared" si="14"/>
        <v>25</v>
      </c>
    </row>
    <row r="311" spans="1:10" ht="15.75" customHeight="1" x14ac:dyDescent="0.2">
      <c r="A311" s="157">
        <v>310</v>
      </c>
      <c r="B311" s="163">
        <v>45101</v>
      </c>
      <c r="C311" s="157">
        <f t="shared" si="11"/>
        <v>1</v>
      </c>
      <c r="D311" s="157">
        <v>0</v>
      </c>
      <c r="E311" s="157">
        <f t="shared" si="12"/>
        <v>1</v>
      </c>
      <c r="F311" s="157" t="str">
        <f t="shared" si="13"/>
        <v>Saturday</v>
      </c>
      <c r="H311" s="157">
        <v>5</v>
      </c>
      <c r="I311" s="157">
        <f t="shared" si="15"/>
        <v>6</v>
      </c>
      <c r="J311" s="157">
        <f t="shared" si="14"/>
        <v>25</v>
      </c>
    </row>
    <row r="312" spans="1:10" ht="15.75" customHeight="1" x14ac:dyDescent="0.2">
      <c r="A312" s="157">
        <v>311</v>
      </c>
      <c r="B312" s="163">
        <v>45102</v>
      </c>
      <c r="C312" s="157">
        <f t="shared" si="11"/>
        <v>1</v>
      </c>
      <c r="D312" s="157">
        <v>0</v>
      </c>
      <c r="E312" s="157">
        <f t="shared" si="12"/>
        <v>1</v>
      </c>
      <c r="F312" s="157" t="str">
        <f t="shared" si="13"/>
        <v>Sunday</v>
      </c>
      <c r="H312" s="157">
        <v>5</v>
      </c>
      <c r="I312" s="157">
        <f t="shared" si="15"/>
        <v>6</v>
      </c>
      <c r="J312" s="157">
        <f t="shared" si="14"/>
        <v>25</v>
      </c>
    </row>
    <row r="313" spans="1:10" ht="15.75" customHeight="1" x14ac:dyDescent="0.2">
      <c r="A313" s="157">
        <v>312</v>
      </c>
      <c r="B313" s="163">
        <v>45103</v>
      </c>
      <c r="C313" s="157">
        <f t="shared" si="11"/>
        <v>0</v>
      </c>
      <c r="D313" s="157">
        <v>0</v>
      </c>
      <c r="E313" s="157">
        <f t="shared" si="12"/>
        <v>0</v>
      </c>
      <c r="F313" s="157" t="str">
        <f t="shared" si="13"/>
        <v>Monday</v>
      </c>
      <c r="H313" s="157">
        <v>5</v>
      </c>
      <c r="I313" s="157">
        <f t="shared" si="15"/>
        <v>7</v>
      </c>
      <c r="J313" s="157">
        <f t="shared" si="14"/>
        <v>26</v>
      </c>
    </row>
    <row r="314" spans="1:10" ht="15.75" customHeight="1" x14ac:dyDescent="0.2">
      <c r="A314" s="157">
        <v>313</v>
      </c>
      <c r="B314" s="163">
        <v>45104</v>
      </c>
      <c r="C314" s="157">
        <f t="shared" si="11"/>
        <v>0</v>
      </c>
      <c r="D314" s="157">
        <v>0</v>
      </c>
      <c r="E314" s="157">
        <f t="shared" si="12"/>
        <v>0</v>
      </c>
      <c r="F314" s="157" t="str">
        <f t="shared" si="13"/>
        <v>Tuesday</v>
      </c>
      <c r="H314" s="157">
        <v>5</v>
      </c>
      <c r="I314" s="157">
        <f t="shared" si="15"/>
        <v>7</v>
      </c>
      <c r="J314" s="157">
        <f t="shared" si="14"/>
        <v>26</v>
      </c>
    </row>
    <row r="315" spans="1:10" ht="15.75" customHeight="1" x14ac:dyDescent="0.2">
      <c r="A315" s="157">
        <v>314</v>
      </c>
      <c r="B315" s="163">
        <v>45105</v>
      </c>
      <c r="C315" s="157">
        <f t="shared" si="11"/>
        <v>0</v>
      </c>
      <c r="D315" s="157">
        <v>0</v>
      </c>
      <c r="E315" s="157">
        <f t="shared" si="12"/>
        <v>0</v>
      </c>
      <c r="F315" s="157" t="str">
        <f t="shared" si="13"/>
        <v>Wednesday</v>
      </c>
      <c r="H315" s="157">
        <v>5</v>
      </c>
      <c r="I315" s="157">
        <f t="shared" si="15"/>
        <v>7</v>
      </c>
      <c r="J315" s="157">
        <f t="shared" si="14"/>
        <v>26</v>
      </c>
    </row>
    <row r="316" spans="1:10" ht="15.75" customHeight="1" x14ac:dyDescent="0.2">
      <c r="A316" s="157">
        <v>315</v>
      </c>
      <c r="B316" s="163">
        <v>45106</v>
      </c>
      <c r="C316" s="157">
        <f t="shared" si="11"/>
        <v>0</v>
      </c>
      <c r="D316" s="157">
        <v>0</v>
      </c>
      <c r="E316" s="157">
        <f t="shared" si="12"/>
        <v>0</v>
      </c>
      <c r="F316" s="157" t="str">
        <f t="shared" si="13"/>
        <v>Thursday</v>
      </c>
      <c r="H316" s="157">
        <v>5</v>
      </c>
      <c r="I316" s="157">
        <f t="shared" si="15"/>
        <v>7</v>
      </c>
      <c r="J316" s="157">
        <f t="shared" si="14"/>
        <v>26</v>
      </c>
    </row>
    <row r="317" spans="1:10" ht="15.75" customHeight="1" x14ac:dyDescent="0.2">
      <c r="A317" s="157">
        <v>316</v>
      </c>
      <c r="B317" s="163">
        <v>45107</v>
      </c>
      <c r="C317" s="157">
        <f t="shared" si="11"/>
        <v>0</v>
      </c>
      <c r="D317" s="157">
        <v>0</v>
      </c>
      <c r="E317" s="157">
        <f t="shared" si="12"/>
        <v>0</v>
      </c>
      <c r="F317" s="157" t="str">
        <f t="shared" si="13"/>
        <v>Friday</v>
      </c>
      <c r="H317" s="157">
        <v>5</v>
      </c>
      <c r="I317" s="157">
        <f t="shared" si="15"/>
        <v>7</v>
      </c>
      <c r="J317" s="157">
        <f t="shared" si="14"/>
        <v>26</v>
      </c>
    </row>
    <row r="318" spans="1:10" ht="15.75" customHeight="1" x14ac:dyDescent="0.2">
      <c r="A318" s="157">
        <v>317</v>
      </c>
      <c r="B318" s="163">
        <v>45108</v>
      </c>
      <c r="C318" s="157">
        <f t="shared" si="11"/>
        <v>1</v>
      </c>
      <c r="D318" s="157">
        <v>0</v>
      </c>
      <c r="E318" s="157">
        <f t="shared" si="12"/>
        <v>1</v>
      </c>
      <c r="F318" s="157" t="str">
        <f t="shared" si="13"/>
        <v>Saturday</v>
      </c>
      <c r="H318" s="157">
        <v>5</v>
      </c>
      <c r="I318" s="157">
        <f t="shared" si="15"/>
        <v>7</v>
      </c>
      <c r="J318" s="157">
        <f t="shared" si="14"/>
        <v>26</v>
      </c>
    </row>
    <row r="319" spans="1:10" ht="15.75" customHeight="1" x14ac:dyDescent="0.2">
      <c r="A319" s="157">
        <v>318</v>
      </c>
      <c r="B319" s="163">
        <v>45109</v>
      </c>
      <c r="C319" s="157">
        <f t="shared" si="11"/>
        <v>1</v>
      </c>
      <c r="D319" s="157">
        <v>0</v>
      </c>
      <c r="E319" s="157">
        <f t="shared" si="12"/>
        <v>1</v>
      </c>
      <c r="F319" s="157" t="str">
        <f t="shared" si="13"/>
        <v>Sunday</v>
      </c>
      <c r="H319" s="157">
        <v>5</v>
      </c>
      <c r="I319" s="157">
        <f t="shared" si="15"/>
        <v>7</v>
      </c>
      <c r="J319" s="157">
        <f t="shared" si="14"/>
        <v>26</v>
      </c>
    </row>
    <row r="320" spans="1:10" ht="15.75" customHeight="1" x14ac:dyDescent="0.2">
      <c r="A320" s="157">
        <v>319</v>
      </c>
      <c r="B320" s="163">
        <v>45110</v>
      </c>
      <c r="C320" s="157">
        <f t="shared" si="11"/>
        <v>0</v>
      </c>
      <c r="D320" s="157">
        <v>0</v>
      </c>
      <c r="E320" s="157">
        <f t="shared" si="12"/>
        <v>0</v>
      </c>
      <c r="F320" s="157" t="str">
        <f t="shared" si="13"/>
        <v>Monday</v>
      </c>
      <c r="H320" s="157">
        <v>5</v>
      </c>
      <c r="I320" s="157">
        <f t="shared" si="15"/>
        <v>8</v>
      </c>
      <c r="J320" s="157">
        <f t="shared" si="14"/>
        <v>27</v>
      </c>
    </row>
    <row r="321" spans="1:10" ht="15.75" customHeight="1" x14ac:dyDescent="0.2">
      <c r="A321" s="157">
        <v>320</v>
      </c>
      <c r="B321" s="163">
        <v>45111</v>
      </c>
      <c r="C321" s="157">
        <f t="shared" si="11"/>
        <v>0</v>
      </c>
      <c r="D321" s="157">
        <v>0</v>
      </c>
      <c r="E321" s="157">
        <f t="shared" si="12"/>
        <v>0</v>
      </c>
      <c r="F321" s="157" t="str">
        <f t="shared" si="13"/>
        <v>Tuesday</v>
      </c>
      <c r="H321" s="157">
        <v>5</v>
      </c>
      <c r="I321" s="157">
        <f t="shared" si="15"/>
        <v>8</v>
      </c>
      <c r="J321" s="157">
        <f t="shared" si="14"/>
        <v>27</v>
      </c>
    </row>
    <row r="322" spans="1:10" ht="15.75" customHeight="1" x14ac:dyDescent="0.2">
      <c r="A322" s="157">
        <v>321</v>
      </c>
      <c r="B322" s="163">
        <v>45112</v>
      </c>
      <c r="C322" s="157">
        <f t="shared" si="11"/>
        <v>0</v>
      </c>
      <c r="D322" s="157">
        <v>0</v>
      </c>
      <c r="E322" s="157">
        <f t="shared" si="12"/>
        <v>0</v>
      </c>
      <c r="F322" s="157" t="str">
        <f t="shared" si="13"/>
        <v>Wednesday</v>
      </c>
      <c r="H322" s="157">
        <v>5</v>
      </c>
      <c r="I322" s="157">
        <f t="shared" si="15"/>
        <v>8</v>
      </c>
      <c r="J322" s="157">
        <f t="shared" si="14"/>
        <v>27</v>
      </c>
    </row>
    <row r="323" spans="1:10" ht="15.75" customHeight="1" x14ac:dyDescent="0.2">
      <c r="A323" s="157">
        <v>322</v>
      </c>
      <c r="B323" s="163">
        <v>45113</v>
      </c>
      <c r="C323" s="157">
        <f t="shared" si="11"/>
        <v>0</v>
      </c>
      <c r="D323" s="157">
        <v>0</v>
      </c>
      <c r="E323" s="157">
        <f t="shared" si="12"/>
        <v>0</v>
      </c>
      <c r="F323" s="157" t="str">
        <f t="shared" si="13"/>
        <v>Thursday</v>
      </c>
      <c r="H323" s="157">
        <v>5</v>
      </c>
      <c r="I323" s="157">
        <f t="shared" si="15"/>
        <v>8</v>
      </c>
      <c r="J323" s="157">
        <f t="shared" ref="J323:J386" si="16">_xlfn.ISOWEEKNUM(B323)</f>
        <v>27</v>
      </c>
    </row>
    <row r="324" spans="1:10" ht="15.75" customHeight="1" x14ac:dyDescent="0.2">
      <c r="A324" s="157">
        <v>323</v>
      </c>
      <c r="B324" s="163">
        <v>45114</v>
      </c>
      <c r="C324" s="157">
        <f t="shared" si="11"/>
        <v>0</v>
      </c>
      <c r="D324" s="157">
        <v>0</v>
      </c>
      <c r="E324" s="157">
        <f t="shared" si="12"/>
        <v>0</v>
      </c>
      <c r="F324" s="157" t="str">
        <f t="shared" si="13"/>
        <v>Friday</v>
      </c>
      <c r="H324" s="157">
        <v>5</v>
      </c>
      <c r="I324" s="157">
        <f t="shared" si="15"/>
        <v>8</v>
      </c>
      <c r="J324" s="157">
        <f t="shared" si="16"/>
        <v>27</v>
      </c>
    </row>
    <row r="325" spans="1:10" ht="15.75" customHeight="1" x14ac:dyDescent="0.2">
      <c r="A325" s="157">
        <v>324</v>
      </c>
      <c r="B325" s="163">
        <v>45115</v>
      </c>
      <c r="C325" s="157">
        <f t="shared" si="11"/>
        <v>1</v>
      </c>
      <c r="D325" s="157">
        <v>1</v>
      </c>
      <c r="E325" s="157">
        <f t="shared" si="12"/>
        <v>1</v>
      </c>
      <c r="F325" s="157" t="str">
        <f t="shared" si="13"/>
        <v>Saturday</v>
      </c>
      <c r="G325" s="157" t="s">
        <v>1772</v>
      </c>
      <c r="H325" s="157">
        <v>5</v>
      </c>
      <c r="I325" s="157">
        <f t="shared" ref="I325:I388" si="17">IF(J325&gt;J324, IF(H325&lt;&gt;H324,1, I324+1),I324)</f>
        <v>8</v>
      </c>
      <c r="J325" s="157">
        <f t="shared" si="16"/>
        <v>27</v>
      </c>
    </row>
    <row r="326" spans="1:10" ht="15.75" customHeight="1" x14ac:dyDescent="0.2">
      <c r="A326" s="157">
        <v>325</v>
      </c>
      <c r="B326" s="163">
        <v>45116</v>
      </c>
      <c r="C326" s="157">
        <f t="shared" si="11"/>
        <v>1</v>
      </c>
      <c r="D326" s="157">
        <v>1</v>
      </c>
      <c r="E326" s="157">
        <f t="shared" si="12"/>
        <v>1</v>
      </c>
      <c r="F326" s="157" t="str">
        <f t="shared" si="13"/>
        <v>Sunday</v>
      </c>
      <c r="G326" s="157" t="s">
        <v>1772</v>
      </c>
      <c r="H326" s="157">
        <v>5</v>
      </c>
      <c r="I326" s="157">
        <f t="shared" si="17"/>
        <v>8</v>
      </c>
      <c r="J326" s="157">
        <f t="shared" si="16"/>
        <v>27</v>
      </c>
    </row>
    <row r="327" spans="1:10" ht="15.75" customHeight="1" x14ac:dyDescent="0.2">
      <c r="A327" s="157">
        <v>326</v>
      </c>
      <c r="B327" s="163">
        <v>45117</v>
      </c>
      <c r="C327" s="157">
        <f t="shared" si="11"/>
        <v>0</v>
      </c>
      <c r="D327" s="157">
        <v>1</v>
      </c>
      <c r="E327" s="157">
        <f t="shared" si="12"/>
        <v>1</v>
      </c>
      <c r="F327" s="157" t="str">
        <f t="shared" si="13"/>
        <v>Monday</v>
      </c>
      <c r="G327" s="157" t="s">
        <v>1772</v>
      </c>
      <c r="H327" s="157">
        <v>5</v>
      </c>
      <c r="I327" s="157">
        <f t="shared" si="17"/>
        <v>9</v>
      </c>
      <c r="J327" s="157">
        <f t="shared" si="16"/>
        <v>28</v>
      </c>
    </row>
    <row r="328" spans="1:10" ht="15.75" customHeight="1" x14ac:dyDescent="0.2">
      <c r="A328" s="157">
        <v>327</v>
      </c>
      <c r="B328" s="163">
        <v>45118</v>
      </c>
      <c r="C328" s="157">
        <f t="shared" si="11"/>
        <v>0</v>
      </c>
      <c r="D328" s="157">
        <v>1</v>
      </c>
      <c r="E328" s="157">
        <f t="shared" si="12"/>
        <v>1</v>
      </c>
      <c r="F328" s="157" t="str">
        <f t="shared" si="13"/>
        <v>Tuesday</v>
      </c>
      <c r="G328" s="157" t="s">
        <v>1772</v>
      </c>
      <c r="H328" s="157">
        <v>5</v>
      </c>
      <c r="I328" s="157">
        <f t="shared" si="17"/>
        <v>9</v>
      </c>
      <c r="J328" s="157">
        <f t="shared" si="16"/>
        <v>28</v>
      </c>
    </row>
    <row r="329" spans="1:10" ht="15.75" customHeight="1" x14ac:dyDescent="0.2">
      <c r="A329" s="157">
        <v>328</v>
      </c>
      <c r="B329" s="163">
        <v>45119</v>
      </c>
      <c r="C329" s="157">
        <f t="shared" si="11"/>
        <v>0</v>
      </c>
      <c r="D329" s="157">
        <v>1</v>
      </c>
      <c r="E329" s="157">
        <f t="shared" si="12"/>
        <v>1</v>
      </c>
      <c r="F329" s="157" t="str">
        <f t="shared" si="13"/>
        <v>Wednesday</v>
      </c>
      <c r="G329" s="157" t="s">
        <v>1772</v>
      </c>
      <c r="H329" s="157">
        <v>5</v>
      </c>
      <c r="I329" s="157">
        <f t="shared" si="17"/>
        <v>9</v>
      </c>
      <c r="J329" s="157">
        <f t="shared" si="16"/>
        <v>28</v>
      </c>
    </row>
    <row r="330" spans="1:10" ht="15.75" customHeight="1" x14ac:dyDescent="0.2">
      <c r="A330" s="157">
        <v>329</v>
      </c>
      <c r="B330" s="163">
        <v>45120</v>
      </c>
      <c r="C330" s="157">
        <f t="shared" si="11"/>
        <v>0</v>
      </c>
      <c r="D330" s="157">
        <v>1</v>
      </c>
      <c r="E330" s="157">
        <f t="shared" si="12"/>
        <v>1</v>
      </c>
      <c r="F330" s="157" t="str">
        <f t="shared" si="13"/>
        <v>Thursday</v>
      </c>
      <c r="G330" s="157" t="s">
        <v>1772</v>
      </c>
      <c r="H330" s="157">
        <v>5</v>
      </c>
      <c r="I330" s="157">
        <f t="shared" si="17"/>
        <v>9</v>
      </c>
      <c r="J330" s="157">
        <f t="shared" si="16"/>
        <v>28</v>
      </c>
    </row>
    <row r="331" spans="1:10" ht="15.75" customHeight="1" x14ac:dyDescent="0.2">
      <c r="A331" s="157">
        <v>330</v>
      </c>
      <c r="B331" s="163">
        <v>45121</v>
      </c>
      <c r="C331" s="157">
        <f t="shared" si="11"/>
        <v>0</v>
      </c>
      <c r="D331" s="157">
        <v>1</v>
      </c>
      <c r="E331" s="157">
        <f t="shared" si="12"/>
        <v>1</v>
      </c>
      <c r="F331" s="157" t="str">
        <f t="shared" si="13"/>
        <v>Friday</v>
      </c>
      <c r="G331" s="157" t="s">
        <v>1772</v>
      </c>
      <c r="H331" s="157">
        <v>5</v>
      </c>
      <c r="I331" s="157">
        <f t="shared" si="17"/>
        <v>9</v>
      </c>
      <c r="J331" s="157">
        <f t="shared" si="16"/>
        <v>28</v>
      </c>
    </row>
    <row r="332" spans="1:10" ht="15.75" customHeight="1" x14ac:dyDescent="0.2">
      <c r="A332" s="157">
        <v>331</v>
      </c>
      <c r="B332" s="163">
        <v>45122</v>
      </c>
      <c r="C332" s="157">
        <f t="shared" si="11"/>
        <v>1</v>
      </c>
      <c r="D332" s="157">
        <v>1</v>
      </c>
      <c r="E332" s="157">
        <f t="shared" si="12"/>
        <v>1</v>
      </c>
      <c r="F332" s="157" t="str">
        <f t="shared" si="13"/>
        <v>Saturday</v>
      </c>
      <c r="G332" s="157" t="s">
        <v>1772</v>
      </c>
      <c r="H332" s="157">
        <v>5</v>
      </c>
      <c r="I332" s="157">
        <f t="shared" si="17"/>
        <v>9</v>
      </c>
      <c r="J332" s="157">
        <f t="shared" si="16"/>
        <v>28</v>
      </c>
    </row>
    <row r="333" spans="1:10" ht="15.75" customHeight="1" x14ac:dyDescent="0.2">
      <c r="A333" s="157">
        <v>332</v>
      </c>
      <c r="B333" s="163">
        <v>45123</v>
      </c>
      <c r="C333" s="157">
        <f t="shared" si="11"/>
        <v>1</v>
      </c>
      <c r="D333" s="157">
        <v>1</v>
      </c>
      <c r="E333" s="157">
        <f t="shared" si="12"/>
        <v>1</v>
      </c>
      <c r="F333" s="157" t="str">
        <f t="shared" si="13"/>
        <v>Sunday</v>
      </c>
      <c r="G333" s="157" t="s">
        <v>1772</v>
      </c>
      <c r="H333" s="157">
        <v>5</v>
      </c>
      <c r="I333" s="157">
        <f t="shared" si="17"/>
        <v>9</v>
      </c>
      <c r="J333" s="157">
        <f t="shared" si="16"/>
        <v>28</v>
      </c>
    </row>
    <row r="334" spans="1:10" ht="15.75" customHeight="1" x14ac:dyDescent="0.2">
      <c r="A334" s="157">
        <v>333</v>
      </c>
      <c r="B334" s="163">
        <v>45124</v>
      </c>
      <c r="C334" s="157">
        <f t="shared" si="11"/>
        <v>0</v>
      </c>
      <c r="D334" s="157">
        <v>1</v>
      </c>
      <c r="E334" s="157">
        <f t="shared" si="12"/>
        <v>1</v>
      </c>
      <c r="F334" s="157" t="str">
        <f t="shared" si="13"/>
        <v>Monday</v>
      </c>
      <c r="G334" s="157" t="s">
        <v>1772</v>
      </c>
      <c r="H334" s="157">
        <v>5</v>
      </c>
      <c r="I334" s="157">
        <f t="shared" si="17"/>
        <v>10</v>
      </c>
      <c r="J334" s="157">
        <f t="shared" si="16"/>
        <v>29</v>
      </c>
    </row>
    <row r="335" spans="1:10" ht="15.75" customHeight="1" x14ac:dyDescent="0.2">
      <c r="A335" s="157">
        <v>334</v>
      </c>
      <c r="B335" s="163">
        <v>45125</v>
      </c>
      <c r="C335" s="157">
        <f t="shared" si="11"/>
        <v>0</v>
      </c>
      <c r="D335" s="157">
        <v>1</v>
      </c>
      <c r="E335" s="157">
        <f t="shared" si="12"/>
        <v>1</v>
      </c>
      <c r="F335" s="157" t="str">
        <f t="shared" si="13"/>
        <v>Tuesday</v>
      </c>
      <c r="G335" s="157" t="s">
        <v>1772</v>
      </c>
      <c r="H335" s="157">
        <v>5</v>
      </c>
      <c r="I335" s="157">
        <f t="shared" si="17"/>
        <v>10</v>
      </c>
      <c r="J335" s="157">
        <f t="shared" si="16"/>
        <v>29</v>
      </c>
    </row>
    <row r="336" spans="1:10" ht="15.75" customHeight="1" x14ac:dyDescent="0.2">
      <c r="A336" s="157">
        <v>335</v>
      </c>
      <c r="B336" s="163">
        <v>45126</v>
      </c>
      <c r="C336" s="157">
        <f t="shared" si="11"/>
        <v>0</v>
      </c>
      <c r="D336" s="157">
        <v>1</v>
      </c>
      <c r="E336" s="157">
        <f t="shared" si="12"/>
        <v>1</v>
      </c>
      <c r="F336" s="157" t="str">
        <f t="shared" si="13"/>
        <v>Wednesday</v>
      </c>
      <c r="G336" s="157" t="s">
        <v>1772</v>
      </c>
      <c r="H336" s="157">
        <v>5</v>
      </c>
      <c r="I336" s="157">
        <f t="shared" si="17"/>
        <v>10</v>
      </c>
      <c r="J336" s="157">
        <f t="shared" si="16"/>
        <v>29</v>
      </c>
    </row>
    <row r="337" spans="1:10" ht="15.75" customHeight="1" x14ac:dyDescent="0.2">
      <c r="A337" s="157">
        <v>336</v>
      </c>
      <c r="B337" s="163">
        <v>45127</v>
      </c>
      <c r="C337" s="157">
        <f t="shared" si="11"/>
        <v>0</v>
      </c>
      <c r="D337" s="157">
        <v>1</v>
      </c>
      <c r="E337" s="157">
        <f t="shared" si="12"/>
        <v>1</v>
      </c>
      <c r="F337" s="157" t="str">
        <f t="shared" si="13"/>
        <v>Thursday</v>
      </c>
      <c r="G337" s="157" t="s">
        <v>1772</v>
      </c>
      <c r="H337" s="157">
        <v>5</v>
      </c>
      <c r="I337" s="157">
        <f t="shared" si="17"/>
        <v>10</v>
      </c>
      <c r="J337" s="157">
        <f t="shared" si="16"/>
        <v>29</v>
      </c>
    </row>
    <row r="338" spans="1:10" ht="15.75" customHeight="1" x14ac:dyDescent="0.2">
      <c r="A338" s="157">
        <v>337</v>
      </c>
      <c r="B338" s="163">
        <v>45128</v>
      </c>
      <c r="C338" s="157">
        <f t="shared" si="11"/>
        <v>0</v>
      </c>
      <c r="D338" s="157">
        <v>1</v>
      </c>
      <c r="E338" s="157">
        <f t="shared" si="12"/>
        <v>1</v>
      </c>
      <c r="F338" s="157" t="str">
        <f t="shared" si="13"/>
        <v>Friday</v>
      </c>
      <c r="G338" s="157" t="s">
        <v>1772</v>
      </c>
      <c r="H338" s="157">
        <v>5</v>
      </c>
      <c r="I338" s="157">
        <f t="shared" si="17"/>
        <v>10</v>
      </c>
      <c r="J338" s="157">
        <f t="shared" si="16"/>
        <v>29</v>
      </c>
    </row>
    <row r="339" spans="1:10" ht="15.75" customHeight="1" x14ac:dyDescent="0.2">
      <c r="A339" s="157">
        <v>338</v>
      </c>
      <c r="B339" s="163">
        <v>45129</v>
      </c>
      <c r="C339" s="157">
        <f t="shared" si="11"/>
        <v>1</v>
      </c>
      <c r="D339" s="157">
        <v>1</v>
      </c>
      <c r="E339" s="157">
        <f t="shared" si="12"/>
        <v>1</v>
      </c>
      <c r="F339" s="157" t="str">
        <f t="shared" si="13"/>
        <v>Saturday</v>
      </c>
      <c r="G339" s="157" t="s">
        <v>1772</v>
      </c>
      <c r="H339" s="157">
        <v>5</v>
      </c>
      <c r="I339" s="157">
        <f t="shared" si="17"/>
        <v>10</v>
      </c>
      <c r="J339" s="157">
        <f t="shared" si="16"/>
        <v>29</v>
      </c>
    </row>
    <row r="340" spans="1:10" ht="15.75" customHeight="1" x14ac:dyDescent="0.2">
      <c r="A340" s="157">
        <v>339</v>
      </c>
      <c r="B340" s="163">
        <v>45130</v>
      </c>
      <c r="C340" s="157">
        <f t="shared" si="11"/>
        <v>1</v>
      </c>
      <c r="D340" s="157">
        <v>1</v>
      </c>
      <c r="E340" s="157">
        <f t="shared" si="12"/>
        <v>1</v>
      </c>
      <c r="F340" s="157" t="str">
        <f t="shared" si="13"/>
        <v>Sunday</v>
      </c>
      <c r="G340" s="157" t="s">
        <v>1772</v>
      </c>
      <c r="H340" s="157">
        <v>5</v>
      </c>
      <c r="I340" s="157">
        <f t="shared" si="17"/>
        <v>10</v>
      </c>
      <c r="J340" s="157">
        <f t="shared" si="16"/>
        <v>29</v>
      </c>
    </row>
    <row r="341" spans="1:10" ht="15.75" customHeight="1" x14ac:dyDescent="0.2">
      <c r="A341" s="157">
        <v>340</v>
      </c>
      <c r="B341" s="163">
        <v>45131</v>
      </c>
      <c r="C341" s="157">
        <f t="shared" si="11"/>
        <v>0</v>
      </c>
      <c r="D341" s="157">
        <v>1</v>
      </c>
      <c r="E341" s="157">
        <f t="shared" si="12"/>
        <v>1</v>
      </c>
      <c r="F341" s="157" t="str">
        <f t="shared" si="13"/>
        <v>Monday</v>
      </c>
      <c r="G341" s="157" t="s">
        <v>1772</v>
      </c>
      <c r="H341" s="157">
        <v>5</v>
      </c>
      <c r="I341" s="157">
        <f t="shared" si="17"/>
        <v>11</v>
      </c>
      <c r="J341" s="157">
        <f t="shared" si="16"/>
        <v>30</v>
      </c>
    </row>
    <row r="342" spans="1:10" ht="15.75" customHeight="1" x14ac:dyDescent="0.2">
      <c r="A342" s="157">
        <v>341</v>
      </c>
      <c r="B342" s="163">
        <v>45132</v>
      </c>
      <c r="C342" s="157">
        <f t="shared" si="11"/>
        <v>0</v>
      </c>
      <c r="D342" s="157">
        <v>1</v>
      </c>
      <c r="E342" s="157">
        <f t="shared" si="12"/>
        <v>1</v>
      </c>
      <c r="F342" s="157" t="str">
        <f t="shared" si="13"/>
        <v>Tuesday</v>
      </c>
      <c r="G342" s="157" t="s">
        <v>1772</v>
      </c>
      <c r="H342" s="157">
        <v>5</v>
      </c>
      <c r="I342" s="157">
        <f t="shared" si="17"/>
        <v>11</v>
      </c>
      <c r="J342" s="157">
        <f t="shared" si="16"/>
        <v>30</v>
      </c>
    </row>
    <row r="343" spans="1:10" ht="15.75" customHeight="1" x14ac:dyDescent="0.2">
      <c r="A343" s="157">
        <v>342</v>
      </c>
      <c r="B343" s="163">
        <v>45133</v>
      </c>
      <c r="C343" s="157">
        <f t="shared" si="11"/>
        <v>0</v>
      </c>
      <c r="D343" s="157">
        <v>1</v>
      </c>
      <c r="E343" s="157">
        <f t="shared" si="12"/>
        <v>1</v>
      </c>
      <c r="F343" s="157" t="str">
        <f t="shared" si="13"/>
        <v>Wednesday</v>
      </c>
      <c r="G343" s="157" t="s">
        <v>1772</v>
      </c>
      <c r="H343" s="157">
        <v>5</v>
      </c>
      <c r="I343" s="157">
        <f t="shared" si="17"/>
        <v>11</v>
      </c>
      <c r="J343" s="157">
        <f t="shared" si="16"/>
        <v>30</v>
      </c>
    </row>
    <row r="344" spans="1:10" ht="15.75" customHeight="1" x14ac:dyDescent="0.2">
      <c r="A344" s="157">
        <v>343</v>
      </c>
      <c r="B344" s="163">
        <v>45134</v>
      </c>
      <c r="C344" s="157">
        <f t="shared" si="11"/>
        <v>0</v>
      </c>
      <c r="D344" s="157">
        <v>1</v>
      </c>
      <c r="E344" s="157">
        <f t="shared" si="12"/>
        <v>1</v>
      </c>
      <c r="F344" s="157" t="str">
        <f t="shared" si="13"/>
        <v>Thursday</v>
      </c>
      <c r="G344" s="157" t="s">
        <v>1772</v>
      </c>
      <c r="H344" s="157">
        <v>5</v>
      </c>
      <c r="I344" s="157">
        <f t="shared" si="17"/>
        <v>11</v>
      </c>
      <c r="J344" s="157">
        <f t="shared" si="16"/>
        <v>30</v>
      </c>
    </row>
    <row r="345" spans="1:10" ht="15.75" customHeight="1" x14ac:dyDescent="0.2">
      <c r="A345" s="157">
        <v>344</v>
      </c>
      <c r="B345" s="163">
        <v>45135</v>
      </c>
      <c r="C345" s="157">
        <f t="shared" si="11"/>
        <v>0</v>
      </c>
      <c r="D345" s="157">
        <v>1</v>
      </c>
      <c r="E345" s="157">
        <f t="shared" si="12"/>
        <v>1</v>
      </c>
      <c r="F345" s="157" t="str">
        <f t="shared" si="13"/>
        <v>Friday</v>
      </c>
      <c r="G345" s="157" t="s">
        <v>1772</v>
      </c>
      <c r="H345" s="157">
        <v>5</v>
      </c>
      <c r="I345" s="157">
        <f t="shared" si="17"/>
        <v>11</v>
      </c>
      <c r="J345" s="157">
        <f t="shared" si="16"/>
        <v>30</v>
      </c>
    </row>
    <row r="346" spans="1:10" ht="15.75" customHeight="1" x14ac:dyDescent="0.2">
      <c r="A346" s="157">
        <v>345</v>
      </c>
      <c r="B346" s="163">
        <v>45136</v>
      </c>
      <c r="C346" s="157">
        <f t="shared" si="11"/>
        <v>1</v>
      </c>
      <c r="D346" s="157">
        <v>1</v>
      </c>
      <c r="E346" s="157">
        <f t="shared" si="12"/>
        <v>1</v>
      </c>
      <c r="F346" s="157" t="str">
        <f t="shared" si="13"/>
        <v>Saturday</v>
      </c>
      <c r="G346" s="157" t="s">
        <v>1772</v>
      </c>
      <c r="H346" s="157">
        <v>5</v>
      </c>
      <c r="I346" s="157">
        <f t="shared" si="17"/>
        <v>11</v>
      </c>
      <c r="J346" s="157">
        <f t="shared" si="16"/>
        <v>30</v>
      </c>
    </row>
    <row r="347" spans="1:10" ht="15.75" customHeight="1" x14ac:dyDescent="0.2">
      <c r="A347" s="157">
        <v>346</v>
      </c>
      <c r="B347" s="163">
        <v>45137</v>
      </c>
      <c r="C347" s="157">
        <f t="shared" si="11"/>
        <v>1</v>
      </c>
      <c r="D347" s="157">
        <v>1</v>
      </c>
      <c r="E347" s="157">
        <f t="shared" si="12"/>
        <v>1</v>
      </c>
      <c r="F347" s="157" t="str">
        <f t="shared" si="13"/>
        <v>Sunday</v>
      </c>
      <c r="G347" s="157" t="s">
        <v>1772</v>
      </c>
      <c r="H347" s="157">
        <v>5</v>
      </c>
      <c r="I347" s="157">
        <f t="shared" si="17"/>
        <v>11</v>
      </c>
      <c r="J347" s="157">
        <f t="shared" si="16"/>
        <v>30</v>
      </c>
    </row>
    <row r="348" spans="1:10" ht="15.75" customHeight="1" x14ac:dyDescent="0.2">
      <c r="A348" s="157">
        <v>347</v>
      </c>
      <c r="B348" s="163">
        <v>45138</v>
      </c>
      <c r="C348" s="157">
        <f t="shared" si="11"/>
        <v>0</v>
      </c>
      <c r="D348" s="157">
        <v>1</v>
      </c>
      <c r="E348" s="157">
        <f t="shared" si="12"/>
        <v>1</v>
      </c>
      <c r="F348" s="157" t="str">
        <f t="shared" si="13"/>
        <v>Monday</v>
      </c>
      <c r="G348" s="157" t="s">
        <v>1772</v>
      </c>
      <c r="H348" s="157">
        <v>5</v>
      </c>
      <c r="I348" s="157">
        <f t="shared" si="17"/>
        <v>12</v>
      </c>
      <c r="J348" s="157">
        <f t="shared" si="16"/>
        <v>31</v>
      </c>
    </row>
    <row r="349" spans="1:10" ht="15.75" customHeight="1" x14ac:dyDescent="0.2">
      <c r="A349" s="157">
        <v>348</v>
      </c>
      <c r="B349" s="163">
        <v>45139</v>
      </c>
      <c r="C349" s="157">
        <f t="shared" si="11"/>
        <v>0</v>
      </c>
      <c r="D349" s="157">
        <v>1</v>
      </c>
      <c r="E349" s="157">
        <f t="shared" si="12"/>
        <v>1</v>
      </c>
      <c r="F349" s="157" t="str">
        <f t="shared" si="13"/>
        <v>Tuesday</v>
      </c>
      <c r="G349" s="157" t="s">
        <v>1772</v>
      </c>
      <c r="H349" s="157">
        <v>5</v>
      </c>
      <c r="I349" s="157">
        <f t="shared" si="17"/>
        <v>12</v>
      </c>
      <c r="J349" s="157">
        <f t="shared" si="16"/>
        <v>31</v>
      </c>
    </row>
    <row r="350" spans="1:10" ht="15.75" customHeight="1" x14ac:dyDescent="0.2">
      <c r="A350" s="157">
        <v>349</v>
      </c>
      <c r="B350" s="163">
        <v>45140</v>
      </c>
      <c r="C350" s="157">
        <f t="shared" si="11"/>
        <v>0</v>
      </c>
      <c r="D350" s="157">
        <v>1</v>
      </c>
      <c r="E350" s="157">
        <f t="shared" si="12"/>
        <v>1</v>
      </c>
      <c r="F350" s="157" t="str">
        <f t="shared" si="13"/>
        <v>Wednesday</v>
      </c>
      <c r="G350" s="157" t="s">
        <v>1772</v>
      </c>
      <c r="H350" s="157">
        <v>5</v>
      </c>
      <c r="I350" s="157">
        <f t="shared" si="17"/>
        <v>12</v>
      </c>
      <c r="J350" s="157">
        <f t="shared" si="16"/>
        <v>31</v>
      </c>
    </row>
    <row r="351" spans="1:10" ht="15.75" customHeight="1" x14ac:dyDescent="0.2">
      <c r="A351" s="157">
        <v>350</v>
      </c>
      <c r="B351" s="163">
        <v>45141</v>
      </c>
      <c r="C351" s="157">
        <f t="shared" si="11"/>
        <v>0</v>
      </c>
      <c r="D351" s="157">
        <v>1</v>
      </c>
      <c r="E351" s="157">
        <f t="shared" si="12"/>
        <v>1</v>
      </c>
      <c r="F351" s="157" t="str">
        <f t="shared" si="13"/>
        <v>Thursday</v>
      </c>
      <c r="G351" s="157" t="s">
        <v>1772</v>
      </c>
      <c r="H351" s="157">
        <v>5</v>
      </c>
      <c r="I351" s="157">
        <f t="shared" si="17"/>
        <v>12</v>
      </c>
      <c r="J351" s="157">
        <f t="shared" si="16"/>
        <v>31</v>
      </c>
    </row>
    <row r="352" spans="1:10" ht="15.75" customHeight="1" x14ac:dyDescent="0.2">
      <c r="A352" s="157">
        <v>351</v>
      </c>
      <c r="B352" s="163">
        <v>45142</v>
      </c>
      <c r="C352" s="157">
        <f t="shared" si="11"/>
        <v>0</v>
      </c>
      <c r="D352" s="157">
        <v>1</v>
      </c>
      <c r="E352" s="157">
        <f t="shared" si="12"/>
        <v>1</v>
      </c>
      <c r="F352" s="157" t="str">
        <f t="shared" si="13"/>
        <v>Friday</v>
      </c>
      <c r="G352" s="157" t="s">
        <v>1772</v>
      </c>
      <c r="H352" s="157">
        <v>5</v>
      </c>
      <c r="I352" s="157">
        <f t="shared" si="17"/>
        <v>12</v>
      </c>
      <c r="J352" s="157">
        <f t="shared" si="16"/>
        <v>31</v>
      </c>
    </row>
    <row r="353" spans="1:10" ht="15.75" customHeight="1" x14ac:dyDescent="0.2">
      <c r="A353" s="157">
        <v>352</v>
      </c>
      <c r="B353" s="163">
        <v>45143</v>
      </c>
      <c r="C353" s="157">
        <f t="shared" si="11"/>
        <v>1</v>
      </c>
      <c r="D353" s="157">
        <v>1</v>
      </c>
      <c r="E353" s="157">
        <f t="shared" si="12"/>
        <v>1</v>
      </c>
      <c r="F353" s="157" t="str">
        <f t="shared" si="13"/>
        <v>Saturday</v>
      </c>
      <c r="G353" s="157" t="s">
        <v>1772</v>
      </c>
      <c r="H353" s="157">
        <v>5</v>
      </c>
      <c r="I353" s="157">
        <f t="shared" si="17"/>
        <v>12</v>
      </c>
      <c r="J353" s="157">
        <f t="shared" si="16"/>
        <v>31</v>
      </c>
    </row>
    <row r="354" spans="1:10" ht="15.75" customHeight="1" x14ac:dyDescent="0.2">
      <c r="A354" s="157">
        <v>353</v>
      </c>
      <c r="B354" s="163">
        <v>45144</v>
      </c>
      <c r="C354" s="157">
        <f t="shared" si="11"/>
        <v>1</v>
      </c>
      <c r="D354" s="157">
        <v>1</v>
      </c>
      <c r="E354" s="157">
        <f t="shared" si="12"/>
        <v>1</v>
      </c>
      <c r="F354" s="157" t="str">
        <f t="shared" si="13"/>
        <v>Sunday</v>
      </c>
      <c r="G354" s="157" t="s">
        <v>1772</v>
      </c>
      <c r="H354" s="157">
        <v>5</v>
      </c>
      <c r="I354" s="157">
        <f t="shared" si="17"/>
        <v>12</v>
      </c>
      <c r="J354" s="157">
        <f t="shared" si="16"/>
        <v>31</v>
      </c>
    </row>
    <row r="355" spans="1:10" ht="15.75" customHeight="1" x14ac:dyDescent="0.2">
      <c r="A355" s="157">
        <v>354</v>
      </c>
      <c r="B355" s="163">
        <v>45145</v>
      </c>
      <c r="C355" s="157">
        <f t="shared" si="11"/>
        <v>0</v>
      </c>
      <c r="D355" s="157">
        <v>1</v>
      </c>
      <c r="E355" s="157">
        <f t="shared" si="12"/>
        <v>1</v>
      </c>
      <c r="F355" s="157" t="str">
        <f t="shared" si="13"/>
        <v>Monday</v>
      </c>
      <c r="G355" s="157" t="s">
        <v>1772</v>
      </c>
      <c r="H355" s="157">
        <v>5</v>
      </c>
      <c r="I355" s="157">
        <f t="shared" si="17"/>
        <v>13</v>
      </c>
      <c r="J355" s="157">
        <f t="shared" si="16"/>
        <v>32</v>
      </c>
    </row>
    <row r="356" spans="1:10" ht="15.75" customHeight="1" x14ac:dyDescent="0.2">
      <c r="A356" s="157">
        <v>355</v>
      </c>
      <c r="B356" s="163">
        <v>45146</v>
      </c>
      <c r="C356" s="157">
        <f t="shared" si="11"/>
        <v>0</v>
      </c>
      <c r="D356" s="157">
        <v>1</v>
      </c>
      <c r="E356" s="157">
        <f t="shared" si="12"/>
        <v>1</v>
      </c>
      <c r="F356" s="157" t="str">
        <f t="shared" si="13"/>
        <v>Tuesday</v>
      </c>
      <c r="G356" s="157" t="s">
        <v>1772</v>
      </c>
      <c r="H356" s="157">
        <v>5</v>
      </c>
      <c r="I356" s="157">
        <f t="shared" si="17"/>
        <v>13</v>
      </c>
      <c r="J356" s="157">
        <f t="shared" si="16"/>
        <v>32</v>
      </c>
    </row>
    <row r="357" spans="1:10" ht="15.75" customHeight="1" x14ac:dyDescent="0.2">
      <c r="A357" s="157">
        <v>356</v>
      </c>
      <c r="B357" s="163">
        <v>45147</v>
      </c>
      <c r="C357" s="157">
        <f t="shared" si="11"/>
        <v>0</v>
      </c>
      <c r="D357" s="157">
        <v>1</v>
      </c>
      <c r="E357" s="157">
        <f t="shared" si="12"/>
        <v>1</v>
      </c>
      <c r="F357" s="157" t="str">
        <f t="shared" si="13"/>
        <v>Wednesday</v>
      </c>
      <c r="G357" s="157" t="s">
        <v>1772</v>
      </c>
      <c r="H357" s="157">
        <v>5</v>
      </c>
      <c r="I357" s="157">
        <f t="shared" si="17"/>
        <v>13</v>
      </c>
      <c r="J357" s="157">
        <f t="shared" si="16"/>
        <v>32</v>
      </c>
    </row>
    <row r="358" spans="1:10" ht="15.75" customHeight="1" x14ac:dyDescent="0.2">
      <c r="A358" s="157">
        <v>357</v>
      </c>
      <c r="B358" s="163">
        <v>45148</v>
      </c>
      <c r="C358" s="157">
        <f t="shared" si="11"/>
        <v>0</v>
      </c>
      <c r="D358" s="157">
        <v>1</v>
      </c>
      <c r="E358" s="157">
        <f t="shared" si="12"/>
        <v>1</v>
      </c>
      <c r="F358" s="157" t="str">
        <f t="shared" si="13"/>
        <v>Thursday</v>
      </c>
      <c r="G358" s="157" t="s">
        <v>1772</v>
      </c>
      <c r="H358" s="157">
        <v>5</v>
      </c>
      <c r="I358" s="157">
        <f t="shared" si="17"/>
        <v>13</v>
      </c>
      <c r="J358" s="157">
        <f t="shared" si="16"/>
        <v>32</v>
      </c>
    </row>
    <row r="359" spans="1:10" ht="15.75" customHeight="1" x14ac:dyDescent="0.2">
      <c r="A359" s="157">
        <v>358</v>
      </c>
      <c r="B359" s="163">
        <v>45149</v>
      </c>
      <c r="C359" s="157">
        <f t="shared" si="11"/>
        <v>0</v>
      </c>
      <c r="D359" s="157">
        <v>1</v>
      </c>
      <c r="E359" s="157">
        <f t="shared" si="12"/>
        <v>1</v>
      </c>
      <c r="F359" s="157" t="str">
        <f t="shared" si="13"/>
        <v>Friday</v>
      </c>
      <c r="G359" s="157" t="s">
        <v>1772</v>
      </c>
      <c r="H359" s="157">
        <v>5</v>
      </c>
      <c r="I359" s="157">
        <f t="shared" si="17"/>
        <v>13</v>
      </c>
      <c r="J359" s="157">
        <f t="shared" si="16"/>
        <v>32</v>
      </c>
    </row>
    <row r="360" spans="1:10" ht="15.75" customHeight="1" x14ac:dyDescent="0.2">
      <c r="A360" s="157">
        <v>359</v>
      </c>
      <c r="B360" s="163">
        <v>45150</v>
      </c>
      <c r="C360" s="157">
        <f t="shared" si="11"/>
        <v>1</v>
      </c>
      <c r="D360" s="157">
        <v>1</v>
      </c>
      <c r="E360" s="157">
        <f t="shared" si="12"/>
        <v>1</v>
      </c>
      <c r="F360" s="157" t="str">
        <f t="shared" si="13"/>
        <v>Saturday</v>
      </c>
      <c r="G360" s="157" t="s">
        <v>1772</v>
      </c>
      <c r="H360" s="157">
        <v>5</v>
      </c>
      <c r="I360" s="157">
        <f t="shared" si="17"/>
        <v>13</v>
      </c>
      <c r="J360" s="157">
        <f t="shared" si="16"/>
        <v>32</v>
      </c>
    </row>
    <row r="361" spans="1:10" ht="15.75" customHeight="1" x14ac:dyDescent="0.2">
      <c r="A361" s="157">
        <v>360</v>
      </c>
      <c r="B361" s="163">
        <v>45151</v>
      </c>
      <c r="C361" s="157">
        <f t="shared" si="11"/>
        <v>1</v>
      </c>
      <c r="D361" s="157">
        <v>1</v>
      </c>
      <c r="E361" s="157">
        <f t="shared" si="12"/>
        <v>1</v>
      </c>
      <c r="F361" s="157" t="str">
        <f t="shared" si="13"/>
        <v>Sunday</v>
      </c>
      <c r="G361" s="157" t="s">
        <v>1772</v>
      </c>
      <c r="H361" s="157">
        <v>5</v>
      </c>
      <c r="I361" s="157">
        <f t="shared" si="17"/>
        <v>13</v>
      </c>
      <c r="J361" s="157">
        <f t="shared" si="16"/>
        <v>32</v>
      </c>
    </row>
    <row r="362" spans="1:10" ht="15.75" customHeight="1" x14ac:dyDescent="0.2">
      <c r="A362" s="157">
        <v>361</v>
      </c>
      <c r="B362" s="163">
        <v>45152</v>
      </c>
      <c r="C362" s="157">
        <f t="shared" si="11"/>
        <v>0</v>
      </c>
      <c r="D362" s="157">
        <v>1</v>
      </c>
      <c r="E362" s="157">
        <f t="shared" si="12"/>
        <v>1</v>
      </c>
      <c r="F362" s="157" t="str">
        <f t="shared" si="13"/>
        <v>Monday</v>
      </c>
      <c r="G362" s="157" t="s">
        <v>1772</v>
      </c>
      <c r="H362" s="157">
        <v>5</v>
      </c>
      <c r="I362" s="157">
        <f t="shared" si="17"/>
        <v>14</v>
      </c>
      <c r="J362" s="157">
        <f t="shared" si="16"/>
        <v>33</v>
      </c>
    </row>
    <row r="363" spans="1:10" ht="15.75" customHeight="1" x14ac:dyDescent="0.2">
      <c r="A363" s="157">
        <v>362</v>
      </c>
      <c r="B363" s="163">
        <v>45153</v>
      </c>
      <c r="C363" s="157">
        <f t="shared" si="11"/>
        <v>0</v>
      </c>
      <c r="D363" s="157">
        <v>1</v>
      </c>
      <c r="E363" s="157">
        <f t="shared" si="12"/>
        <v>1</v>
      </c>
      <c r="F363" s="157" t="str">
        <f t="shared" si="13"/>
        <v>Tuesday</v>
      </c>
      <c r="G363" s="157" t="s">
        <v>1772</v>
      </c>
      <c r="H363" s="157">
        <v>5</v>
      </c>
      <c r="I363" s="157">
        <f t="shared" si="17"/>
        <v>14</v>
      </c>
      <c r="J363" s="157">
        <f t="shared" si="16"/>
        <v>33</v>
      </c>
    </row>
    <row r="364" spans="1:10" ht="15.75" customHeight="1" x14ac:dyDescent="0.2">
      <c r="A364" s="157">
        <v>363</v>
      </c>
      <c r="B364" s="163">
        <v>45154</v>
      </c>
      <c r="C364" s="157">
        <f t="shared" si="11"/>
        <v>0</v>
      </c>
      <c r="D364" s="157">
        <v>1</v>
      </c>
      <c r="E364" s="157">
        <f t="shared" si="12"/>
        <v>1</v>
      </c>
      <c r="F364" s="157" t="str">
        <f t="shared" si="13"/>
        <v>Wednesday</v>
      </c>
      <c r="G364" s="157" t="s">
        <v>1772</v>
      </c>
      <c r="H364" s="157">
        <v>5</v>
      </c>
      <c r="I364" s="157">
        <f t="shared" si="17"/>
        <v>14</v>
      </c>
      <c r="J364" s="157">
        <f t="shared" si="16"/>
        <v>33</v>
      </c>
    </row>
    <row r="365" spans="1:10" ht="15.75" customHeight="1" x14ac:dyDescent="0.2">
      <c r="A365" s="157">
        <v>364</v>
      </c>
      <c r="B365" s="163">
        <v>45155</v>
      </c>
      <c r="C365" s="157">
        <f t="shared" si="11"/>
        <v>0</v>
      </c>
      <c r="D365" s="157">
        <v>1</v>
      </c>
      <c r="E365" s="157">
        <f t="shared" si="12"/>
        <v>1</v>
      </c>
      <c r="F365" s="157" t="str">
        <f t="shared" si="13"/>
        <v>Thursday</v>
      </c>
      <c r="G365" s="157" t="s">
        <v>1772</v>
      </c>
      <c r="H365" s="157">
        <v>5</v>
      </c>
      <c r="I365" s="157">
        <f t="shared" si="17"/>
        <v>14</v>
      </c>
      <c r="J365" s="157">
        <f t="shared" si="16"/>
        <v>33</v>
      </c>
    </row>
    <row r="366" spans="1:10" ht="15.75" customHeight="1" x14ac:dyDescent="0.2">
      <c r="A366" s="157">
        <v>365</v>
      </c>
      <c r="B366" s="163">
        <v>45156</v>
      </c>
      <c r="C366" s="157">
        <f t="shared" si="11"/>
        <v>0</v>
      </c>
      <c r="D366" s="157">
        <v>1</v>
      </c>
      <c r="E366" s="157">
        <f t="shared" si="12"/>
        <v>1</v>
      </c>
      <c r="F366" s="157" t="str">
        <f t="shared" si="13"/>
        <v>Friday</v>
      </c>
      <c r="G366" s="157" t="s">
        <v>1772</v>
      </c>
      <c r="H366" s="157">
        <v>5</v>
      </c>
      <c r="I366" s="157">
        <f t="shared" si="17"/>
        <v>14</v>
      </c>
      <c r="J366" s="157">
        <f t="shared" si="16"/>
        <v>33</v>
      </c>
    </row>
    <row r="367" spans="1:10" ht="15.75" customHeight="1" x14ac:dyDescent="0.2">
      <c r="A367" s="157">
        <v>366</v>
      </c>
      <c r="B367" s="163">
        <v>45157</v>
      </c>
      <c r="C367" s="157">
        <f t="shared" si="11"/>
        <v>1</v>
      </c>
      <c r="D367" s="157">
        <v>1</v>
      </c>
      <c r="E367" s="157">
        <f t="shared" si="12"/>
        <v>1</v>
      </c>
      <c r="F367" s="157" t="str">
        <f t="shared" si="13"/>
        <v>Saturday</v>
      </c>
      <c r="G367" s="157" t="s">
        <v>1772</v>
      </c>
      <c r="H367" s="157">
        <v>5</v>
      </c>
      <c r="I367" s="157">
        <f t="shared" si="17"/>
        <v>14</v>
      </c>
      <c r="J367" s="157">
        <f t="shared" si="16"/>
        <v>33</v>
      </c>
    </row>
    <row r="368" spans="1:10" ht="15.75" customHeight="1" x14ac:dyDescent="0.2">
      <c r="A368" s="157">
        <v>367</v>
      </c>
      <c r="B368" s="163">
        <v>45158</v>
      </c>
      <c r="C368" s="157">
        <f t="shared" si="11"/>
        <v>1</v>
      </c>
      <c r="D368" s="157">
        <v>1</v>
      </c>
      <c r="E368" s="157">
        <f t="shared" si="12"/>
        <v>1</v>
      </c>
      <c r="F368" s="157" t="str">
        <f t="shared" si="13"/>
        <v>Sunday</v>
      </c>
      <c r="G368" s="157" t="s">
        <v>1772</v>
      </c>
      <c r="H368" s="157">
        <v>5</v>
      </c>
      <c r="I368" s="157">
        <f t="shared" si="17"/>
        <v>14</v>
      </c>
      <c r="J368" s="157">
        <f t="shared" si="16"/>
        <v>33</v>
      </c>
    </row>
    <row r="369" spans="1:10" ht="15.75" customHeight="1" x14ac:dyDescent="0.2">
      <c r="A369" s="157">
        <v>368</v>
      </c>
      <c r="B369" s="163">
        <v>45159</v>
      </c>
      <c r="C369" s="157">
        <f t="shared" si="11"/>
        <v>0</v>
      </c>
      <c r="D369" s="157">
        <v>0</v>
      </c>
      <c r="E369" s="157">
        <f t="shared" si="12"/>
        <v>0</v>
      </c>
      <c r="F369" s="157" t="str">
        <f t="shared" si="13"/>
        <v>Monday</v>
      </c>
      <c r="H369" s="157">
        <v>1</v>
      </c>
      <c r="I369" s="157">
        <f t="shared" si="17"/>
        <v>1</v>
      </c>
      <c r="J369" s="157">
        <f t="shared" si="16"/>
        <v>34</v>
      </c>
    </row>
    <row r="370" spans="1:10" ht="15.75" customHeight="1" x14ac:dyDescent="0.2">
      <c r="A370" s="157">
        <v>369</v>
      </c>
      <c r="B370" s="163">
        <v>45160</v>
      </c>
      <c r="C370" s="157">
        <f t="shared" si="11"/>
        <v>0</v>
      </c>
      <c r="D370" s="157">
        <v>0</v>
      </c>
      <c r="E370" s="157">
        <f t="shared" si="12"/>
        <v>0</v>
      </c>
      <c r="F370" s="157" t="str">
        <f t="shared" si="13"/>
        <v>Tuesday</v>
      </c>
      <c r="H370" s="157">
        <v>1</v>
      </c>
      <c r="I370" s="157">
        <f t="shared" si="17"/>
        <v>1</v>
      </c>
      <c r="J370" s="157">
        <f t="shared" si="16"/>
        <v>34</v>
      </c>
    </row>
    <row r="371" spans="1:10" ht="15.75" customHeight="1" x14ac:dyDescent="0.2">
      <c r="A371" s="157">
        <v>370</v>
      </c>
      <c r="B371" s="163">
        <v>45161</v>
      </c>
      <c r="C371" s="157">
        <f t="shared" si="11"/>
        <v>0</v>
      </c>
      <c r="D371" s="157">
        <v>0</v>
      </c>
      <c r="E371" s="157">
        <f t="shared" si="12"/>
        <v>0</v>
      </c>
      <c r="F371" s="157" t="str">
        <f t="shared" si="13"/>
        <v>Wednesday</v>
      </c>
      <c r="H371" s="157">
        <v>1</v>
      </c>
      <c r="I371" s="157">
        <f t="shared" si="17"/>
        <v>1</v>
      </c>
      <c r="J371" s="157">
        <f t="shared" si="16"/>
        <v>34</v>
      </c>
    </row>
    <row r="372" spans="1:10" ht="15.75" customHeight="1" x14ac:dyDescent="0.2">
      <c r="A372" s="157">
        <v>371</v>
      </c>
      <c r="B372" s="163">
        <v>45162</v>
      </c>
      <c r="C372" s="157">
        <f t="shared" si="11"/>
        <v>0</v>
      </c>
      <c r="D372" s="157">
        <v>0</v>
      </c>
      <c r="E372" s="157">
        <f t="shared" si="12"/>
        <v>0</v>
      </c>
      <c r="F372" s="157" t="str">
        <f t="shared" si="13"/>
        <v>Thursday</v>
      </c>
      <c r="H372" s="157">
        <v>1</v>
      </c>
      <c r="I372" s="157">
        <f t="shared" si="17"/>
        <v>1</v>
      </c>
      <c r="J372" s="157">
        <f t="shared" si="16"/>
        <v>34</v>
      </c>
    </row>
    <row r="373" spans="1:10" ht="15.75" customHeight="1" x14ac:dyDescent="0.2">
      <c r="A373" s="157">
        <v>372</v>
      </c>
      <c r="B373" s="163">
        <v>45163</v>
      </c>
      <c r="C373" s="157">
        <f t="shared" si="11"/>
        <v>0</v>
      </c>
      <c r="D373" s="157">
        <v>0</v>
      </c>
      <c r="E373" s="157">
        <f t="shared" si="12"/>
        <v>0</v>
      </c>
      <c r="F373" s="157" t="str">
        <f t="shared" si="13"/>
        <v>Friday</v>
      </c>
      <c r="H373" s="157">
        <v>1</v>
      </c>
      <c r="I373" s="157">
        <f t="shared" si="17"/>
        <v>1</v>
      </c>
      <c r="J373" s="157">
        <f t="shared" si="16"/>
        <v>34</v>
      </c>
    </row>
    <row r="374" spans="1:10" ht="15.75" customHeight="1" x14ac:dyDescent="0.2">
      <c r="A374" s="157">
        <v>373</v>
      </c>
      <c r="B374" s="163">
        <v>45164</v>
      </c>
      <c r="C374" s="157">
        <f t="shared" si="11"/>
        <v>1</v>
      </c>
      <c r="D374" s="157">
        <v>0</v>
      </c>
      <c r="E374" s="157">
        <f t="shared" si="12"/>
        <v>1</v>
      </c>
      <c r="F374" s="157" t="str">
        <f t="shared" si="13"/>
        <v>Saturday</v>
      </c>
      <c r="H374" s="157">
        <v>1</v>
      </c>
      <c r="I374" s="157">
        <f t="shared" si="17"/>
        <v>1</v>
      </c>
      <c r="J374" s="157">
        <f t="shared" si="16"/>
        <v>34</v>
      </c>
    </row>
    <row r="375" spans="1:10" ht="15.75" customHeight="1" x14ac:dyDescent="0.2">
      <c r="A375" s="157">
        <v>374</v>
      </c>
      <c r="B375" s="163">
        <v>45165</v>
      </c>
      <c r="C375" s="157">
        <f t="shared" si="11"/>
        <v>1</v>
      </c>
      <c r="D375" s="157">
        <v>0</v>
      </c>
      <c r="E375" s="157">
        <f t="shared" si="12"/>
        <v>1</v>
      </c>
      <c r="F375" s="157" t="str">
        <f t="shared" si="13"/>
        <v>Sunday</v>
      </c>
      <c r="H375" s="157">
        <v>1</v>
      </c>
      <c r="I375" s="157">
        <f t="shared" si="17"/>
        <v>1</v>
      </c>
      <c r="J375" s="157">
        <f t="shared" si="16"/>
        <v>34</v>
      </c>
    </row>
    <row r="376" spans="1:10" ht="15.75" customHeight="1" x14ac:dyDescent="0.2">
      <c r="A376" s="157">
        <v>375</v>
      </c>
      <c r="B376" s="163">
        <v>45166</v>
      </c>
      <c r="C376" s="157">
        <f t="shared" si="11"/>
        <v>0</v>
      </c>
      <c r="D376" s="157">
        <v>0</v>
      </c>
      <c r="E376" s="157">
        <f t="shared" si="12"/>
        <v>0</v>
      </c>
      <c r="F376" s="157" t="str">
        <f t="shared" si="13"/>
        <v>Monday</v>
      </c>
      <c r="H376" s="157">
        <v>1</v>
      </c>
      <c r="I376" s="157">
        <f t="shared" si="17"/>
        <v>2</v>
      </c>
      <c r="J376" s="157">
        <f t="shared" si="16"/>
        <v>35</v>
      </c>
    </row>
    <row r="377" spans="1:10" ht="15.75" customHeight="1" x14ac:dyDescent="0.2">
      <c r="A377" s="157">
        <v>376</v>
      </c>
      <c r="B377" s="163">
        <v>45167</v>
      </c>
      <c r="C377" s="157">
        <f t="shared" si="11"/>
        <v>0</v>
      </c>
      <c r="D377" s="157">
        <v>0</v>
      </c>
      <c r="E377" s="157">
        <f t="shared" si="12"/>
        <v>0</v>
      </c>
      <c r="F377" s="157" t="str">
        <f t="shared" si="13"/>
        <v>Tuesday</v>
      </c>
      <c r="H377" s="157">
        <v>1</v>
      </c>
      <c r="I377" s="157">
        <f t="shared" si="17"/>
        <v>2</v>
      </c>
      <c r="J377" s="157">
        <f t="shared" si="16"/>
        <v>35</v>
      </c>
    </row>
    <row r="378" spans="1:10" ht="15.75" customHeight="1" x14ac:dyDescent="0.2">
      <c r="A378" s="157">
        <v>377</v>
      </c>
      <c r="B378" s="163">
        <v>45168</v>
      </c>
      <c r="C378" s="157">
        <f t="shared" si="11"/>
        <v>0</v>
      </c>
      <c r="D378" s="157">
        <v>0</v>
      </c>
      <c r="E378" s="157">
        <f t="shared" si="12"/>
        <v>0</v>
      </c>
      <c r="F378" s="157" t="str">
        <f t="shared" si="13"/>
        <v>Wednesday</v>
      </c>
      <c r="H378" s="157">
        <v>1</v>
      </c>
      <c r="I378" s="157">
        <f t="shared" si="17"/>
        <v>2</v>
      </c>
      <c r="J378" s="157">
        <f t="shared" si="16"/>
        <v>35</v>
      </c>
    </row>
    <row r="379" spans="1:10" ht="15.75" customHeight="1" x14ac:dyDescent="0.2">
      <c r="A379" s="157">
        <v>378</v>
      </c>
      <c r="B379" s="163">
        <v>45169</v>
      </c>
      <c r="C379" s="157">
        <f t="shared" si="11"/>
        <v>0</v>
      </c>
      <c r="D379" s="157">
        <v>0</v>
      </c>
      <c r="E379" s="157">
        <f t="shared" si="12"/>
        <v>0</v>
      </c>
      <c r="F379" s="157" t="str">
        <f t="shared" si="13"/>
        <v>Thursday</v>
      </c>
      <c r="H379" s="157">
        <v>1</v>
      </c>
      <c r="I379" s="157">
        <f t="shared" si="17"/>
        <v>2</v>
      </c>
      <c r="J379" s="157">
        <f t="shared" si="16"/>
        <v>35</v>
      </c>
    </row>
    <row r="380" spans="1:10" ht="15.75" customHeight="1" x14ac:dyDescent="0.2">
      <c r="A380" s="157">
        <v>379</v>
      </c>
      <c r="B380" s="163">
        <v>45170</v>
      </c>
      <c r="C380" s="157">
        <f t="shared" si="11"/>
        <v>0</v>
      </c>
      <c r="D380" s="157">
        <v>0</v>
      </c>
      <c r="E380" s="157">
        <f t="shared" si="12"/>
        <v>0</v>
      </c>
      <c r="F380" s="157" t="str">
        <f t="shared" si="13"/>
        <v>Friday</v>
      </c>
      <c r="H380" s="157">
        <v>1</v>
      </c>
      <c r="I380" s="157">
        <f t="shared" si="17"/>
        <v>2</v>
      </c>
      <c r="J380" s="157">
        <f t="shared" si="16"/>
        <v>35</v>
      </c>
    </row>
    <row r="381" spans="1:10" ht="15.75" customHeight="1" x14ac:dyDescent="0.2">
      <c r="A381" s="157">
        <v>380</v>
      </c>
      <c r="B381" s="163">
        <v>45171</v>
      </c>
      <c r="C381" s="157">
        <f t="shared" si="11"/>
        <v>1</v>
      </c>
      <c r="D381" s="157">
        <v>0</v>
      </c>
      <c r="E381" s="157">
        <f t="shared" si="12"/>
        <v>1</v>
      </c>
      <c r="F381" s="157" t="str">
        <f t="shared" si="13"/>
        <v>Saturday</v>
      </c>
      <c r="H381" s="157">
        <v>1</v>
      </c>
      <c r="I381" s="157">
        <f t="shared" si="17"/>
        <v>2</v>
      </c>
      <c r="J381" s="157">
        <f t="shared" si="16"/>
        <v>35</v>
      </c>
    </row>
    <row r="382" spans="1:10" ht="15.75" customHeight="1" x14ac:dyDescent="0.2">
      <c r="A382" s="157">
        <v>381</v>
      </c>
      <c r="B382" s="163">
        <v>45172</v>
      </c>
      <c r="C382" s="157">
        <f t="shared" si="11"/>
        <v>1</v>
      </c>
      <c r="D382" s="157">
        <v>0</v>
      </c>
      <c r="E382" s="157">
        <f t="shared" si="12"/>
        <v>1</v>
      </c>
      <c r="F382" s="157" t="str">
        <f t="shared" si="13"/>
        <v>Sunday</v>
      </c>
      <c r="H382" s="157">
        <v>1</v>
      </c>
      <c r="I382" s="157">
        <f t="shared" si="17"/>
        <v>2</v>
      </c>
      <c r="J382" s="157">
        <f t="shared" si="16"/>
        <v>35</v>
      </c>
    </row>
    <row r="383" spans="1:10" ht="15.75" customHeight="1" x14ac:dyDescent="0.2">
      <c r="A383" s="157">
        <v>382</v>
      </c>
      <c r="B383" s="163">
        <v>45173</v>
      </c>
      <c r="C383" s="157">
        <f t="shared" si="11"/>
        <v>0</v>
      </c>
      <c r="D383" s="157">
        <v>0</v>
      </c>
      <c r="E383" s="157">
        <f t="shared" si="12"/>
        <v>0</v>
      </c>
      <c r="F383" s="157" t="str">
        <f t="shared" si="13"/>
        <v>Monday</v>
      </c>
      <c r="H383" s="157">
        <v>1</v>
      </c>
      <c r="I383" s="157">
        <f t="shared" si="17"/>
        <v>3</v>
      </c>
      <c r="J383" s="157">
        <f t="shared" si="16"/>
        <v>36</v>
      </c>
    </row>
    <row r="384" spans="1:10" ht="15.75" customHeight="1" x14ac:dyDescent="0.2">
      <c r="A384" s="157">
        <v>383</v>
      </c>
      <c r="B384" s="163">
        <v>45174</v>
      </c>
      <c r="C384" s="157">
        <f t="shared" si="11"/>
        <v>0</v>
      </c>
      <c r="D384" s="157">
        <v>0</v>
      </c>
      <c r="E384" s="157">
        <f t="shared" si="12"/>
        <v>0</v>
      </c>
      <c r="F384" s="157" t="str">
        <f t="shared" si="13"/>
        <v>Tuesday</v>
      </c>
      <c r="H384" s="157">
        <v>1</v>
      </c>
      <c r="I384" s="157">
        <f t="shared" si="17"/>
        <v>3</v>
      </c>
      <c r="J384" s="157">
        <f t="shared" si="16"/>
        <v>36</v>
      </c>
    </row>
    <row r="385" spans="1:10" ht="15.75" customHeight="1" x14ac:dyDescent="0.2">
      <c r="A385" s="157">
        <v>384</v>
      </c>
      <c r="B385" s="163">
        <v>45175</v>
      </c>
      <c r="C385" s="157">
        <f t="shared" si="11"/>
        <v>0</v>
      </c>
      <c r="D385" s="157">
        <v>0</v>
      </c>
      <c r="E385" s="157">
        <f t="shared" si="12"/>
        <v>0</v>
      </c>
      <c r="F385" s="157" t="str">
        <f t="shared" si="13"/>
        <v>Wednesday</v>
      </c>
      <c r="H385" s="157">
        <v>1</v>
      </c>
      <c r="I385" s="157">
        <f t="shared" si="17"/>
        <v>3</v>
      </c>
      <c r="J385" s="157">
        <f t="shared" si="16"/>
        <v>36</v>
      </c>
    </row>
    <row r="386" spans="1:10" ht="15.75" customHeight="1" x14ac:dyDescent="0.2">
      <c r="A386" s="157">
        <v>385</v>
      </c>
      <c r="B386" s="163">
        <v>45176</v>
      </c>
      <c r="C386" s="157">
        <f t="shared" si="11"/>
        <v>0</v>
      </c>
      <c r="D386" s="157">
        <v>0</v>
      </c>
      <c r="E386" s="157">
        <f t="shared" si="12"/>
        <v>0</v>
      </c>
      <c r="F386" s="157" t="str">
        <f t="shared" si="13"/>
        <v>Thursday</v>
      </c>
      <c r="H386" s="157">
        <v>1</v>
      </c>
      <c r="I386" s="157">
        <f t="shared" si="17"/>
        <v>3</v>
      </c>
      <c r="J386" s="157">
        <f t="shared" si="16"/>
        <v>36</v>
      </c>
    </row>
    <row r="387" spans="1:10" ht="15.75" customHeight="1" x14ac:dyDescent="0.2">
      <c r="A387" s="157">
        <v>386</v>
      </c>
      <c r="B387" s="163">
        <v>45177</v>
      </c>
      <c r="C387" s="157">
        <f t="shared" si="11"/>
        <v>0</v>
      </c>
      <c r="D387" s="157">
        <v>0</v>
      </c>
      <c r="E387" s="157">
        <f t="shared" si="12"/>
        <v>0</v>
      </c>
      <c r="F387" s="157" t="str">
        <f t="shared" si="13"/>
        <v>Friday</v>
      </c>
      <c r="H387" s="157">
        <v>1</v>
      </c>
      <c r="I387" s="157">
        <f t="shared" si="17"/>
        <v>3</v>
      </c>
      <c r="J387" s="157">
        <f t="shared" ref="J387:J450" si="18">_xlfn.ISOWEEKNUM(B387)</f>
        <v>36</v>
      </c>
    </row>
    <row r="388" spans="1:10" ht="15.75" customHeight="1" x14ac:dyDescent="0.2">
      <c r="A388" s="157">
        <v>387</v>
      </c>
      <c r="B388" s="163">
        <v>45178</v>
      </c>
      <c r="C388" s="157">
        <f t="shared" si="11"/>
        <v>1</v>
      </c>
      <c r="D388" s="157">
        <v>0</v>
      </c>
      <c r="E388" s="157">
        <f t="shared" si="12"/>
        <v>1</v>
      </c>
      <c r="F388" s="157" t="str">
        <f t="shared" si="13"/>
        <v>Saturday</v>
      </c>
      <c r="H388" s="157">
        <v>1</v>
      </c>
      <c r="I388" s="157">
        <f t="shared" si="17"/>
        <v>3</v>
      </c>
      <c r="J388" s="157">
        <f t="shared" si="18"/>
        <v>36</v>
      </c>
    </row>
    <row r="389" spans="1:10" ht="15.75" customHeight="1" x14ac:dyDescent="0.2">
      <c r="A389" s="157">
        <v>388</v>
      </c>
      <c r="B389" s="163">
        <v>45179</v>
      </c>
      <c r="C389" s="157">
        <f t="shared" si="11"/>
        <v>1</v>
      </c>
      <c r="D389" s="157">
        <v>0</v>
      </c>
      <c r="E389" s="157">
        <f t="shared" si="12"/>
        <v>1</v>
      </c>
      <c r="F389" s="157" t="str">
        <f t="shared" si="13"/>
        <v>Sunday</v>
      </c>
      <c r="H389" s="157">
        <v>1</v>
      </c>
      <c r="I389" s="157">
        <f t="shared" ref="I389:I452" si="19">IF(J389&gt;J388, IF(H389&lt;&gt;H388,1, I388+1),I388)</f>
        <v>3</v>
      </c>
      <c r="J389" s="157">
        <f t="shared" si="18"/>
        <v>36</v>
      </c>
    </row>
    <row r="390" spans="1:10" ht="15.75" customHeight="1" x14ac:dyDescent="0.2">
      <c r="A390" s="157">
        <v>389</v>
      </c>
      <c r="B390" s="163">
        <v>45180</v>
      </c>
      <c r="C390" s="157">
        <f t="shared" si="11"/>
        <v>0</v>
      </c>
      <c r="D390" s="157">
        <v>0</v>
      </c>
      <c r="E390" s="157">
        <f t="shared" si="12"/>
        <v>0</v>
      </c>
      <c r="F390" s="157" t="str">
        <f t="shared" si="13"/>
        <v>Monday</v>
      </c>
      <c r="H390" s="157">
        <v>1</v>
      </c>
      <c r="I390" s="157">
        <f t="shared" si="19"/>
        <v>4</v>
      </c>
      <c r="J390" s="157">
        <f t="shared" si="18"/>
        <v>37</v>
      </c>
    </row>
    <row r="391" spans="1:10" ht="15.75" customHeight="1" x14ac:dyDescent="0.2">
      <c r="A391" s="157">
        <v>390</v>
      </c>
      <c r="B391" s="163">
        <v>45181</v>
      </c>
      <c r="C391" s="157">
        <f t="shared" si="11"/>
        <v>0</v>
      </c>
      <c r="D391" s="157">
        <v>0</v>
      </c>
      <c r="E391" s="157">
        <f t="shared" si="12"/>
        <v>0</v>
      </c>
      <c r="F391" s="157" t="str">
        <f t="shared" si="13"/>
        <v>Tuesday</v>
      </c>
      <c r="H391" s="157">
        <v>1</v>
      </c>
      <c r="I391" s="157">
        <f t="shared" si="19"/>
        <v>4</v>
      </c>
      <c r="J391" s="157">
        <f t="shared" si="18"/>
        <v>37</v>
      </c>
    </row>
    <row r="392" spans="1:10" ht="15.75" customHeight="1" x14ac:dyDescent="0.2">
      <c r="A392" s="157">
        <v>391</v>
      </c>
      <c r="B392" s="163">
        <v>45182</v>
      </c>
      <c r="C392" s="157">
        <f t="shared" si="11"/>
        <v>0</v>
      </c>
      <c r="D392" s="157">
        <v>0</v>
      </c>
      <c r="E392" s="157">
        <f t="shared" si="12"/>
        <v>0</v>
      </c>
      <c r="F392" s="157" t="str">
        <f t="shared" si="13"/>
        <v>Wednesday</v>
      </c>
      <c r="H392" s="157">
        <v>1</v>
      </c>
      <c r="I392" s="157">
        <f t="shared" si="19"/>
        <v>4</v>
      </c>
      <c r="J392" s="157">
        <f t="shared" si="18"/>
        <v>37</v>
      </c>
    </row>
    <row r="393" spans="1:10" ht="15.75" customHeight="1" x14ac:dyDescent="0.2">
      <c r="A393" s="157">
        <v>392</v>
      </c>
      <c r="B393" s="163">
        <v>45183</v>
      </c>
      <c r="C393" s="157">
        <f t="shared" si="11"/>
        <v>0</v>
      </c>
      <c r="D393" s="157">
        <v>0</v>
      </c>
      <c r="E393" s="157">
        <f t="shared" si="12"/>
        <v>0</v>
      </c>
      <c r="F393" s="157" t="str">
        <f t="shared" si="13"/>
        <v>Thursday</v>
      </c>
      <c r="H393" s="157">
        <v>1</v>
      </c>
      <c r="I393" s="157">
        <f t="shared" si="19"/>
        <v>4</v>
      </c>
      <c r="J393" s="157">
        <f t="shared" si="18"/>
        <v>37</v>
      </c>
    </row>
    <row r="394" spans="1:10" ht="15.75" customHeight="1" x14ac:dyDescent="0.2">
      <c r="A394" s="157">
        <v>393</v>
      </c>
      <c r="B394" s="163">
        <v>45184</v>
      </c>
      <c r="C394" s="157">
        <f t="shared" si="11"/>
        <v>0</v>
      </c>
      <c r="D394" s="157">
        <v>0</v>
      </c>
      <c r="E394" s="157">
        <f t="shared" si="12"/>
        <v>0</v>
      </c>
      <c r="F394" s="157" t="str">
        <f t="shared" si="13"/>
        <v>Friday</v>
      </c>
      <c r="H394" s="157">
        <v>1</v>
      </c>
      <c r="I394" s="157">
        <f t="shared" si="19"/>
        <v>4</v>
      </c>
      <c r="J394" s="157">
        <f t="shared" si="18"/>
        <v>37</v>
      </c>
    </row>
    <row r="395" spans="1:10" ht="15.75" customHeight="1" x14ac:dyDescent="0.2">
      <c r="A395" s="157">
        <v>394</v>
      </c>
      <c r="B395" s="163">
        <v>45185</v>
      </c>
      <c r="C395" s="157">
        <f t="shared" si="11"/>
        <v>1</v>
      </c>
      <c r="D395" s="157">
        <v>0</v>
      </c>
      <c r="E395" s="157">
        <f t="shared" si="12"/>
        <v>1</v>
      </c>
      <c r="F395" s="157" t="str">
        <f t="shared" si="13"/>
        <v>Saturday</v>
      </c>
      <c r="H395" s="157">
        <v>1</v>
      </c>
      <c r="I395" s="157">
        <f t="shared" si="19"/>
        <v>4</v>
      </c>
      <c r="J395" s="157">
        <f t="shared" si="18"/>
        <v>37</v>
      </c>
    </row>
    <row r="396" spans="1:10" ht="15.75" customHeight="1" x14ac:dyDescent="0.2">
      <c r="A396" s="157">
        <v>395</v>
      </c>
      <c r="B396" s="163">
        <v>45186</v>
      </c>
      <c r="C396" s="157">
        <f t="shared" si="11"/>
        <v>1</v>
      </c>
      <c r="D396" s="157">
        <v>0</v>
      </c>
      <c r="E396" s="157">
        <f t="shared" si="12"/>
        <v>1</v>
      </c>
      <c r="F396" s="157" t="str">
        <f t="shared" si="13"/>
        <v>Sunday</v>
      </c>
      <c r="H396" s="157">
        <v>1</v>
      </c>
      <c r="I396" s="157">
        <f t="shared" si="19"/>
        <v>4</v>
      </c>
      <c r="J396" s="157">
        <f t="shared" si="18"/>
        <v>37</v>
      </c>
    </row>
    <row r="397" spans="1:10" ht="15.75" customHeight="1" x14ac:dyDescent="0.2">
      <c r="A397" s="157">
        <v>396</v>
      </c>
      <c r="B397" s="163">
        <v>45187</v>
      </c>
      <c r="C397" s="157">
        <f t="shared" si="11"/>
        <v>0</v>
      </c>
      <c r="D397" s="157">
        <v>0</v>
      </c>
      <c r="E397" s="157">
        <f t="shared" si="12"/>
        <v>0</v>
      </c>
      <c r="F397" s="157" t="str">
        <f t="shared" si="13"/>
        <v>Monday</v>
      </c>
      <c r="H397" s="157">
        <v>1</v>
      </c>
      <c r="I397" s="157">
        <f t="shared" si="19"/>
        <v>5</v>
      </c>
      <c r="J397" s="157">
        <f t="shared" si="18"/>
        <v>38</v>
      </c>
    </row>
    <row r="398" spans="1:10" ht="15.75" customHeight="1" x14ac:dyDescent="0.2">
      <c r="A398" s="157">
        <v>397</v>
      </c>
      <c r="B398" s="163">
        <v>45188</v>
      </c>
      <c r="C398" s="157">
        <f t="shared" si="11"/>
        <v>0</v>
      </c>
      <c r="D398" s="157">
        <v>0</v>
      </c>
      <c r="E398" s="157">
        <f t="shared" si="12"/>
        <v>0</v>
      </c>
      <c r="F398" s="157" t="str">
        <f t="shared" si="13"/>
        <v>Tuesday</v>
      </c>
      <c r="H398" s="157">
        <v>1</v>
      </c>
      <c r="I398" s="157">
        <f t="shared" si="19"/>
        <v>5</v>
      </c>
      <c r="J398" s="157">
        <f t="shared" si="18"/>
        <v>38</v>
      </c>
    </row>
    <row r="399" spans="1:10" ht="15.75" customHeight="1" x14ac:dyDescent="0.2">
      <c r="A399" s="157">
        <v>398</v>
      </c>
      <c r="B399" s="163">
        <v>45189</v>
      </c>
      <c r="C399" s="157">
        <f t="shared" si="11"/>
        <v>0</v>
      </c>
      <c r="D399" s="157">
        <v>0</v>
      </c>
      <c r="E399" s="157">
        <f t="shared" si="12"/>
        <v>0</v>
      </c>
      <c r="F399" s="157" t="str">
        <f t="shared" si="13"/>
        <v>Wednesday</v>
      </c>
      <c r="H399" s="157">
        <v>1</v>
      </c>
      <c r="I399" s="157">
        <f t="shared" si="19"/>
        <v>5</v>
      </c>
      <c r="J399" s="157">
        <f t="shared" si="18"/>
        <v>38</v>
      </c>
    </row>
    <row r="400" spans="1:10" ht="15.75" customHeight="1" x14ac:dyDescent="0.2">
      <c r="A400" s="157">
        <v>399</v>
      </c>
      <c r="B400" s="163">
        <v>45190</v>
      </c>
      <c r="C400" s="157">
        <f t="shared" si="11"/>
        <v>0</v>
      </c>
      <c r="D400" s="157">
        <v>0</v>
      </c>
      <c r="E400" s="157">
        <f t="shared" si="12"/>
        <v>0</v>
      </c>
      <c r="F400" s="157" t="str">
        <f t="shared" si="13"/>
        <v>Thursday</v>
      </c>
      <c r="H400" s="157">
        <v>1</v>
      </c>
      <c r="I400" s="157">
        <f t="shared" si="19"/>
        <v>5</v>
      </c>
      <c r="J400" s="157">
        <f t="shared" si="18"/>
        <v>38</v>
      </c>
    </row>
    <row r="401" spans="1:10" ht="15.75" customHeight="1" x14ac:dyDescent="0.2">
      <c r="A401" s="157">
        <v>400</v>
      </c>
      <c r="B401" s="163">
        <v>45191</v>
      </c>
      <c r="C401" s="157">
        <f t="shared" si="11"/>
        <v>0</v>
      </c>
      <c r="D401" s="157">
        <v>0</v>
      </c>
      <c r="E401" s="157">
        <f t="shared" si="12"/>
        <v>0</v>
      </c>
      <c r="F401" s="157" t="str">
        <f t="shared" si="13"/>
        <v>Friday</v>
      </c>
      <c r="H401" s="157">
        <v>1</v>
      </c>
      <c r="I401" s="157">
        <f t="shared" si="19"/>
        <v>5</v>
      </c>
      <c r="J401" s="157">
        <f t="shared" si="18"/>
        <v>38</v>
      </c>
    </row>
    <row r="402" spans="1:10" ht="15.75" customHeight="1" x14ac:dyDescent="0.2">
      <c r="A402" s="157">
        <v>401</v>
      </c>
      <c r="B402" s="163">
        <v>45192</v>
      </c>
      <c r="C402" s="157">
        <f t="shared" si="11"/>
        <v>1</v>
      </c>
      <c r="D402" s="157">
        <v>0</v>
      </c>
      <c r="E402" s="157">
        <f t="shared" si="12"/>
        <v>1</v>
      </c>
      <c r="F402" s="157" t="str">
        <f t="shared" si="13"/>
        <v>Saturday</v>
      </c>
      <c r="H402" s="157">
        <v>1</v>
      </c>
      <c r="I402" s="157">
        <f t="shared" si="19"/>
        <v>5</v>
      </c>
      <c r="J402" s="157">
        <f t="shared" si="18"/>
        <v>38</v>
      </c>
    </row>
    <row r="403" spans="1:10" ht="15.75" customHeight="1" x14ac:dyDescent="0.2">
      <c r="A403" s="157">
        <v>402</v>
      </c>
      <c r="B403" s="163">
        <v>45193</v>
      </c>
      <c r="C403" s="157">
        <f t="shared" si="11"/>
        <v>1</v>
      </c>
      <c r="D403" s="157">
        <v>0</v>
      </c>
      <c r="E403" s="157">
        <f t="shared" si="12"/>
        <v>1</v>
      </c>
      <c r="F403" s="157" t="str">
        <f t="shared" si="13"/>
        <v>Sunday</v>
      </c>
      <c r="H403" s="157">
        <v>1</v>
      </c>
      <c r="I403" s="157">
        <f t="shared" si="19"/>
        <v>5</v>
      </c>
      <c r="J403" s="157">
        <f t="shared" si="18"/>
        <v>38</v>
      </c>
    </row>
    <row r="404" spans="1:10" ht="15.75" customHeight="1" x14ac:dyDescent="0.2">
      <c r="A404" s="157">
        <v>403</v>
      </c>
      <c r="B404" s="163">
        <v>45194</v>
      </c>
      <c r="C404" s="157">
        <f t="shared" si="11"/>
        <v>0</v>
      </c>
      <c r="D404" s="157">
        <v>0</v>
      </c>
      <c r="E404" s="157">
        <f t="shared" si="12"/>
        <v>0</v>
      </c>
      <c r="F404" s="157" t="str">
        <f t="shared" si="13"/>
        <v>Monday</v>
      </c>
      <c r="H404" s="157">
        <v>1</v>
      </c>
      <c r="I404" s="157">
        <f t="shared" si="19"/>
        <v>6</v>
      </c>
      <c r="J404" s="157">
        <f t="shared" si="18"/>
        <v>39</v>
      </c>
    </row>
    <row r="405" spans="1:10" ht="15.75" customHeight="1" x14ac:dyDescent="0.2">
      <c r="A405" s="157">
        <v>404</v>
      </c>
      <c r="B405" s="163">
        <v>45195</v>
      </c>
      <c r="C405" s="157">
        <f t="shared" si="11"/>
        <v>0</v>
      </c>
      <c r="D405" s="157">
        <v>0</v>
      </c>
      <c r="E405" s="157">
        <f t="shared" si="12"/>
        <v>0</v>
      </c>
      <c r="F405" s="157" t="str">
        <f t="shared" si="13"/>
        <v>Tuesday</v>
      </c>
      <c r="H405" s="157">
        <v>1</v>
      </c>
      <c r="I405" s="157">
        <f t="shared" si="19"/>
        <v>6</v>
      </c>
      <c r="J405" s="157">
        <f t="shared" si="18"/>
        <v>39</v>
      </c>
    </row>
    <row r="406" spans="1:10" ht="15.75" customHeight="1" x14ac:dyDescent="0.2">
      <c r="A406" s="157">
        <v>405</v>
      </c>
      <c r="B406" s="163">
        <v>45196</v>
      </c>
      <c r="C406" s="157">
        <f t="shared" si="11"/>
        <v>0</v>
      </c>
      <c r="D406" s="157">
        <v>0</v>
      </c>
      <c r="E406" s="157">
        <f t="shared" si="12"/>
        <v>0</v>
      </c>
      <c r="F406" s="157" t="str">
        <f t="shared" si="13"/>
        <v>Wednesday</v>
      </c>
      <c r="H406" s="157">
        <v>1</v>
      </c>
      <c r="I406" s="157">
        <f t="shared" si="19"/>
        <v>6</v>
      </c>
      <c r="J406" s="157">
        <f t="shared" si="18"/>
        <v>39</v>
      </c>
    </row>
    <row r="407" spans="1:10" ht="15.75" customHeight="1" x14ac:dyDescent="0.2">
      <c r="A407" s="157">
        <v>406</v>
      </c>
      <c r="B407" s="163">
        <v>45197</v>
      </c>
      <c r="C407" s="157">
        <f t="shared" si="11"/>
        <v>0</v>
      </c>
      <c r="D407" s="157">
        <v>0</v>
      </c>
      <c r="E407" s="157">
        <f t="shared" si="12"/>
        <v>0</v>
      </c>
      <c r="F407" s="157" t="str">
        <f t="shared" si="13"/>
        <v>Thursday</v>
      </c>
      <c r="H407" s="157">
        <v>1</v>
      </c>
      <c r="I407" s="157">
        <f t="shared" si="19"/>
        <v>6</v>
      </c>
      <c r="J407" s="157">
        <f t="shared" si="18"/>
        <v>39</v>
      </c>
    </row>
    <row r="408" spans="1:10" ht="15.75" customHeight="1" x14ac:dyDescent="0.2">
      <c r="A408" s="157">
        <v>407</v>
      </c>
      <c r="B408" s="163">
        <v>45198</v>
      </c>
      <c r="C408" s="157">
        <f t="shared" si="11"/>
        <v>0</v>
      </c>
      <c r="D408" s="157">
        <v>0</v>
      </c>
      <c r="E408" s="157">
        <f t="shared" si="12"/>
        <v>0</v>
      </c>
      <c r="F408" s="157" t="str">
        <f t="shared" si="13"/>
        <v>Friday</v>
      </c>
      <c r="H408" s="157">
        <v>1</v>
      </c>
      <c r="I408" s="157">
        <f t="shared" si="19"/>
        <v>6</v>
      </c>
      <c r="J408" s="157">
        <f t="shared" si="18"/>
        <v>39</v>
      </c>
    </row>
    <row r="409" spans="1:10" ht="15.75" customHeight="1" x14ac:dyDescent="0.2">
      <c r="A409" s="157">
        <v>408</v>
      </c>
      <c r="B409" s="163">
        <v>45199</v>
      </c>
      <c r="C409" s="157">
        <f t="shared" si="11"/>
        <v>1</v>
      </c>
      <c r="D409" s="157">
        <v>0</v>
      </c>
      <c r="E409" s="157">
        <f t="shared" si="12"/>
        <v>1</v>
      </c>
      <c r="F409" s="157" t="str">
        <f t="shared" si="13"/>
        <v>Saturday</v>
      </c>
      <c r="H409" s="157">
        <v>1</v>
      </c>
      <c r="I409" s="157">
        <f t="shared" si="19"/>
        <v>6</v>
      </c>
      <c r="J409" s="157">
        <f t="shared" si="18"/>
        <v>39</v>
      </c>
    </row>
    <row r="410" spans="1:10" ht="15.75" customHeight="1" x14ac:dyDescent="0.2">
      <c r="A410" s="157">
        <v>409</v>
      </c>
      <c r="B410" s="163">
        <v>45200</v>
      </c>
      <c r="C410" s="157">
        <f t="shared" si="11"/>
        <v>1</v>
      </c>
      <c r="D410" s="157">
        <v>0</v>
      </c>
      <c r="E410" s="157">
        <f t="shared" si="12"/>
        <v>1</v>
      </c>
      <c r="F410" s="157" t="str">
        <f t="shared" si="13"/>
        <v>Sunday</v>
      </c>
      <c r="H410" s="157">
        <v>1</v>
      </c>
      <c r="I410" s="157">
        <f t="shared" si="19"/>
        <v>6</v>
      </c>
      <c r="J410" s="157">
        <f t="shared" si="18"/>
        <v>39</v>
      </c>
    </row>
    <row r="411" spans="1:10" ht="15.75" customHeight="1" x14ac:dyDescent="0.2">
      <c r="A411" s="157">
        <v>410</v>
      </c>
      <c r="B411" s="163">
        <v>45201</v>
      </c>
      <c r="C411" s="157">
        <f t="shared" si="11"/>
        <v>0</v>
      </c>
      <c r="D411" s="157">
        <v>0</v>
      </c>
      <c r="E411" s="157">
        <f t="shared" si="12"/>
        <v>0</v>
      </c>
      <c r="F411" s="157" t="str">
        <f t="shared" si="13"/>
        <v>Monday</v>
      </c>
      <c r="H411" s="157">
        <v>1</v>
      </c>
      <c r="I411" s="157">
        <f t="shared" si="19"/>
        <v>7</v>
      </c>
      <c r="J411" s="157">
        <f t="shared" si="18"/>
        <v>40</v>
      </c>
    </row>
    <row r="412" spans="1:10" ht="15.75" customHeight="1" x14ac:dyDescent="0.2">
      <c r="A412" s="157">
        <v>411</v>
      </c>
      <c r="B412" s="163">
        <v>45202</v>
      </c>
      <c r="C412" s="157">
        <f t="shared" si="11"/>
        <v>0</v>
      </c>
      <c r="D412" s="157">
        <v>0</v>
      </c>
      <c r="E412" s="157">
        <f t="shared" si="12"/>
        <v>0</v>
      </c>
      <c r="F412" s="157" t="str">
        <f t="shared" si="13"/>
        <v>Tuesday</v>
      </c>
      <c r="H412" s="157">
        <v>1</v>
      </c>
      <c r="I412" s="157">
        <f t="shared" si="19"/>
        <v>7</v>
      </c>
      <c r="J412" s="157">
        <f t="shared" si="18"/>
        <v>40</v>
      </c>
    </row>
    <row r="413" spans="1:10" ht="15.75" customHeight="1" x14ac:dyDescent="0.2">
      <c r="A413" s="157">
        <v>412</v>
      </c>
      <c r="B413" s="163">
        <v>45203</v>
      </c>
      <c r="C413" s="157">
        <f t="shared" si="11"/>
        <v>0</v>
      </c>
      <c r="D413" s="157">
        <v>0</v>
      </c>
      <c r="E413" s="157">
        <f t="shared" si="12"/>
        <v>0</v>
      </c>
      <c r="F413" s="157" t="str">
        <f t="shared" si="13"/>
        <v>Wednesday</v>
      </c>
      <c r="H413" s="157">
        <v>1</v>
      </c>
      <c r="I413" s="157">
        <f t="shared" si="19"/>
        <v>7</v>
      </c>
      <c r="J413" s="157">
        <f t="shared" si="18"/>
        <v>40</v>
      </c>
    </row>
    <row r="414" spans="1:10" ht="15.75" customHeight="1" x14ac:dyDescent="0.2">
      <c r="A414" s="157">
        <v>413</v>
      </c>
      <c r="B414" s="163">
        <v>45204</v>
      </c>
      <c r="C414" s="157">
        <f t="shared" si="11"/>
        <v>0</v>
      </c>
      <c r="D414" s="157">
        <v>0</v>
      </c>
      <c r="E414" s="157">
        <f t="shared" si="12"/>
        <v>0</v>
      </c>
      <c r="F414" s="157" t="str">
        <f t="shared" si="13"/>
        <v>Thursday</v>
      </c>
      <c r="H414" s="157">
        <v>1</v>
      </c>
      <c r="I414" s="157">
        <f t="shared" si="19"/>
        <v>7</v>
      </c>
      <c r="J414" s="157">
        <f t="shared" si="18"/>
        <v>40</v>
      </c>
    </row>
    <row r="415" spans="1:10" ht="15.75" customHeight="1" x14ac:dyDescent="0.2">
      <c r="A415" s="157">
        <v>414</v>
      </c>
      <c r="B415" s="163">
        <v>45205</v>
      </c>
      <c r="C415" s="157">
        <f t="shared" si="11"/>
        <v>0</v>
      </c>
      <c r="D415" s="157">
        <v>0</v>
      </c>
      <c r="E415" s="157">
        <f t="shared" si="12"/>
        <v>0</v>
      </c>
      <c r="F415" s="157" t="str">
        <f t="shared" si="13"/>
        <v>Friday</v>
      </c>
      <c r="H415" s="157">
        <v>1</v>
      </c>
      <c r="I415" s="157">
        <f t="shared" si="19"/>
        <v>7</v>
      </c>
      <c r="J415" s="157">
        <f t="shared" si="18"/>
        <v>40</v>
      </c>
    </row>
    <row r="416" spans="1:10" ht="15.75" customHeight="1" x14ac:dyDescent="0.2">
      <c r="A416" s="157">
        <v>415</v>
      </c>
      <c r="B416" s="163">
        <v>45206</v>
      </c>
      <c r="C416" s="157">
        <f t="shared" si="11"/>
        <v>1</v>
      </c>
      <c r="D416" s="157">
        <v>0</v>
      </c>
      <c r="E416" s="157">
        <f t="shared" si="12"/>
        <v>1</v>
      </c>
      <c r="F416" s="157" t="str">
        <f t="shared" si="13"/>
        <v>Saturday</v>
      </c>
      <c r="H416" s="157">
        <v>1</v>
      </c>
      <c r="I416" s="157">
        <f t="shared" si="19"/>
        <v>7</v>
      </c>
      <c r="J416" s="157">
        <f t="shared" si="18"/>
        <v>40</v>
      </c>
    </row>
    <row r="417" spans="1:10" ht="15.75" customHeight="1" x14ac:dyDescent="0.2">
      <c r="A417" s="157">
        <v>416</v>
      </c>
      <c r="B417" s="163">
        <v>45207</v>
      </c>
      <c r="C417" s="157">
        <f t="shared" si="11"/>
        <v>1</v>
      </c>
      <c r="D417" s="157">
        <v>0</v>
      </c>
      <c r="E417" s="157">
        <f t="shared" si="12"/>
        <v>1</v>
      </c>
      <c r="F417" s="157" t="str">
        <f t="shared" si="13"/>
        <v>Sunday</v>
      </c>
      <c r="H417" s="157">
        <v>1</v>
      </c>
      <c r="I417" s="157">
        <f t="shared" si="19"/>
        <v>7</v>
      </c>
      <c r="J417" s="157">
        <f t="shared" si="18"/>
        <v>40</v>
      </c>
    </row>
    <row r="418" spans="1:10" ht="15.75" customHeight="1" x14ac:dyDescent="0.2">
      <c r="A418" s="157">
        <v>417</v>
      </c>
      <c r="B418" s="163">
        <v>45208</v>
      </c>
      <c r="C418" s="157">
        <f t="shared" si="11"/>
        <v>0</v>
      </c>
      <c r="D418" s="157">
        <v>0</v>
      </c>
      <c r="E418" s="157">
        <f t="shared" si="12"/>
        <v>0</v>
      </c>
      <c r="F418" s="157" t="str">
        <f t="shared" si="13"/>
        <v>Monday</v>
      </c>
      <c r="H418" s="157">
        <v>1</v>
      </c>
      <c r="I418" s="157">
        <f t="shared" si="19"/>
        <v>8</v>
      </c>
      <c r="J418" s="157">
        <f t="shared" si="18"/>
        <v>41</v>
      </c>
    </row>
    <row r="419" spans="1:10" ht="15.75" customHeight="1" x14ac:dyDescent="0.2">
      <c r="A419" s="157">
        <v>418</v>
      </c>
      <c r="B419" s="163">
        <v>45209</v>
      </c>
      <c r="C419" s="157">
        <f t="shared" si="11"/>
        <v>0</v>
      </c>
      <c r="D419" s="157">
        <v>0</v>
      </c>
      <c r="E419" s="157">
        <f t="shared" si="12"/>
        <v>0</v>
      </c>
      <c r="F419" s="157" t="str">
        <f t="shared" si="13"/>
        <v>Tuesday</v>
      </c>
      <c r="H419" s="157">
        <v>1</v>
      </c>
      <c r="I419" s="157">
        <f t="shared" si="19"/>
        <v>8</v>
      </c>
      <c r="J419" s="157">
        <f t="shared" si="18"/>
        <v>41</v>
      </c>
    </row>
    <row r="420" spans="1:10" ht="15.75" customHeight="1" x14ac:dyDescent="0.2">
      <c r="A420" s="157">
        <v>419</v>
      </c>
      <c r="B420" s="163">
        <v>45210</v>
      </c>
      <c r="C420" s="157">
        <f t="shared" si="11"/>
        <v>0</v>
      </c>
      <c r="D420" s="157">
        <v>0</v>
      </c>
      <c r="E420" s="157">
        <f t="shared" si="12"/>
        <v>0</v>
      </c>
      <c r="F420" s="157" t="str">
        <f t="shared" si="13"/>
        <v>Wednesday</v>
      </c>
      <c r="H420" s="157">
        <v>1</v>
      </c>
      <c r="I420" s="157">
        <f t="shared" si="19"/>
        <v>8</v>
      </c>
      <c r="J420" s="157">
        <f t="shared" si="18"/>
        <v>41</v>
      </c>
    </row>
    <row r="421" spans="1:10" ht="15.75" customHeight="1" x14ac:dyDescent="0.2">
      <c r="A421" s="157">
        <v>420</v>
      </c>
      <c r="B421" s="163">
        <v>45211</v>
      </c>
      <c r="C421" s="157">
        <f t="shared" si="11"/>
        <v>0</v>
      </c>
      <c r="D421" s="157">
        <v>0</v>
      </c>
      <c r="E421" s="157">
        <f t="shared" si="12"/>
        <v>0</v>
      </c>
      <c r="F421" s="157" t="str">
        <f t="shared" si="13"/>
        <v>Thursday</v>
      </c>
      <c r="H421" s="157">
        <v>1</v>
      </c>
      <c r="I421" s="157">
        <f t="shared" si="19"/>
        <v>8</v>
      </c>
      <c r="J421" s="157">
        <f t="shared" si="18"/>
        <v>41</v>
      </c>
    </row>
    <row r="422" spans="1:10" ht="15.75" customHeight="1" x14ac:dyDescent="0.2">
      <c r="A422" s="157">
        <v>421</v>
      </c>
      <c r="B422" s="163">
        <v>45212</v>
      </c>
      <c r="C422" s="157">
        <f t="shared" si="11"/>
        <v>0</v>
      </c>
      <c r="D422" s="157">
        <v>0</v>
      </c>
      <c r="E422" s="157">
        <f t="shared" si="12"/>
        <v>0</v>
      </c>
      <c r="F422" s="157" t="str">
        <f t="shared" si="13"/>
        <v>Friday</v>
      </c>
      <c r="H422" s="157">
        <v>1</v>
      </c>
      <c r="I422" s="157">
        <f t="shared" si="19"/>
        <v>8</v>
      </c>
      <c r="J422" s="157">
        <f t="shared" si="18"/>
        <v>41</v>
      </c>
    </row>
    <row r="423" spans="1:10" ht="15.75" customHeight="1" x14ac:dyDescent="0.2">
      <c r="A423" s="157">
        <v>422</v>
      </c>
      <c r="B423" s="163">
        <v>45213</v>
      </c>
      <c r="C423" s="157">
        <f t="shared" si="11"/>
        <v>1</v>
      </c>
      <c r="D423" s="157">
        <v>1</v>
      </c>
      <c r="E423" s="157">
        <f t="shared" si="12"/>
        <v>1</v>
      </c>
      <c r="F423" s="157" t="str">
        <f t="shared" si="13"/>
        <v>Saturday</v>
      </c>
      <c r="G423" s="157" t="s">
        <v>1778</v>
      </c>
      <c r="H423" s="157">
        <v>1</v>
      </c>
      <c r="I423" s="157">
        <f t="shared" si="19"/>
        <v>8</v>
      </c>
      <c r="J423" s="157">
        <f t="shared" si="18"/>
        <v>41</v>
      </c>
    </row>
    <row r="424" spans="1:10" ht="15.75" customHeight="1" x14ac:dyDescent="0.2">
      <c r="A424" s="157">
        <v>423</v>
      </c>
      <c r="B424" s="163">
        <v>45214</v>
      </c>
      <c r="C424" s="157">
        <f t="shared" si="11"/>
        <v>1</v>
      </c>
      <c r="D424" s="157">
        <v>1</v>
      </c>
      <c r="E424" s="157">
        <f t="shared" si="12"/>
        <v>1</v>
      </c>
      <c r="F424" s="157" t="str">
        <f t="shared" si="13"/>
        <v>Sunday</v>
      </c>
      <c r="G424" s="157" t="s">
        <v>1778</v>
      </c>
      <c r="H424" s="157">
        <v>1</v>
      </c>
      <c r="I424" s="157">
        <f t="shared" si="19"/>
        <v>8</v>
      </c>
      <c r="J424" s="157">
        <f t="shared" si="18"/>
        <v>41</v>
      </c>
    </row>
    <row r="425" spans="1:10" ht="15.75" customHeight="1" x14ac:dyDescent="0.2">
      <c r="A425" s="157">
        <v>424</v>
      </c>
      <c r="B425" s="163">
        <v>45215</v>
      </c>
      <c r="C425" s="157">
        <f t="shared" si="11"/>
        <v>0</v>
      </c>
      <c r="D425" s="157">
        <v>1</v>
      </c>
      <c r="E425" s="157">
        <f t="shared" si="12"/>
        <v>1</v>
      </c>
      <c r="F425" s="157" t="str">
        <f t="shared" si="13"/>
        <v>Monday</v>
      </c>
      <c r="G425" s="157" t="s">
        <v>1778</v>
      </c>
      <c r="H425" s="157">
        <v>1</v>
      </c>
      <c r="I425" s="157">
        <f t="shared" si="19"/>
        <v>9</v>
      </c>
      <c r="J425" s="157">
        <f t="shared" si="18"/>
        <v>42</v>
      </c>
    </row>
    <row r="426" spans="1:10" ht="15.75" customHeight="1" x14ac:dyDescent="0.2">
      <c r="A426" s="157">
        <v>425</v>
      </c>
      <c r="B426" s="163">
        <v>45216</v>
      </c>
      <c r="C426" s="157">
        <f t="shared" si="11"/>
        <v>0</v>
      </c>
      <c r="D426" s="157">
        <v>1</v>
      </c>
      <c r="E426" s="157">
        <f t="shared" si="12"/>
        <v>1</v>
      </c>
      <c r="F426" s="157" t="str">
        <f t="shared" si="13"/>
        <v>Tuesday</v>
      </c>
      <c r="G426" s="157" t="s">
        <v>1778</v>
      </c>
      <c r="H426" s="157">
        <v>1</v>
      </c>
      <c r="I426" s="157">
        <f t="shared" si="19"/>
        <v>9</v>
      </c>
      <c r="J426" s="157">
        <f t="shared" si="18"/>
        <v>42</v>
      </c>
    </row>
    <row r="427" spans="1:10" ht="15.75" customHeight="1" x14ac:dyDescent="0.2">
      <c r="A427" s="157">
        <v>426</v>
      </c>
      <c r="B427" s="163">
        <v>45217</v>
      </c>
      <c r="C427" s="157">
        <f t="shared" si="11"/>
        <v>0</v>
      </c>
      <c r="D427" s="157">
        <v>1</v>
      </c>
      <c r="E427" s="157">
        <f t="shared" si="12"/>
        <v>1</v>
      </c>
      <c r="F427" s="157" t="str">
        <f t="shared" si="13"/>
        <v>Wednesday</v>
      </c>
      <c r="G427" s="157" t="s">
        <v>1778</v>
      </c>
      <c r="H427" s="157">
        <v>1</v>
      </c>
      <c r="I427" s="157">
        <f t="shared" si="19"/>
        <v>9</v>
      </c>
      <c r="J427" s="157">
        <f t="shared" si="18"/>
        <v>42</v>
      </c>
    </row>
    <row r="428" spans="1:10" ht="15.75" customHeight="1" x14ac:dyDescent="0.2">
      <c r="A428" s="157">
        <v>427</v>
      </c>
      <c r="B428" s="163">
        <v>45218</v>
      </c>
      <c r="C428" s="157">
        <f t="shared" si="11"/>
        <v>0</v>
      </c>
      <c r="D428" s="157">
        <v>1</v>
      </c>
      <c r="E428" s="157">
        <f t="shared" si="12"/>
        <v>1</v>
      </c>
      <c r="F428" s="157" t="str">
        <f t="shared" si="13"/>
        <v>Thursday</v>
      </c>
      <c r="G428" s="157" t="s">
        <v>1778</v>
      </c>
      <c r="H428" s="157">
        <v>1</v>
      </c>
      <c r="I428" s="157">
        <f t="shared" si="19"/>
        <v>9</v>
      </c>
      <c r="J428" s="157">
        <f t="shared" si="18"/>
        <v>42</v>
      </c>
    </row>
    <row r="429" spans="1:10" ht="15.75" customHeight="1" x14ac:dyDescent="0.2">
      <c r="A429" s="157">
        <v>428</v>
      </c>
      <c r="B429" s="163">
        <v>45219</v>
      </c>
      <c r="C429" s="157">
        <f t="shared" si="11"/>
        <v>0</v>
      </c>
      <c r="D429" s="157">
        <v>1</v>
      </c>
      <c r="E429" s="157">
        <f t="shared" si="12"/>
        <v>1</v>
      </c>
      <c r="F429" s="157" t="str">
        <f t="shared" si="13"/>
        <v>Friday</v>
      </c>
      <c r="G429" s="157" t="s">
        <v>1778</v>
      </c>
      <c r="H429" s="157">
        <v>1</v>
      </c>
      <c r="I429" s="157">
        <f t="shared" si="19"/>
        <v>9</v>
      </c>
      <c r="J429" s="157">
        <f t="shared" si="18"/>
        <v>42</v>
      </c>
    </row>
    <row r="430" spans="1:10" ht="15.75" customHeight="1" x14ac:dyDescent="0.2">
      <c r="A430" s="157">
        <v>429</v>
      </c>
      <c r="B430" s="163">
        <v>45220</v>
      </c>
      <c r="C430" s="157">
        <f t="shared" si="11"/>
        <v>1</v>
      </c>
      <c r="D430" s="157">
        <v>1</v>
      </c>
      <c r="E430" s="157">
        <f t="shared" si="12"/>
        <v>1</v>
      </c>
      <c r="F430" s="157" t="str">
        <f t="shared" si="13"/>
        <v>Saturday</v>
      </c>
      <c r="G430" s="157" t="s">
        <v>1778</v>
      </c>
      <c r="H430" s="157">
        <v>1</v>
      </c>
      <c r="I430" s="157">
        <f t="shared" si="19"/>
        <v>9</v>
      </c>
      <c r="J430" s="157">
        <f t="shared" si="18"/>
        <v>42</v>
      </c>
    </row>
    <row r="431" spans="1:10" ht="15.75" customHeight="1" x14ac:dyDescent="0.2">
      <c r="A431" s="157">
        <v>430</v>
      </c>
      <c r="B431" s="163">
        <v>45221</v>
      </c>
      <c r="C431" s="157">
        <f t="shared" si="11"/>
        <v>1</v>
      </c>
      <c r="D431" s="157">
        <v>1</v>
      </c>
      <c r="E431" s="157">
        <f t="shared" si="12"/>
        <v>1</v>
      </c>
      <c r="F431" s="157" t="str">
        <f t="shared" si="13"/>
        <v>Sunday</v>
      </c>
      <c r="G431" s="157" t="s">
        <v>1778</v>
      </c>
      <c r="H431" s="157">
        <v>1</v>
      </c>
      <c r="I431" s="157">
        <f t="shared" si="19"/>
        <v>9</v>
      </c>
      <c r="J431" s="157">
        <f t="shared" si="18"/>
        <v>42</v>
      </c>
    </row>
    <row r="432" spans="1:10" ht="15.75" customHeight="1" x14ac:dyDescent="0.2">
      <c r="A432" s="157">
        <v>431</v>
      </c>
      <c r="B432" s="163">
        <v>45222</v>
      </c>
      <c r="C432" s="157">
        <f t="shared" si="11"/>
        <v>0</v>
      </c>
      <c r="D432" s="157">
        <v>1</v>
      </c>
      <c r="E432" s="157">
        <f t="shared" si="12"/>
        <v>1</v>
      </c>
      <c r="F432" s="157" t="str">
        <f t="shared" si="13"/>
        <v>Monday</v>
      </c>
      <c r="G432" s="157" t="s">
        <v>1774</v>
      </c>
      <c r="H432" s="157">
        <v>2</v>
      </c>
      <c r="I432" s="157">
        <f t="shared" si="19"/>
        <v>1</v>
      </c>
      <c r="J432" s="157">
        <f t="shared" si="18"/>
        <v>43</v>
      </c>
    </row>
    <row r="433" spans="1:10" ht="15.75" customHeight="1" x14ac:dyDescent="0.2">
      <c r="A433" s="157">
        <v>432</v>
      </c>
      <c r="B433" s="163">
        <v>45223</v>
      </c>
      <c r="C433" s="157">
        <f t="shared" si="11"/>
        <v>0</v>
      </c>
      <c r="D433" s="157">
        <v>0</v>
      </c>
      <c r="E433" s="157">
        <f t="shared" si="12"/>
        <v>0</v>
      </c>
      <c r="F433" s="157" t="str">
        <f t="shared" si="13"/>
        <v>Tuesday</v>
      </c>
      <c r="H433" s="157">
        <v>2</v>
      </c>
      <c r="I433" s="157">
        <f t="shared" si="19"/>
        <v>1</v>
      </c>
      <c r="J433" s="157">
        <f t="shared" si="18"/>
        <v>43</v>
      </c>
    </row>
    <row r="434" spans="1:10" ht="15.75" customHeight="1" x14ac:dyDescent="0.2">
      <c r="A434" s="157">
        <v>433</v>
      </c>
      <c r="B434" s="163">
        <v>45224</v>
      </c>
      <c r="C434" s="157">
        <f t="shared" si="11"/>
        <v>0</v>
      </c>
      <c r="D434" s="157">
        <v>0</v>
      </c>
      <c r="E434" s="157">
        <f t="shared" si="12"/>
        <v>0</v>
      </c>
      <c r="F434" s="157" t="str">
        <f t="shared" si="13"/>
        <v>Wednesday</v>
      </c>
      <c r="H434" s="157">
        <v>2</v>
      </c>
      <c r="I434" s="157">
        <f t="shared" si="19"/>
        <v>1</v>
      </c>
      <c r="J434" s="157">
        <f t="shared" si="18"/>
        <v>43</v>
      </c>
    </row>
    <row r="435" spans="1:10" ht="15.75" customHeight="1" x14ac:dyDescent="0.2">
      <c r="A435" s="157">
        <v>434</v>
      </c>
      <c r="B435" s="163">
        <v>45225</v>
      </c>
      <c r="C435" s="157">
        <f t="shared" si="11"/>
        <v>0</v>
      </c>
      <c r="D435" s="157">
        <v>0</v>
      </c>
      <c r="E435" s="157">
        <f t="shared" si="12"/>
        <v>0</v>
      </c>
      <c r="F435" s="157" t="str">
        <f t="shared" si="13"/>
        <v>Thursday</v>
      </c>
      <c r="H435" s="157">
        <v>2</v>
      </c>
      <c r="I435" s="157">
        <f t="shared" si="19"/>
        <v>1</v>
      </c>
      <c r="J435" s="157">
        <f t="shared" si="18"/>
        <v>43</v>
      </c>
    </row>
    <row r="436" spans="1:10" ht="15.75" customHeight="1" x14ac:dyDescent="0.2">
      <c r="A436" s="157">
        <v>435</v>
      </c>
      <c r="B436" s="163">
        <v>45226</v>
      </c>
      <c r="C436" s="157">
        <f t="shared" si="11"/>
        <v>0</v>
      </c>
      <c r="D436" s="157">
        <v>0</v>
      </c>
      <c r="E436" s="157">
        <f t="shared" si="12"/>
        <v>0</v>
      </c>
      <c r="F436" s="157" t="str">
        <f t="shared" si="13"/>
        <v>Friday</v>
      </c>
      <c r="H436" s="157">
        <v>2</v>
      </c>
      <c r="I436" s="157">
        <f t="shared" si="19"/>
        <v>1</v>
      </c>
      <c r="J436" s="157">
        <f t="shared" si="18"/>
        <v>43</v>
      </c>
    </row>
    <row r="437" spans="1:10" ht="15.75" customHeight="1" x14ac:dyDescent="0.2">
      <c r="A437" s="157">
        <v>436</v>
      </c>
      <c r="B437" s="163">
        <v>45227</v>
      </c>
      <c r="C437" s="157">
        <f t="shared" si="11"/>
        <v>1</v>
      </c>
      <c r="D437" s="157">
        <v>0</v>
      </c>
      <c r="E437" s="157">
        <f t="shared" si="12"/>
        <v>1</v>
      </c>
      <c r="F437" s="157" t="str">
        <f t="shared" si="13"/>
        <v>Saturday</v>
      </c>
      <c r="H437" s="157">
        <v>2</v>
      </c>
      <c r="I437" s="157">
        <f t="shared" si="19"/>
        <v>1</v>
      </c>
      <c r="J437" s="157">
        <f t="shared" si="18"/>
        <v>43</v>
      </c>
    </row>
    <row r="438" spans="1:10" ht="15.75" customHeight="1" x14ac:dyDescent="0.2">
      <c r="A438" s="157">
        <v>437</v>
      </c>
      <c r="B438" s="163">
        <v>45228</v>
      </c>
      <c r="C438" s="157">
        <f t="shared" si="11"/>
        <v>1</v>
      </c>
      <c r="D438" s="157">
        <v>0</v>
      </c>
      <c r="E438" s="157">
        <f t="shared" si="12"/>
        <v>1</v>
      </c>
      <c r="F438" s="157" t="str">
        <f t="shared" si="13"/>
        <v>Sunday</v>
      </c>
      <c r="H438" s="157">
        <v>2</v>
      </c>
      <c r="I438" s="157">
        <f t="shared" si="19"/>
        <v>1</v>
      </c>
      <c r="J438" s="157">
        <f t="shared" si="18"/>
        <v>43</v>
      </c>
    </row>
    <row r="439" spans="1:10" ht="15.75" customHeight="1" x14ac:dyDescent="0.2">
      <c r="A439" s="157">
        <v>438</v>
      </c>
      <c r="B439" s="163">
        <v>45229</v>
      </c>
      <c r="C439" s="157">
        <f t="shared" si="11"/>
        <v>0</v>
      </c>
      <c r="D439" s="157">
        <v>0</v>
      </c>
      <c r="E439" s="157">
        <f t="shared" si="12"/>
        <v>0</v>
      </c>
      <c r="F439" s="157" t="str">
        <f t="shared" si="13"/>
        <v>Monday</v>
      </c>
      <c r="H439" s="157">
        <v>2</v>
      </c>
      <c r="I439" s="157">
        <f t="shared" si="19"/>
        <v>2</v>
      </c>
      <c r="J439" s="157">
        <f t="shared" si="18"/>
        <v>44</v>
      </c>
    </row>
    <row r="440" spans="1:10" ht="15.75" customHeight="1" x14ac:dyDescent="0.2">
      <c r="A440" s="157">
        <v>439</v>
      </c>
      <c r="B440" s="163">
        <v>45230</v>
      </c>
      <c r="C440" s="157">
        <f t="shared" si="11"/>
        <v>0</v>
      </c>
      <c r="D440" s="157">
        <v>0</v>
      </c>
      <c r="E440" s="157">
        <f t="shared" si="12"/>
        <v>0</v>
      </c>
      <c r="F440" s="157" t="str">
        <f t="shared" si="13"/>
        <v>Tuesday</v>
      </c>
      <c r="H440" s="157">
        <v>2</v>
      </c>
      <c r="I440" s="157">
        <f t="shared" si="19"/>
        <v>2</v>
      </c>
      <c r="J440" s="157">
        <f t="shared" si="18"/>
        <v>44</v>
      </c>
    </row>
    <row r="441" spans="1:10" ht="15.75" customHeight="1" x14ac:dyDescent="0.2">
      <c r="A441" s="157">
        <v>440</v>
      </c>
      <c r="B441" s="163">
        <v>45231</v>
      </c>
      <c r="C441" s="157">
        <f t="shared" si="11"/>
        <v>0</v>
      </c>
      <c r="D441" s="157">
        <v>0</v>
      </c>
      <c r="E441" s="157">
        <f t="shared" si="12"/>
        <v>0</v>
      </c>
      <c r="F441" s="157" t="str">
        <f t="shared" si="13"/>
        <v>Wednesday</v>
      </c>
      <c r="H441" s="157">
        <v>2</v>
      </c>
      <c r="I441" s="157">
        <f t="shared" si="19"/>
        <v>2</v>
      </c>
      <c r="J441" s="157">
        <f t="shared" si="18"/>
        <v>44</v>
      </c>
    </row>
    <row r="442" spans="1:10" ht="15.75" customHeight="1" x14ac:dyDescent="0.2">
      <c r="A442" s="157">
        <v>441</v>
      </c>
      <c r="B442" s="163">
        <v>45232</v>
      </c>
      <c r="C442" s="157">
        <f t="shared" si="11"/>
        <v>0</v>
      </c>
      <c r="D442" s="157">
        <v>0</v>
      </c>
      <c r="E442" s="157">
        <f t="shared" si="12"/>
        <v>0</v>
      </c>
      <c r="F442" s="157" t="str">
        <f t="shared" si="13"/>
        <v>Thursday</v>
      </c>
      <c r="H442" s="157">
        <v>2</v>
      </c>
      <c r="I442" s="157">
        <f t="shared" si="19"/>
        <v>2</v>
      </c>
      <c r="J442" s="157">
        <f t="shared" si="18"/>
        <v>44</v>
      </c>
    </row>
    <row r="443" spans="1:10" ht="15.75" customHeight="1" x14ac:dyDescent="0.2">
      <c r="A443" s="157">
        <v>442</v>
      </c>
      <c r="B443" s="163">
        <v>45233</v>
      </c>
      <c r="C443" s="157">
        <f t="shared" si="11"/>
        <v>0</v>
      </c>
      <c r="D443" s="157">
        <v>0</v>
      </c>
      <c r="E443" s="157">
        <f t="shared" si="12"/>
        <v>0</v>
      </c>
      <c r="F443" s="157" t="str">
        <f t="shared" si="13"/>
        <v>Friday</v>
      </c>
      <c r="H443" s="157">
        <v>2</v>
      </c>
      <c r="I443" s="157">
        <f t="shared" si="19"/>
        <v>2</v>
      </c>
      <c r="J443" s="157">
        <f t="shared" si="18"/>
        <v>44</v>
      </c>
    </row>
    <row r="444" spans="1:10" ht="15.75" customHeight="1" x14ac:dyDescent="0.2">
      <c r="A444" s="157">
        <v>443</v>
      </c>
      <c r="B444" s="163">
        <v>45234</v>
      </c>
      <c r="C444" s="157">
        <f t="shared" si="11"/>
        <v>1</v>
      </c>
      <c r="D444" s="157">
        <v>0</v>
      </c>
      <c r="E444" s="157">
        <f t="shared" si="12"/>
        <v>1</v>
      </c>
      <c r="F444" s="157" t="str">
        <f t="shared" si="13"/>
        <v>Saturday</v>
      </c>
      <c r="H444" s="157">
        <v>2</v>
      </c>
      <c r="I444" s="157">
        <f t="shared" si="19"/>
        <v>2</v>
      </c>
      <c r="J444" s="157">
        <f t="shared" si="18"/>
        <v>44</v>
      </c>
    </row>
    <row r="445" spans="1:10" ht="15.75" customHeight="1" x14ac:dyDescent="0.2">
      <c r="A445" s="157">
        <v>444</v>
      </c>
      <c r="B445" s="163">
        <v>45235</v>
      </c>
      <c r="C445" s="157">
        <f t="shared" si="11"/>
        <v>1</v>
      </c>
      <c r="D445" s="157">
        <v>0</v>
      </c>
      <c r="E445" s="157">
        <f t="shared" si="12"/>
        <v>1</v>
      </c>
      <c r="F445" s="157" t="str">
        <f t="shared" si="13"/>
        <v>Sunday</v>
      </c>
      <c r="H445" s="157">
        <v>2</v>
      </c>
      <c r="I445" s="157">
        <f t="shared" si="19"/>
        <v>2</v>
      </c>
      <c r="J445" s="157">
        <f t="shared" si="18"/>
        <v>44</v>
      </c>
    </row>
    <row r="446" spans="1:10" ht="15.75" customHeight="1" x14ac:dyDescent="0.2">
      <c r="A446" s="157">
        <v>445</v>
      </c>
      <c r="B446" s="163">
        <v>45236</v>
      </c>
      <c r="C446" s="157">
        <f t="shared" si="11"/>
        <v>0</v>
      </c>
      <c r="D446" s="157">
        <v>0</v>
      </c>
      <c r="E446" s="157">
        <f t="shared" si="12"/>
        <v>0</v>
      </c>
      <c r="F446" s="157" t="str">
        <f t="shared" si="13"/>
        <v>Monday</v>
      </c>
      <c r="H446" s="157">
        <v>2</v>
      </c>
      <c r="I446" s="157">
        <f t="shared" si="19"/>
        <v>3</v>
      </c>
      <c r="J446" s="157">
        <f t="shared" si="18"/>
        <v>45</v>
      </c>
    </row>
    <row r="447" spans="1:10" ht="15.75" customHeight="1" x14ac:dyDescent="0.2">
      <c r="A447" s="157">
        <v>446</v>
      </c>
      <c r="B447" s="163">
        <v>45237</v>
      </c>
      <c r="C447" s="157">
        <f t="shared" si="11"/>
        <v>0</v>
      </c>
      <c r="D447" s="157">
        <v>0</v>
      </c>
      <c r="E447" s="157">
        <f t="shared" si="12"/>
        <v>0</v>
      </c>
      <c r="F447" s="157" t="str">
        <f t="shared" si="13"/>
        <v>Tuesday</v>
      </c>
      <c r="H447" s="157">
        <v>2</v>
      </c>
      <c r="I447" s="157">
        <f t="shared" si="19"/>
        <v>3</v>
      </c>
      <c r="J447" s="157">
        <f t="shared" si="18"/>
        <v>45</v>
      </c>
    </row>
    <row r="448" spans="1:10" ht="15.75" customHeight="1" x14ac:dyDescent="0.2">
      <c r="A448" s="157">
        <v>447</v>
      </c>
      <c r="B448" s="163">
        <v>45238</v>
      </c>
      <c r="C448" s="157">
        <f t="shared" si="11"/>
        <v>0</v>
      </c>
      <c r="D448" s="157">
        <v>0</v>
      </c>
      <c r="E448" s="157">
        <f t="shared" si="12"/>
        <v>0</v>
      </c>
      <c r="F448" s="157" t="str">
        <f t="shared" si="13"/>
        <v>Wednesday</v>
      </c>
      <c r="H448" s="157">
        <v>2</v>
      </c>
      <c r="I448" s="157">
        <f t="shared" si="19"/>
        <v>3</v>
      </c>
      <c r="J448" s="157">
        <f t="shared" si="18"/>
        <v>45</v>
      </c>
    </row>
    <row r="449" spans="1:10" ht="15.75" customHeight="1" x14ac:dyDescent="0.2">
      <c r="A449" s="157">
        <v>448</v>
      </c>
      <c r="B449" s="163">
        <v>45239</v>
      </c>
      <c r="C449" s="157">
        <f t="shared" si="11"/>
        <v>0</v>
      </c>
      <c r="D449" s="157">
        <v>0</v>
      </c>
      <c r="E449" s="157">
        <f t="shared" si="12"/>
        <v>0</v>
      </c>
      <c r="F449" s="157" t="str">
        <f t="shared" si="13"/>
        <v>Thursday</v>
      </c>
      <c r="H449" s="157">
        <v>2</v>
      </c>
      <c r="I449" s="157">
        <f t="shared" si="19"/>
        <v>3</v>
      </c>
      <c r="J449" s="157">
        <f t="shared" si="18"/>
        <v>45</v>
      </c>
    </row>
    <row r="450" spans="1:10" ht="15.75" customHeight="1" x14ac:dyDescent="0.2">
      <c r="A450" s="157">
        <v>449</v>
      </c>
      <c r="B450" s="163">
        <v>45240</v>
      </c>
      <c r="C450" s="157">
        <f t="shared" si="11"/>
        <v>0</v>
      </c>
      <c r="D450" s="157">
        <v>0</v>
      </c>
      <c r="E450" s="157">
        <f t="shared" si="12"/>
        <v>0</v>
      </c>
      <c r="F450" s="157" t="str">
        <f t="shared" si="13"/>
        <v>Friday</v>
      </c>
      <c r="H450" s="157">
        <v>2</v>
      </c>
      <c r="I450" s="157">
        <f t="shared" si="19"/>
        <v>3</v>
      </c>
      <c r="J450" s="157">
        <f t="shared" si="18"/>
        <v>45</v>
      </c>
    </row>
    <row r="451" spans="1:10" ht="15.75" customHeight="1" x14ac:dyDescent="0.2">
      <c r="A451" s="157">
        <v>450</v>
      </c>
      <c r="B451" s="163">
        <v>45241</v>
      </c>
      <c r="C451" s="157">
        <f t="shared" si="11"/>
        <v>1</v>
      </c>
      <c r="D451" s="157">
        <v>0</v>
      </c>
      <c r="E451" s="157">
        <f t="shared" si="12"/>
        <v>1</v>
      </c>
      <c r="F451" s="157" t="str">
        <f t="shared" si="13"/>
        <v>Saturday</v>
      </c>
      <c r="H451" s="157">
        <v>2</v>
      </c>
      <c r="I451" s="157">
        <f t="shared" si="19"/>
        <v>3</v>
      </c>
      <c r="J451" s="157">
        <f t="shared" ref="J451:J514" si="20">_xlfn.ISOWEEKNUM(B451)</f>
        <v>45</v>
      </c>
    </row>
    <row r="452" spans="1:10" ht="15.75" customHeight="1" x14ac:dyDescent="0.2">
      <c r="A452" s="157">
        <v>451</v>
      </c>
      <c r="B452" s="163">
        <v>45242</v>
      </c>
      <c r="C452" s="157">
        <f t="shared" si="11"/>
        <v>1</v>
      </c>
      <c r="D452" s="157">
        <v>0</v>
      </c>
      <c r="E452" s="157">
        <f t="shared" si="12"/>
        <v>1</v>
      </c>
      <c r="F452" s="157" t="str">
        <f t="shared" si="13"/>
        <v>Sunday</v>
      </c>
      <c r="H452" s="157">
        <v>2</v>
      </c>
      <c r="I452" s="157">
        <f t="shared" si="19"/>
        <v>3</v>
      </c>
      <c r="J452" s="157">
        <f t="shared" si="20"/>
        <v>45</v>
      </c>
    </row>
    <row r="453" spans="1:10" ht="15.75" customHeight="1" x14ac:dyDescent="0.2">
      <c r="A453" s="157">
        <v>452</v>
      </c>
      <c r="B453" s="163">
        <v>45243</v>
      </c>
      <c r="C453" s="157">
        <f t="shared" si="11"/>
        <v>0</v>
      </c>
      <c r="D453" s="157">
        <v>0</v>
      </c>
      <c r="E453" s="157">
        <f t="shared" si="12"/>
        <v>0</v>
      </c>
      <c r="F453" s="157" t="str">
        <f t="shared" si="13"/>
        <v>Monday</v>
      </c>
      <c r="H453" s="157">
        <v>2</v>
      </c>
      <c r="I453" s="157">
        <f t="shared" ref="I453:I516" si="21">IF(J453&gt;J452, IF(H453&lt;&gt;H452,1, I452+1),I452)</f>
        <v>4</v>
      </c>
      <c r="J453" s="157">
        <f t="shared" si="20"/>
        <v>46</v>
      </c>
    </row>
    <row r="454" spans="1:10" ht="15.75" customHeight="1" x14ac:dyDescent="0.2">
      <c r="A454" s="157">
        <v>453</v>
      </c>
      <c r="B454" s="163">
        <v>45244</v>
      </c>
      <c r="C454" s="157">
        <f t="shared" si="11"/>
        <v>0</v>
      </c>
      <c r="D454" s="157">
        <v>0</v>
      </c>
      <c r="E454" s="157">
        <f t="shared" si="12"/>
        <v>0</v>
      </c>
      <c r="F454" s="157" t="str">
        <f t="shared" si="13"/>
        <v>Tuesday</v>
      </c>
      <c r="H454" s="157">
        <v>2</v>
      </c>
      <c r="I454" s="157">
        <f t="shared" si="21"/>
        <v>4</v>
      </c>
      <c r="J454" s="157">
        <f t="shared" si="20"/>
        <v>46</v>
      </c>
    </row>
    <row r="455" spans="1:10" ht="15.75" customHeight="1" x14ac:dyDescent="0.2">
      <c r="A455" s="157">
        <v>454</v>
      </c>
      <c r="B455" s="163">
        <v>45245</v>
      </c>
      <c r="C455" s="157">
        <f t="shared" si="11"/>
        <v>0</v>
      </c>
      <c r="D455" s="157">
        <v>0</v>
      </c>
      <c r="E455" s="157">
        <f t="shared" si="12"/>
        <v>0</v>
      </c>
      <c r="F455" s="157" t="str">
        <f t="shared" si="13"/>
        <v>Wednesday</v>
      </c>
      <c r="H455" s="157">
        <v>2</v>
      </c>
      <c r="I455" s="157">
        <f t="shared" si="21"/>
        <v>4</v>
      </c>
      <c r="J455" s="157">
        <f t="shared" si="20"/>
        <v>46</v>
      </c>
    </row>
    <row r="456" spans="1:10" ht="15.75" customHeight="1" x14ac:dyDescent="0.2">
      <c r="A456" s="157">
        <v>455</v>
      </c>
      <c r="B456" s="163">
        <v>45246</v>
      </c>
      <c r="C456" s="157">
        <f t="shared" si="11"/>
        <v>0</v>
      </c>
      <c r="D456" s="157">
        <v>0</v>
      </c>
      <c r="E456" s="157">
        <f t="shared" si="12"/>
        <v>0</v>
      </c>
      <c r="F456" s="157" t="str">
        <f t="shared" si="13"/>
        <v>Thursday</v>
      </c>
      <c r="H456" s="157">
        <v>2</v>
      </c>
      <c r="I456" s="157">
        <f t="shared" si="21"/>
        <v>4</v>
      </c>
      <c r="J456" s="157">
        <f t="shared" si="20"/>
        <v>46</v>
      </c>
    </row>
    <row r="457" spans="1:10" ht="15.75" customHeight="1" x14ac:dyDescent="0.2">
      <c r="A457" s="157">
        <v>456</v>
      </c>
      <c r="B457" s="163">
        <v>45247</v>
      </c>
      <c r="C457" s="157">
        <f t="shared" si="11"/>
        <v>0</v>
      </c>
      <c r="D457" s="157">
        <v>0</v>
      </c>
      <c r="E457" s="157">
        <f t="shared" si="12"/>
        <v>0</v>
      </c>
      <c r="F457" s="157" t="str">
        <f t="shared" si="13"/>
        <v>Friday</v>
      </c>
      <c r="H457" s="157">
        <v>2</v>
      </c>
      <c r="I457" s="157">
        <f t="shared" si="21"/>
        <v>4</v>
      </c>
      <c r="J457" s="157">
        <f t="shared" si="20"/>
        <v>46</v>
      </c>
    </row>
    <row r="458" spans="1:10" ht="15.75" customHeight="1" x14ac:dyDescent="0.2">
      <c r="A458" s="157">
        <v>457</v>
      </c>
      <c r="B458" s="163">
        <v>45248</v>
      </c>
      <c r="C458" s="157">
        <f t="shared" si="11"/>
        <v>1</v>
      </c>
      <c r="D458" s="157">
        <v>0</v>
      </c>
      <c r="E458" s="157">
        <f t="shared" si="12"/>
        <v>1</v>
      </c>
      <c r="F458" s="157" t="str">
        <f t="shared" si="13"/>
        <v>Saturday</v>
      </c>
      <c r="H458" s="157">
        <v>2</v>
      </c>
      <c r="I458" s="157">
        <f t="shared" si="21"/>
        <v>4</v>
      </c>
      <c r="J458" s="157">
        <f t="shared" si="20"/>
        <v>46</v>
      </c>
    </row>
    <row r="459" spans="1:10" ht="15.75" customHeight="1" x14ac:dyDescent="0.2">
      <c r="A459" s="157">
        <v>458</v>
      </c>
      <c r="B459" s="163">
        <v>45249</v>
      </c>
      <c r="C459" s="157">
        <f t="shared" si="11"/>
        <v>1</v>
      </c>
      <c r="D459" s="157">
        <v>0</v>
      </c>
      <c r="E459" s="157">
        <f t="shared" si="12"/>
        <v>1</v>
      </c>
      <c r="F459" s="157" t="str">
        <f t="shared" si="13"/>
        <v>Sunday</v>
      </c>
      <c r="H459" s="157">
        <v>2</v>
      </c>
      <c r="I459" s="157">
        <f t="shared" si="21"/>
        <v>4</v>
      </c>
      <c r="J459" s="157">
        <f t="shared" si="20"/>
        <v>46</v>
      </c>
    </row>
    <row r="460" spans="1:10" ht="15.75" customHeight="1" x14ac:dyDescent="0.2">
      <c r="A460" s="157">
        <v>459</v>
      </c>
      <c r="B460" s="163">
        <v>45250</v>
      </c>
      <c r="C460" s="157">
        <f t="shared" si="11"/>
        <v>0</v>
      </c>
      <c r="D460" s="157">
        <v>0</v>
      </c>
      <c r="E460" s="157">
        <f t="shared" si="12"/>
        <v>0</v>
      </c>
      <c r="F460" s="157" t="str">
        <f t="shared" si="13"/>
        <v>Monday</v>
      </c>
      <c r="H460" s="157">
        <v>2</v>
      </c>
      <c r="I460" s="157">
        <f t="shared" si="21"/>
        <v>5</v>
      </c>
      <c r="J460" s="157">
        <f t="shared" si="20"/>
        <v>47</v>
      </c>
    </row>
    <row r="461" spans="1:10" ht="15.75" customHeight="1" x14ac:dyDescent="0.2">
      <c r="A461" s="157">
        <v>460</v>
      </c>
      <c r="B461" s="163">
        <v>45251</v>
      </c>
      <c r="C461" s="157">
        <f t="shared" si="11"/>
        <v>0</v>
      </c>
      <c r="D461" s="157">
        <v>0</v>
      </c>
      <c r="E461" s="157">
        <f t="shared" si="12"/>
        <v>0</v>
      </c>
      <c r="F461" s="157" t="str">
        <f t="shared" si="13"/>
        <v>Tuesday</v>
      </c>
      <c r="H461" s="157">
        <v>2</v>
      </c>
      <c r="I461" s="157">
        <f t="shared" si="21"/>
        <v>5</v>
      </c>
      <c r="J461" s="157">
        <f t="shared" si="20"/>
        <v>47</v>
      </c>
    </row>
    <row r="462" spans="1:10" ht="15.75" customHeight="1" x14ac:dyDescent="0.2">
      <c r="A462" s="157">
        <v>461</v>
      </c>
      <c r="B462" s="163">
        <v>45252</v>
      </c>
      <c r="C462" s="157">
        <f t="shared" si="11"/>
        <v>0</v>
      </c>
      <c r="D462" s="157">
        <v>0</v>
      </c>
      <c r="E462" s="157">
        <f t="shared" si="12"/>
        <v>0</v>
      </c>
      <c r="F462" s="157" t="str">
        <f t="shared" si="13"/>
        <v>Wednesday</v>
      </c>
      <c r="H462" s="157">
        <v>2</v>
      </c>
      <c r="I462" s="157">
        <f t="shared" si="21"/>
        <v>5</v>
      </c>
      <c r="J462" s="157">
        <f t="shared" si="20"/>
        <v>47</v>
      </c>
    </row>
    <row r="463" spans="1:10" ht="15.75" customHeight="1" x14ac:dyDescent="0.2">
      <c r="A463" s="157">
        <v>462</v>
      </c>
      <c r="B463" s="163">
        <v>45253</v>
      </c>
      <c r="C463" s="157">
        <f t="shared" si="11"/>
        <v>0</v>
      </c>
      <c r="D463" s="157">
        <v>0</v>
      </c>
      <c r="E463" s="157">
        <f t="shared" si="12"/>
        <v>0</v>
      </c>
      <c r="F463" s="157" t="str">
        <f t="shared" si="13"/>
        <v>Thursday</v>
      </c>
      <c r="H463" s="157">
        <v>2</v>
      </c>
      <c r="I463" s="157">
        <f t="shared" si="21"/>
        <v>5</v>
      </c>
      <c r="J463" s="157">
        <f t="shared" si="20"/>
        <v>47</v>
      </c>
    </row>
    <row r="464" spans="1:10" ht="15.75" customHeight="1" x14ac:dyDescent="0.2">
      <c r="A464" s="157">
        <v>463</v>
      </c>
      <c r="B464" s="163">
        <v>45254</v>
      </c>
      <c r="C464" s="157">
        <f t="shared" si="11"/>
        <v>0</v>
      </c>
      <c r="D464" s="157">
        <v>0</v>
      </c>
      <c r="E464" s="157">
        <f t="shared" si="12"/>
        <v>0</v>
      </c>
      <c r="F464" s="157" t="str">
        <f t="shared" si="13"/>
        <v>Friday</v>
      </c>
      <c r="H464" s="157">
        <v>2</v>
      </c>
      <c r="I464" s="157">
        <f t="shared" si="21"/>
        <v>5</v>
      </c>
      <c r="J464" s="157">
        <f t="shared" si="20"/>
        <v>47</v>
      </c>
    </row>
    <row r="465" spans="1:10" ht="15.75" customHeight="1" x14ac:dyDescent="0.2">
      <c r="A465" s="157">
        <v>464</v>
      </c>
      <c r="B465" s="163">
        <v>45255</v>
      </c>
      <c r="C465" s="157">
        <f t="shared" si="11"/>
        <v>1</v>
      </c>
      <c r="D465" s="157">
        <v>0</v>
      </c>
      <c r="E465" s="157">
        <f t="shared" si="12"/>
        <v>1</v>
      </c>
      <c r="F465" s="157" t="str">
        <f t="shared" si="13"/>
        <v>Saturday</v>
      </c>
      <c r="H465" s="157">
        <v>2</v>
      </c>
      <c r="I465" s="157">
        <f t="shared" si="21"/>
        <v>5</v>
      </c>
      <c r="J465" s="157">
        <f t="shared" si="20"/>
        <v>47</v>
      </c>
    </row>
    <row r="466" spans="1:10" ht="15.75" customHeight="1" x14ac:dyDescent="0.2">
      <c r="A466" s="157">
        <v>465</v>
      </c>
      <c r="B466" s="163">
        <v>45256</v>
      </c>
      <c r="C466" s="157">
        <f t="shared" si="11"/>
        <v>1</v>
      </c>
      <c r="D466" s="157">
        <v>0</v>
      </c>
      <c r="E466" s="157">
        <f t="shared" si="12"/>
        <v>1</v>
      </c>
      <c r="F466" s="157" t="str">
        <f t="shared" si="13"/>
        <v>Sunday</v>
      </c>
      <c r="H466" s="157">
        <v>2</v>
      </c>
      <c r="I466" s="157">
        <f t="shared" si="21"/>
        <v>5</v>
      </c>
      <c r="J466" s="157">
        <f t="shared" si="20"/>
        <v>47</v>
      </c>
    </row>
    <row r="467" spans="1:10" ht="15.75" customHeight="1" x14ac:dyDescent="0.2">
      <c r="A467" s="157">
        <v>466</v>
      </c>
      <c r="B467" s="163">
        <v>45257</v>
      </c>
      <c r="C467" s="157">
        <f t="shared" si="11"/>
        <v>0</v>
      </c>
      <c r="D467" s="157">
        <v>0</v>
      </c>
      <c r="E467" s="157">
        <f t="shared" si="12"/>
        <v>0</v>
      </c>
      <c r="F467" s="157" t="str">
        <f t="shared" si="13"/>
        <v>Monday</v>
      </c>
      <c r="H467" s="157">
        <v>2</v>
      </c>
      <c r="I467" s="157">
        <f t="shared" si="21"/>
        <v>6</v>
      </c>
      <c r="J467" s="157">
        <f t="shared" si="20"/>
        <v>48</v>
      </c>
    </row>
    <row r="468" spans="1:10" ht="15.75" customHeight="1" x14ac:dyDescent="0.2">
      <c r="A468" s="157">
        <v>467</v>
      </c>
      <c r="B468" s="163">
        <v>45258</v>
      </c>
      <c r="C468" s="157">
        <f t="shared" si="11"/>
        <v>0</v>
      </c>
      <c r="D468" s="157">
        <v>0</v>
      </c>
      <c r="E468" s="157">
        <f t="shared" si="12"/>
        <v>0</v>
      </c>
      <c r="F468" s="157" t="str">
        <f t="shared" si="13"/>
        <v>Tuesday</v>
      </c>
      <c r="H468" s="157">
        <v>2</v>
      </c>
      <c r="I468" s="157">
        <f t="shared" si="21"/>
        <v>6</v>
      </c>
      <c r="J468" s="157">
        <f t="shared" si="20"/>
        <v>48</v>
      </c>
    </row>
    <row r="469" spans="1:10" ht="15.75" customHeight="1" x14ac:dyDescent="0.2">
      <c r="A469" s="157">
        <v>468</v>
      </c>
      <c r="B469" s="163">
        <v>45259</v>
      </c>
      <c r="C469" s="157">
        <f t="shared" si="11"/>
        <v>0</v>
      </c>
      <c r="D469" s="157">
        <v>0</v>
      </c>
      <c r="E469" s="157">
        <f t="shared" si="12"/>
        <v>0</v>
      </c>
      <c r="F469" s="157" t="str">
        <f t="shared" si="13"/>
        <v>Wednesday</v>
      </c>
      <c r="H469" s="157">
        <v>2</v>
      </c>
      <c r="I469" s="157">
        <f t="shared" si="21"/>
        <v>6</v>
      </c>
      <c r="J469" s="157">
        <f t="shared" si="20"/>
        <v>48</v>
      </c>
    </row>
    <row r="470" spans="1:10" ht="15.75" customHeight="1" x14ac:dyDescent="0.2">
      <c r="A470" s="157">
        <v>469</v>
      </c>
      <c r="B470" s="163">
        <v>45260</v>
      </c>
      <c r="C470" s="157">
        <f t="shared" si="11"/>
        <v>0</v>
      </c>
      <c r="D470" s="157">
        <v>0</v>
      </c>
      <c r="E470" s="157">
        <f t="shared" si="12"/>
        <v>0</v>
      </c>
      <c r="F470" s="157" t="str">
        <f t="shared" si="13"/>
        <v>Thursday</v>
      </c>
      <c r="H470" s="157">
        <v>2</v>
      </c>
      <c r="I470" s="157">
        <f t="shared" si="21"/>
        <v>6</v>
      </c>
      <c r="J470" s="157">
        <f t="shared" si="20"/>
        <v>48</v>
      </c>
    </row>
    <row r="471" spans="1:10" ht="15.75" customHeight="1" x14ac:dyDescent="0.2">
      <c r="A471" s="157">
        <v>470</v>
      </c>
      <c r="B471" s="163">
        <v>45261</v>
      </c>
      <c r="C471" s="157">
        <f t="shared" si="11"/>
        <v>0</v>
      </c>
      <c r="D471" s="157">
        <v>0</v>
      </c>
      <c r="E471" s="157">
        <f t="shared" si="12"/>
        <v>0</v>
      </c>
      <c r="F471" s="157" t="str">
        <f t="shared" si="13"/>
        <v>Friday</v>
      </c>
      <c r="H471" s="157">
        <v>2</v>
      </c>
      <c r="I471" s="157">
        <f t="shared" si="21"/>
        <v>6</v>
      </c>
      <c r="J471" s="157">
        <f t="shared" si="20"/>
        <v>48</v>
      </c>
    </row>
    <row r="472" spans="1:10" ht="15.75" customHeight="1" x14ac:dyDescent="0.2">
      <c r="A472" s="157">
        <v>471</v>
      </c>
      <c r="B472" s="163">
        <v>45262</v>
      </c>
      <c r="C472" s="157">
        <f t="shared" si="11"/>
        <v>1</v>
      </c>
      <c r="D472" s="157">
        <v>0</v>
      </c>
      <c r="E472" s="157">
        <f t="shared" si="12"/>
        <v>1</v>
      </c>
      <c r="F472" s="157" t="str">
        <f t="shared" si="13"/>
        <v>Saturday</v>
      </c>
      <c r="H472" s="157">
        <v>2</v>
      </c>
      <c r="I472" s="157">
        <f t="shared" si="21"/>
        <v>6</v>
      </c>
      <c r="J472" s="157">
        <f t="shared" si="20"/>
        <v>48</v>
      </c>
    </row>
    <row r="473" spans="1:10" ht="15.75" customHeight="1" x14ac:dyDescent="0.2">
      <c r="A473" s="157">
        <v>472</v>
      </c>
      <c r="B473" s="163">
        <v>45263</v>
      </c>
      <c r="C473" s="157">
        <f t="shared" si="11"/>
        <v>1</v>
      </c>
      <c r="D473" s="157">
        <v>0</v>
      </c>
      <c r="E473" s="157">
        <f t="shared" si="12"/>
        <v>1</v>
      </c>
      <c r="F473" s="157" t="str">
        <f t="shared" si="13"/>
        <v>Sunday</v>
      </c>
      <c r="H473" s="157">
        <v>2</v>
      </c>
      <c r="I473" s="157">
        <f t="shared" si="21"/>
        <v>6</v>
      </c>
      <c r="J473" s="157">
        <f t="shared" si="20"/>
        <v>48</v>
      </c>
    </row>
    <row r="474" spans="1:10" ht="15.75" customHeight="1" x14ac:dyDescent="0.2">
      <c r="A474" s="157">
        <v>473</v>
      </c>
      <c r="B474" s="163">
        <v>45264</v>
      </c>
      <c r="C474" s="157">
        <f t="shared" si="11"/>
        <v>0</v>
      </c>
      <c r="D474" s="157">
        <v>0</v>
      </c>
      <c r="E474" s="157">
        <f t="shared" si="12"/>
        <v>0</v>
      </c>
      <c r="F474" s="157" t="str">
        <f t="shared" si="13"/>
        <v>Monday</v>
      </c>
      <c r="H474" s="157">
        <v>2</v>
      </c>
      <c r="I474" s="157">
        <f t="shared" si="21"/>
        <v>7</v>
      </c>
      <c r="J474" s="157">
        <f t="shared" si="20"/>
        <v>49</v>
      </c>
    </row>
    <row r="475" spans="1:10" ht="15.75" customHeight="1" x14ac:dyDescent="0.2">
      <c r="A475" s="157">
        <v>474</v>
      </c>
      <c r="B475" s="163">
        <v>45265</v>
      </c>
      <c r="C475" s="157">
        <f t="shared" si="11"/>
        <v>0</v>
      </c>
      <c r="D475" s="157">
        <v>0</v>
      </c>
      <c r="E475" s="157">
        <f t="shared" si="12"/>
        <v>0</v>
      </c>
      <c r="F475" s="157" t="str">
        <f t="shared" si="13"/>
        <v>Tuesday</v>
      </c>
      <c r="H475" s="157">
        <v>2</v>
      </c>
      <c r="I475" s="157">
        <f t="shared" si="21"/>
        <v>7</v>
      </c>
      <c r="J475" s="157">
        <f t="shared" si="20"/>
        <v>49</v>
      </c>
    </row>
    <row r="476" spans="1:10" ht="15.75" customHeight="1" x14ac:dyDescent="0.2">
      <c r="A476" s="157">
        <v>475</v>
      </c>
      <c r="B476" s="163">
        <v>45266</v>
      </c>
      <c r="C476" s="157">
        <f t="shared" si="11"/>
        <v>0</v>
      </c>
      <c r="D476" s="157">
        <v>0</v>
      </c>
      <c r="E476" s="157">
        <f t="shared" si="12"/>
        <v>0</v>
      </c>
      <c r="F476" s="157" t="str">
        <f t="shared" si="13"/>
        <v>Wednesday</v>
      </c>
      <c r="H476" s="157">
        <v>2</v>
      </c>
      <c r="I476" s="157">
        <f t="shared" si="21"/>
        <v>7</v>
      </c>
      <c r="J476" s="157">
        <f t="shared" si="20"/>
        <v>49</v>
      </c>
    </row>
    <row r="477" spans="1:10" ht="15.75" customHeight="1" x14ac:dyDescent="0.2">
      <c r="A477" s="157">
        <v>476</v>
      </c>
      <c r="B477" s="163">
        <v>45267</v>
      </c>
      <c r="C477" s="157">
        <f t="shared" si="11"/>
        <v>0</v>
      </c>
      <c r="D477" s="157">
        <v>0</v>
      </c>
      <c r="E477" s="157">
        <f t="shared" si="12"/>
        <v>0</v>
      </c>
      <c r="F477" s="157" t="str">
        <f t="shared" si="13"/>
        <v>Thursday</v>
      </c>
      <c r="H477" s="157">
        <v>2</v>
      </c>
      <c r="I477" s="157">
        <f t="shared" si="21"/>
        <v>7</v>
      </c>
      <c r="J477" s="157">
        <f t="shared" si="20"/>
        <v>49</v>
      </c>
    </row>
    <row r="478" spans="1:10" ht="15.75" customHeight="1" x14ac:dyDescent="0.2">
      <c r="A478" s="157">
        <v>477</v>
      </c>
      <c r="B478" s="163">
        <v>45268</v>
      </c>
      <c r="C478" s="157">
        <f t="shared" si="11"/>
        <v>0</v>
      </c>
      <c r="D478" s="157">
        <v>0</v>
      </c>
      <c r="E478" s="157">
        <f t="shared" si="12"/>
        <v>0</v>
      </c>
      <c r="F478" s="157" t="str">
        <f t="shared" si="13"/>
        <v>Friday</v>
      </c>
      <c r="H478" s="157">
        <v>2</v>
      </c>
      <c r="I478" s="157">
        <f t="shared" si="21"/>
        <v>7</v>
      </c>
      <c r="J478" s="157">
        <f t="shared" si="20"/>
        <v>49</v>
      </c>
    </row>
    <row r="479" spans="1:10" ht="15.75" customHeight="1" x14ac:dyDescent="0.2">
      <c r="A479" s="157">
        <v>478</v>
      </c>
      <c r="B479" s="163">
        <v>45269</v>
      </c>
      <c r="C479" s="157">
        <f t="shared" si="11"/>
        <v>1</v>
      </c>
      <c r="D479" s="157">
        <v>0</v>
      </c>
      <c r="E479" s="157">
        <f t="shared" si="12"/>
        <v>1</v>
      </c>
      <c r="F479" s="157" t="str">
        <f t="shared" si="13"/>
        <v>Saturday</v>
      </c>
      <c r="H479" s="157">
        <v>2</v>
      </c>
      <c r="I479" s="157">
        <f t="shared" si="21"/>
        <v>7</v>
      </c>
      <c r="J479" s="157">
        <f t="shared" si="20"/>
        <v>49</v>
      </c>
    </row>
    <row r="480" spans="1:10" ht="15.75" customHeight="1" x14ac:dyDescent="0.2">
      <c r="A480" s="157">
        <v>479</v>
      </c>
      <c r="B480" s="163">
        <v>45270</v>
      </c>
      <c r="C480" s="157">
        <f t="shared" si="11"/>
        <v>1</v>
      </c>
      <c r="D480" s="157">
        <v>0</v>
      </c>
      <c r="E480" s="157">
        <f t="shared" si="12"/>
        <v>1</v>
      </c>
      <c r="F480" s="157" t="str">
        <f t="shared" si="13"/>
        <v>Sunday</v>
      </c>
      <c r="H480" s="157">
        <v>2</v>
      </c>
      <c r="I480" s="157">
        <f t="shared" si="21"/>
        <v>7</v>
      </c>
      <c r="J480" s="157">
        <f t="shared" si="20"/>
        <v>49</v>
      </c>
    </row>
    <row r="481" spans="1:10" ht="15.75" customHeight="1" x14ac:dyDescent="0.2">
      <c r="A481" s="157">
        <v>480</v>
      </c>
      <c r="B481" s="163">
        <v>45271</v>
      </c>
      <c r="C481" s="157">
        <f t="shared" si="11"/>
        <v>0</v>
      </c>
      <c r="D481" s="157">
        <v>0</v>
      </c>
      <c r="E481" s="157">
        <f t="shared" si="12"/>
        <v>0</v>
      </c>
      <c r="F481" s="157" t="str">
        <f t="shared" si="13"/>
        <v>Monday</v>
      </c>
      <c r="H481" s="157">
        <v>2</v>
      </c>
      <c r="I481" s="157">
        <f t="shared" si="21"/>
        <v>8</v>
      </c>
      <c r="J481" s="157">
        <f t="shared" si="20"/>
        <v>50</v>
      </c>
    </row>
    <row r="482" spans="1:10" ht="15.75" customHeight="1" x14ac:dyDescent="0.2">
      <c r="A482" s="157">
        <v>481</v>
      </c>
      <c r="B482" s="163">
        <v>45272</v>
      </c>
      <c r="C482" s="157">
        <f t="shared" si="11"/>
        <v>0</v>
      </c>
      <c r="D482" s="157">
        <v>0</v>
      </c>
      <c r="E482" s="157">
        <f t="shared" si="12"/>
        <v>0</v>
      </c>
      <c r="F482" s="157" t="str">
        <f t="shared" si="13"/>
        <v>Tuesday</v>
      </c>
      <c r="H482" s="157">
        <v>2</v>
      </c>
      <c r="I482" s="157">
        <f t="shared" si="21"/>
        <v>8</v>
      </c>
      <c r="J482" s="157">
        <f t="shared" si="20"/>
        <v>50</v>
      </c>
    </row>
    <row r="483" spans="1:10" ht="15.75" customHeight="1" x14ac:dyDescent="0.2">
      <c r="A483" s="157">
        <v>482</v>
      </c>
      <c r="B483" s="163">
        <v>45273</v>
      </c>
      <c r="C483" s="157">
        <f t="shared" si="11"/>
        <v>0</v>
      </c>
      <c r="D483" s="157">
        <v>0</v>
      </c>
      <c r="E483" s="157">
        <f t="shared" si="12"/>
        <v>0</v>
      </c>
      <c r="F483" s="157" t="str">
        <f t="shared" si="13"/>
        <v>Wednesday</v>
      </c>
      <c r="H483" s="157">
        <v>2</v>
      </c>
      <c r="I483" s="157">
        <f t="shared" si="21"/>
        <v>8</v>
      </c>
      <c r="J483" s="157">
        <f t="shared" si="20"/>
        <v>50</v>
      </c>
    </row>
    <row r="484" spans="1:10" ht="15.75" customHeight="1" x14ac:dyDescent="0.2">
      <c r="A484" s="157">
        <v>483</v>
      </c>
      <c r="B484" s="163">
        <v>45274</v>
      </c>
      <c r="C484" s="157">
        <f t="shared" si="11"/>
        <v>0</v>
      </c>
      <c r="D484" s="157">
        <v>0</v>
      </c>
      <c r="E484" s="157">
        <f t="shared" si="12"/>
        <v>0</v>
      </c>
      <c r="F484" s="157" t="str">
        <f t="shared" si="13"/>
        <v>Thursday</v>
      </c>
      <c r="H484" s="157">
        <v>2</v>
      </c>
      <c r="I484" s="157">
        <f t="shared" si="21"/>
        <v>8</v>
      </c>
      <c r="J484" s="157">
        <f t="shared" si="20"/>
        <v>50</v>
      </c>
    </row>
    <row r="485" spans="1:10" ht="15.75" customHeight="1" x14ac:dyDescent="0.2">
      <c r="A485" s="157">
        <v>484</v>
      </c>
      <c r="B485" s="163">
        <v>45275</v>
      </c>
      <c r="C485" s="157">
        <f t="shared" si="11"/>
        <v>0</v>
      </c>
      <c r="D485" s="157">
        <v>0</v>
      </c>
      <c r="E485" s="157">
        <f t="shared" si="12"/>
        <v>0</v>
      </c>
      <c r="F485" s="157" t="str">
        <f t="shared" si="13"/>
        <v>Friday</v>
      </c>
      <c r="H485" s="157">
        <v>2</v>
      </c>
      <c r="I485" s="157">
        <f t="shared" si="21"/>
        <v>8</v>
      </c>
      <c r="J485" s="157">
        <f t="shared" si="20"/>
        <v>50</v>
      </c>
    </row>
    <row r="486" spans="1:10" ht="15.75" customHeight="1" x14ac:dyDescent="0.2">
      <c r="A486" s="157">
        <v>485</v>
      </c>
      <c r="B486" s="163">
        <v>45276</v>
      </c>
      <c r="C486" s="157">
        <f t="shared" si="11"/>
        <v>1</v>
      </c>
      <c r="D486" s="157">
        <v>0</v>
      </c>
      <c r="E486" s="157">
        <f t="shared" si="12"/>
        <v>1</v>
      </c>
      <c r="F486" s="157" t="str">
        <f t="shared" si="13"/>
        <v>Saturday</v>
      </c>
      <c r="H486" s="157">
        <v>2</v>
      </c>
      <c r="I486" s="157">
        <f t="shared" si="21"/>
        <v>8</v>
      </c>
      <c r="J486" s="157">
        <f t="shared" si="20"/>
        <v>50</v>
      </c>
    </row>
    <row r="487" spans="1:10" ht="15.75" customHeight="1" x14ac:dyDescent="0.2">
      <c r="A487" s="157">
        <v>486</v>
      </c>
      <c r="B487" s="163">
        <v>45277</v>
      </c>
      <c r="C487" s="157">
        <f t="shared" si="11"/>
        <v>1</v>
      </c>
      <c r="D487" s="157">
        <v>0</v>
      </c>
      <c r="E487" s="157">
        <f t="shared" si="12"/>
        <v>1</v>
      </c>
      <c r="F487" s="157" t="str">
        <f t="shared" si="13"/>
        <v>Sunday</v>
      </c>
      <c r="H487" s="157">
        <v>2</v>
      </c>
      <c r="I487" s="157">
        <f t="shared" si="21"/>
        <v>8</v>
      </c>
      <c r="J487" s="157">
        <f t="shared" si="20"/>
        <v>50</v>
      </c>
    </row>
    <row r="488" spans="1:10" ht="15.75" customHeight="1" x14ac:dyDescent="0.2">
      <c r="A488" s="157">
        <v>487</v>
      </c>
      <c r="B488" s="163">
        <v>45278</v>
      </c>
      <c r="C488" s="157">
        <f t="shared" si="11"/>
        <v>0</v>
      </c>
      <c r="D488" s="157">
        <v>0</v>
      </c>
      <c r="E488" s="157">
        <f t="shared" si="12"/>
        <v>0</v>
      </c>
      <c r="F488" s="157" t="str">
        <f t="shared" si="13"/>
        <v>Monday</v>
      </c>
      <c r="H488" s="157">
        <v>2</v>
      </c>
      <c r="I488" s="157">
        <f t="shared" si="21"/>
        <v>9</v>
      </c>
      <c r="J488" s="157">
        <f t="shared" si="20"/>
        <v>51</v>
      </c>
    </row>
    <row r="489" spans="1:10" ht="15.75" customHeight="1" x14ac:dyDescent="0.2">
      <c r="A489" s="157">
        <v>488</v>
      </c>
      <c r="B489" s="163">
        <v>45279</v>
      </c>
      <c r="C489" s="157">
        <f t="shared" si="11"/>
        <v>0</v>
      </c>
      <c r="D489" s="157">
        <v>0</v>
      </c>
      <c r="E489" s="157">
        <f t="shared" si="12"/>
        <v>0</v>
      </c>
      <c r="F489" s="157" t="str">
        <f t="shared" si="13"/>
        <v>Tuesday</v>
      </c>
      <c r="H489" s="157">
        <v>2</v>
      </c>
      <c r="I489" s="157">
        <f t="shared" si="21"/>
        <v>9</v>
      </c>
      <c r="J489" s="157">
        <f t="shared" si="20"/>
        <v>51</v>
      </c>
    </row>
    <row r="490" spans="1:10" ht="15.75" customHeight="1" x14ac:dyDescent="0.2">
      <c r="A490" s="157">
        <v>489</v>
      </c>
      <c r="B490" s="163">
        <v>45280</v>
      </c>
      <c r="C490" s="157">
        <f t="shared" si="11"/>
        <v>0</v>
      </c>
      <c r="D490" s="157">
        <v>0</v>
      </c>
      <c r="E490" s="157">
        <f t="shared" si="12"/>
        <v>0</v>
      </c>
      <c r="F490" s="157" t="str">
        <f t="shared" si="13"/>
        <v>Wednesday</v>
      </c>
      <c r="H490" s="157">
        <v>2</v>
      </c>
      <c r="I490" s="157">
        <f t="shared" si="21"/>
        <v>9</v>
      </c>
      <c r="J490" s="157">
        <f t="shared" si="20"/>
        <v>51</v>
      </c>
    </row>
    <row r="491" spans="1:10" ht="15.75" customHeight="1" x14ac:dyDescent="0.2">
      <c r="A491" s="157">
        <v>490</v>
      </c>
      <c r="B491" s="163">
        <v>45281</v>
      </c>
      <c r="C491" s="157">
        <f t="shared" si="11"/>
        <v>0</v>
      </c>
      <c r="D491" s="157">
        <v>0</v>
      </c>
      <c r="E491" s="157">
        <f t="shared" si="12"/>
        <v>0</v>
      </c>
      <c r="F491" s="157" t="str">
        <f t="shared" si="13"/>
        <v>Thursday</v>
      </c>
      <c r="H491" s="157">
        <v>2</v>
      </c>
      <c r="I491" s="157">
        <f t="shared" si="21"/>
        <v>9</v>
      </c>
      <c r="J491" s="157">
        <f t="shared" si="20"/>
        <v>51</v>
      </c>
    </row>
    <row r="492" spans="1:10" ht="15.75" customHeight="1" x14ac:dyDescent="0.2">
      <c r="A492" s="157">
        <v>491</v>
      </c>
      <c r="B492" s="163">
        <v>45282</v>
      </c>
      <c r="C492" s="157">
        <f t="shared" si="11"/>
        <v>0</v>
      </c>
      <c r="D492" s="157">
        <v>0</v>
      </c>
      <c r="E492" s="157">
        <f t="shared" si="12"/>
        <v>0</v>
      </c>
      <c r="F492" s="157" t="str">
        <f t="shared" si="13"/>
        <v>Friday</v>
      </c>
      <c r="H492" s="157">
        <v>2</v>
      </c>
      <c r="I492" s="157">
        <f t="shared" si="21"/>
        <v>9</v>
      </c>
      <c r="J492" s="157">
        <f t="shared" si="20"/>
        <v>51</v>
      </c>
    </row>
    <row r="493" spans="1:10" ht="15.75" customHeight="1" x14ac:dyDescent="0.2">
      <c r="A493" s="157">
        <v>492</v>
      </c>
      <c r="B493" s="163">
        <v>45283</v>
      </c>
      <c r="C493" s="157">
        <f t="shared" si="11"/>
        <v>1</v>
      </c>
      <c r="D493" s="157">
        <v>1</v>
      </c>
      <c r="E493" s="157">
        <f t="shared" si="12"/>
        <v>1</v>
      </c>
      <c r="F493" s="157" t="str">
        <f t="shared" si="13"/>
        <v>Saturday</v>
      </c>
      <c r="G493" s="157" t="s">
        <v>1775</v>
      </c>
      <c r="H493" s="157">
        <v>2</v>
      </c>
      <c r="I493" s="157">
        <f t="shared" si="21"/>
        <v>9</v>
      </c>
      <c r="J493" s="157">
        <f t="shared" si="20"/>
        <v>51</v>
      </c>
    </row>
    <row r="494" spans="1:10" ht="15.75" customHeight="1" x14ac:dyDescent="0.2">
      <c r="A494" s="157">
        <v>493</v>
      </c>
      <c r="B494" s="163">
        <v>45284</v>
      </c>
      <c r="C494" s="157">
        <f t="shared" si="11"/>
        <v>1</v>
      </c>
      <c r="D494" s="157">
        <v>1</v>
      </c>
      <c r="E494" s="157">
        <f t="shared" si="12"/>
        <v>1</v>
      </c>
      <c r="F494" s="157" t="str">
        <f t="shared" si="13"/>
        <v>Sunday</v>
      </c>
      <c r="G494" s="157" t="s">
        <v>1775</v>
      </c>
      <c r="H494" s="157">
        <v>2</v>
      </c>
      <c r="I494" s="157">
        <f t="shared" si="21"/>
        <v>9</v>
      </c>
      <c r="J494" s="157">
        <f t="shared" si="20"/>
        <v>51</v>
      </c>
    </row>
    <row r="495" spans="1:10" ht="15.75" customHeight="1" x14ac:dyDescent="0.2">
      <c r="A495" s="157">
        <v>494</v>
      </c>
      <c r="B495" s="163">
        <v>45285</v>
      </c>
      <c r="C495" s="157">
        <f t="shared" si="11"/>
        <v>0</v>
      </c>
      <c r="D495" s="157">
        <v>1</v>
      </c>
      <c r="E495" s="157">
        <f t="shared" si="12"/>
        <v>1</v>
      </c>
      <c r="F495" s="157" t="str">
        <f t="shared" si="13"/>
        <v>Monday</v>
      </c>
      <c r="G495" s="157" t="s">
        <v>1775</v>
      </c>
      <c r="H495" s="157">
        <v>2</v>
      </c>
      <c r="I495" s="157">
        <f t="shared" si="21"/>
        <v>10</v>
      </c>
      <c r="J495" s="157">
        <f t="shared" si="20"/>
        <v>52</v>
      </c>
    </row>
    <row r="496" spans="1:10" ht="15.75" customHeight="1" x14ac:dyDescent="0.2">
      <c r="A496" s="157">
        <v>495</v>
      </c>
      <c r="B496" s="163">
        <v>45286</v>
      </c>
      <c r="C496" s="157">
        <f t="shared" si="11"/>
        <v>0</v>
      </c>
      <c r="D496" s="157">
        <v>1</v>
      </c>
      <c r="E496" s="157">
        <f t="shared" si="12"/>
        <v>1</v>
      </c>
      <c r="F496" s="157" t="str">
        <f t="shared" si="13"/>
        <v>Tuesday</v>
      </c>
      <c r="G496" s="157" t="s">
        <v>1775</v>
      </c>
      <c r="H496" s="157">
        <v>2</v>
      </c>
      <c r="I496" s="157">
        <f t="shared" si="21"/>
        <v>10</v>
      </c>
      <c r="J496" s="157">
        <f t="shared" si="20"/>
        <v>52</v>
      </c>
    </row>
    <row r="497" spans="1:10" ht="15.75" customHeight="1" x14ac:dyDescent="0.2">
      <c r="A497" s="157">
        <v>496</v>
      </c>
      <c r="B497" s="163">
        <v>45287</v>
      </c>
      <c r="C497" s="157">
        <f t="shared" si="11"/>
        <v>0</v>
      </c>
      <c r="D497" s="157">
        <v>1</v>
      </c>
      <c r="E497" s="157">
        <f t="shared" si="12"/>
        <v>1</v>
      </c>
      <c r="F497" s="157" t="str">
        <f t="shared" si="13"/>
        <v>Wednesday</v>
      </c>
      <c r="G497" s="157" t="s">
        <v>1775</v>
      </c>
      <c r="H497" s="157">
        <v>2</v>
      </c>
      <c r="I497" s="157">
        <f t="shared" si="21"/>
        <v>10</v>
      </c>
      <c r="J497" s="157">
        <f t="shared" si="20"/>
        <v>52</v>
      </c>
    </row>
    <row r="498" spans="1:10" ht="15.75" customHeight="1" x14ac:dyDescent="0.2">
      <c r="A498" s="157">
        <v>497</v>
      </c>
      <c r="B498" s="163">
        <v>45288</v>
      </c>
      <c r="C498" s="157">
        <f t="shared" si="11"/>
        <v>0</v>
      </c>
      <c r="D498" s="157">
        <v>1</v>
      </c>
      <c r="E498" s="157">
        <f t="shared" si="12"/>
        <v>1</v>
      </c>
      <c r="F498" s="157" t="str">
        <f t="shared" si="13"/>
        <v>Thursday</v>
      </c>
      <c r="G498" s="157" t="s">
        <v>1775</v>
      </c>
      <c r="H498" s="157">
        <v>2</v>
      </c>
      <c r="I498" s="157">
        <f t="shared" si="21"/>
        <v>10</v>
      </c>
      <c r="J498" s="157">
        <f t="shared" si="20"/>
        <v>52</v>
      </c>
    </row>
    <row r="499" spans="1:10" ht="15.75" customHeight="1" x14ac:dyDescent="0.2">
      <c r="A499" s="157">
        <v>498</v>
      </c>
      <c r="B499" s="163">
        <v>45289</v>
      </c>
      <c r="C499" s="157">
        <f t="shared" si="11"/>
        <v>0</v>
      </c>
      <c r="D499" s="157">
        <v>1</v>
      </c>
      <c r="E499" s="157">
        <f t="shared" si="12"/>
        <v>1</v>
      </c>
      <c r="F499" s="157" t="str">
        <f t="shared" si="13"/>
        <v>Friday</v>
      </c>
      <c r="G499" s="157" t="s">
        <v>1775</v>
      </c>
      <c r="H499" s="157">
        <v>2</v>
      </c>
      <c r="I499" s="157">
        <f t="shared" si="21"/>
        <v>10</v>
      </c>
      <c r="J499" s="157">
        <f t="shared" si="20"/>
        <v>52</v>
      </c>
    </row>
    <row r="500" spans="1:10" ht="15.75" customHeight="1" x14ac:dyDescent="0.2">
      <c r="A500" s="157">
        <v>499</v>
      </c>
      <c r="B500" s="163">
        <v>45290</v>
      </c>
      <c r="C500" s="157">
        <f t="shared" si="11"/>
        <v>1</v>
      </c>
      <c r="D500" s="157">
        <v>1</v>
      </c>
      <c r="E500" s="157">
        <f t="shared" si="12"/>
        <v>1</v>
      </c>
      <c r="F500" s="157" t="str">
        <f t="shared" si="13"/>
        <v>Saturday</v>
      </c>
      <c r="G500" s="157" t="s">
        <v>1775</v>
      </c>
      <c r="H500" s="157">
        <v>2</v>
      </c>
      <c r="I500" s="157">
        <f t="shared" si="21"/>
        <v>10</v>
      </c>
      <c r="J500" s="157">
        <f t="shared" si="20"/>
        <v>52</v>
      </c>
    </row>
    <row r="501" spans="1:10" ht="15.75" customHeight="1" x14ac:dyDescent="0.2">
      <c r="A501" s="157">
        <v>500</v>
      </c>
      <c r="B501" s="163">
        <v>45291</v>
      </c>
      <c r="C501" s="157">
        <f t="shared" si="11"/>
        <v>1</v>
      </c>
      <c r="D501" s="157">
        <v>1</v>
      </c>
      <c r="E501" s="157">
        <f t="shared" si="12"/>
        <v>1</v>
      </c>
      <c r="F501" s="157" t="str">
        <f t="shared" si="13"/>
        <v>Sunday</v>
      </c>
      <c r="G501" s="157" t="s">
        <v>1775</v>
      </c>
      <c r="H501" s="157">
        <v>2</v>
      </c>
      <c r="I501" s="157">
        <f t="shared" si="21"/>
        <v>10</v>
      </c>
      <c r="J501" s="157">
        <f t="shared" si="20"/>
        <v>52</v>
      </c>
    </row>
    <row r="502" spans="1:10" ht="15.75" customHeight="1" x14ac:dyDescent="0.2">
      <c r="A502" s="157">
        <v>501</v>
      </c>
      <c r="B502" s="163">
        <v>45292</v>
      </c>
      <c r="C502" s="157">
        <f t="shared" si="11"/>
        <v>0</v>
      </c>
      <c r="D502" s="157">
        <v>1</v>
      </c>
      <c r="E502" s="157">
        <f t="shared" si="12"/>
        <v>1</v>
      </c>
      <c r="F502" s="157" t="str">
        <f t="shared" si="13"/>
        <v>Monday</v>
      </c>
      <c r="G502" s="157" t="s">
        <v>1775</v>
      </c>
      <c r="H502" s="157">
        <v>2</v>
      </c>
      <c r="I502" s="157">
        <f t="shared" si="21"/>
        <v>10</v>
      </c>
      <c r="J502" s="157">
        <f t="shared" si="20"/>
        <v>1</v>
      </c>
    </row>
    <row r="503" spans="1:10" ht="15.75" customHeight="1" x14ac:dyDescent="0.2">
      <c r="A503" s="157">
        <v>502</v>
      </c>
      <c r="B503" s="163">
        <v>45293</v>
      </c>
      <c r="C503" s="157">
        <f t="shared" si="11"/>
        <v>0</v>
      </c>
      <c r="D503" s="157">
        <v>1</v>
      </c>
      <c r="E503" s="157">
        <f t="shared" si="12"/>
        <v>1</v>
      </c>
      <c r="F503" s="157" t="str">
        <f t="shared" si="13"/>
        <v>Tuesday</v>
      </c>
      <c r="G503" s="157" t="s">
        <v>1775</v>
      </c>
      <c r="H503" s="157">
        <v>2</v>
      </c>
      <c r="I503" s="157">
        <f t="shared" si="21"/>
        <v>10</v>
      </c>
      <c r="J503" s="157">
        <f t="shared" si="20"/>
        <v>1</v>
      </c>
    </row>
    <row r="504" spans="1:10" ht="15.75" customHeight="1" x14ac:dyDescent="0.2">
      <c r="A504" s="157">
        <v>503</v>
      </c>
      <c r="B504" s="163">
        <v>45294</v>
      </c>
      <c r="C504" s="157">
        <f t="shared" si="11"/>
        <v>0</v>
      </c>
      <c r="D504" s="157">
        <v>1</v>
      </c>
      <c r="E504" s="157">
        <f t="shared" si="12"/>
        <v>1</v>
      </c>
      <c r="F504" s="157" t="str">
        <f t="shared" si="13"/>
        <v>Wednesday</v>
      </c>
      <c r="G504" s="157" t="s">
        <v>1775</v>
      </c>
      <c r="H504" s="157">
        <v>2</v>
      </c>
      <c r="I504" s="157">
        <f t="shared" si="21"/>
        <v>10</v>
      </c>
      <c r="J504" s="157">
        <f t="shared" si="20"/>
        <v>1</v>
      </c>
    </row>
    <row r="505" spans="1:10" ht="15.75" customHeight="1" x14ac:dyDescent="0.2">
      <c r="A505" s="157">
        <v>504</v>
      </c>
      <c r="B505" s="163">
        <v>45295</v>
      </c>
      <c r="C505" s="157">
        <f t="shared" si="11"/>
        <v>0</v>
      </c>
      <c r="D505" s="157">
        <v>1</v>
      </c>
      <c r="E505" s="157">
        <f t="shared" si="12"/>
        <v>1</v>
      </c>
      <c r="F505" s="157" t="str">
        <f t="shared" si="13"/>
        <v>Thursday</v>
      </c>
      <c r="G505" s="157" t="s">
        <v>1775</v>
      </c>
      <c r="H505" s="157">
        <v>2</v>
      </c>
      <c r="I505" s="157">
        <f t="shared" si="21"/>
        <v>10</v>
      </c>
      <c r="J505" s="157">
        <f t="shared" si="20"/>
        <v>1</v>
      </c>
    </row>
    <row r="506" spans="1:10" ht="15.75" customHeight="1" x14ac:dyDescent="0.2">
      <c r="A506" s="157">
        <v>505</v>
      </c>
      <c r="B506" s="163">
        <v>45296</v>
      </c>
      <c r="C506" s="157">
        <f t="shared" si="11"/>
        <v>0</v>
      </c>
      <c r="D506" s="157">
        <v>1</v>
      </c>
      <c r="E506" s="157">
        <f t="shared" si="12"/>
        <v>1</v>
      </c>
      <c r="F506" s="157" t="str">
        <f t="shared" si="13"/>
        <v>Friday</v>
      </c>
      <c r="G506" s="157" t="s">
        <v>1775</v>
      </c>
      <c r="H506" s="157">
        <v>2</v>
      </c>
      <c r="I506" s="157">
        <f t="shared" si="21"/>
        <v>10</v>
      </c>
      <c r="J506" s="157">
        <f t="shared" si="20"/>
        <v>1</v>
      </c>
    </row>
    <row r="507" spans="1:10" ht="15.75" customHeight="1" x14ac:dyDescent="0.2">
      <c r="A507" s="157">
        <v>506</v>
      </c>
      <c r="B507" s="163">
        <v>45297</v>
      </c>
      <c r="C507" s="157">
        <f t="shared" si="11"/>
        <v>1</v>
      </c>
      <c r="D507" s="157">
        <v>1</v>
      </c>
      <c r="E507" s="157">
        <f t="shared" si="12"/>
        <v>1</v>
      </c>
      <c r="F507" s="157" t="str">
        <f t="shared" si="13"/>
        <v>Saturday</v>
      </c>
      <c r="G507" s="157" t="s">
        <v>1775</v>
      </c>
      <c r="H507" s="157">
        <v>2</v>
      </c>
      <c r="I507" s="157">
        <f t="shared" si="21"/>
        <v>10</v>
      </c>
      <c r="J507" s="157">
        <f t="shared" si="20"/>
        <v>1</v>
      </c>
    </row>
    <row r="508" spans="1:10" ht="15.75" customHeight="1" x14ac:dyDescent="0.2">
      <c r="A508" s="157">
        <v>507</v>
      </c>
      <c r="B508" s="163">
        <v>45298</v>
      </c>
      <c r="C508" s="157">
        <f t="shared" si="11"/>
        <v>1</v>
      </c>
      <c r="D508" s="157">
        <v>1</v>
      </c>
      <c r="E508" s="157">
        <f t="shared" si="12"/>
        <v>1</v>
      </c>
      <c r="F508" s="157" t="str">
        <f t="shared" si="13"/>
        <v>Sunday</v>
      </c>
      <c r="G508" s="157" t="s">
        <v>1775</v>
      </c>
      <c r="H508" s="157">
        <v>2</v>
      </c>
      <c r="I508" s="157">
        <f t="shared" si="21"/>
        <v>10</v>
      </c>
      <c r="J508" s="157">
        <f t="shared" si="20"/>
        <v>1</v>
      </c>
    </row>
    <row r="509" spans="1:10" ht="15.75" customHeight="1" x14ac:dyDescent="0.2">
      <c r="A509" s="157">
        <v>508</v>
      </c>
      <c r="B509" s="163">
        <v>45299</v>
      </c>
      <c r="C509" s="157">
        <f t="shared" si="11"/>
        <v>0</v>
      </c>
      <c r="D509" s="157">
        <v>1</v>
      </c>
      <c r="E509" s="157">
        <f t="shared" si="12"/>
        <v>1</v>
      </c>
      <c r="F509" s="157" t="str">
        <f t="shared" si="13"/>
        <v>Monday</v>
      </c>
      <c r="G509" s="157" t="s">
        <v>1774</v>
      </c>
      <c r="H509" s="157">
        <v>3</v>
      </c>
      <c r="I509" s="157">
        <f t="shared" si="21"/>
        <v>1</v>
      </c>
      <c r="J509" s="157">
        <f t="shared" si="20"/>
        <v>2</v>
      </c>
    </row>
    <row r="510" spans="1:10" ht="15.75" customHeight="1" x14ac:dyDescent="0.2">
      <c r="A510" s="157">
        <v>509</v>
      </c>
      <c r="B510" s="163">
        <v>45300</v>
      </c>
      <c r="C510" s="157">
        <f t="shared" si="11"/>
        <v>0</v>
      </c>
      <c r="D510" s="157">
        <v>0</v>
      </c>
      <c r="E510" s="157">
        <f t="shared" si="12"/>
        <v>0</v>
      </c>
      <c r="F510" s="157" t="str">
        <f t="shared" si="13"/>
        <v>Tuesday</v>
      </c>
      <c r="H510" s="157">
        <v>3</v>
      </c>
      <c r="I510" s="157">
        <f t="shared" si="21"/>
        <v>1</v>
      </c>
      <c r="J510" s="157">
        <f t="shared" si="20"/>
        <v>2</v>
      </c>
    </row>
    <row r="511" spans="1:10" ht="15.75" customHeight="1" x14ac:dyDescent="0.2">
      <c r="A511" s="157">
        <v>510</v>
      </c>
      <c r="B511" s="163">
        <v>45301</v>
      </c>
      <c r="C511" s="157">
        <f t="shared" si="11"/>
        <v>0</v>
      </c>
      <c r="D511" s="157">
        <v>0</v>
      </c>
      <c r="E511" s="157">
        <f t="shared" si="12"/>
        <v>0</v>
      </c>
      <c r="F511" s="157" t="str">
        <f t="shared" si="13"/>
        <v>Wednesday</v>
      </c>
      <c r="H511" s="157">
        <v>3</v>
      </c>
      <c r="I511" s="157">
        <f t="shared" si="21"/>
        <v>1</v>
      </c>
      <c r="J511" s="157">
        <f t="shared" si="20"/>
        <v>2</v>
      </c>
    </row>
    <row r="512" spans="1:10" ht="15.75" customHeight="1" x14ac:dyDescent="0.2">
      <c r="A512" s="157">
        <v>511</v>
      </c>
      <c r="B512" s="163">
        <v>45302</v>
      </c>
      <c r="C512" s="157">
        <f t="shared" ref="C512:C766" si="22">IF(OR(WEEKDAY(B512) = 7, WEEKDAY(B512) = 1), 1, 0)</f>
        <v>0</v>
      </c>
      <c r="D512" s="157">
        <v>0</v>
      </c>
      <c r="E512" s="157">
        <f t="shared" ref="E512:E766" si="23">IF((C512+D512)&gt;0, 1, 0)</f>
        <v>0</v>
      </c>
      <c r="F512" s="157" t="str">
        <f t="shared" ref="F512:F766" si="24">TEXT(B512, "dddd")</f>
        <v>Thursday</v>
      </c>
      <c r="H512" s="157">
        <v>3</v>
      </c>
      <c r="I512" s="157">
        <f t="shared" si="21"/>
        <v>1</v>
      </c>
      <c r="J512" s="157">
        <f t="shared" si="20"/>
        <v>2</v>
      </c>
    </row>
    <row r="513" spans="1:10" ht="15.75" customHeight="1" x14ac:dyDescent="0.2">
      <c r="A513" s="157">
        <v>512</v>
      </c>
      <c r="B513" s="163">
        <v>45303</v>
      </c>
      <c r="C513" s="157">
        <f t="shared" si="22"/>
        <v>0</v>
      </c>
      <c r="D513" s="157">
        <v>0</v>
      </c>
      <c r="E513" s="157">
        <f t="shared" si="23"/>
        <v>0</v>
      </c>
      <c r="F513" s="157" t="str">
        <f t="shared" si="24"/>
        <v>Friday</v>
      </c>
      <c r="H513" s="157">
        <v>3</v>
      </c>
      <c r="I513" s="157">
        <f t="shared" si="21"/>
        <v>1</v>
      </c>
      <c r="J513" s="157">
        <f t="shared" si="20"/>
        <v>2</v>
      </c>
    </row>
    <row r="514" spans="1:10" ht="15.75" customHeight="1" x14ac:dyDescent="0.2">
      <c r="A514" s="157">
        <v>513</v>
      </c>
      <c r="B514" s="163">
        <v>45304</v>
      </c>
      <c r="C514" s="157">
        <f t="shared" si="22"/>
        <v>1</v>
      </c>
      <c r="D514" s="157">
        <v>0</v>
      </c>
      <c r="E514" s="157">
        <f t="shared" si="23"/>
        <v>1</v>
      </c>
      <c r="F514" s="157" t="str">
        <f t="shared" si="24"/>
        <v>Saturday</v>
      </c>
      <c r="H514" s="157">
        <v>3</v>
      </c>
      <c r="I514" s="157">
        <f t="shared" si="21"/>
        <v>1</v>
      </c>
      <c r="J514" s="157">
        <f t="shared" si="20"/>
        <v>2</v>
      </c>
    </row>
    <row r="515" spans="1:10" ht="15.75" customHeight="1" x14ac:dyDescent="0.2">
      <c r="A515" s="157">
        <v>514</v>
      </c>
      <c r="B515" s="163">
        <v>45305</v>
      </c>
      <c r="C515" s="157">
        <f t="shared" si="22"/>
        <v>1</v>
      </c>
      <c r="D515" s="157">
        <v>0</v>
      </c>
      <c r="E515" s="157">
        <f t="shared" si="23"/>
        <v>1</v>
      </c>
      <c r="F515" s="157" t="str">
        <f t="shared" si="24"/>
        <v>Sunday</v>
      </c>
      <c r="H515" s="157">
        <v>3</v>
      </c>
      <c r="I515" s="157">
        <f t="shared" si="21"/>
        <v>1</v>
      </c>
      <c r="J515" s="157">
        <f t="shared" ref="J515:J578" si="25">_xlfn.ISOWEEKNUM(B515)</f>
        <v>2</v>
      </c>
    </row>
    <row r="516" spans="1:10" ht="15.75" customHeight="1" x14ac:dyDescent="0.2">
      <c r="A516" s="157">
        <v>515</v>
      </c>
      <c r="B516" s="163">
        <v>45306</v>
      </c>
      <c r="C516" s="157">
        <f t="shared" si="22"/>
        <v>0</v>
      </c>
      <c r="D516" s="157">
        <v>0</v>
      </c>
      <c r="E516" s="157">
        <f t="shared" si="23"/>
        <v>0</v>
      </c>
      <c r="F516" s="157" t="str">
        <f t="shared" si="24"/>
        <v>Monday</v>
      </c>
      <c r="H516" s="157">
        <v>3</v>
      </c>
      <c r="I516" s="157">
        <f t="shared" si="21"/>
        <v>2</v>
      </c>
      <c r="J516" s="157">
        <f t="shared" si="25"/>
        <v>3</v>
      </c>
    </row>
    <row r="517" spans="1:10" ht="15.75" customHeight="1" x14ac:dyDescent="0.2">
      <c r="A517" s="157">
        <v>516</v>
      </c>
      <c r="B517" s="163">
        <v>45307</v>
      </c>
      <c r="C517" s="157">
        <f t="shared" si="22"/>
        <v>0</v>
      </c>
      <c r="D517" s="157">
        <v>0</v>
      </c>
      <c r="E517" s="157">
        <f t="shared" si="23"/>
        <v>0</v>
      </c>
      <c r="F517" s="157" t="str">
        <f t="shared" si="24"/>
        <v>Tuesday</v>
      </c>
      <c r="H517" s="157">
        <v>3</v>
      </c>
      <c r="I517" s="157">
        <f t="shared" ref="I517:I580" si="26">IF(J517&gt;J516, IF(H517&lt;&gt;H516,1, I516+1),I516)</f>
        <v>2</v>
      </c>
      <c r="J517" s="157">
        <f t="shared" si="25"/>
        <v>3</v>
      </c>
    </row>
    <row r="518" spans="1:10" ht="15.75" customHeight="1" x14ac:dyDescent="0.2">
      <c r="A518" s="157">
        <v>517</v>
      </c>
      <c r="B518" s="163">
        <v>45308</v>
      </c>
      <c r="C518" s="157">
        <f t="shared" si="22"/>
        <v>0</v>
      </c>
      <c r="D518" s="157">
        <v>0</v>
      </c>
      <c r="E518" s="157">
        <f t="shared" si="23"/>
        <v>0</v>
      </c>
      <c r="F518" s="157" t="str">
        <f t="shared" si="24"/>
        <v>Wednesday</v>
      </c>
      <c r="H518" s="157">
        <v>3</v>
      </c>
      <c r="I518" s="157">
        <f t="shared" si="26"/>
        <v>2</v>
      </c>
      <c r="J518" s="157">
        <f t="shared" si="25"/>
        <v>3</v>
      </c>
    </row>
    <row r="519" spans="1:10" ht="15.75" customHeight="1" x14ac:dyDescent="0.2">
      <c r="A519" s="157">
        <v>518</v>
      </c>
      <c r="B519" s="163">
        <v>45309</v>
      </c>
      <c r="C519" s="157">
        <f t="shared" si="22"/>
        <v>0</v>
      </c>
      <c r="D519" s="157">
        <v>0</v>
      </c>
      <c r="E519" s="157">
        <f t="shared" si="23"/>
        <v>0</v>
      </c>
      <c r="F519" s="157" t="str">
        <f t="shared" si="24"/>
        <v>Thursday</v>
      </c>
      <c r="H519" s="157">
        <v>3</v>
      </c>
      <c r="I519" s="157">
        <f t="shared" si="26"/>
        <v>2</v>
      </c>
      <c r="J519" s="157">
        <f t="shared" si="25"/>
        <v>3</v>
      </c>
    </row>
    <row r="520" spans="1:10" ht="15.75" customHeight="1" x14ac:dyDescent="0.2">
      <c r="A520" s="157">
        <v>519</v>
      </c>
      <c r="B520" s="163">
        <v>45310</v>
      </c>
      <c r="C520" s="157">
        <f t="shared" si="22"/>
        <v>0</v>
      </c>
      <c r="D520" s="157">
        <v>0</v>
      </c>
      <c r="E520" s="157">
        <f t="shared" si="23"/>
        <v>0</v>
      </c>
      <c r="F520" s="157" t="str">
        <f t="shared" si="24"/>
        <v>Friday</v>
      </c>
      <c r="H520" s="157">
        <v>3</v>
      </c>
      <c r="I520" s="157">
        <f t="shared" si="26"/>
        <v>2</v>
      </c>
      <c r="J520" s="157">
        <f t="shared" si="25"/>
        <v>3</v>
      </c>
    </row>
    <row r="521" spans="1:10" ht="15.75" customHeight="1" x14ac:dyDescent="0.2">
      <c r="A521" s="157">
        <v>520</v>
      </c>
      <c r="B521" s="163">
        <v>45311</v>
      </c>
      <c r="C521" s="157">
        <f t="shared" si="22"/>
        <v>1</v>
      </c>
      <c r="D521" s="157">
        <v>0</v>
      </c>
      <c r="E521" s="157">
        <f t="shared" si="23"/>
        <v>1</v>
      </c>
      <c r="F521" s="157" t="str">
        <f t="shared" si="24"/>
        <v>Saturday</v>
      </c>
      <c r="H521" s="157">
        <v>3</v>
      </c>
      <c r="I521" s="157">
        <f t="shared" si="26"/>
        <v>2</v>
      </c>
      <c r="J521" s="157">
        <f t="shared" si="25"/>
        <v>3</v>
      </c>
    </row>
    <row r="522" spans="1:10" ht="15.75" customHeight="1" x14ac:dyDescent="0.2">
      <c r="A522" s="157">
        <v>521</v>
      </c>
      <c r="B522" s="163">
        <v>45312</v>
      </c>
      <c r="C522" s="157">
        <f t="shared" si="22"/>
        <v>1</v>
      </c>
      <c r="D522" s="157">
        <v>0</v>
      </c>
      <c r="E522" s="157">
        <f t="shared" si="23"/>
        <v>1</v>
      </c>
      <c r="F522" s="157" t="str">
        <f t="shared" si="24"/>
        <v>Sunday</v>
      </c>
      <c r="H522" s="157">
        <v>3</v>
      </c>
      <c r="I522" s="157">
        <f t="shared" si="26"/>
        <v>2</v>
      </c>
      <c r="J522" s="157">
        <f t="shared" si="25"/>
        <v>3</v>
      </c>
    </row>
    <row r="523" spans="1:10" ht="15.75" customHeight="1" x14ac:dyDescent="0.2">
      <c r="A523" s="157">
        <v>522</v>
      </c>
      <c r="B523" s="163">
        <v>45313</v>
      </c>
      <c r="C523" s="157">
        <f t="shared" si="22"/>
        <v>0</v>
      </c>
      <c r="D523" s="157">
        <v>0</v>
      </c>
      <c r="E523" s="157">
        <f t="shared" si="23"/>
        <v>0</v>
      </c>
      <c r="F523" s="157" t="str">
        <f t="shared" si="24"/>
        <v>Monday</v>
      </c>
      <c r="H523" s="157">
        <v>3</v>
      </c>
      <c r="I523" s="157">
        <f t="shared" si="26"/>
        <v>3</v>
      </c>
      <c r="J523" s="157">
        <f t="shared" si="25"/>
        <v>4</v>
      </c>
    </row>
    <row r="524" spans="1:10" ht="15.75" customHeight="1" x14ac:dyDescent="0.2">
      <c r="A524" s="157">
        <v>523</v>
      </c>
      <c r="B524" s="163">
        <v>45314</v>
      </c>
      <c r="C524" s="157">
        <f t="shared" si="22"/>
        <v>0</v>
      </c>
      <c r="D524" s="157">
        <v>0</v>
      </c>
      <c r="E524" s="157">
        <f t="shared" si="23"/>
        <v>0</v>
      </c>
      <c r="F524" s="157" t="str">
        <f t="shared" si="24"/>
        <v>Tuesday</v>
      </c>
      <c r="H524" s="157">
        <v>3</v>
      </c>
      <c r="I524" s="157">
        <f t="shared" si="26"/>
        <v>3</v>
      </c>
      <c r="J524" s="157">
        <f t="shared" si="25"/>
        <v>4</v>
      </c>
    </row>
    <row r="525" spans="1:10" ht="15.75" customHeight="1" x14ac:dyDescent="0.2">
      <c r="A525" s="157">
        <v>524</v>
      </c>
      <c r="B525" s="163">
        <v>45315</v>
      </c>
      <c r="C525" s="157">
        <f t="shared" si="22"/>
        <v>0</v>
      </c>
      <c r="D525" s="157">
        <v>0</v>
      </c>
      <c r="E525" s="157">
        <f t="shared" si="23"/>
        <v>0</v>
      </c>
      <c r="F525" s="157" t="str">
        <f t="shared" si="24"/>
        <v>Wednesday</v>
      </c>
      <c r="H525" s="157">
        <v>3</v>
      </c>
      <c r="I525" s="157">
        <f t="shared" si="26"/>
        <v>3</v>
      </c>
      <c r="J525" s="157">
        <f t="shared" si="25"/>
        <v>4</v>
      </c>
    </row>
    <row r="526" spans="1:10" ht="15.75" customHeight="1" x14ac:dyDescent="0.2">
      <c r="A526" s="157">
        <v>525</v>
      </c>
      <c r="B526" s="163">
        <v>45316</v>
      </c>
      <c r="C526" s="157">
        <f t="shared" si="22"/>
        <v>0</v>
      </c>
      <c r="D526" s="157">
        <v>0</v>
      </c>
      <c r="E526" s="157">
        <f t="shared" si="23"/>
        <v>0</v>
      </c>
      <c r="F526" s="157" t="str">
        <f t="shared" si="24"/>
        <v>Thursday</v>
      </c>
      <c r="H526" s="157">
        <v>3</v>
      </c>
      <c r="I526" s="157">
        <f t="shared" si="26"/>
        <v>3</v>
      </c>
      <c r="J526" s="157">
        <f t="shared" si="25"/>
        <v>4</v>
      </c>
    </row>
    <row r="527" spans="1:10" ht="15.75" customHeight="1" x14ac:dyDescent="0.2">
      <c r="A527" s="157">
        <v>526</v>
      </c>
      <c r="B527" s="163">
        <v>45317</v>
      </c>
      <c r="C527" s="157">
        <f t="shared" si="22"/>
        <v>0</v>
      </c>
      <c r="D527" s="157">
        <v>0</v>
      </c>
      <c r="E527" s="157">
        <f t="shared" si="23"/>
        <v>0</v>
      </c>
      <c r="F527" s="157" t="str">
        <f t="shared" si="24"/>
        <v>Friday</v>
      </c>
      <c r="H527" s="157">
        <v>3</v>
      </c>
      <c r="I527" s="157">
        <f t="shared" si="26"/>
        <v>3</v>
      </c>
      <c r="J527" s="157">
        <f t="shared" si="25"/>
        <v>4</v>
      </c>
    </row>
    <row r="528" spans="1:10" ht="15.75" customHeight="1" x14ac:dyDescent="0.2">
      <c r="A528" s="157">
        <v>527</v>
      </c>
      <c r="B528" s="163">
        <v>45318</v>
      </c>
      <c r="C528" s="157">
        <f t="shared" si="22"/>
        <v>1</v>
      </c>
      <c r="D528" s="157">
        <v>0</v>
      </c>
      <c r="E528" s="157">
        <f t="shared" si="23"/>
        <v>1</v>
      </c>
      <c r="F528" s="157" t="str">
        <f t="shared" si="24"/>
        <v>Saturday</v>
      </c>
      <c r="H528" s="157">
        <v>3</v>
      </c>
      <c r="I528" s="157">
        <f t="shared" si="26"/>
        <v>3</v>
      </c>
      <c r="J528" s="157">
        <f t="shared" si="25"/>
        <v>4</v>
      </c>
    </row>
    <row r="529" spans="1:10" ht="15.75" customHeight="1" x14ac:dyDescent="0.2">
      <c r="A529" s="157">
        <v>528</v>
      </c>
      <c r="B529" s="163">
        <v>45319</v>
      </c>
      <c r="C529" s="157">
        <f t="shared" si="22"/>
        <v>1</v>
      </c>
      <c r="D529" s="157">
        <v>0</v>
      </c>
      <c r="E529" s="157">
        <f t="shared" si="23"/>
        <v>1</v>
      </c>
      <c r="F529" s="157" t="str">
        <f t="shared" si="24"/>
        <v>Sunday</v>
      </c>
      <c r="H529" s="157">
        <v>3</v>
      </c>
      <c r="I529" s="157">
        <f t="shared" si="26"/>
        <v>3</v>
      </c>
      <c r="J529" s="157">
        <f t="shared" si="25"/>
        <v>4</v>
      </c>
    </row>
    <row r="530" spans="1:10" ht="15.75" customHeight="1" x14ac:dyDescent="0.2">
      <c r="A530" s="157">
        <v>529</v>
      </c>
      <c r="B530" s="163">
        <v>45320</v>
      </c>
      <c r="C530" s="157">
        <f t="shared" si="22"/>
        <v>0</v>
      </c>
      <c r="D530" s="157">
        <v>0</v>
      </c>
      <c r="E530" s="157">
        <f t="shared" si="23"/>
        <v>0</v>
      </c>
      <c r="F530" s="157" t="str">
        <f t="shared" si="24"/>
        <v>Monday</v>
      </c>
      <c r="H530" s="157">
        <v>3</v>
      </c>
      <c r="I530" s="157">
        <f t="shared" si="26"/>
        <v>4</v>
      </c>
      <c r="J530" s="157">
        <f t="shared" si="25"/>
        <v>5</v>
      </c>
    </row>
    <row r="531" spans="1:10" ht="15.75" customHeight="1" x14ac:dyDescent="0.2">
      <c r="A531" s="157">
        <v>530</v>
      </c>
      <c r="B531" s="163">
        <v>45321</v>
      </c>
      <c r="C531" s="157">
        <f t="shared" si="22"/>
        <v>0</v>
      </c>
      <c r="D531" s="157">
        <v>0</v>
      </c>
      <c r="E531" s="157">
        <f t="shared" si="23"/>
        <v>0</v>
      </c>
      <c r="F531" s="157" t="str">
        <f t="shared" si="24"/>
        <v>Tuesday</v>
      </c>
      <c r="H531" s="157">
        <v>3</v>
      </c>
      <c r="I531" s="157">
        <f t="shared" si="26"/>
        <v>4</v>
      </c>
      <c r="J531" s="157">
        <f t="shared" si="25"/>
        <v>5</v>
      </c>
    </row>
    <row r="532" spans="1:10" ht="15.75" customHeight="1" x14ac:dyDescent="0.2">
      <c r="A532" s="157">
        <v>531</v>
      </c>
      <c r="B532" s="163">
        <v>45322</v>
      </c>
      <c r="C532" s="157">
        <f t="shared" si="22"/>
        <v>0</v>
      </c>
      <c r="D532" s="157">
        <v>0</v>
      </c>
      <c r="E532" s="157">
        <f t="shared" si="23"/>
        <v>0</v>
      </c>
      <c r="F532" s="157" t="str">
        <f t="shared" si="24"/>
        <v>Wednesday</v>
      </c>
      <c r="H532" s="157">
        <v>3</v>
      </c>
      <c r="I532" s="157">
        <f t="shared" si="26"/>
        <v>4</v>
      </c>
      <c r="J532" s="157">
        <f t="shared" si="25"/>
        <v>5</v>
      </c>
    </row>
    <row r="533" spans="1:10" ht="15.75" customHeight="1" x14ac:dyDescent="0.2">
      <c r="A533" s="157">
        <v>532</v>
      </c>
      <c r="B533" s="163">
        <v>45323</v>
      </c>
      <c r="C533" s="157">
        <f t="shared" si="22"/>
        <v>0</v>
      </c>
      <c r="D533" s="157">
        <v>0</v>
      </c>
      <c r="E533" s="157">
        <f t="shared" si="23"/>
        <v>0</v>
      </c>
      <c r="F533" s="157" t="str">
        <f t="shared" si="24"/>
        <v>Thursday</v>
      </c>
      <c r="H533" s="157">
        <v>3</v>
      </c>
      <c r="I533" s="157">
        <f t="shared" si="26"/>
        <v>4</v>
      </c>
      <c r="J533" s="157">
        <f t="shared" si="25"/>
        <v>5</v>
      </c>
    </row>
    <row r="534" spans="1:10" ht="15.75" customHeight="1" x14ac:dyDescent="0.2">
      <c r="A534" s="157">
        <v>533</v>
      </c>
      <c r="B534" s="163">
        <v>45324</v>
      </c>
      <c r="C534" s="157">
        <f t="shared" si="22"/>
        <v>0</v>
      </c>
      <c r="D534" s="157">
        <v>0</v>
      </c>
      <c r="E534" s="157">
        <f t="shared" si="23"/>
        <v>0</v>
      </c>
      <c r="F534" s="157" t="str">
        <f t="shared" si="24"/>
        <v>Friday</v>
      </c>
      <c r="H534" s="157">
        <v>3</v>
      </c>
      <c r="I534" s="157">
        <f t="shared" si="26"/>
        <v>4</v>
      </c>
      <c r="J534" s="157">
        <f t="shared" si="25"/>
        <v>5</v>
      </c>
    </row>
    <row r="535" spans="1:10" ht="15.75" customHeight="1" x14ac:dyDescent="0.2">
      <c r="A535" s="157">
        <v>534</v>
      </c>
      <c r="B535" s="163">
        <v>45325</v>
      </c>
      <c r="C535" s="157">
        <f t="shared" si="22"/>
        <v>1</v>
      </c>
      <c r="D535" s="157">
        <v>0</v>
      </c>
      <c r="E535" s="157">
        <f t="shared" si="23"/>
        <v>1</v>
      </c>
      <c r="F535" s="157" t="str">
        <f t="shared" si="24"/>
        <v>Saturday</v>
      </c>
      <c r="H535" s="157">
        <v>3</v>
      </c>
      <c r="I535" s="157">
        <f t="shared" si="26"/>
        <v>4</v>
      </c>
      <c r="J535" s="157">
        <f t="shared" si="25"/>
        <v>5</v>
      </c>
    </row>
    <row r="536" spans="1:10" ht="15.75" customHeight="1" x14ac:dyDescent="0.2">
      <c r="A536" s="157">
        <v>535</v>
      </c>
      <c r="B536" s="163">
        <v>45326</v>
      </c>
      <c r="C536" s="157">
        <f t="shared" si="22"/>
        <v>1</v>
      </c>
      <c r="D536" s="157">
        <v>0</v>
      </c>
      <c r="E536" s="157">
        <f t="shared" si="23"/>
        <v>1</v>
      </c>
      <c r="F536" s="157" t="str">
        <f t="shared" si="24"/>
        <v>Sunday</v>
      </c>
      <c r="H536" s="157">
        <v>3</v>
      </c>
      <c r="I536" s="157">
        <f t="shared" si="26"/>
        <v>4</v>
      </c>
      <c r="J536" s="157">
        <f t="shared" si="25"/>
        <v>5</v>
      </c>
    </row>
    <row r="537" spans="1:10" ht="15.75" customHeight="1" x14ac:dyDescent="0.2">
      <c r="A537" s="157">
        <v>536</v>
      </c>
      <c r="B537" s="163">
        <v>45327</v>
      </c>
      <c r="C537" s="157">
        <f t="shared" si="22"/>
        <v>0</v>
      </c>
      <c r="D537" s="157">
        <v>0</v>
      </c>
      <c r="E537" s="157">
        <f t="shared" si="23"/>
        <v>0</v>
      </c>
      <c r="F537" s="157" t="str">
        <f t="shared" si="24"/>
        <v>Monday</v>
      </c>
      <c r="H537" s="157">
        <v>3</v>
      </c>
      <c r="I537" s="157">
        <f t="shared" si="26"/>
        <v>5</v>
      </c>
      <c r="J537" s="157">
        <f t="shared" si="25"/>
        <v>6</v>
      </c>
    </row>
    <row r="538" spans="1:10" ht="15.75" customHeight="1" x14ac:dyDescent="0.2">
      <c r="A538" s="157">
        <v>537</v>
      </c>
      <c r="B538" s="163">
        <v>45328</v>
      </c>
      <c r="C538" s="157">
        <f t="shared" si="22"/>
        <v>0</v>
      </c>
      <c r="D538" s="157">
        <v>0</v>
      </c>
      <c r="E538" s="157">
        <f t="shared" si="23"/>
        <v>0</v>
      </c>
      <c r="F538" s="157" t="str">
        <f t="shared" si="24"/>
        <v>Tuesday</v>
      </c>
      <c r="H538" s="157">
        <v>3</v>
      </c>
      <c r="I538" s="157">
        <f t="shared" si="26"/>
        <v>5</v>
      </c>
      <c r="J538" s="157">
        <f t="shared" si="25"/>
        <v>6</v>
      </c>
    </row>
    <row r="539" spans="1:10" ht="15.75" customHeight="1" x14ac:dyDescent="0.2">
      <c r="A539" s="157">
        <v>538</v>
      </c>
      <c r="B539" s="163">
        <v>45329</v>
      </c>
      <c r="C539" s="157">
        <f t="shared" si="22"/>
        <v>0</v>
      </c>
      <c r="D539" s="157">
        <v>0</v>
      </c>
      <c r="E539" s="157">
        <f t="shared" si="23"/>
        <v>0</v>
      </c>
      <c r="F539" s="157" t="str">
        <f t="shared" si="24"/>
        <v>Wednesday</v>
      </c>
      <c r="H539" s="157">
        <v>3</v>
      </c>
      <c r="I539" s="157">
        <f t="shared" si="26"/>
        <v>5</v>
      </c>
      <c r="J539" s="157">
        <f t="shared" si="25"/>
        <v>6</v>
      </c>
    </row>
    <row r="540" spans="1:10" ht="15.75" customHeight="1" x14ac:dyDescent="0.2">
      <c r="A540" s="157">
        <v>539</v>
      </c>
      <c r="B540" s="163">
        <v>45330</v>
      </c>
      <c r="C540" s="157">
        <f t="shared" si="22"/>
        <v>0</v>
      </c>
      <c r="D540" s="157">
        <v>0</v>
      </c>
      <c r="E540" s="157">
        <f t="shared" si="23"/>
        <v>0</v>
      </c>
      <c r="F540" s="157" t="str">
        <f t="shared" si="24"/>
        <v>Thursday</v>
      </c>
      <c r="H540" s="157">
        <v>3</v>
      </c>
      <c r="I540" s="157">
        <f t="shared" si="26"/>
        <v>5</v>
      </c>
      <c r="J540" s="157">
        <f t="shared" si="25"/>
        <v>6</v>
      </c>
    </row>
    <row r="541" spans="1:10" ht="15.75" customHeight="1" x14ac:dyDescent="0.2">
      <c r="A541" s="157">
        <v>540</v>
      </c>
      <c r="B541" s="163">
        <v>45331</v>
      </c>
      <c r="C541" s="157">
        <f t="shared" si="22"/>
        <v>0</v>
      </c>
      <c r="D541" s="157">
        <v>0</v>
      </c>
      <c r="E541" s="157">
        <f t="shared" si="23"/>
        <v>0</v>
      </c>
      <c r="F541" s="157" t="str">
        <f t="shared" si="24"/>
        <v>Friday</v>
      </c>
      <c r="H541" s="157">
        <v>3</v>
      </c>
      <c r="I541" s="157">
        <f t="shared" si="26"/>
        <v>5</v>
      </c>
      <c r="J541" s="157">
        <f t="shared" si="25"/>
        <v>6</v>
      </c>
    </row>
    <row r="542" spans="1:10" ht="15.75" customHeight="1" x14ac:dyDescent="0.2">
      <c r="A542" s="157">
        <v>541</v>
      </c>
      <c r="B542" s="163">
        <v>45332</v>
      </c>
      <c r="C542" s="157">
        <f t="shared" si="22"/>
        <v>1</v>
      </c>
      <c r="D542" s="157">
        <v>0</v>
      </c>
      <c r="E542" s="157">
        <f t="shared" si="23"/>
        <v>1</v>
      </c>
      <c r="F542" s="157" t="str">
        <f t="shared" si="24"/>
        <v>Saturday</v>
      </c>
      <c r="H542" s="157">
        <v>3</v>
      </c>
      <c r="I542" s="157">
        <f t="shared" si="26"/>
        <v>5</v>
      </c>
      <c r="J542" s="157">
        <f t="shared" si="25"/>
        <v>6</v>
      </c>
    </row>
    <row r="543" spans="1:10" ht="15.75" customHeight="1" x14ac:dyDescent="0.2">
      <c r="A543" s="157">
        <v>542</v>
      </c>
      <c r="B543" s="163">
        <v>45333</v>
      </c>
      <c r="C543" s="157">
        <f t="shared" si="22"/>
        <v>1</v>
      </c>
      <c r="D543" s="157">
        <v>0</v>
      </c>
      <c r="E543" s="157">
        <f t="shared" si="23"/>
        <v>1</v>
      </c>
      <c r="F543" s="157" t="str">
        <f t="shared" si="24"/>
        <v>Sunday</v>
      </c>
      <c r="H543" s="157">
        <v>3</v>
      </c>
      <c r="I543" s="157">
        <f t="shared" si="26"/>
        <v>5</v>
      </c>
      <c r="J543" s="157">
        <f t="shared" si="25"/>
        <v>6</v>
      </c>
    </row>
    <row r="544" spans="1:10" ht="15.75" customHeight="1" x14ac:dyDescent="0.2">
      <c r="A544" s="157">
        <v>543</v>
      </c>
      <c r="B544" s="163">
        <v>45334</v>
      </c>
      <c r="C544" s="157">
        <f t="shared" si="22"/>
        <v>0</v>
      </c>
      <c r="D544" s="157">
        <v>0</v>
      </c>
      <c r="E544" s="157">
        <f t="shared" si="23"/>
        <v>0</v>
      </c>
      <c r="F544" s="157" t="str">
        <f t="shared" si="24"/>
        <v>Monday</v>
      </c>
      <c r="H544" s="157">
        <v>3</v>
      </c>
      <c r="I544" s="157">
        <f t="shared" si="26"/>
        <v>6</v>
      </c>
      <c r="J544" s="157">
        <f t="shared" si="25"/>
        <v>7</v>
      </c>
    </row>
    <row r="545" spans="1:10" ht="15.75" customHeight="1" x14ac:dyDescent="0.2">
      <c r="A545" s="157">
        <v>544</v>
      </c>
      <c r="B545" s="163">
        <v>45335</v>
      </c>
      <c r="C545" s="157">
        <f t="shared" si="22"/>
        <v>0</v>
      </c>
      <c r="D545" s="157">
        <v>0</v>
      </c>
      <c r="E545" s="157">
        <f t="shared" si="23"/>
        <v>0</v>
      </c>
      <c r="F545" s="157" t="str">
        <f t="shared" si="24"/>
        <v>Tuesday</v>
      </c>
      <c r="H545" s="157">
        <v>3</v>
      </c>
      <c r="I545" s="157">
        <f t="shared" si="26"/>
        <v>6</v>
      </c>
      <c r="J545" s="157">
        <f t="shared" si="25"/>
        <v>7</v>
      </c>
    </row>
    <row r="546" spans="1:10" ht="15.75" customHeight="1" x14ac:dyDescent="0.2">
      <c r="A546" s="157">
        <v>545</v>
      </c>
      <c r="B546" s="163">
        <v>45336</v>
      </c>
      <c r="C546" s="157">
        <f t="shared" si="22"/>
        <v>0</v>
      </c>
      <c r="D546" s="157">
        <v>0</v>
      </c>
      <c r="E546" s="157">
        <f t="shared" si="23"/>
        <v>0</v>
      </c>
      <c r="F546" s="157" t="str">
        <f t="shared" si="24"/>
        <v>Wednesday</v>
      </c>
      <c r="H546" s="157">
        <v>3</v>
      </c>
      <c r="I546" s="157">
        <f t="shared" si="26"/>
        <v>6</v>
      </c>
      <c r="J546" s="157">
        <f t="shared" si="25"/>
        <v>7</v>
      </c>
    </row>
    <row r="547" spans="1:10" ht="15.75" customHeight="1" x14ac:dyDescent="0.2">
      <c r="A547" s="157">
        <v>546</v>
      </c>
      <c r="B547" s="163">
        <v>45337</v>
      </c>
      <c r="C547" s="157">
        <f t="shared" si="22"/>
        <v>0</v>
      </c>
      <c r="D547" s="157">
        <v>0</v>
      </c>
      <c r="E547" s="157">
        <f t="shared" si="23"/>
        <v>0</v>
      </c>
      <c r="F547" s="157" t="str">
        <f t="shared" si="24"/>
        <v>Thursday</v>
      </c>
      <c r="H547" s="157">
        <v>3</v>
      </c>
      <c r="I547" s="157">
        <f t="shared" si="26"/>
        <v>6</v>
      </c>
      <c r="J547" s="157">
        <f t="shared" si="25"/>
        <v>7</v>
      </c>
    </row>
    <row r="548" spans="1:10" ht="15.75" customHeight="1" x14ac:dyDescent="0.2">
      <c r="A548" s="157">
        <v>547</v>
      </c>
      <c r="B548" s="163">
        <v>45338</v>
      </c>
      <c r="C548" s="157">
        <f t="shared" si="22"/>
        <v>0</v>
      </c>
      <c r="D548" s="157">
        <v>0</v>
      </c>
      <c r="E548" s="157">
        <f t="shared" si="23"/>
        <v>0</v>
      </c>
      <c r="F548" s="157" t="str">
        <f t="shared" si="24"/>
        <v>Friday</v>
      </c>
      <c r="H548" s="157">
        <v>3</v>
      </c>
      <c r="I548" s="157">
        <f t="shared" si="26"/>
        <v>6</v>
      </c>
      <c r="J548" s="157">
        <f t="shared" si="25"/>
        <v>7</v>
      </c>
    </row>
    <row r="549" spans="1:10" ht="15.75" customHeight="1" x14ac:dyDescent="0.2">
      <c r="A549" s="157">
        <v>548</v>
      </c>
      <c r="B549" s="163">
        <v>45339</v>
      </c>
      <c r="C549" s="157">
        <f t="shared" si="22"/>
        <v>1</v>
      </c>
      <c r="D549" s="157">
        <v>1</v>
      </c>
      <c r="E549" s="157">
        <f t="shared" si="23"/>
        <v>1</v>
      </c>
      <c r="F549" s="157" t="str">
        <f t="shared" si="24"/>
        <v>Saturday</v>
      </c>
      <c r="G549" s="157" t="s">
        <v>1776</v>
      </c>
      <c r="H549" s="157">
        <v>3</v>
      </c>
      <c r="I549" s="157">
        <f t="shared" si="26"/>
        <v>6</v>
      </c>
      <c r="J549" s="157">
        <f t="shared" si="25"/>
        <v>7</v>
      </c>
    </row>
    <row r="550" spans="1:10" ht="15.75" customHeight="1" x14ac:dyDescent="0.2">
      <c r="A550" s="157">
        <v>549</v>
      </c>
      <c r="B550" s="163">
        <v>45340</v>
      </c>
      <c r="C550" s="157">
        <f t="shared" si="22"/>
        <v>1</v>
      </c>
      <c r="D550" s="157">
        <v>1</v>
      </c>
      <c r="E550" s="157">
        <f t="shared" si="23"/>
        <v>1</v>
      </c>
      <c r="F550" s="157" t="str">
        <f t="shared" si="24"/>
        <v>Sunday</v>
      </c>
      <c r="G550" s="157" t="s">
        <v>1776</v>
      </c>
      <c r="H550" s="157">
        <v>3</v>
      </c>
      <c r="I550" s="157">
        <f t="shared" si="26"/>
        <v>6</v>
      </c>
      <c r="J550" s="157">
        <f t="shared" si="25"/>
        <v>7</v>
      </c>
    </row>
    <row r="551" spans="1:10" ht="15.75" customHeight="1" x14ac:dyDescent="0.2">
      <c r="A551" s="157">
        <v>550</v>
      </c>
      <c r="B551" s="163">
        <v>45341</v>
      </c>
      <c r="C551" s="157">
        <f t="shared" si="22"/>
        <v>0</v>
      </c>
      <c r="D551" s="157">
        <v>1</v>
      </c>
      <c r="E551" s="157">
        <f t="shared" si="23"/>
        <v>1</v>
      </c>
      <c r="F551" s="157" t="str">
        <f t="shared" si="24"/>
        <v>Monday</v>
      </c>
      <c r="G551" s="157" t="s">
        <v>1776</v>
      </c>
      <c r="H551" s="157">
        <v>3</v>
      </c>
      <c r="I551" s="157">
        <f t="shared" si="26"/>
        <v>7</v>
      </c>
      <c r="J551" s="157">
        <f t="shared" si="25"/>
        <v>8</v>
      </c>
    </row>
    <row r="552" spans="1:10" ht="15.75" customHeight="1" x14ac:dyDescent="0.2">
      <c r="A552" s="157">
        <v>551</v>
      </c>
      <c r="B552" s="163">
        <v>45342</v>
      </c>
      <c r="C552" s="157">
        <f t="shared" si="22"/>
        <v>0</v>
      </c>
      <c r="D552" s="157">
        <v>1</v>
      </c>
      <c r="E552" s="157">
        <f t="shared" si="23"/>
        <v>1</v>
      </c>
      <c r="F552" s="157" t="str">
        <f t="shared" si="24"/>
        <v>Tuesday</v>
      </c>
      <c r="G552" s="157" t="s">
        <v>1776</v>
      </c>
      <c r="H552" s="157">
        <v>3</v>
      </c>
      <c r="I552" s="157">
        <f t="shared" si="26"/>
        <v>7</v>
      </c>
      <c r="J552" s="157">
        <f t="shared" si="25"/>
        <v>8</v>
      </c>
    </row>
    <row r="553" spans="1:10" ht="15.75" customHeight="1" x14ac:dyDescent="0.2">
      <c r="A553" s="157">
        <v>552</v>
      </c>
      <c r="B553" s="163">
        <v>45343</v>
      </c>
      <c r="C553" s="157">
        <f t="shared" si="22"/>
        <v>0</v>
      </c>
      <c r="D553" s="157">
        <v>1</v>
      </c>
      <c r="E553" s="157">
        <f t="shared" si="23"/>
        <v>1</v>
      </c>
      <c r="F553" s="157" t="str">
        <f t="shared" si="24"/>
        <v>Wednesday</v>
      </c>
      <c r="G553" s="157" t="s">
        <v>1776</v>
      </c>
      <c r="H553" s="157">
        <v>3</v>
      </c>
      <c r="I553" s="157">
        <f t="shared" si="26"/>
        <v>7</v>
      </c>
      <c r="J553" s="157">
        <f t="shared" si="25"/>
        <v>8</v>
      </c>
    </row>
    <row r="554" spans="1:10" ht="15.75" customHeight="1" x14ac:dyDescent="0.2">
      <c r="A554" s="157">
        <v>553</v>
      </c>
      <c r="B554" s="163">
        <v>45344</v>
      </c>
      <c r="C554" s="157">
        <f t="shared" si="22"/>
        <v>0</v>
      </c>
      <c r="D554" s="157">
        <v>1</v>
      </c>
      <c r="E554" s="157">
        <f t="shared" si="23"/>
        <v>1</v>
      </c>
      <c r="F554" s="157" t="str">
        <f t="shared" si="24"/>
        <v>Thursday</v>
      </c>
      <c r="G554" s="157" t="s">
        <v>1776</v>
      </c>
      <c r="H554" s="157">
        <v>3</v>
      </c>
      <c r="I554" s="157">
        <f t="shared" si="26"/>
        <v>7</v>
      </c>
      <c r="J554" s="157">
        <f t="shared" si="25"/>
        <v>8</v>
      </c>
    </row>
    <row r="555" spans="1:10" ht="15.75" customHeight="1" x14ac:dyDescent="0.2">
      <c r="A555" s="157">
        <v>554</v>
      </c>
      <c r="B555" s="163">
        <v>45345</v>
      </c>
      <c r="C555" s="157">
        <f t="shared" si="22"/>
        <v>0</v>
      </c>
      <c r="D555" s="157">
        <v>1</v>
      </c>
      <c r="E555" s="157">
        <f t="shared" si="23"/>
        <v>1</v>
      </c>
      <c r="F555" s="157" t="str">
        <f t="shared" si="24"/>
        <v>Friday</v>
      </c>
      <c r="G555" s="157" t="s">
        <v>1776</v>
      </c>
      <c r="H555" s="157">
        <v>3</v>
      </c>
      <c r="I555" s="157">
        <f t="shared" si="26"/>
        <v>7</v>
      </c>
      <c r="J555" s="157">
        <f t="shared" si="25"/>
        <v>8</v>
      </c>
    </row>
    <row r="556" spans="1:10" ht="15.75" customHeight="1" x14ac:dyDescent="0.2">
      <c r="A556" s="157">
        <v>555</v>
      </c>
      <c r="B556" s="163">
        <v>45346</v>
      </c>
      <c r="C556" s="157">
        <f t="shared" si="22"/>
        <v>1</v>
      </c>
      <c r="D556" s="157">
        <v>1</v>
      </c>
      <c r="E556" s="157">
        <f t="shared" si="23"/>
        <v>1</v>
      </c>
      <c r="F556" s="157" t="str">
        <f t="shared" si="24"/>
        <v>Saturday</v>
      </c>
      <c r="G556" s="157" t="s">
        <v>1776</v>
      </c>
      <c r="H556" s="157">
        <v>3</v>
      </c>
      <c r="I556" s="157">
        <f t="shared" si="26"/>
        <v>7</v>
      </c>
      <c r="J556" s="157">
        <f t="shared" si="25"/>
        <v>8</v>
      </c>
    </row>
    <row r="557" spans="1:10" ht="15.75" customHeight="1" x14ac:dyDescent="0.2">
      <c r="A557" s="157">
        <v>556</v>
      </c>
      <c r="B557" s="163">
        <v>45347</v>
      </c>
      <c r="C557" s="157">
        <f t="shared" si="22"/>
        <v>1</v>
      </c>
      <c r="D557" s="157">
        <v>1</v>
      </c>
      <c r="E557" s="157">
        <f t="shared" si="23"/>
        <v>1</v>
      </c>
      <c r="F557" s="157" t="str">
        <f t="shared" si="24"/>
        <v>Sunday</v>
      </c>
      <c r="G557" s="157" t="s">
        <v>1776</v>
      </c>
      <c r="H557" s="157">
        <v>3</v>
      </c>
      <c r="I557" s="157">
        <f t="shared" si="26"/>
        <v>7</v>
      </c>
      <c r="J557" s="157">
        <f t="shared" si="25"/>
        <v>8</v>
      </c>
    </row>
    <row r="558" spans="1:10" ht="15.75" customHeight="1" x14ac:dyDescent="0.2">
      <c r="A558" s="157">
        <v>557</v>
      </c>
      <c r="B558" s="163">
        <v>45348</v>
      </c>
      <c r="C558" s="157">
        <f t="shared" si="22"/>
        <v>0</v>
      </c>
      <c r="D558" s="157">
        <v>0</v>
      </c>
      <c r="E558" s="157">
        <f t="shared" si="23"/>
        <v>0</v>
      </c>
      <c r="F558" s="157" t="str">
        <f t="shared" si="24"/>
        <v>Monday</v>
      </c>
      <c r="G558" s="157" t="s">
        <v>1774</v>
      </c>
      <c r="H558" s="157">
        <v>4</v>
      </c>
      <c r="I558" s="157">
        <f t="shared" si="26"/>
        <v>1</v>
      </c>
      <c r="J558" s="157">
        <f t="shared" si="25"/>
        <v>9</v>
      </c>
    </row>
    <row r="559" spans="1:10" ht="15.75" customHeight="1" x14ac:dyDescent="0.2">
      <c r="A559" s="157">
        <v>558</v>
      </c>
      <c r="B559" s="163">
        <v>45349</v>
      </c>
      <c r="C559" s="157">
        <f t="shared" si="22"/>
        <v>0</v>
      </c>
      <c r="D559" s="157">
        <v>0</v>
      </c>
      <c r="E559" s="157">
        <f t="shared" si="23"/>
        <v>0</v>
      </c>
      <c r="F559" s="157" t="str">
        <f t="shared" si="24"/>
        <v>Tuesday</v>
      </c>
      <c r="H559" s="157">
        <v>4</v>
      </c>
      <c r="I559" s="157">
        <f t="shared" si="26"/>
        <v>1</v>
      </c>
      <c r="J559" s="157">
        <f t="shared" si="25"/>
        <v>9</v>
      </c>
    </row>
    <row r="560" spans="1:10" ht="15.75" customHeight="1" x14ac:dyDescent="0.2">
      <c r="A560" s="157">
        <v>559</v>
      </c>
      <c r="B560" s="163">
        <v>45350</v>
      </c>
      <c r="C560" s="157">
        <f t="shared" si="22"/>
        <v>0</v>
      </c>
      <c r="D560" s="157">
        <v>0</v>
      </c>
      <c r="E560" s="157">
        <f t="shared" si="23"/>
        <v>0</v>
      </c>
      <c r="F560" s="157" t="str">
        <f t="shared" si="24"/>
        <v>Wednesday</v>
      </c>
      <c r="H560" s="157">
        <v>4</v>
      </c>
      <c r="I560" s="157">
        <f t="shared" si="26"/>
        <v>1</v>
      </c>
      <c r="J560" s="157">
        <f t="shared" si="25"/>
        <v>9</v>
      </c>
    </row>
    <row r="561" spans="1:10" ht="15.75" customHeight="1" x14ac:dyDescent="0.2">
      <c r="A561" s="157">
        <v>560</v>
      </c>
      <c r="B561" s="163">
        <v>45351</v>
      </c>
      <c r="C561" s="157">
        <f t="shared" si="22"/>
        <v>0</v>
      </c>
      <c r="D561" s="157">
        <v>0</v>
      </c>
      <c r="E561" s="157">
        <f t="shared" si="23"/>
        <v>0</v>
      </c>
      <c r="F561" s="157" t="str">
        <f t="shared" si="24"/>
        <v>Thursday</v>
      </c>
      <c r="H561" s="157">
        <v>4</v>
      </c>
      <c r="I561" s="157">
        <f t="shared" si="26"/>
        <v>1</v>
      </c>
      <c r="J561" s="157">
        <f t="shared" si="25"/>
        <v>9</v>
      </c>
    </row>
    <row r="562" spans="1:10" ht="15.75" customHeight="1" x14ac:dyDescent="0.2">
      <c r="A562" s="157">
        <v>561</v>
      </c>
      <c r="B562" s="163">
        <v>45352</v>
      </c>
      <c r="C562" s="157">
        <f t="shared" si="22"/>
        <v>0</v>
      </c>
      <c r="D562" s="157">
        <v>0</v>
      </c>
      <c r="E562" s="157">
        <f t="shared" si="23"/>
        <v>0</v>
      </c>
      <c r="F562" s="157" t="str">
        <f t="shared" si="24"/>
        <v>Friday</v>
      </c>
      <c r="H562" s="157">
        <v>4</v>
      </c>
      <c r="I562" s="157">
        <f t="shared" si="26"/>
        <v>1</v>
      </c>
      <c r="J562" s="157">
        <f t="shared" si="25"/>
        <v>9</v>
      </c>
    </row>
    <row r="563" spans="1:10" ht="15.75" customHeight="1" x14ac:dyDescent="0.2">
      <c r="A563" s="157">
        <v>562</v>
      </c>
      <c r="B563" s="163">
        <v>45353</v>
      </c>
      <c r="C563" s="157">
        <f t="shared" si="22"/>
        <v>1</v>
      </c>
      <c r="D563" s="157">
        <v>0</v>
      </c>
      <c r="E563" s="157">
        <f t="shared" si="23"/>
        <v>1</v>
      </c>
      <c r="F563" s="157" t="str">
        <f t="shared" si="24"/>
        <v>Saturday</v>
      </c>
      <c r="H563" s="157">
        <v>4</v>
      </c>
      <c r="I563" s="157">
        <f t="shared" si="26"/>
        <v>1</v>
      </c>
      <c r="J563" s="157">
        <f t="shared" si="25"/>
        <v>9</v>
      </c>
    </row>
    <row r="564" spans="1:10" ht="15.75" customHeight="1" x14ac:dyDescent="0.2">
      <c r="A564" s="157">
        <v>563</v>
      </c>
      <c r="B564" s="163">
        <v>45354</v>
      </c>
      <c r="C564" s="157">
        <f t="shared" si="22"/>
        <v>1</v>
      </c>
      <c r="D564" s="157">
        <v>0</v>
      </c>
      <c r="E564" s="157">
        <f t="shared" si="23"/>
        <v>1</v>
      </c>
      <c r="F564" s="157" t="str">
        <f t="shared" si="24"/>
        <v>Sunday</v>
      </c>
      <c r="H564" s="157">
        <v>4</v>
      </c>
      <c r="I564" s="157">
        <f t="shared" si="26"/>
        <v>1</v>
      </c>
      <c r="J564" s="157">
        <f t="shared" si="25"/>
        <v>9</v>
      </c>
    </row>
    <row r="565" spans="1:10" ht="15.75" customHeight="1" x14ac:dyDescent="0.2">
      <c r="A565" s="157">
        <v>564</v>
      </c>
      <c r="B565" s="163">
        <v>45355</v>
      </c>
      <c r="C565" s="157">
        <f t="shared" si="22"/>
        <v>0</v>
      </c>
      <c r="D565" s="157">
        <v>0</v>
      </c>
      <c r="E565" s="157">
        <f t="shared" si="23"/>
        <v>0</v>
      </c>
      <c r="F565" s="157" t="str">
        <f t="shared" si="24"/>
        <v>Monday</v>
      </c>
      <c r="H565" s="157">
        <v>4</v>
      </c>
      <c r="I565" s="157">
        <f t="shared" si="26"/>
        <v>2</v>
      </c>
      <c r="J565" s="157">
        <f t="shared" si="25"/>
        <v>10</v>
      </c>
    </row>
    <row r="566" spans="1:10" ht="15.75" customHeight="1" x14ac:dyDescent="0.2">
      <c r="A566" s="157">
        <v>565</v>
      </c>
      <c r="B566" s="163">
        <v>45356</v>
      </c>
      <c r="C566" s="157">
        <f t="shared" si="22"/>
        <v>0</v>
      </c>
      <c r="D566" s="157">
        <v>0</v>
      </c>
      <c r="E566" s="157">
        <f t="shared" si="23"/>
        <v>0</v>
      </c>
      <c r="F566" s="157" t="str">
        <f t="shared" si="24"/>
        <v>Tuesday</v>
      </c>
      <c r="H566" s="157">
        <v>4</v>
      </c>
      <c r="I566" s="157">
        <f t="shared" si="26"/>
        <v>2</v>
      </c>
      <c r="J566" s="157">
        <f t="shared" si="25"/>
        <v>10</v>
      </c>
    </row>
    <row r="567" spans="1:10" ht="15.75" customHeight="1" x14ac:dyDescent="0.2">
      <c r="A567" s="157">
        <v>566</v>
      </c>
      <c r="B567" s="163">
        <v>45357</v>
      </c>
      <c r="C567" s="157">
        <f t="shared" si="22"/>
        <v>0</v>
      </c>
      <c r="D567" s="157">
        <v>0</v>
      </c>
      <c r="E567" s="157">
        <f t="shared" si="23"/>
        <v>0</v>
      </c>
      <c r="F567" s="157" t="str">
        <f t="shared" si="24"/>
        <v>Wednesday</v>
      </c>
      <c r="H567" s="157">
        <v>4</v>
      </c>
      <c r="I567" s="157">
        <f t="shared" si="26"/>
        <v>2</v>
      </c>
      <c r="J567" s="157">
        <f t="shared" si="25"/>
        <v>10</v>
      </c>
    </row>
    <row r="568" spans="1:10" ht="15.75" customHeight="1" x14ac:dyDescent="0.2">
      <c r="A568" s="157">
        <v>567</v>
      </c>
      <c r="B568" s="163">
        <v>45358</v>
      </c>
      <c r="C568" s="157">
        <f t="shared" si="22"/>
        <v>0</v>
      </c>
      <c r="D568" s="157">
        <v>0</v>
      </c>
      <c r="E568" s="157">
        <f t="shared" si="23"/>
        <v>0</v>
      </c>
      <c r="F568" s="157" t="str">
        <f t="shared" si="24"/>
        <v>Thursday</v>
      </c>
      <c r="H568" s="157">
        <v>4</v>
      </c>
      <c r="I568" s="157">
        <f t="shared" si="26"/>
        <v>2</v>
      </c>
      <c r="J568" s="157">
        <f t="shared" si="25"/>
        <v>10</v>
      </c>
    </row>
    <row r="569" spans="1:10" ht="15.75" customHeight="1" x14ac:dyDescent="0.2">
      <c r="A569" s="157">
        <v>568</v>
      </c>
      <c r="B569" s="163">
        <v>45359</v>
      </c>
      <c r="C569" s="157">
        <f t="shared" si="22"/>
        <v>0</v>
      </c>
      <c r="D569" s="157">
        <v>0</v>
      </c>
      <c r="E569" s="157">
        <f t="shared" si="23"/>
        <v>0</v>
      </c>
      <c r="F569" s="157" t="str">
        <f t="shared" si="24"/>
        <v>Friday</v>
      </c>
      <c r="H569" s="157">
        <v>4</v>
      </c>
      <c r="I569" s="157">
        <f t="shared" si="26"/>
        <v>2</v>
      </c>
      <c r="J569" s="157">
        <f t="shared" si="25"/>
        <v>10</v>
      </c>
    </row>
    <row r="570" spans="1:10" ht="15.75" customHeight="1" x14ac:dyDescent="0.2">
      <c r="A570" s="157">
        <v>569</v>
      </c>
      <c r="B570" s="163">
        <v>45360</v>
      </c>
      <c r="C570" s="157">
        <f t="shared" si="22"/>
        <v>1</v>
      </c>
      <c r="D570" s="157">
        <v>0</v>
      </c>
      <c r="E570" s="157">
        <f t="shared" si="23"/>
        <v>1</v>
      </c>
      <c r="F570" s="157" t="str">
        <f t="shared" si="24"/>
        <v>Saturday</v>
      </c>
      <c r="H570" s="157">
        <v>4</v>
      </c>
      <c r="I570" s="157">
        <f t="shared" si="26"/>
        <v>2</v>
      </c>
      <c r="J570" s="157">
        <f t="shared" si="25"/>
        <v>10</v>
      </c>
    </row>
    <row r="571" spans="1:10" ht="15.75" customHeight="1" x14ac:dyDescent="0.2">
      <c r="A571" s="157">
        <v>570</v>
      </c>
      <c r="B571" s="163">
        <v>45361</v>
      </c>
      <c r="C571" s="157">
        <f t="shared" si="22"/>
        <v>1</v>
      </c>
      <c r="D571" s="157">
        <v>0</v>
      </c>
      <c r="E571" s="157">
        <f t="shared" si="23"/>
        <v>1</v>
      </c>
      <c r="F571" s="157" t="str">
        <f t="shared" si="24"/>
        <v>Sunday</v>
      </c>
      <c r="H571" s="157">
        <v>4</v>
      </c>
      <c r="I571" s="157">
        <f t="shared" si="26"/>
        <v>2</v>
      </c>
      <c r="J571" s="157">
        <f t="shared" si="25"/>
        <v>10</v>
      </c>
    </row>
    <row r="572" spans="1:10" ht="15.75" customHeight="1" x14ac:dyDescent="0.2">
      <c r="A572" s="157">
        <v>571</v>
      </c>
      <c r="B572" s="163">
        <v>45362</v>
      </c>
      <c r="C572" s="157">
        <f t="shared" si="22"/>
        <v>0</v>
      </c>
      <c r="D572" s="157">
        <v>0</v>
      </c>
      <c r="E572" s="157">
        <f t="shared" si="23"/>
        <v>0</v>
      </c>
      <c r="F572" s="157" t="str">
        <f t="shared" si="24"/>
        <v>Monday</v>
      </c>
      <c r="H572" s="157">
        <v>4</v>
      </c>
      <c r="I572" s="157">
        <f t="shared" si="26"/>
        <v>3</v>
      </c>
      <c r="J572" s="157">
        <f t="shared" si="25"/>
        <v>11</v>
      </c>
    </row>
    <row r="573" spans="1:10" ht="15.75" customHeight="1" x14ac:dyDescent="0.2">
      <c r="A573" s="157">
        <v>572</v>
      </c>
      <c r="B573" s="163">
        <v>45363</v>
      </c>
      <c r="C573" s="157">
        <f t="shared" si="22"/>
        <v>0</v>
      </c>
      <c r="D573" s="157">
        <v>0</v>
      </c>
      <c r="E573" s="157">
        <f t="shared" si="23"/>
        <v>0</v>
      </c>
      <c r="F573" s="157" t="str">
        <f t="shared" si="24"/>
        <v>Tuesday</v>
      </c>
      <c r="H573" s="157">
        <v>4</v>
      </c>
      <c r="I573" s="157">
        <f t="shared" si="26"/>
        <v>3</v>
      </c>
      <c r="J573" s="157">
        <f t="shared" si="25"/>
        <v>11</v>
      </c>
    </row>
    <row r="574" spans="1:10" ht="15.75" customHeight="1" x14ac:dyDescent="0.2">
      <c r="A574" s="157">
        <v>573</v>
      </c>
      <c r="B574" s="163">
        <v>45364</v>
      </c>
      <c r="C574" s="157">
        <f t="shared" si="22"/>
        <v>0</v>
      </c>
      <c r="D574" s="157">
        <v>0</v>
      </c>
      <c r="E574" s="157">
        <f t="shared" si="23"/>
        <v>0</v>
      </c>
      <c r="F574" s="157" t="str">
        <f t="shared" si="24"/>
        <v>Wednesday</v>
      </c>
      <c r="H574" s="157">
        <v>4</v>
      </c>
      <c r="I574" s="157">
        <f t="shared" si="26"/>
        <v>3</v>
      </c>
      <c r="J574" s="157">
        <f t="shared" si="25"/>
        <v>11</v>
      </c>
    </row>
    <row r="575" spans="1:10" ht="15.75" customHeight="1" x14ac:dyDescent="0.2">
      <c r="A575" s="157">
        <v>574</v>
      </c>
      <c r="B575" s="163">
        <v>45365</v>
      </c>
      <c r="C575" s="157">
        <f t="shared" si="22"/>
        <v>0</v>
      </c>
      <c r="D575" s="157">
        <v>0</v>
      </c>
      <c r="E575" s="157">
        <f t="shared" si="23"/>
        <v>0</v>
      </c>
      <c r="F575" s="157" t="str">
        <f t="shared" si="24"/>
        <v>Thursday</v>
      </c>
      <c r="H575" s="157">
        <v>4</v>
      </c>
      <c r="I575" s="157">
        <f t="shared" si="26"/>
        <v>3</v>
      </c>
      <c r="J575" s="157">
        <f t="shared" si="25"/>
        <v>11</v>
      </c>
    </row>
    <row r="576" spans="1:10" ht="15.75" customHeight="1" x14ac:dyDescent="0.2">
      <c r="A576" s="157">
        <v>575</v>
      </c>
      <c r="B576" s="163">
        <v>45366</v>
      </c>
      <c r="C576" s="157">
        <f t="shared" si="22"/>
        <v>0</v>
      </c>
      <c r="D576" s="157">
        <v>0</v>
      </c>
      <c r="E576" s="157">
        <f t="shared" si="23"/>
        <v>0</v>
      </c>
      <c r="F576" s="157" t="str">
        <f t="shared" si="24"/>
        <v>Friday</v>
      </c>
      <c r="H576" s="157">
        <v>4</v>
      </c>
      <c r="I576" s="157">
        <f t="shared" si="26"/>
        <v>3</v>
      </c>
      <c r="J576" s="157">
        <f t="shared" si="25"/>
        <v>11</v>
      </c>
    </row>
    <row r="577" spans="1:10" ht="15.75" customHeight="1" x14ac:dyDescent="0.2">
      <c r="A577" s="157">
        <v>576</v>
      </c>
      <c r="B577" s="163">
        <v>45367</v>
      </c>
      <c r="C577" s="157">
        <f t="shared" si="22"/>
        <v>1</v>
      </c>
      <c r="D577" s="157">
        <v>0</v>
      </c>
      <c r="E577" s="157">
        <f t="shared" si="23"/>
        <v>1</v>
      </c>
      <c r="F577" s="157" t="str">
        <f t="shared" si="24"/>
        <v>Saturday</v>
      </c>
      <c r="H577" s="157">
        <v>4</v>
      </c>
      <c r="I577" s="157">
        <f t="shared" si="26"/>
        <v>3</v>
      </c>
      <c r="J577" s="157">
        <f t="shared" si="25"/>
        <v>11</v>
      </c>
    </row>
    <row r="578" spans="1:10" ht="15.75" customHeight="1" x14ac:dyDescent="0.2">
      <c r="A578" s="157">
        <v>577</v>
      </c>
      <c r="B578" s="163">
        <v>45368</v>
      </c>
      <c r="C578" s="157">
        <f t="shared" si="22"/>
        <v>1</v>
      </c>
      <c r="D578" s="157">
        <v>0</v>
      </c>
      <c r="E578" s="157">
        <f t="shared" si="23"/>
        <v>1</v>
      </c>
      <c r="F578" s="157" t="str">
        <f t="shared" si="24"/>
        <v>Sunday</v>
      </c>
      <c r="H578" s="157">
        <v>4</v>
      </c>
      <c r="I578" s="157">
        <f t="shared" si="26"/>
        <v>3</v>
      </c>
      <c r="J578" s="157">
        <f t="shared" si="25"/>
        <v>11</v>
      </c>
    </row>
    <row r="579" spans="1:10" ht="15.75" customHeight="1" x14ac:dyDescent="0.2">
      <c r="A579" s="157">
        <v>578</v>
      </c>
      <c r="B579" s="163">
        <v>45369</v>
      </c>
      <c r="C579" s="157">
        <f t="shared" si="22"/>
        <v>0</v>
      </c>
      <c r="D579" s="157">
        <v>0</v>
      </c>
      <c r="E579" s="157">
        <f t="shared" si="23"/>
        <v>0</v>
      </c>
      <c r="F579" s="157" t="str">
        <f t="shared" si="24"/>
        <v>Monday</v>
      </c>
      <c r="H579" s="157">
        <v>4</v>
      </c>
      <c r="I579" s="157">
        <f t="shared" si="26"/>
        <v>4</v>
      </c>
      <c r="J579" s="157">
        <f t="shared" ref="J579:J642" si="27">_xlfn.ISOWEEKNUM(B579)</f>
        <v>12</v>
      </c>
    </row>
    <row r="580" spans="1:10" ht="15.75" customHeight="1" x14ac:dyDescent="0.2">
      <c r="A580" s="157">
        <v>579</v>
      </c>
      <c r="B580" s="163">
        <v>45370</v>
      </c>
      <c r="C580" s="157">
        <f t="shared" si="22"/>
        <v>0</v>
      </c>
      <c r="D580" s="157">
        <v>0</v>
      </c>
      <c r="E580" s="157">
        <f t="shared" si="23"/>
        <v>0</v>
      </c>
      <c r="F580" s="157" t="str">
        <f t="shared" si="24"/>
        <v>Tuesday</v>
      </c>
      <c r="H580" s="157">
        <v>4</v>
      </c>
      <c r="I580" s="157">
        <f t="shared" si="26"/>
        <v>4</v>
      </c>
      <c r="J580" s="157">
        <f t="shared" si="27"/>
        <v>12</v>
      </c>
    </row>
    <row r="581" spans="1:10" ht="15.75" customHeight="1" x14ac:dyDescent="0.2">
      <c r="A581" s="157">
        <v>580</v>
      </c>
      <c r="B581" s="163">
        <v>45371</v>
      </c>
      <c r="C581" s="157">
        <f t="shared" si="22"/>
        <v>0</v>
      </c>
      <c r="D581" s="157">
        <v>0</v>
      </c>
      <c r="E581" s="157">
        <f t="shared" si="23"/>
        <v>0</v>
      </c>
      <c r="F581" s="157" t="str">
        <f t="shared" si="24"/>
        <v>Wednesday</v>
      </c>
      <c r="H581" s="157">
        <v>4</v>
      </c>
      <c r="I581" s="157">
        <f t="shared" ref="I581:I644" si="28">IF(J581&gt;J580, IF(H581&lt;&gt;H580,1, I580+1),I580)</f>
        <v>4</v>
      </c>
      <c r="J581" s="157">
        <f t="shared" si="27"/>
        <v>12</v>
      </c>
    </row>
    <row r="582" spans="1:10" ht="15.75" customHeight="1" x14ac:dyDescent="0.2">
      <c r="A582" s="157">
        <v>581</v>
      </c>
      <c r="B582" s="163">
        <v>45372</v>
      </c>
      <c r="C582" s="157">
        <f t="shared" si="22"/>
        <v>0</v>
      </c>
      <c r="D582" s="157">
        <v>0</v>
      </c>
      <c r="E582" s="157">
        <f t="shared" si="23"/>
        <v>0</v>
      </c>
      <c r="F582" s="157" t="str">
        <f t="shared" si="24"/>
        <v>Thursday</v>
      </c>
      <c r="H582" s="157">
        <v>4</v>
      </c>
      <c r="I582" s="157">
        <f t="shared" si="28"/>
        <v>4</v>
      </c>
      <c r="J582" s="157">
        <f t="shared" si="27"/>
        <v>12</v>
      </c>
    </row>
    <row r="583" spans="1:10" ht="15.75" customHeight="1" x14ac:dyDescent="0.2">
      <c r="A583" s="157">
        <v>582</v>
      </c>
      <c r="B583" s="163">
        <v>45373</v>
      </c>
      <c r="C583" s="157">
        <f t="shared" si="22"/>
        <v>0</v>
      </c>
      <c r="D583" s="157">
        <v>0</v>
      </c>
      <c r="E583" s="157">
        <f t="shared" si="23"/>
        <v>0</v>
      </c>
      <c r="F583" s="157" t="str">
        <f t="shared" si="24"/>
        <v>Friday</v>
      </c>
      <c r="H583" s="157">
        <v>4</v>
      </c>
      <c r="I583" s="157">
        <f t="shared" si="28"/>
        <v>4</v>
      </c>
      <c r="J583" s="157">
        <f t="shared" si="27"/>
        <v>12</v>
      </c>
    </row>
    <row r="584" spans="1:10" ht="15.75" customHeight="1" x14ac:dyDescent="0.2">
      <c r="A584" s="157">
        <v>583</v>
      </c>
      <c r="B584" s="163">
        <v>45374</v>
      </c>
      <c r="C584" s="157">
        <f t="shared" si="22"/>
        <v>1</v>
      </c>
      <c r="D584" s="157">
        <v>0</v>
      </c>
      <c r="E584" s="157">
        <f t="shared" si="23"/>
        <v>1</v>
      </c>
      <c r="F584" s="157" t="str">
        <f t="shared" si="24"/>
        <v>Saturday</v>
      </c>
      <c r="H584" s="157">
        <v>4</v>
      </c>
      <c r="I584" s="157">
        <f t="shared" si="28"/>
        <v>4</v>
      </c>
      <c r="J584" s="157">
        <f t="shared" si="27"/>
        <v>12</v>
      </c>
    </row>
    <row r="585" spans="1:10" ht="15.75" customHeight="1" x14ac:dyDescent="0.2">
      <c r="A585" s="157">
        <v>584</v>
      </c>
      <c r="B585" s="163">
        <v>45375</v>
      </c>
      <c r="C585" s="157">
        <f t="shared" si="22"/>
        <v>1</v>
      </c>
      <c r="D585" s="157">
        <v>0</v>
      </c>
      <c r="E585" s="157">
        <f t="shared" si="23"/>
        <v>1</v>
      </c>
      <c r="F585" s="157" t="str">
        <f t="shared" si="24"/>
        <v>Sunday</v>
      </c>
      <c r="H585" s="157">
        <v>4</v>
      </c>
      <c r="I585" s="157">
        <f t="shared" si="28"/>
        <v>4</v>
      </c>
      <c r="J585" s="157">
        <f t="shared" si="27"/>
        <v>12</v>
      </c>
    </row>
    <row r="586" spans="1:10" ht="15.75" customHeight="1" x14ac:dyDescent="0.2">
      <c r="A586" s="157">
        <v>585</v>
      </c>
      <c r="B586" s="163">
        <v>45376</v>
      </c>
      <c r="C586" s="157">
        <f t="shared" si="22"/>
        <v>0</v>
      </c>
      <c r="D586" s="157">
        <v>0</v>
      </c>
      <c r="E586" s="157">
        <f t="shared" si="23"/>
        <v>0</v>
      </c>
      <c r="F586" s="157" t="str">
        <f t="shared" si="24"/>
        <v>Monday</v>
      </c>
      <c r="H586" s="157">
        <v>4</v>
      </c>
      <c r="I586" s="157">
        <f t="shared" si="28"/>
        <v>5</v>
      </c>
      <c r="J586" s="157">
        <f t="shared" si="27"/>
        <v>13</v>
      </c>
    </row>
    <row r="587" spans="1:10" ht="15.75" customHeight="1" x14ac:dyDescent="0.2">
      <c r="A587" s="157">
        <v>586</v>
      </c>
      <c r="B587" s="163">
        <v>45377</v>
      </c>
      <c r="C587" s="157">
        <f t="shared" si="22"/>
        <v>0</v>
      </c>
      <c r="D587" s="157">
        <v>0</v>
      </c>
      <c r="E587" s="157">
        <f t="shared" si="23"/>
        <v>0</v>
      </c>
      <c r="F587" s="157" t="str">
        <f t="shared" si="24"/>
        <v>Tuesday</v>
      </c>
      <c r="H587" s="157">
        <v>4</v>
      </c>
      <c r="I587" s="157">
        <f t="shared" si="28"/>
        <v>5</v>
      </c>
      <c r="J587" s="157">
        <f t="shared" si="27"/>
        <v>13</v>
      </c>
    </row>
    <row r="588" spans="1:10" ht="15.75" customHeight="1" x14ac:dyDescent="0.2">
      <c r="A588" s="157">
        <v>587</v>
      </c>
      <c r="B588" s="163">
        <v>45378</v>
      </c>
      <c r="C588" s="157">
        <f t="shared" si="22"/>
        <v>0</v>
      </c>
      <c r="D588" s="157">
        <v>0</v>
      </c>
      <c r="E588" s="157">
        <f t="shared" si="23"/>
        <v>0</v>
      </c>
      <c r="F588" s="157" t="str">
        <f t="shared" si="24"/>
        <v>Wednesday</v>
      </c>
      <c r="H588" s="157">
        <v>4</v>
      </c>
      <c r="I588" s="157">
        <f t="shared" si="28"/>
        <v>5</v>
      </c>
      <c r="J588" s="157">
        <f t="shared" si="27"/>
        <v>13</v>
      </c>
    </row>
    <row r="589" spans="1:10" ht="15.75" customHeight="1" x14ac:dyDescent="0.2">
      <c r="A589" s="157">
        <v>588</v>
      </c>
      <c r="B589" s="163">
        <v>45379</v>
      </c>
      <c r="C589" s="157">
        <f t="shared" si="22"/>
        <v>0</v>
      </c>
      <c r="D589" s="157">
        <v>0</v>
      </c>
      <c r="E589" s="157">
        <f t="shared" si="23"/>
        <v>0</v>
      </c>
      <c r="F589" s="157" t="str">
        <f t="shared" si="24"/>
        <v>Thursday</v>
      </c>
      <c r="H589" s="157">
        <v>4</v>
      </c>
      <c r="I589" s="157">
        <f t="shared" si="28"/>
        <v>5</v>
      </c>
      <c r="J589" s="157">
        <f t="shared" si="27"/>
        <v>13</v>
      </c>
    </row>
    <row r="590" spans="1:10" ht="15.75" customHeight="1" x14ac:dyDescent="0.2">
      <c r="A590" s="157">
        <v>589</v>
      </c>
      <c r="B590" s="163">
        <v>45380</v>
      </c>
      <c r="C590" s="157">
        <f t="shared" si="22"/>
        <v>0</v>
      </c>
      <c r="D590" s="157">
        <v>0</v>
      </c>
      <c r="E590" s="157">
        <f t="shared" si="23"/>
        <v>0</v>
      </c>
      <c r="F590" s="157" t="str">
        <f t="shared" si="24"/>
        <v>Friday</v>
      </c>
      <c r="H590" s="157">
        <v>4</v>
      </c>
      <c r="I590" s="157">
        <f t="shared" si="28"/>
        <v>5</v>
      </c>
      <c r="J590" s="157">
        <f t="shared" si="27"/>
        <v>13</v>
      </c>
    </row>
    <row r="591" spans="1:10" ht="15.75" customHeight="1" x14ac:dyDescent="0.2">
      <c r="A591" s="157">
        <v>590</v>
      </c>
      <c r="B591" s="163">
        <v>45381</v>
      </c>
      <c r="C591" s="157">
        <f t="shared" si="22"/>
        <v>1</v>
      </c>
      <c r="D591" s="157">
        <v>0</v>
      </c>
      <c r="E591" s="157">
        <f t="shared" si="23"/>
        <v>1</v>
      </c>
      <c r="F591" s="157" t="str">
        <f t="shared" si="24"/>
        <v>Saturday</v>
      </c>
      <c r="H591" s="157">
        <v>4</v>
      </c>
      <c r="I591" s="157">
        <f t="shared" si="28"/>
        <v>5</v>
      </c>
      <c r="J591" s="157">
        <f t="shared" si="27"/>
        <v>13</v>
      </c>
    </row>
    <row r="592" spans="1:10" ht="15.75" customHeight="1" x14ac:dyDescent="0.2">
      <c r="A592" s="157">
        <v>591</v>
      </c>
      <c r="B592" s="163">
        <v>45382</v>
      </c>
      <c r="C592" s="157">
        <f t="shared" si="22"/>
        <v>1</v>
      </c>
      <c r="D592" s="157">
        <v>0</v>
      </c>
      <c r="E592" s="157">
        <f t="shared" si="23"/>
        <v>1</v>
      </c>
      <c r="F592" s="157" t="str">
        <f t="shared" si="24"/>
        <v>Sunday</v>
      </c>
      <c r="H592" s="157">
        <v>4</v>
      </c>
      <c r="I592" s="157">
        <f t="shared" si="28"/>
        <v>5</v>
      </c>
      <c r="J592" s="157">
        <f t="shared" si="27"/>
        <v>13</v>
      </c>
    </row>
    <row r="593" spans="1:10" ht="15.75" customHeight="1" x14ac:dyDescent="0.2">
      <c r="A593" s="157">
        <v>592</v>
      </c>
      <c r="B593" s="163">
        <v>45383</v>
      </c>
      <c r="C593" s="157">
        <f t="shared" si="22"/>
        <v>0</v>
      </c>
      <c r="D593" s="157">
        <v>0</v>
      </c>
      <c r="E593" s="157">
        <f t="shared" si="23"/>
        <v>0</v>
      </c>
      <c r="F593" s="157" t="str">
        <f t="shared" si="24"/>
        <v>Monday</v>
      </c>
      <c r="H593" s="157">
        <v>4</v>
      </c>
      <c r="I593" s="157">
        <f t="shared" si="28"/>
        <v>6</v>
      </c>
      <c r="J593" s="157">
        <f t="shared" si="27"/>
        <v>14</v>
      </c>
    </row>
    <row r="594" spans="1:10" ht="15.75" customHeight="1" x14ac:dyDescent="0.2">
      <c r="A594" s="157">
        <v>593</v>
      </c>
      <c r="B594" s="163">
        <v>45384</v>
      </c>
      <c r="C594" s="157">
        <f t="shared" si="22"/>
        <v>0</v>
      </c>
      <c r="D594" s="157">
        <v>0</v>
      </c>
      <c r="E594" s="157">
        <f t="shared" si="23"/>
        <v>0</v>
      </c>
      <c r="F594" s="157" t="str">
        <f t="shared" si="24"/>
        <v>Tuesday</v>
      </c>
      <c r="H594" s="157">
        <v>4</v>
      </c>
      <c r="I594" s="157">
        <f t="shared" si="28"/>
        <v>6</v>
      </c>
      <c r="J594" s="157">
        <f t="shared" si="27"/>
        <v>14</v>
      </c>
    </row>
    <row r="595" spans="1:10" ht="15.75" customHeight="1" x14ac:dyDescent="0.2">
      <c r="A595" s="157">
        <v>594</v>
      </c>
      <c r="B595" s="163">
        <v>45385</v>
      </c>
      <c r="C595" s="157">
        <f t="shared" si="22"/>
        <v>0</v>
      </c>
      <c r="D595" s="157">
        <v>0</v>
      </c>
      <c r="E595" s="157">
        <f t="shared" si="23"/>
        <v>0</v>
      </c>
      <c r="F595" s="157" t="str">
        <f t="shared" si="24"/>
        <v>Wednesday</v>
      </c>
      <c r="H595" s="157">
        <v>4</v>
      </c>
      <c r="I595" s="157">
        <f t="shared" si="28"/>
        <v>6</v>
      </c>
      <c r="J595" s="157">
        <f t="shared" si="27"/>
        <v>14</v>
      </c>
    </row>
    <row r="596" spans="1:10" ht="15.75" customHeight="1" x14ac:dyDescent="0.2">
      <c r="A596" s="157">
        <v>595</v>
      </c>
      <c r="B596" s="163">
        <v>45386</v>
      </c>
      <c r="C596" s="157">
        <f t="shared" si="22"/>
        <v>0</v>
      </c>
      <c r="D596" s="157">
        <v>0</v>
      </c>
      <c r="E596" s="157">
        <f t="shared" si="23"/>
        <v>0</v>
      </c>
      <c r="F596" s="157" t="str">
        <f t="shared" si="24"/>
        <v>Thursday</v>
      </c>
      <c r="H596" s="157">
        <v>4</v>
      </c>
      <c r="I596" s="157">
        <f t="shared" si="28"/>
        <v>6</v>
      </c>
      <c r="J596" s="157">
        <f t="shared" si="27"/>
        <v>14</v>
      </c>
    </row>
    <row r="597" spans="1:10" ht="15.75" customHeight="1" x14ac:dyDescent="0.2">
      <c r="A597" s="157">
        <v>596</v>
      </c>
      <c r="B597" s="163">
        <v>45387</v>
      </c>
      <c r="C597" s="157">
        <f t="shared" si="22"/>
        <v>0</v>
      </c>
      <c r="D597" s="157">
        <v>0</v>
      </c>
      <c r="E597" s="157">
        <f t="shared" si="23"/>
        <v>0</v>
      </c>
      <c r="F597" s="157" t="str">
        <f t="shared" si="24"/>
        <v>Friday</v>
      </c>
      <c r="H597" s="157">
        <v>4</v>
      </c>
      <c r="I597" s="157">
        <f t="shared" si="28"/>
        <v>6</v>
      </c>
      <c r="J597" s="157">
        <f t="shared" si="27"/>
        <v>14</v>
      </c>
    </row>
    <row r="598" spans="1:10" ht="15.75" customHeight="1" x14ac:dyDescent="0.2">
      <c r="A598" s="157">
        <v>597</v>
      </c>
      <c r="B598" s="163">
        <v>45388</v>
      </c>
      <c r="C598" s="157">
        <f t="shared" si="22"/>
        <v>1</v>
      </c>
      <c r="D598" s="157">
        <v>0</v>
      </c>
      <c r="E598" s="157">
        <f t="shared" si="23"/>
        <v>1</v>
      </c>
      <c r="F598" s="157" t="str">
        <f t="shared" si="24"/>
        <v>Saturday</v>
      </c>
      <c r="H598" s="157">
        <v>4</v>
      </c>
      <c r="I598" s="157">
        <f t="shared" si="28"/>
        <v>6</v>
      </c>
      <c r="J598" s="157">
        <f t="shared" si="27"/>
        <v>14</v>
      </c>
    </row>
    <row r="599" spans="1:10" ht="15.75" customHeight="1" x14ac:dyDescent="0.2">
      <c r="A599" s="157">
        <v>598</v>
      </c>
      <c r="B599" s="163">
        <v>45389</v>
      </c>
      <c r="C599" s="157">
        <f t="shared" si="22"/>
        <v>1</v>
      </c>
      <c r="D599" s="157">
        <v>0</v>
      </c>
      <c r="E599" s="157">
        <f t="shared" si="23"/>
        <v>1</v>
      </c>
      <c r="F599" s="157" t="str">
        <f t="shared" si="24"/>
        <v>Sunday</v>
      </c>
      <c r="H599" s="157">
        <v>4</v>
      </c>
      <c r="I599" s="157">
        <f t="shared" si="28"/>
        <v>6</v>
      </c>
      <c r="J599" s="157">
        <f t="shared" si="27"/>
        <v>14</v>
      </c>
    </row>
    <row r="600" spans="1:10" ht="15.75" customHeight="1" x14ac:dyDescent="0.2">
      <c r="A600" s="157">
        <v>599</v>
      </c>
      <c r="B600" s="163">
        <v>45390</v>
      </c>
      <c r="C600" s="157">
        <f t="shared" si="22"/>
        <v>0</v>
      </c>
      <c r="D600" s="157">
        <v>0</v>
      </c>
      <c r="E600" s="157">
        <f t="shared" si="23"/>
        <v>0</v>
      </c>
      <c r="F600" s="157" t="str">
        <f t="shared" si="24"/>
        <v>Monday</v>
      </c>
      <c r="H600" s="157">
        <v>4</v>
      </c>
      <c r="I600" s="157">
        <f t="shared" si="28"/>
        <v>7</v>
      </c>
      <c r="J600" s="157">
        <f t="shared" si="27"/>
        <v>15</v>
      </c>
    </row>
    <row r="601" spans="1:10" ht="15.75" customHeight="1" x14ac:dyDescent="0.2">
      <c r="A601" s="157">
        <v>600</v>
      </c>
      <c r="B601" s="163">
        <v>45391</v>
      </c>
      <c r="C601" s="157">
        <f t="shared" si="22"/>
        <v>0</v>
      </c>
      <c r="D601" s="157">
        <v>0</v>
      </c>
      <c r="E601" s="157">
        <f t="shared" si="23"/>
        <v>0</v>
      </c>
      <c r="F601" s="157" t="str">
        <f t="shared" si="24"/>
        <v>Tuesday</v>
      </c>
      <c r="H601" s="157">
        <v>4</v>
      </c>
      <c r="I601" s="157">
        <f t="shared" si="28"/>
        <v>7</v>
      </c>
      <c r="J601" s="157">
        <f t="shared" si="27"/>
        <v>15</v>
      </c>
    </row>
    <row r="602" spans="1:10" ht="15.75" customHeight="1" x14ac:dyDescent="0.2">
      <c r="A602" s="157">
        <v>601</v>
      </c>
      <c r="B602" s="163">
        <v>45392</v>
      </c>
      <c r="C602" s="157">
        <f t="shared" si="22"/>
        <v>0</v>
      </c>
      <c r="D602" s="157">
        <v>0</v>
      </c>
      <c r="E602" s="157">
        <f t="shared" si="23"/>
        <v>0</v>
      </c>
      <c r="F602" s="157" t="str">
        <f t="shared" si="24"/>
        <v>Wednesday</v>
      </c>
      <c r="H602" s="157">
        <v>4</v>
      </c>
      <c r="I602" s="157">
        <f t="shared" si="28"/>
        <v>7</v>
      </c>
      <c r="J602" s="157">
        <f t="shared" si="27"/>
        <v>15</v>
      </c>
    </row>
    <row r="603" spans="1:10" ht="15.75" customHeight="1" x14ac:dyDescent="0.2">
      <c r="A603" s="157">
        <v>602</v>
      </c>
      <c r="B603" s="163">
        <v>45393</v>
      </c>
      <c r="C603" s="157">
        <f t="shared" si="22"/>
        <v>0</v>
      </c>
      <c r="D603" s="157">
        <v>0</v>
      </c>
      <c r="E603" s="157">
        <f t="shared" si="23"/>
        <v>0</v>
      </c>
      <c r="F603" s="157" t="str">
        <f t="shared" si="24"/>
        <v>Thursday</v>
      </c>
      <c r="H603" s="157">
        <v>4</v>
      </c>
      <c r="I603" s="157">
        <f t="shared" si="28"/>
        <v>7</v>
      </c>
      <c r="J603" s="157">
        <f t="shared" si="27"/>
        <v>15</v>
      </c>
    </row>
    <row r="604" spans="1:10" ht="15.75" customHeight="1" x14ac:dyDescent="0.2">
      <c r="A604" s="157">
        <v>603</v>
      </c>
      <c r="B604" s="163">
        <v>45394</v>
      </c>
      <c r="C604" s="157">
        <f t="shared" si="22"/>
        <v>0</v>
      </c>
      <c r="D604" s="157">
        <v>0</v>
      </c>
      <c r="E604" s="157">
        <f t="shared" si="23"/>
        <v>0</v>
      </c>
      <c r="F604" s="157" t="str">
        <f t="shared" si="24"/>
        <v>Friday</v>
      </c>
      <c r="H604" s="157">
        <v>4</v>
      </c>
      <c r="I604" s="157">
        <f t="shared" si="28"/>
        <v>7</v>
      </c>
      <c r="J604" s="157">
        <f t="shared" si="27"/>
        <v>15</v>
      </c>
    </row>
    <row r="605" spans="1:10" ht="15.75" customHeight="1" x14ac:dyDescent="0.2">
      <c r="A605" s="157">
        <v>604</v>
      </c>
      <c r="B605" s="163">
        <v>45395</v>
      </c>
      <c r="C605" s="157">
        <f t="shared" si="22"/>
        <v>1</v>
      </c>
      <c r="D605" s="157">
        <v>0</v>
      </c>
      <c r="E605" s="157">
        <f t="shared" si="23"/>
        <v>1</v>
      </c>
      <c r="F605" s="157" t="str">
        <f t="shared" si="24"/>
        <v>Saturday</v>
      </c>
      <c r="H605" s="157">
        <v>4</v>
      </c>
      <c r="I605" s="157">
        <f t="shared" si="28"/>
        <v>7</v>
      </c>
      <c r="J605" s="157">
        <f t="shared" si="27"/>
        <v>15</v>
      </c>
    </row>
    <row r="606" spans="1:10" ht="15.75" customHeight="1" x14ac:dyDescent="0.2">
      <c r="A606" s="157">
        <v>605</v>
      </c>
      <c r="B606" s="163">
        <v>45396</v>
      </c>
      <c r="C606" s="157">
        <f t="shared" si="22"/>
        <v>1</v>
      </c>
      <c r="D606" s="157">
        <v>0</v>
      </c>
      <c r="E606" s="157">
        <f t="shared" si="23"/>
        <v>1</v>
      </c>
      <c r="F606" s="157" t="str">
        <f t="shared" si="24"/>
        <v>Sunday</v>
      </c>
      <c r="H606" s="157">
        <v>4</v>
      </c>
      <c r="I606" s="157">
        <f t="shared" si="28"/>
        <v>7</v>
      </c>
      <c r="J606" s="157">
        <f t="shared" si="27"/>
        <v>15</v>
      </c>
    </row>
    <row r="607" spans="1:10" ht="15.75" customHeight="1" x14ac:dyDescent="0.2">
      <c r="A607" s="157">
        <v>606</v>
      </c>
      <c r="B607" s="163">
        <v>45397</v>
      </c>
      <c r="C607" s="157">
        <f t="shared" si="22"/>
        <v>0</v>
      </c>
      <c r="D607" s="157">
        <v>0</v>
      </c>
      <c r="E607" s="157">
        <f t="shared" si="23"/>
        <v>0</v>
      </c>
      <c r="F607" s="157" t="str">
        <f t="shared" si="24"/>
        <v>Monday</v>
      </c>
      <c r="H607" s="157">
        <v>4</v>
      </c>
      <c r="I607" s="157">
        <f t="shared" si="28"/>
        <v>8</v>
      </c>
      <c r="J607" s="157">
        <f t="shared" si="27"/>
        <v>16</v>
      </c>
    </row>
    <row r="608" spans="1:10" ht="15.75" customHeight="1" x14ac:dyDescent="0.2">
      <c r="A608" s="157">
        <v>607</v>
      </c>
      <c r="B608" s="163">
        <v>45398</v>
      </c>
      <c r="C608" s="157">
        <f t="shared" si="22"/>
        <v>0</v>
      </c>
      <c r="D608" s="157">
        <v>0</v>
      </c>
      <c r="E608" s="157">
        <f t="shared" si="23"/>
        <v>0</v>
      </c>
      <c r="F608" s="157" t="str">
        <f t="shared" si="24"/>
        <v>Tuesday</v>
      </c>
      <c r="H608" s="157">
        <v>4</v>
      </c>
      <c r="I608" s="157">
        <f t="shared" si="28"/>
        <v>8</v>
      </c>
      <c r="J608" s="157">
        <f t="shared" si="27"/>
        <v>16</v>
      </c>
    </row>
    <row r="609" spans="1:10" ht="15.75" customHeight="1" x14ac:dyDescent="0.2">
      <c r="A609" s="157">
        <v>608</v>
      </c>
      <c r="B609" s="163">
        <v>45399</v>
      </c>
      <c r="C609" s="157">
        <f t="shared" si="22"/>
        <v>0</v>
      </c>
      <c r="D609" s="157">
        <v>0</v>
      </c>
      <c r="E609" s="157">
        <f t="shared" si="23"/>
        <v>0</v>
      </c>
      <c r="F609" s="157" t="str">
        <f t="shared" si="24"/>
        <v>Wednesday</v>
      </c>
      <c r="H609" s="157">
        <v>4</v>
      </c>
      <c r="I609" s="157">
        <f t="shared" si="28"/>
        <v>8</v>
      </c>
      <c r="J609" s="157">
        <f t="shared" si="27"/>
        <v>16</v>
      </c>
    </row>
    <row r="610" spans="1:10" ht="15.75" customHeight="1" x14ac:dyDescent="0.2">
      <c r="A610" s="157">
        <v>609</v>
      </c>
      <c r="B610" s="163">
        <v>45400</v>
      </c>
      <c r="C610" s="157">
        <f t="shared" si="22"/>
        <v>0</v>
      </c>
      <c r="D610" s="157">
        <v>0</v>
      </c>
      <c r="E610" s="157">
        <f t="shared" si="23"/>
        <v>0</v>
      </c>
      <c r="F610" s="157" t="str">
        <f t="shared" si="24"/>
        <v>Thursday</v>
      </c>
      <c r="H610" s="157">
        <v>4</v>
      </c>
      <c r="I610" s="157">
        <f t="shared" si="28"/>
        <v>8</v>
      </c>
      <c r="J610" s="157">
        <f t="shared" si="27"/>
        <v>16</v>
      </c>
    </row>
    <row r="611" spans="1:10" ht="15.75" customHeight="1" x14ac:dyDescent="0.2">
      <c r="A611" s="157">
        <v>610</v>
      </c>
      <c r="B611" s="163">
        <v>45401</v>
      </c>
      <c r="C611" s="157">
        <f t="shared" si="22"/>
        <v>0</v>
      </c>
      <c r="D611" s="157">
        <v>0</v>
      </c>
      <c r="E611" s="157">
        <f t="shared" si="23"/>
        <v>0</v>
      </c>
      <c r="F611" s="157" t="str">
        <f t="shared" si="24"/>
        <v>Friday</v>
      </c>
      <c r="H611" s="157">
        <v>4</v>
      </c>
      <c r="I611" s="157">
        <f t="shared" si="28"/>
        <v>8</v>
      </c>
      <c r="J611" s="157">
        <f t="shared" si="27"/>
        <v>16</v>
      </c>
    </row>
    <row r="612" spans="1:10" ht="15.75" customHeight="1" x14ac:dyDescent="0.2">
      <c r="A612" s="157">
        <v>611</v>
      </c>
      <c r="B612" s="163">
        <v>45402</v>
      </c>
      <c r="C612" s="157">
        <f t="shared" si="22"/>
        <v>1</v>
      </c>
      <c r="D612" s="157">
        <v>0</v>
      </c>
      <c r="E612" s="157">
        <f t="shared" si="23"/>
        <v>1</v>
      </c>
      <c r="F612" s="157" t="str">
        <f t="shared" si="24"/>
        <v>Saturday</v>
      </c>
      <c r="H612" s="157">
        <v>4</v>
      </c>
      <c r="I612" s="157">
        <f t="shared" si="28"/>
        <v>8</v>
      </c>
      <c r="J612" s="157">
        <f t="shared" si="27"/>
        <v>16</v>
      </c>
    </row>
    <row r="613" spans="1:10" ht="15.75" customHeight="1" x14ac:dyDescent="0.2">
      <c r="A613" s="157">
        <v>612</v>
      </c>
      <c r="B613" s="163">
        <v>45403</v>
      </c>
      <c r="C613" s="157">
        <f t="shared" si="22"/>
        <v>1</v>
      </c>
      <c r="D613" s="157">
        <v>0</v>
      </c>
      <c r="E613" s="157">
        <f t="shared" si="23"/>
        <v>1</v>
      </c>
      <c r="F613" s="157" t="str">
        <f t="shared" si="24"/>
        <v>Sunday</v>
      </c>
      <c r="H613" s="157">
        <v>4</v>
      </c>
      <c r="I613" s="157">
        <f t="shared" si="28"/>
        <v>8</v>
      </c>
      <c r="J613" s="157">
        <f t="shared" si="27"/>
        <v>16</v>
      </c>
    </row>
    <row r="614" spans="1:10" ht="15.75" customHeight="1" x14ac:dyDescent="0.2">
      <c r="A614" s="157">
        <v>613</v>
      </c>
      <c r="B614" s="163">
        <v>45404</v>
      </c>
      <c r="C614" s="157">
        <f t="shared" si="22"/>
        <v>0</v>
      </c>
      <c r="D614" s="157">
        <v>0</v>
      </c>
      <c r="E614" s="157">
        <f t="shared" si="23"/>
        <v>0</v>
      </c>
      <c r="F614" s="157" t="str">
        <f t="shared" si="24"/>
        <v>Monday</v>
      </c>
      <c r="H614" s="157">
        <v>4</v>
      </c>
      <c r="I614" s="157">
        <f t="shared" si="28"/>
        <v>9</v>
      </c>
      <c r="J614" s="157">
        <f t="shared" si="27"/>
        <v>17</v>
      </c>
    </row>
    <row r="615" spans="1:10" ht="15.75" customHeight="1" x14ac:dyDescent="0.2">
      <c r="A615" s="157">
        <v>614</v>
      </c>
      <c r="B615" s="163">
        <v>45405</v>
      </c>
      <c r="C615" s="157">
        <f t="shared" si="22"/>
        <v>0</v>
      </c>
      <c r="D615" s="157">
        <v>0</v>
      </c>
      <c r="E615" s="157">
        <f t="shared" si="23"/>
        <v>0</v>
      </c>
      <c r="F615" s="157" t="str">
        <f t="shared" si="24"/>
        <v>Tuesday</v>
      </c>
      <c r="H615" s="157">
        <v>4</v>
      </c>
      <c r="I615" s="157">
        <f t="shared" si="28"/>
        <v>9</v>
      </c>
      <c r="J615" s="157">
        <f t="shared" si="27"/>
        <v>17</v>
      </c>
    </row>
    <row r="616" spans="1:10" ht="15.75" customHeight="1" x14ac:dyDescent="0.2">
      <c r="A616" s="157">
        <v>615</v>
      </c>
      <c r="B616" s="163">
        <v>45406</v>
      </c>
      <c r="C616" s="157">
        <f t="shared" si="22"/>
        <v>0</v>
      </c>
      <c r="D616" s="157">
        <v>0</v>
      </c>
      <c r="E616" s="157">
        <f t="shared" si="23"/>
        <v>0</v>
      </c>
      <c r="F616" s="157" t="str">
        <f t="shared" si="24"/>
        <v>Wednesday</v>
      </c>
      <c r="H616" s="157">
        <v>4</v>
      </c>
      <c r="I616" s="157">
        <f t="shared" si="28"/>
        <v>9</v>
      </c>
      <c r="J616" s="157">
        <f t="shared" si="27"/>
        <v>17</v>
      </c>
    </row>
    <row r="617" spans="1:10" ht="15.75" customHeight="1" x14ac:dyDescent="0.2">
      <c r="A617" s="157">
        <v>616</v>
      </c>
      <c r="B617" s="163">
        <v>45407</v>
      </c>
      <c r="C617" s="157">
        <f t="shared" si="22"/>
        <v>0</v>
      </c>
      <c r="D617" s="157">
        <v>0</v>
      </c>
      <c r="E617" s="157">
        <f t="shared" si="23"/>
        <v>0</v>
      </c>
      <c r="F617" s="157" t="str">
        <f t="shared" si="24"/>
        <v>Thursday</v>
      </c>
      <c r="H617" s="157">
        <v>4</v>
      </c>
      <c r="I617" s="157">
        <f t="shared" si="28"/>
        <v>9</v>
      </c>
      <c r="J617" s="157">
        <f t="shared" si="27"/>
        <v>17</v>
      </c>
    </row>
    <row r="618" spans="1:10" ht="15.75" customHeight="1" x14ac:dyDescent="0.2">
      <c r="A618" s="157">
        <v>617</v>
      </c>
      <c r="B618" s="163">
        <v>45408</v>
      </c>
      <c r="C618" s="157">
        <f t="shared" si="22"/>
        <v>0</v>
      </c>
      <c r="D618" s="157">
        <v>0</v>
      </c>
      <c r="E618" s="157">
        <f t="shared" si="23"/>
        <v>0</v>
      </c>
      <c r="F618" s="157" t="str">
        <f t="shared" si="24"/>
        <v>Friday</v>
      </c>
      <c r="H618" s="157">
        <v>4</v>
      </c>
      <c r="I618" s="157">
        <f t="shared" si="28"/>
        <v>9</v>
      </c>
      <c r="J618" s="157">
        <f t="shared" si="27"/>
        <v>17</v>
      </c>
    </row>
    <row r="619" spans="1:10" ht="15.75" customHeight="1" x14ac:dyDescent="0.2">
      <c r="A619" s="157">
        <v>618</v>
      </c>
      <c r="B619" s="163">
        <v>45409</v>
      </c>
      <c r="C619" s="157">
        <f t="shared" si="22"/>
        <v>1</v>
      </c>
      <c r="D619" s="157">
        <v>1</v>
      </c>
      <c r="E619" s="157">
        <f t="shared" si="23"/>
        <v>1</v>
      </c>
      <c r="F619" s="157" t="str">
        <f t="shared" si="24"/>
        <v>Saturday</v>
      </c>
      <c r="G619" s="157" t="s">
        <v>1777</v>
      </c>
      <c r="H619" s="157">
        <v>4</v>
      </c>
      <c r="I619" s="157">
        <f t="shared" si="28"/>
        <v>9</v>
      </c>
      <c r="J619" s="157">
        <f t="shared" si="27"/>
        <v>17</v>
      </c>
    </row>
    <row r="620" spans="1:10" ht="15.75" customHeight="1" x14ac:dyDescent="0.2">
      <c r="A620" s="157">
        <v>619</v>
      </c>
      <c r="B620" s="163">
        <v>45410</v>
      </c>
      <c r="C620" s="157">
        <f t="shared" si="22"/>
        <v>1</v>
      </c>
      <c r="D620" s="157">
        <v>1</v>
      </c>
      <c r="E620" s="157">
        <f t="shared" si="23"/>
        <v>1</v>
      </c>
      <c r="F620" s="157" t="str">
        <f t="shared" si="24"/>
        <v>Sunday</v>
      </c>
      <c r="G620" s="157" t="s">
        <v>1777</v>
      </c>
      <c r="H620" s="157">
        <v>4</v>
      </c>
      <c r="I620" s="157">
        <f t="shared" si="28"/>
        <v>9</v>
      </c>
      <c r="J620" s="157">
        <f t="shared" si="27"/>
        <v>17</v>
      </c>
    </row>
    <row r="621" spans="1:10" ht="15.75" customHeight="1" x14ac:dyDescent="0.2">
      <c r="A621" s="157">
        <v>620</v>
      </c>
      <c r="B621" s="163">
        <v>45411</v>
      </c>
      <c r="C621" s="157">
        <f t="shared" si="22"/>
        <v>0</v>
      </c>
      <c r="D621" s="157">
        <v>1</v>
      </c>
      <c r="E621" s="157">
        <f t="shared" si="23"/>
        <v>1</v>
      </c>
      <c r="F621" s="157" t="str">
        <f t="shared" si="24"/>
        <v>Monday</v>
      </c>
      <c r="G621" s="157" t="s">
        <v>1777</v>
      </c>
      <c r="H621" s="157">
        <v>4</v>
      </c>
      <c r="I621" s="157">
        <f t="shared" si="28"/>
        <v>10</v>
      </c>
      <c r="J621" s="157">
        <f t="shared" si="27"/>
        <v>18</v>
      </c>
    </row>
    <row r="622" spans="1:10" ht="15.75" customHeight="1" x14ac:dyDescent="0.2">
      <c r="A622" s="157">
        <v>621</v>
      </c>
      <c r="B622" s="163">
        <v>45412</v>
      </c>
      <c r="C622" s="157">
        <f t="shared" si="22"/>
        <v>0</v>
      </c>
      <c r="D622" s="157">
        <v>1</v>
      </c>
      <c r="E622" s="157">
        <f t="shared" si="23"/>
        <v>1</v>
      </c>
      <c r="F622" s="157" t="str">
        <f t="shared" si="24"/>
        <v>Tuesday</v>
      </c>
      <c r="G622" s="157" t="s">
        <v>1777</v>
      </c>
      <c r="H622" s="157">
        <v>4</v>
      </c>
      <c r="I622" s="157">
        <f t="shared" si="28"/>
        <v>10</v>
      </c>
      <c r="J622" s="157">
        <f t="shared" si="27"/>
        <v>18</v>
      </c>
    </row>
    <row r="623" spans="1:10" ht="15.75" customHeight="1" x14ac:dyDescent="0.2">
      <c r="A623" s="157">
        <v>622</v>
      </c>
      <c r="B623" s="163">
        <v>45413</v>
      </c>
      <c r="C623" s="157">
        <f t="shared" si="22"/>
        <v>0</v>
      </c>
      <c r="D623" s="157">
        <v>1</v>
      </c>
      <c r="E623" s="157">
        <f t="shared" si="23"/>
        <v>1</v>
      </c>
      <c r="F623" s="157" t="str">
        <f t="shared" si="24"/>
        <v>Wednesday</v>
      </c>
      <c r="G623" s="157" t="s">
        <v>1777</v>
      </c>
      <c r="H623" s="157">
        <v>4</v>
      </c>
      <c r="I623" s="157">
        <f t="shared" si="28"/>
        <v>10</v>
      </c>
      <c r="J623" s="157">
        <f t="shared" si="27"/>
        <v>18</v>
      </c>
    </row>
    <row r="624" spans="1:10" ht="15.75" customHeight="1" x14ac:dyDescent="0.2">
      <c r="A624" s="157">
        <v>623</v>
      </c>
      <c r="B624" s="163">
        <v>45414</v>
      </c>
      <c r="C624" s="157">
        <f t="shared" si="22"/>
        <v>0</v>
      </c>
      <c r="D624" s="157">
        <v>1</v>
      </c>
      <c r="E624" s="157">
        <f t="shared" si="23"/>
        <v>1</v>
      </c>
      <c r="F624" s="157" t="str">
        <f t="shared" si="24"/>
        <v>Thursday</v>
      </c>
      <c r="G624" s="157" t="s">
        <v>1777</v>
      </c>
      <c r="H624" s="157">
        <v>4</v>
      </c>
      <c r="I624" s="157">
        <f t="shared" si="28"/>
        <v>10</v>
      </c>
      <c r="J624" s="157">
        <f t="shared" si="27"/>
        <v>18</v>
      </c>
    </row>
    <row r="625" spans="1:10" ht="15.75" customHeight="1" x14ac:dyDescent="0.2">
      <c r="A625" s="157">
        <v>624</v>
      </c>
      <c r="B625" s="163">
        <v>45415</v>
      </c>
      <c r="C625" s="157">
        <f t="shared" si="22"/>
        <v>0</v>
      </c>
      <c r="D625" s="157">
        <v>1</v>
      </c>
      <c r="E625" s="157">
        <f t="shared" si="23"/>
        <v>1</v>
      </c>
      <c r="F625" s="157" t="str">
        <f t="shared" si="24"/>
        <v>Friday</v>
      </c>
      <c r="G625" s="157" t="s">
        <v>1777</v>
      </c>
      <c r="H625" s="157">
        <v>4</v>
      </c>
      <c r="I625" s="157">
        <f t="shared" si="28"/>
        <v>10</v>
      </c>
      <c r="J625" s="157">
        <f t="shared" si="27"/>
        <v>18</v>
      </c>
    </row>
    <row r="626" spans="1:10" ht="15.75" customHeight="1" x14ac:dyDescent="0.2">
      <c r="A626" s="157">
        <v>625</v>
      </c>
      <c r="B626" s="163">
        <v>45416</v>
      </c>
      <c r="C626" s="157">
        <f t="shared" si="22"/>
        <v>1</v>
      </c>
      <c r="D626" s="157">
        <v>1</v>
      </c>
      <c r="E626" s="157">
        <f t="shared" si="23"/>
        <v>1</v>
      </c>
      <c r="F626" s="157" t="str">
        <f t="shared" si="24"/>
        <v>Saturday</v>
      </c>
      <c r="G626" s="157" t="s">
        <v>1777</v>
      </c>
      <c r="H626" s="157">
        <v>4</v>
      </c>
      <c r="I626" s="157">
        <f t="shared" si="28"/>
        <v>10</v>
      </c>
      <c r="J626" s="157">
        <f t="shared" si="27"/>
        <v>18</v>
      </c>
    </row>
    <row r="627" spans="1:10" ht="15.75" customHeight="1" x14ac:dyDescent="0.2">
      <c r="A627" s="157">
        <v>626</v>
      </c>
      <c r="B627" s="163">
        <v>45417</v>
      </c>
      <c r="C627" s="157">
        <f t="shared" si="22"/>
        <v>1</v>
      </c>
      <c r="D627" s="157">
        <v>1</v>
      </c>
      <c r="E627" s="157">
        <f t="shared" si="23"/>
        <v>1</v>
      </c>
      <c r="F627" s="157" t="str">
        <f t="shared" si="24"/>
        <v>Sunday</v>
      </c>
      <c r="G627" s="157" t="s">
        <v>1777</v>
      </c>
      <c r="H627" s="157">
        <v>4</v>
      </c>
      <c r="I627" s="157">
        <f t="shared" si="28"/>
        <v>10</v>
      </c>
      <c r="J627" s="157">
        <f t="shared" si="27"/>
        <v>18</v>
      </c>
    </row>
    <row r="628" spans="1:10" ht="15.75" customHeight="1" x14ac:dyDescent="0.2">
      <c r="A628" s="157">
        <v>627</v>
      </c>
      <c r="B628" s="163">
        <v>45418</v>
      </c>
      <c r="C628" s="157">
        <f t="shared" si="22"/>
        <v>0</v>
      </c>
      <c r="D628" s="157">
        <v>1</v>
      </c>
      <c r="E628" s="157">
        <f t="shared" si="23"/>
        <v>1</v>
      </c>
      <c r="F628" s="157" t="str">
        <f t="shared" si="24"/>
        <v>Monday</v>
      </c>
      <c r="G628" s="157" t="s">
        <v>1774</v>
      </c>
      <c r="H628" s="157">
        <v>5</v>
      </c>
      <c r="I628" s="157">
        <f t="shared" si="28"/>
        <v>1</v>
      </c>
      <c r="J628" s="157">
        <f t="shared" si="27"/>
        <v>19</v>
      </c>
    </row>
    <row r="629" spans="1:10" ht="15.75" customHeight="1" x14ac:dyDescent="0.2">
      <c r="A629" s="157">
        <v>628</v>
      </c>
      <c r="B629" s="163">
        <v>45419</v>
      </c>
      <c r="C629" s="157">
        <f t="shared" si="22"/>
        <v>0</v>
      </c>
      <c r="D629" s="157">
        <v>0</v>
      </c>
      <c r="E629" s="157">
        <f t="shared" si="23"/>
        <v>0</v>
      </c>
      <c r="F629" s="157" t="str">
        <f t="shared" si="24"/>
        <v>Tuesday</v>
      </c>
      <c r="H629" s="157">
        <v>5</v>
      </c>
      <c r="I629" s="157">
        <f t="shared" si="28"/>
        <v>1</v>
      </c>
      <c r="J629" s="157">
        <f t="shared" si="27"/>
        <v>19</v>
      </c>
    </row>
    <row r="630" spans="1:10" ht="15.75" customHeight="1" x14ac:dyDescent="0.2">
      <c r="A630" s="157">
        <v>629</v>
      </c>
      <c r="B630" s="163">
        <v>45420</v>
      </c>
      <c r="C630" s="157">
        <f t="shared" si="22"/>
        <v>0</v>
      </c>
      <c r="D630" s="157">
        <v>0</v>
      </c>
      <c r="E630" s="157">
        <f t="shared" si="23"/>
        <v>0</v>
      </c>
      <c r="F630" s="157" t="str">
        <f t="shared" si="24"/>
        <v>Wednesday</v>
      </c>
      <c r="H630" s="157">
        <v>5</v>
      </c>
      <c r="I630" s="157">
        <f t="shared" si="28"/>
        <v>1</v>
      </c>
      <c r="J630" s="157">
        <f t="shared" si="27"/>
        <v>19</v>
      </c>
    </row>
    <row r="631" spans="1:10" ht="15.75" customHeight="1" x14ac:dyDescent="0.2">
      <c r="A631" s="157">
        <v>630</v>
      </c>
      <c r="B631" s="163">
        <v>45421</v>
      </c>
      <c r="C631" s="157">
        <f t="shared" si="22"/>
        <v>0</v>
      </c>
      <c r="D631" s="157">
        <v>0</v>
      </c>
      <c r="E631" s="157">
        <f t="shared" si="23"/>
        <v>0</v>
      </c>
      <c r="F631" s="157" t="str">
        <f t="shared" si="24"/>
        <v>Thursday</v>
      </c>
      <c r="H631" s="157">
        <v>5</v>
      </c>
      <c r="I631" s="157">
        <f t="shared" si="28"/>
        <v>1</v>
      </c>
      <c r="J631" s="157">
        <f t="shared" si="27"/>
        <v>19</v>
      </c>
    </row>
    <row r="632" spans="1:10" ht="15.75" customHeight="1" x14ac:dyDescent="0.2">
      <c r="A632" s="157">
        <v>631</v>
      </c>
      <c r="B632" s="163">
        <v>45422</v>
      </c>
      <c r="C632" s="157">
        <f t="shared" si="22"/>
        <v>0</v>
      </c>
      <c r="D632" s="157">
        <v>0</v>
      </c>
      <c r="E632" s="157">
        <f t="shared" si="23"/>
        <v>0</v>
      </c>
      <c r="F632" s="157" t="str">
        <f t="shared" si="24"/>
        <v>Friday</v>
      </c>
      <c r="H632" s="157">
        <v>5</v>
      </c>
      <c r="I632" s="157">
        <f t="shared" si="28"/>
        <v>1</v>
      </c>
      <c r="J632" s="157">
        <f t="shared" si="27"/>
        <v>19</v>
      </c>
    </row>
    <row r="633" spans="1:10" ht="15.75" customHeight="1" x14ac:dyDescent="0.2">
      <c r="A633" s="157">
        <v>632</v>
      </c>
      <c r="B633" s="163">
        <v>45423</v>
      </c>
      <c r="C633" s="157">
        <f t="shared" si="22"/>
        <v>1</v>
      </c>
      <c r="D633" s="157">
        <v>0</v>
      </c>
      <c r="E633" s="157">
        <f t="shared" si="23"/>
        <v>1</v>
      </c>
      <c r="F633" s="157" t="str">
        <f t="shared" si="24"/>
        <v>Saturday</v>
      </c>
      <c r="H633" s="157">
        <v>5</v>
      </c>
      <c r="I633" s="157">
        <f t="shared" si="28"/>
        <v>1</v>
      </c>
      <c r="J633" s="157">
        <f t="shared" si="27"/>
        <v>19</v>
      </c>
    </row>
    <row r="634" spans="1:10" ht="15.75" customHeight="1" x14ac:dyDescent="0.2">
      <c r="A634" s="157">
        <v>633</v>
      </c>
      <c r="B634" s="163">
        <v>45424</v>
      </c>
      <c r="C634" s="157">
        <f t="shared" si="22"/>
        <v>1</v>
      </c>
      <c r="D634" s="157">
        <v>0</v>
      </c>
      <c r="E634" s="157">
        <f t="shared" si="23"/>
        <v>1</v>
      </c>
      <c r="F634" s="157" t="str">
        <f t="shared" si="24"/>
        <v>Sunday</v>
      </c>
      <c r="H634" s="157">
        <v>5</v>
      </c>
      <c r="I634" s="157">
        <f t="shared" si="28"/>
        <v>1</v>
      </c>
      <c r="J634" s="157">
        <f t="shared" si="27"/>
        <v>19</v>
      </c>
    </row>
    <row r="635" spans="1:10" ht="15.75" customHeight="1" x14ac:dyDescent="0.2">
      <c r="A635" s="157">
        <v>634</v>
      </c>
      <c r="B635" s="163">
        <v>45425</v>
      </c>
      <c r="C635" s="157">
        <f t="shared" si="22"/>
        <v>0</v>
      </c>
      <c r="D635" s="157">
        <v>0</v>
      </c>
      <c r="E635" s="157">
        <f t="shared" si="23"/>
        <v>0</v>
      </c>
      <c r="F635" s="157" t="str">
        <f t="shared" si="24"/>
        <v>Monday</v>
      </c>
      <c r="H635" s="157">
        <v>5</v>
      </c>
      <c r="I635" s="157">
        <f t="shared" si="28"/>
        <v>2</v>
      </c>
      <c r="J635" s="157">
        <f t="shared" si="27"/>
        <v>20</v>
      </c>
    </row>
    <row r="636" spans="1:10" ht="15.75" customHeight="1" x14ac:dyDescent="0.2">
      <c r="A636" s="157">
        <v>635</v>
      </c>
      <c r="B636" s="163">
        <v>45426</v>
      </c>
      <c r="C636" s="157">
        <f t="shared" si="22"/>
        <v>0</v>
      </c>
      <c r="D636" s="157">
        <v>0</v>
      </c>
      <c r="E636" s="157">
        <f t="shared" si="23"/>
        <v>0</v>
      </c>
      <c r="F636" s="157" t="str">
        <f t="shared" si="24"/>
        <v>Tuesday</v>
      </c>
      <c r="H636" s="157">
        <v>5</v>
      </c>
      <c r="I636" s="157">
        <f t="shared" si="28"/>
        <v>2</v>
      </c>
      <c r="J636" s="157">
        <f t="shared" si="27"/>
        <v>20</v>
      </c>
    </row>
    <row r="637" spans="1:10" ht="15.75" customHeight="1" x14ac:dyDescent="0.2">
      <c r="A637" s="157">
        <v>636</v>
      </c>
      <c r="B637" s="163">
        <v>45427</v>
      </c>
      <c r="C637" s="157">
        <f t="shared" si="22"/>
        <v>0</v>
      </c>
      <c r="D637" s="157">
        <v>0</v>
      </c>
      <c r="E637" s="157">
        <f t="shared" si="23"/>
        <v>0</v>
      </c>
      <c r="F637" s="157" t="str">
        <f t="shared" si="24"/>
        <v>Wednesday</v>
      </c>
      <c r="H637" s="157">
        <v>5</v>
      </c>
      <c r="I637" s="157">
        <f t="shared" si="28"/>
        <v>2</v>
      </c>
      <c r="J637" s="157">
        <f t="shared" si="27"/>
        <v>20</v>
      </c>
    </row>
    <row r="638" spans="1:10" ht="15.75" customHeight="1" x14ac:dyDescent="0.2">
      <c r="A638" s="157">
        <v>637</v>
      </c>
      <c r="B638" s="163">
        <v>45428</v>
      </c>
      <c r="C638" s="157">
        <f t="shared" si="22"/>
        <v>0</v>
      </c>
      <c r="D638" s="157">
        <v>0</v>
      </c>
      <c r="E638" s="157">
        <f t="shared" si="23"/>
        <v>0</v>
      </c>
      <c r="F638" s="157" t="str">
        <f t="shared" si="24"/>
        <v>Thursday</v>
      </c>
      <c r="H638" s="157">
        <v>5</v>
      </c>
      <c r="I638" s="157">
        <f t="shared" si="28"/>
        <v>2</v>
      </c>
      <c r="J638" s="157">
        <f t="shared" si="27"/>
        <v>20</v>
      </c>
    </row>
    <row r="639" spans="1:10" ht="15.75" customHeight="1" x14ac:dyDescent="0.2">
      <c r="A639" s="157">
        <v>638</v>
      </c>
      <c r="B639" s="163">
        <v>45429</v>
      </c>
      <c r="C639" s="157">
        <f t="shared" si="22"/>
        <v>0</v>
      </c>
      <c r="D639" s="157">
        <v>0</v>
      </c>
      <c r="E639" s="157">
        <f t="shared" si="23"/>
        <v>0</v>
      </c>
      <c r="F639" s="157" t="str">
        <f t="shared" si="24"/>
        <v>Friday</v>
      </c>
      <c r="H639" s="157">
        <v>5</v>
      </c>
      <c r="I639" s="157">
        <f t="shared" si="28"/>
        <v>2</v>
      </c>
      <c r="J639" s="157">
        <f t="shared" si="27"/>
        <v>20</v>
      </c>
    </row>
    <row r="640" spans="1:10" ht="15.75" customHeight="1" x14ac:dyDescent="0.2">
      <c r="A640" s="157">
        <v>639</v>
      </c>
      <c r="B640" s="163">
        <v>45430</v>
      </c>
      <c r="C640" s="157">
        <f t="shared" si="22"/>
        <v>1</v>
      </c>
      <c r="D640" s="157">
        <v>0</v>
      </c>
      <c r="E640" s="157">
        <f t="shared" si="23"/>
        <v>1</v>
      </c>
      <c r="F640" s="157" t="str">
        <f t="shared" si="24"/>
        <v>Saturday</v>
      </c>
      <c r="H640" s="157">
        <v>5</v>
      </c>
      <c r="I640" s="157">
        <f t="shared" si="28"/>
        <v>2</v>
      </c>
      <c r="J640" s="157">
        <f t="shared" si="27"/>
        <v>20</v>
      </c>
    </row>
    <row r="641" spans="1:10" ht="15.75" customHeight="1" x14ac:dyDescent="0.2">
      <c r="A641" s="157">
        <v>640</v>
      </c>
      <c r="B641" s="163">
        <v>45431</v>
      </c>
      <c r="C641" s="157">
        <f t="shared" si="22"/>
        <v>1</v>
      </c>
      <c r="D641" s="157">
        <v>0</v>
      </c>
      <c r="E641" s="157">
        <f t="shared" si="23"/>
        <v>1</v>
      </c>
      <c r="F641" s="157" t="str">
        <f t="shared" si="24"/>
        <v>Sunday</v>
      </c>
      <c r="H641" s="157">
        <v>5</v>
      </c>
      <c r="I641" s="157">
        <f t="shared" si="28"/>
        <v>2</v>
      </c>
      <c r="J641" s="157">
        <f t="shared" si="27"/>
        <v>20</v>
      </c>
    </row>
    <row r="642" spans="1:10" ht="15.75" customHeight="1" x14ac:dyDescent="0.2">
      <c r="A642" s="157">
        <v>641</v>
      </c>
      <c r="B642" s="163">
        <v>45432</v>
      </c>
      <c r="C642" s="157">
        <f t="shared" si="22"/>
        <v>0</v>
      </c>
      <c r="D642" s="157">
        <v>0</v>
      </c>
      <c r="E642" s="157">
        <f t="shared" si="23"/>
        <v>0</v>
      </c>
      <c r="F642" s="157" t="str">
        <f t="shared" si="24"/>
        <v>Monday</v>
      </c>
      <c r="H642" s="157">
        <v>5</v>
      </c>
      <c r="I642" s="157">
        <f t="shared" si="28"/>
        <v>3</v>
      </c>
      <c r="J642" s="157">
        <f t="shared" si="27"/>
        <v>21</v>
      </c>
    </row>
    <row r="643" spans="1:10" ht="15.75" customHeight="1" x14ac:dyDescent="0.2">
      <c r="A643" s="157">
        <v>642</v>
      </c>
      <c r="B643" s="163">
        <v>45433</v>
      </c>
      <c r="C643" s="157">
        <f t="shared" si="22"/>
        <v>0</v>
      </c>
      <c r="D643" s="157">
        <v>0</v>
      </c>
      <c r="E643" s="157">
        <f t="shared" si="23"/>
        <v>0</v>
      </c>
      <c r="F643" s="157" t="str">
        <f t="shared" si="24"/>
        <v>Tuesday</v>
      </c>
      <c r="H643" s="157">
        <v>5</v>
      </c>
      <c r="I643" s="157">
        <f t="shared" si="28"/>
        <v>3</v>
      </c>
      <c r="J643" s="157">
        <f t="shared" ref="J643:J706" si="29">_xlfn.ISOWEEKNUM(B643)</f>
        <v>21</v>
      </c>
    </row>
    <row r="644" spans="1:10" ht="15.75" customHeight="1" x14ac:dyDescent="0.2">
      <c r="A644" s="157">
        <v>643</v>
      </c>
      <c r="B644" s="163">
        <v>45434</v>
      </c>
      <c r="C644" s="157">
        <f t="shared" si="22"/>
        <v>0</v>
      </c>
      <c r="D644" s="157">
        <v>0</v>
      </c>
      <c r="E644" s="157">
        <f t="shared" si="23"/>
        <v>0</v>
      </c>
      <c r="F644" s="157" t="str">
        <f t="shared" si="24"/>
        <v>Wednesday</v>
      </c>
      <c r="H644" s="157">
        <v>5</v>
      </c>
      <c r="I644" s="157">
        <f t="shared" si="28"/>
        <v>3</v>
      </c>
      <c r="J644" s="157">
        <f t="shared" si="29"/>
        <v>21</v>
      </c>
    </row>
    <row r="645" spans="1:10" ht="15.75" customHeight="1" x14ac:dyDescent="0.2">
      <c r="A645" s="157">
        <v>644</v>
      </c>
      <c r="B645" s="163">
        <v>45435</v>
      </c>
      <c r="C645" s="157">
        <f t="shared" si="22"/>
        <v>0</v>
      </c>
      <c r="D645" s="157">
        <v>0</v>
      </c>
      <c r="E645" s="157">
        <f t="shared" si="23"/>
        <v>0</v>
      </c>
      <c r="F645" s="157" t="str">
        <f t="shared" si="24"/>
        <v>Thursday</v>
      </c>
      <c r="H645" s="157">
        <v>5</v>
      </c>
      <c r="I645" s="157">
        <f t="shared" ref="I645:I708" si="30">IF(J645&gt;J644, IF(H645&lt;&gt;H644,1, I644+1),I644)</f>
        <v>3</v>
      </c>
      <c r="J645" s="157">
        <f t="shared" si="29"/>
        <v>21</v>
      </c>
    </row>
    <row r="646" spans="1:10" ht="15.75" customHeight="1" x14ac:dyDescent="0.2">
      <c r="A646" s="157">
        <v>645</v>
      </c>
      <c r="B646" s="163">
        <v>45436</v>
      </c>
      <c r="C646" s="157">
        <f t="shared" si="22"/>
        <v>0</v>
      </c>
      <c r="D646" s="157">
        <v>0</v>
      </c>
      <c r="E646" s="157">
        <f t="shared" si="23"/>
        <v>0</v>
      </c>
      <c r="F646" s="157" t="str">
        <f t="shared" si="24"/>
        <v>Friday</v>
      </c>
      <c r="H646" s="157">
        <v>5</v>
      </c>
      <c r="I646" s="157">
        <f t="shared" si="30"/>
        <v>3</v>
      </c>
      <c r="J646" s="157">
        <f t="shared" si="29"/>
        <v>21</v>
      </c>
    </row>
    <row r="647" spans="1:10" ht="15.75" customHeight="1" x14ac:dyDescent="0.2">
      <c r="A647" s="157">
        <v>646</v>
      </c>
      <c r="B647" s="163">
        <v>45437</v>
      </c>
      <c r="C647" s="157">
        <f t="shared" si="22"/>
        <v>1</v>
      </c>
      <c r="D647" s="157">
        <v>0</v>
      </c>
      <c r="E647" s="157">
        <f t="shared" si="23"/>
        <v>1</v>
      </c>
      <c r="F647" s="157" t="str">
        <f t="shared" si="24"/>
        <v>Saturday</v>
      </c>
      <c r="H647" s="157">
        <v>5</v>
      </c>
      <c r="I647" s="157">
        <f t="shared" si="30"/>
        <v>3</v>
      </c>
      <c r="J647" s="157">
        <f t="shared" si="29"/>
        <v>21</v>
      </c>
    </row>
    <row r="648" spans="1:10" ht="15.75" customHeight="1" x14ac:dyDescent="0.2">
      <c r="A648" s="157">
        <v>647</v>
      </c>
      <c r="B648" s="163">
        <v>45438</v>
      </c>
      <c r="C648" s="157">
        <f t="shared" si="22"/>
        <v>1</v>
      </c>
      <c r="D648" s="157">
        <v>0</v>
      </c>
      <c r="E648" s="157">
        <f t="shared" si="23"/>
        <v>1</v>
      </c>
      <c r="F648" s="157" t="str">
        <f t="shared" si="24"/>
        <v>Sunday</v>
      </c>
      <c r="H648" s="157">
        <v>5</v>
      </c>
      <c r="I648" s="157">
        <f t="shared" si="30"/>
        <v>3</v>
      </c>
      <c r="J648" s="157">
        <f t="shared" si="29"/>
        <v>21</v>
      </c>
    </row>
    <row r="649" spans="1:10" ht="15.75" customHeight="1" x14ac:dyDescent="0.2">
      <c r="A649" s="157">
        <v>648</v>
      </c>
      <c r="B649" s="163">
        <v>45439</v>
      </c>
      <c r="C649" s="157">
        <f t="shared" si="22"/>
        <v>0</v>
      </c>
      <c r="D649" s="157">
        <v>0</v>
      </c>
      <c r="E649" s="157">
        <f t="shared" si="23"/>
        <v>0</v>
      </c>
      <c r="F649" s="157" t="str">
        <f t="shared" si="24"/>
        <v>Monday</v>
      </c>
      <c r="H649" s="157">
        <v>5</v>
      </c>
      <c r="I649" s="157">
        <f t="shared" si="30"/>
        <v>4</v>
      </c>
      <c r="J649" s="157">
        <f t="shared" si="29"/>
        <v>22</v>
      </c>
    </row>
    <row r="650" spans="1:10" ht="15.75" customHeight="1" x14ac:dyDescent="0.2">
      <c r="A650" s="157">
        <v>649</v>
      </c>
      <c r="B650" s="163">
        <v>45440</v>
      </c>
      <c r="C650" s="157">
        <f t="shared" si="22"/>
        <v>0</v>
      </c>
      <c r="D650" s="157">
        <v>0</v>
      </c>
      <c r="E650" s="157">
        <f t="shared" si="23"/>
        <v>0</v>
      </c>
      <c r="F650" s="157" t="str">
        <f t="shared" si="24"/>
        <v>Tuesday</v>
      </c>
      <c r="H650" s="157">
        <v>5</v>
      </c>
      <c r="I650" s="157">
        <f t="shared" si="30"/>
        <v>4</v>
      </c>
      <c r="J650" s="157">
        <f t="shared" si="29"/>
        <v>22</v>
      </c>
    </row>
    <row r="651" spans="1:10" ht="15.75" customHeight="1" x14ac:dyDescent="0.2">
      <c r="A651" s="157">
        <v>650</v>
      </c>
      <c r="B651" s="163">
        <v>45441</v>
      </c>
      <c r="C651" s="157">
        <f t="shared" si="22"/>
        <v>0</v>
      </c>
      <c r="D651" s="157">
        <v>0</v>
      </c>
      <c r="E651" s="157">
        <f t="shared" si="23"/>
        <v>0</v>
      </c>
      <c r="F651" s="157" t="str">
        <f t="shared" si="24"/>
        <v>Wednesday</v>
      </c>
      <c r="H651" s="157">
        <v>5</v>
      </c>
      <c r="I651" s="157">
        <f t="shared" si="30"/>
        <v>4</v>
      </c>
      <c r="J651" s="157">
        <f t="shared" si="29"/>
        <v>22</v>
      </c>
    </row>
    <row r="652" spans="1:10" ht="15.75" customHeight="1" x14ac:dyDescent="0.2">
      <c r="A652" s="157">
        <v>651</v>
      </c>
      <c r="B652" s="163">
        <v>45442</v>
      </c>
      <c r="C652" s="157">
        <f t="shared" si="22"/>
        <v>0</v>
      </c>
      <c r="D652" s="157">
        <v>0</v>
      </c>
      <c r="E652" s="157">
        <f t="shared" si="23"/>
        <v>0</v>
      </c>
      <c r="F652" s="157" t="str">
        <f t="shared" si="24"/>
        <v>Thursday</v>
      </c>
      <c r="H652" s="157">
        <v>5</v>
      </c>
      <c r="I652" s="157">
        <f t="shared" si="30"/>
        <v>4</v>
      </c>
      <c r="J652" s="157">
        <f t="shared" si="29"/>
        <v>22</v>
      </c>
    </row>
    <row r="653" spans="1:10" ht="15.75" customHeight="1" x14ac:dyDescent="0.2">
      <c r="A653" s="157">
        <v>652</v>
      </c>
      <c r="B653" s="163">
        <v>45443</v>
      </c>
      <c r="C653" s="157">
        <f t="shared" si="22"/>
        <v>0</v>
      </c>
      <c r="D653" s="157">
        <v>0</v>
      </c>
      <c r="E653" s="157">
        <f t="shared" si="23"/>
        <v>0</v>
      </c>
      <c r="F653" s="157" t="str">
        <f t="shared" si="24"/>
        <v>Friday</v>
      </c>
      <c r="H653" s="157">
        <v>5</v>
      </c>
      <c r="I653" s="157">
        <f t="shared" si="30"/>
        <v>4</v>
      </c>
      <c r="J653" s="157">
        <f t="shared" si="29"/>
        <v>22</v>
      </c>
    </row>
    <row r="654" spans="1:10" ht="15.75" customHeight="1" x14ac:dyDescent="0.2">
      <c r="A654" s="157">
        <v>653</v>
      </c>
      <c r="B654" s="163">
        <v>45444</v>
      </c>
      <c r="C654" s="157">
        <f t="shared" si="22"/>
        <v>1</v>
      </c>
      <c r="D654" s="157">
        <v>0</v>
      </c>
      <c r="E654" s="157">
        <f t="shared" si="23"/>
        <v>1</v>
      </c>
      <c r="F654" s="157" t="str">
        <f t="shared" si="24"/>
        <v>Saturday</v>
      </c>
      <c r="H654" s="157">
        <v>5</v>
      </c>
      <c r="I654" s="157">
        <f t="shared" si="30"/>
        <v>4</v>
      </c>
      <c r="J654" s="157">
        <f t="shared" si="29"/>
        <v>22</v>
      </c>
    </row>
    <row r="655" spans="1:10" ht="15.75" customHeight="1" x14ac:dyDescent="0.2">
      <c r="A655" s="157">
        <v>654</v>
      </c>
      <c r="B655" s="163">
        <v>45445</v>
      </c>
      <c r="C655" s="157">
        <f t="shared" si="22"/>
        <v>1</v>
      </c>
      <c r="D655" s="157">
        <v>0</v>
      </c>
      <c r="E655" s="157">
        <f t="shared" si="23"/>
        <v>1</v>
      </c>
      <c r="F655" s="157" t="str">
        <f t="shared" si="24"/>
        <v>Sunday</v>
      </c>
      <c r="H655" s="157">
        <v>5</v>
      </c>
      <c r="I655" s="157">
        <f t="shared" si="30"/>
        <v>4</v>
      </c>
      <c r="J655" s="157">
        <f t="shared" si="29"/>
        <v>22</v>
      </c>
    </row>
    <row r="656" spans="1:10" ht="15.75" customHeight="1" x14ac:dyDescent="0.2">
      <c r="A656" s="157">
        <v>655</v>
      </c>
      <c r="B656" s="163">
        <v>45446</v>
      </c>
      <c r="C656" s="157">
        <f t="shared" si="22"/>
        <v>0</v>
      </c>
      <c r="D656" s="157">
        <v>0</v>
      </c>
      <c r="E656" s="157">
        <f t="shared" si="23"/>
        <v>0</v>
      </c>
      <c r="F656" s="157" t="str">
        <f t="shared" si="24"/>
        <v>Monday</v>
      </c>
      <c r="H656" s="157">
        <v>5</v>
      </c>
      <c r="I656" s="157">
        <f t="shared" si="30"/>
        <v>5</v>
      </c>
      <c r="J656" s="157">
        <f t="shared" si="29"/>
        <v>23</v>
      </c>
    </row>
    <row r="657" spans="1:10" ht="15.75" customHeight="1" x14ac:dyDescent="0.2">
      <c r="A657" s="157">
        <v>656</v>
      </c>
      <c r="B657" s="163">
        <v>45447</v>
      </c>
      <c r="C657" s="157">
        <f t="shared" si="22"/>
        <v>0</v>
      </c>
      <c r="D657" s="157">
        <v>0</v>
      </c>
      <c r="E657" s="157">
        <f t="shared" si="23"/>
        <v>0</v>
      </c>
      <c r="F657" s="157" t="str">
        <f t="shared" si="24"/>
        <v>Tuesday</v>
      </c>
      <c r="H657" s="157">
        <v>5</v>
      </c>
      <c r="I657" s="157">
        <f t="shared" si="30"/>
        <v>5</v>
      </c>
      <c r="J657" s="157">
        <f t="shared" si="29"/>
        <v>23</v>
      </c>
    </row>
    <row r="658" spans="1:10" ht="15.75" customHeight="1" x14ac:dyDescent="0.2">
      <c r="A658" s="157">
        <v>657</v>
      </c>
      <c r="B658" s="163">
        <v>45448</v>
      </c>
      <c r="C658" s="157">
        <f t="shared" si="22"/>
        <v>0</v>
      </c>
      <c r="D658" s="157">
        <v>0</v>
      </c>
      <c r="E658" s="157">
        <f t="shared" si="23"/>
        <v>0</v>
      </c>
      <c r="F658" s="157" t="str">
        <f t="shared" si="24"/>
        <v>Wednesday</v>
      </c>
      <c r="H658" s="157">
        <v>5</v>
      </c>
      <c r="I658" s="157">
        <f t="shared" si="30"/>
        <v>5</v>
      </c>
      <c r="J658" s="157">
        <f t="shared" si="29"/>
        <v>23</v>
      </c>
    </row>
    <row r="659" spans="1:10" ht="15.75" customHeight="1" x14ac:dyDescent="0.2">
      <c r="A659" s="157">
        <v>658</v>
      </c>
      <c r="B659" s="163">
        <v>45449</v>
      </c>
      <c r="C659" s="157">
        <f t="shared" si="22"/>
        <v>0</v>
      </c>
      <c r="D659" s="157">
        <v>0</v>
      </c>
      <c r="E659" s="157">
        <f t="shared" si="23"/>
        <v>0</v>
      </c>
      <c r="F659" s="157" t="str">
        <f t="shared" si="24"/>
        <v>Thursday</v>
      </c>
      <c r="H659" s="157">
        <v>5</v>
      </c>
      <c r="I659" s="157">
        <f t="shared" si="30"/>
        <v>5</v>
      </c>
      <c r="J659" s="157">
        <f t="shared" si="29"/>
        <v>23</v>
      </c>
    </row>
    <row r="660" spans="1:10" ht="15.75" customHeight="1" x14ac:dyDescent="0.2">
      <c r="A660" s="157">
        <v>659</v>
      </c>
      <c r="B660" s="163">
        <v>45450</v>
      </c>
      <c r="C660" s="157">
        <f t="shared" si="22"/>
        <v>0</v>
      </c>
      <c r="D660" s="157">
        <v>0</v>
      </c>
      <c r="E660" s="157">
        <f t="shared" si="23"/>
        <v>0</v>
      </c>
      <c r="F660" s="157" t="str">
        <f t="shared" si="24"/>
        <v>Friday</v>
      </c>
      <c r="H660" s="157">
        <v>5</v>
      </c>
      <c r="I660" s="157">
        <f t="shared" si="30"/>
        <v>5</v>
      </c>
      <c r="J660" s="157">
        <f t="shared" si="29"/>
        <v>23</v>
      </c>
    </row>
    <row r="661" spans="1:10" ht="15.75" customHeight="1" x14ac:dyDescent="0.2">
      <c r="A661" s="157">
        <v>660</v>
      </c>
      <c r="B661" s="163">
        <v>45451</v>
      </c>
      <c r="C661" s="157">
        <f t="shared" si="22"/>
        <v>1</v>
      </c>
      <c r="D661" s="157">
        <v>0</v>
      </c>
      <c r="E661" s="157">
        <f t="shared" si="23"/>
        <v>1</v>
      </c>
      <c r="F661" s="157" t="str">
        <f t="shared" si="24"/>
        <v>Saturday</v>
      </c>
      <c r="H661" s="157">
        <v>5</v>
      </c>
      <c r="I661" s="157">
        <f t="shared" si="30"/>
        <v>5</v>
      </c>
      <c r="J661" s="157">
        <f t="shared" si="29"/>
        <v>23</v>
      </c>
    </row>
    <row r="662" spans="1:10" ht="15.75" customHeight="1" x14ac:dyDescent="0.2">
      <c r="A662" s="157">
        <v>661</v>
      </c>
      <c r="B662" s="163">
        <v>45452</v>
      </c>
      <c r="C662" s="157">
        <f t="shared" si="22"/>
        <v>1</v>
      </c>
      <c r="D662" s="157">
        <v>0</v>
      </c>
      <c r="E662" s="157">
        <f t="shared" si="23"/>
        <v>1</v>
      </c>
      <c r="F662" s="157" t="str">
        <f t="shared" si="24"/>
        <v>Sunday</v>
      </c>
      <c r="H662" s="157">
        <v>5</v>
      </c>
      <c r="I662" s="157">
        <f t="shared" si="30"/>
        <v>5</v>
      </c>
      <c r="J662" s="157">
        <f t="shared" si="29"/>
        <v>23</v>
      </c>
    </row>
    <row r="663" spans="1:10" ht="15.75" customHeight="1" x14ac:dyDescent="0.2">
      <c r="A663" s="157">
        <v>662</v>
      </c>
      <c r="B663" s="163">
        <v>45453</v>
      </c>
      <c r="C663" s="157">
        <f t="shared" si="22"/>
        <v>0</v>
      </c>
      <c r="D663" s="157">
        <v>0</v>
      </c>
      <c r="E663" s="157">
        <f t="shared" si="23"/>
        <v>0</v>
      </c>
      <c r="F663" s="157" t="str">
        <f t="shared" si="24"/>
        <v>Monday</v>
      </c>
      <c r="H663" s="157">
        <v>5</v>
      </c>
      <c r="I663" s="157">
        <f t="shared" si="30"/>
        <v>6</v>
      </c>
      <c r="J663" s="157">
        <f t="shared" si="29"/>
        <v>24</v>
      </c>
    </row>
    <row r="664" spans="1:10" ht="15.75" customHeight="1" x14ac:dyDescent="0.2">
      <c r="A664" s="157">
        <v>663</v>
      </c>
      <c r="B664" s="163">
        <v>45454</v>
      </c>
      <c r="C664" s="157">
        <f t="shared" si="22"/>
        <v>0</v>
      </c>
      <c r="D664" s="157">
        <v>0</v>
      </c>
      <c r="E664" s="157">
        <f t="shared" si="23"/>
        <v>0</v>
      </c>
      <c r="F664" s="157" t="str">
        <f t="shared" si="24"/>
        <v>Tuesday</v>
      </c>
      <c r="H664" s="157">
        <v>5</v>
      </c>
      <c r="I664" s="157">
        <f t="shared" si="30"/>
        <v>6</v>
      </c>
      <c r="J664" s="157">
        <f t="shared" si="29"/>
        <v>24</v>
      </c>
    </row>
    <row r="665" spans="1:10" ht="15.75" customHeight="1" x14ac:dyDescent="0.2">
      <c r="A665" s="157">
        <v>664</v>
      </c>
      <c r="B665" s="163">
        <v>45455</v>
      </c>
      <c r="C665" s="157">
        <f t="shared" si="22"/>
        <v>0</v>
      </c>
      <c r="D665" s="157">
        <v>0</v>
      </c>
      <c r="E665" s="157">
        <f t="shared" si="23"/>
        <v>0</v>
      </c>
      <c r="F665" s="157" t="str">
        <f t="shared" si="24"/>
        <v>Wednesday</v>
      </c>
      <c r="H665" s="157">
        <v>5</v>
      </c>
      <c r="I665" s="157">
        <f t="shared" si="30"/>
        <v>6</v>
      </c>
      <c r="J665" s="157">
        <f t="shared" si="29"/>
        <v>24</v>
      </c>
    </row>
    <row r="666" spans="1:10" ht="15.75" customHeight="1" x14ac:dyDescent="0.2">
      <c r="A666" s="157">
        <v>665</v>
      </c>
      <c r="B666" s="163">
        <v>45456</v>
      </c>
      <c r="C666" s="157">
        <f t="shared" si="22"/>
        <v>0</v>
      </c>
      <c r="D666" s="157">
        <v>0</v>
      </c>
      <c r="E666" s="157">
        <f t="shared" si="23"/>
        <v>0</v>
      </c>
      <c r="F666" s="157" t="str">
        <f t="shared" si="24"/>
        <v>Thursday</v>
      </c>
      <c r="H666" s="157">
        <v>5</v>
      </c>
      <c r="I666" s="157">
        <f t="shared" si="30"/>
        <v>6</v>
      </c>
      <c r="J666" s="157">
        <f t="shared" si="29"/>
        <v>24</v>
      </c>
    </row>
    <row r="667" spans="1:10" ht="15.75" customHeight="1" x14ac:dyDescent="0.2">
      <c r="A667" s="157">
        <v>666</v>
      </c>
      <c r="B667" s="163">
        <v>45457</v>
      </c>
      <c r="C667" s="157">
        <f t="shared" si="22"/>
        <v>0</v>
      </c>
      <c r="D667" s="157">
        <v>0</v>
      </c>
      <c r="E667" s="157">
        <f t="shared" si="23"/>
        <v>0</v>
      </c>
      <c r="F667" s="157" t="str">
        <f t="shared" si="24"/>
        <v>Friday</v>
      </c>
      <c r="H667" s="157">
        <v>5</v>
      </c>
      <c r="I667" s="157">
        <f t="shared" si="30"/>
        <v>6</v>
      </c>
      <c r="J667" s="157">
        <f t="shared" si="29"/>
        <v>24</v>
      </c>
    </row>
    <row r="668" spans="1:10" ht="15.75" customHeight="1" x14ac:dyDescent="0.2">
      <c r="A668" s="157">
        <v>667</v>
      </c>
      <c r="B668" s="163">
        <v>45458</v>
      </c>
      <c r="C668" s="157">
        <f t="shared" si="22"/>
        <v>1</v>
      </c>
      <c r="D668" s="157">
        <v>0</v>
      </c>
      <c r="E668" s="157">
        <f t="shared" si="23"/>
        <v>1</v>
      </c>
      <c r="F668" s="157" t="str">
        <f t="shared" si="24"/>
        <v>Saturday</v>
      </c>
      <c r="H668" s="157">
        <v>5</v>
      </c>
      <c r="I668" s="157">
        <f t="shared" si="30"/>
        <v>6</v>
      </c>
      <c r="J668" s="157">
        <f t="shared" si="29"/>
        <v>24</v>
      </c>
    </row>
    <row r="669" spans="1:10" ht="15.75" customHeight="1" x14ac:dyDescent="0.2">
      <c r="A669" s="157">
        <v>668</v>
      </c>
      <c r="B669" s="163">
        <v>45459</v>
      </c>
      <c r="C669" s="157">
        <f t="shared" si="22"/>
        <v>1</v>
      </c>
      <c r="D669" s="157">
        <v>0</v>
      </c>
      <c r="E669" s="157">
        <f t="shared" si="23"/>
        <v>1</v>
      </c>
      <c r="F669" s="157" t="str">
        <f t="shared" si="24"/>
        <v>Sunday</v>
      </c>
      <c r="H669" s="157">
        <v>5</v>
      </c>
      <c r="I669" s="157">
        <f t="shared" si="30"/>
        <v>6</v>
      </c>
      <c r="J669" s="157">
        <f t="shared" si="29"/>
        <v>24</v>
      </c>
    </row>
    <row r="670" spans="1:10" ht="15.75" customHeight="1" x14ac:dyDescent="0.2">
      <c r="A670" s="157">
        <v>669</v>
      </c>
      <c r="B670" s="163">
        <v>45460</v>
      </c>
      <c r="C670" s="157">
        <f t="shared" si="22"/>
        <v>0</v>
      </c>
      <c r="D670" s="157">
        <v>0</v>
      </c>
      <c r="E670" s="157">
        <f t="shared" si="23"/>
        <v>0</v>
      </c>
      <c r="F670" s="157" t="str">
        <f t="shared" si="24"/>
        <v>Monday</v>
      </c>
      <c r="H670" s="157">
        <v>5</v>
      </c>
      <c r="I670" s="157">
        <f t="shared" si="30"/>
        <v>7</v>
      </c>
      <c r="J670" s="157">
        <f t="shared" si="29"/>
        <v>25</v>
      </c>
    </row>
    <row r="671" spans="1:10" ht="15.75" customHeight="1" x14ac:dyDescent="0.2">
      <c r="A671" s="157">
        <v>670</v>
      </c>
      <c r="B671" s="163">
        <v>45461</v>
      </c>
      <c r="C671" s="157">
        <f t="shared" si="22"/>
        <v>0</v>
      </c>
      <c r="D671" s="157">
        <v>0</v>
      </c>
      <c r="E671" s="157">
        <f t="shared" si="23"/>
        <v>0</v>
      </c>
      <c r="F671" s="157" t="str">
        <f t="shared" si="24"/>
        <v>Tuesday</v>
      </c>
      <c r="H671" s="157">
        <v>5</v>
      </c>
      <c r="I671" s="157">
        <f t="shared" si="30"/>
        <v>7</v>
      </c>
      <c r="J671" s="157">
        <f t="shared" si="29"/>
        <v>25</v>
      </c>
    </row>
    <row r="672" spans="1:10" ht="15.75" customHeight="1" x14ac:dyDescent="0.2">
      <c r="A672" s="157">
        <v>671</v>
      </c>
      <c r="B672" s="163">
        <v>45462</v>
      </c>
      <c r="C672" s="157">
        <f t="shared" si="22"/>
        <v>0</v>
      </c>
      <c r="D672" s="157">
        <v>0</v>
      </c>
      <c r="E672" s="157">
        <f t="shared" si="23"/>
        <v>0</v>
      </c>
      <c r="F672" s="157" t="str">
        <f t="shared" si="24"/>
        <v>Wednesday</v>
      </c>
      <c r="H672" s="157">
        <v>5</v>
      </c>
      <c r="I672" s="157">
        <f t="shared" si="30"/>
        <v>7</v>
      </c>
      <c r="J672" s="157">
        <f t="shared" si="29"/>
        <v>25</v>
      </c>
    </row>
    <row r="673" spans="1:10" ht="15.75" customHeight="1" x14ac:dyDescent="0.2">
      <c r="A673" s="157">
        <v>672</v>
      </c>
      <c r="B673" s="163">
        <v>45463</v>
      </c>
      <c r="C673" s="157">
        <f t="shared" si="22"/>
        <v>0</v>
      </c>
      <c r="D673" s="157">
        <v>0</v>
      </c>
      <c r="E673" s="157">
        <f t="shared" si="23"/>
        <v>0</v>
      </c>
      <c r="F673" s="157" t="str">
        <f t="shared" si="24"/>
        <v>Thursday</v>
      </c>
      <c r="H673" s="157">
        <v>5</v>
      </c>
      <c r="I673" s="157">
        <f t="shared" si="30"/>
        <v>7</v>
      </c>
      <c r="J673" s="157">
        <f t="shared" si="29"/>
        <v>25</v>
      </c>
    </row>
    <row r="674" spans="1:10" ht="15.75" customHeight="1" x14ac:dyDescent="0.2">
      <c r="A674" s="157">
        <v>673</v>
      </c>
      <c r="B674" s="163">
        <v>45464</v>
      </c>
      <c r="C674" s="157">
        <f t="shared" si="22"/>
        <v>0</v>
      </c>
      <c r="D674" s="157">
        <v>0</v>
      </c>
      <c r="E674" s="157">
        <f t="shared" si="23"/>
        <v>0</v>
      </c>
      <c r="F674" s="157" t="str">
        <f t="shared" si="24"/>
        <v>Friday</v>
      </c>
      <c r="H674" s="157">
        <v>5</v>
      </c>
      <c r="I674" s="157">
        <f t="shared" si="30"/>
        <v>7</v>
      </c>
      <c r="J674" s="157">
        <f t="shared" si="29"/>
        <v>25</v>
      </c>
    </row>
    <row r="675" spans="1:10" ht="15.75" customHeight="1" x14ac:dyDescent="0.2">
      <c r="A675" s="157">
        <v>674</v>
      </c>
      <c r="B675" s="163">
        <v>45465</v>
      </c>
      <c r="C675" s="157">
        <f t="shared" si="22"/>
        <v>1</v>
      </c>
      <c r="D675" s="157">
        <v>0</v>
      </c>
      <c r="E675" s="157">
        <f t="shared" si="23"/>
        <v>1</v>
      </c>
      <c r="F675" s="157" t="str">
        <f t="shared" si="24"/>
        <v>Saturday</v>
      </c>
      <c r="H675" s="157">
        <v>5</v>
      </c>
      <c r="I675" s="157">
        <f t="shared" si="30"/>
        <v>7</v>
      </c>
      <c r="J675" s="157">
        <f t="shared" si="29"/>
        <v>25</v>
      </c>
    </row>
    <row r="676" spans="1:10" ht="15.75" customHeight="1" x14ac:dyDescent="0.2">
      <c r="A676" s="157">
        <v>675</v>
      </c>
      <c r="B676" s="163">
        <v>45466</v>
      </c>
      <c r="C676" s="157">
        <f t="shared" si="22"/>
        <v>1</v>
      </c>
      <c r="D676" s="157">
        <v>0</v>
      </c>
      <c r="E676" s="157">
        <f t="shared" si="23"/>
        <v>1</v>
      </c>
      <c r="F676" s="157" t="str">
        <f t="shared" si="24"/>
        <v>Sunday</v>
      </c>
      <c r="H676" s="157">
        <v>5</v>
      </c>
      <c r="I676" s="157">
        <f t="shared" si="30"/>
        <v>7</v>
      </c>
      <c r="J676" s="157">
        <f t="shared" si="29"/>
        <v>25</v>
      </c>
    </row>
    <row r="677" spans="1:10" ht="15.75" customHeight="1" x14ac:dyDescent="0.2">
      <c r="A677" s="157">
        <v>676</v>
      </c>
      <c r="B677" s="163">
        <v>45467</v>
      </c>
      <c r="C677" s="157">
        <f t="shared" si="22"/>
        <v>0</v>
      </c>
      <c r="D677" s="157">
        <v>0</v>
      </c>
      <c r="E677" s="157">
        <f t="shared" si="23"/>
        <v>0</v>
      </c>
      <c r="F677" s="157" t="str">
        <f t="shared" si="24"/>
        <v>Monday</v>
      </c>
      <c r="H677" s="157">
        <v>5</v>
      </c>
      <c r="I677" s="157">
        <f t="shared" si="30"/>
        <v>8</v>
      </c>
      <c r="J677" s="157">
        <f t="shared" si="29"/>
        <v>26</v>
      </c>
    </row>
    <row r="678" spans="1:10" ht="15.75" customHeight="1" x14ac:dyDescent="0.2">
      <c r="A678" s="157">
        <v>677</v>
      </c>
      <c r="B678" s="163">
        <v>45468</v>
      </c>
      <c r="C678" s="157">
        <f t="shared" si="22"/>
        <v>0</v>
      </c>
      <c r="D678" s="157">
        <v>0</v>
      </c>
      <c r="E678" s="157">
        <f t="shared" si="23"/>
        <v>0</v>
      </c>
      <c r="F678" s="157" t="str">
        <f t="shared" si="24"/>
        <v>Tuesday</v>
      </c>
      <c r="H678" s="157">
        <v>5</v>
      </c>
      <c r="I678" s="157">
        <f t="shared" si="30"/>
        <v>8</v>
      </c>
      <c r="J678" s="157">
        <f t="shared" si="29"/>
        <v>26</v>
      </c>
    </row>
    <row r="679" spans="1:10" ht="15.75" customHeight="1" x14ac:dyDescent="0.2">
      <c r="A679" s="157">
        <v>678</v>
      </c>
      <c r="B679" s="163">
        <v>45469</v>
      </c>
      <c r="C679" s="157">
        <f t="shared" si="22"/>
        <v>0</v>
      </c>
      <c r="D679" s="157">
        <v>0</v>
      </c>
      <c r="E679" s="157">
        <f t="shared" si="23"/>
        <v>0</v>
      </c>
      <c r="F679" s="157" t="str">
        <f t="shared" si="24"/>
        <v>Wednesday</v>
      </c>
      <c r="H679" s="157">
        <v>5</v>
      </c>
      <c r="I679" s="157">
        <f t="shared" si="30"/>
        <v>8</v>
      </c>
      <c r="J679" s="157">
        <f t="shared" si="29"/>
        <v>26</v>
      </c>
    </row>
    <row r="680" spans="1:10" ht="15.75" customHeight="1" x14ac:dyDescent="0.2">
      <c r="A680" s="157">
        <v>679</v>
      </c>
      <c r="B680" s="163">
        <v>45470</v>
      </c>
      <c r="C680" s="157">
        <f t="shared" si="22"/>
        <v>0</v>
      </c>
      <c r="D680" s="157">
        <v>0</v>
      </c>
      <c r="E680" s="157">
        <f t="shared" si="23"/>
        <v>0</v>
      </c>
      <c r="F680" s="157" t="str">
        <f t="shared" si="24"/>
        <v>Thursday</v>
      </c>
      <c r="H680" s="157">
        <v>5</v>
      </c>
      <c r="I680" s="157">
        <f t="shared" si="30"/>
        <v>8</v>
      </c>
      <c r="J680" s="157">
        <f t="shared" si="29"/>
        <v>26</v>
      </c>
    </row>
    <row r="681" spans="1:10" ht="15.75" customHeight="1" x14ac:dyDescent="0.2">
      <c r="A681" s="157">
        <v>680</v>
      </c>
      <c r="B681" s="163">
        <v>45471</v>
      </c>
      <c r="C681" s="157">
        <f t="shared" si="22"/>
        <v>0</v>
      </c>
      <c r="D681" s="157">
        <v>0</v>
      </c>
      <c r="E681" s="157">
        <f t="shared" si="23"/>
        <v>0</v>
      </c>
      <c r="F681" s="157" t="str">
        <f t="shared" si="24"/>
        <v>Friday</v>
      </c>
      <c r="H681" s="157">
        <v>5</v>
      </c>
      <c r="I681" s="157">
        <f t="shared" si="30"/>
        <v>8</v>
      </c>
      <c r="J681" s="157">
        <f t="shared" si="29"/>
        <v>26</v>
      </c>
    </row>
    <row r="682" spans="1:10" ht="15.75" customHeight="1" x14ac:dyDescent="0.2">
      <c r="A682" s="157">
        <v>681</v>
      </c>
      <c r="B682" s="163">
        <v>45472</v>
      </c>
      <c r="C682" s="157">
        <f t="shared" si="22"/>
        <v>1</v>
      </c>
      <c r="D682" s="157">
        <v>0</v>
      </c>
      <c r="E682" s="157">
        <f t="shared" si="23"/>
        <v>1</v>
      </c>
      <c r="F682" s="157" t="str">
        <f t="shared" si="24"/>
        <v>Saturday</v>
      </c>
      <c r="H682" s="157">
        <v>5</v>
      </c>
      <c r="I682" s="157">
        <f t="shared" si="30"/>
        <v>8</v>
      </c>
      <c r="J682" s="157">
        <f t="shared" si="29"/>
        <v>26</v>
      </c>
    </row>
    <row r="683" spans="1:10" ht="15.75" customHeight="1" x14ac:dyDescent="0.2">
      <c r="A683" s="157">
        <v>682</v>
      </c>
      <c r="B683" s="163">
        <v>45473</v>
      </c>
      <c r="C683" s="157">
        <f t="shared" si="22"/>
        <v>1</v>
      </c>
      <c r="D683" s="157">
        <v>0</v>
      </c>
      <c r="E683" s="157">
        <f t="shared" si="23"/>
        <v>1</v>
      </c>
      <c r="F683" s="157" t="str">
        <f t="shared" si="24"/>
        <v>Sunday</v>
      </c>
      <c r="H683" s="157">
        <v>5</v>
      </c>
      <c r="I683" s="157">
        <f t="shared" si="30"/>
        <v>8</v>
      </c>
      <c r="J683" s="157">
        <f t="shared" si="29"/>
        <v>26</v>
      </c>
    </row>
    <row r="684" spans="1:10" ht="15.75" customHeight="1" x14ac:dyDescent="0.2">
      <c r="A684" s="157">
        <v>683</v>
      </c>
      <c r="B684" s="163">
        <v>45474</v>
      </c>
      <c r="C684" s="157">
        <f t="shared" si="22"/>
        <v>0</v>
      </c>
      <c r="D684" s="157">
        <v>0</v>
      </c>
      <c r="E684" s="157">
        <f t="shared" si="23"/>
        <v>0</v>
      </c>
      <c r="F684" s="157" t="str">
        <f t="shared" si="24"/>
        <v>Monday</v>
      </c>
      <c r="H684" s="157">
        <v>5</v>
      </c>
      <c r="I684" s="157">
        <f t="shared" si="30"/>
        <v>9</v>
      </c>
      <c r="J684" s="157">
        <f t="shared" si="29"/>
        <v>27</v>
      </c>
    </row>
    <row r="685" spans="1:10" ht="15.75" customHeight="1" x14ac:dyDescent="0.2">
      <c r="A685" s="157">
        <v>684</v>
      </c>
      <c r="B685" s="163">
        <v>45475</v>
      </c>
      <c r="C685" s="157">
        <f t="shared" si="22"/>
        <v>0</v>
      </c>
      <c r="D685" s="157">
        <v>0</v>
      </c>
      <c r="E685" s="157">
        <f t="shared" si="23"/>
        <v>0</v>
      </c>
      <c r="F685" s="157" t="str">
        <f t="shared" si="24"/>
        <v>Tuesday</v>
      </c>
      <c r="H685" s="157">
        <v>5</v>
      </c>
      <c r="I685" s="157">
        <f t="shared" si="30"/>
        <v>9</v>
      </c>
      <c r="J685" s="157">
        <f t="shared" si="29"/>
        <v>27</v>
      </c>
    </row>
    <row r="686" spans="1:10" ht="15.75" customHeight="1" x14ac:dyDescent="0.2">
      <c r="A686" s="157">
        <v>685</v>
      </c>
      <c r="B686" s="163">
        <v>45476</v>
      </c>
      <c r="C686" s="157">
        <f t="shared" si="22"/>
        <v>0</v>
      </c>
      <c r="D686" s="157">
        <v>0</v>
      </c>
      <c r="E686" s="157">
        <f t="shared" si="23"/>
        <v>0</v>
      </c>
      <c r="F686" s="157" t="str">
        <f t="shared" si="24"/>
        <v>Wednesday</v>
      </c>
      <c r="H686" s="157">
        <v>5</v>
      </c>
      <c r="I686" s="157">
        <f t="shared" si="30"/>
        <v>9</v>
      </c>
      <c r="J686" s="157">
        <f t="shared" si="29"/>
        <v>27</v>
      </c>
    </row>
    <row r="687" spans="1:10" ht="15.75" customHeight="1" x14ac:dyDescent="0.2">
      <c r="A687" s="157">
        <v>686</v>
      </c>
      <c r="B687" s="163">
        <v>45477</v>
      </c>
      <c r="C687" s="157">
        <f t="shared" si="22"/>
        <v>0</v>
      </c>
      <c r="D687" s="157">
        <v>0</v>
      </c>
      <c r="E687" s="157">
        <f t="shared" si="23"/>
        <v>0</v>
      </c>
      <c r="F687" s="157" t="str">
        <f t="shared" si="24"/>
        <v>Thursday</v>
      </c>
      <c r="H687" s="157">
        <v>5</v>
      </c>
      <c r="I687" s="157">
        <f t="shared" si="30"/>
        <v>9</v>
      </c>
      <c r="J687" s="157">
        <f t="shared" si="29"/>
        <v>27</v>
      </c>
    </row>
    <row r="688" spans="1:10" ht="15.75" customHeight="1" x14ac:dyDescent="0.2">
      <c r="A688" s="157">
        <v>687</v>
      </c>
      <c r="B688" s="163">
        <v>45478</v>
      </c>
      <c r="C688" s="157">
        <f t="shared" si="22"/>
        <v>0</v>
      </c>
      <c r="D688" s="157">
        <v>0</v>
      </c>
      <c r="E688" s="157">
        <f t="shared" si="23"/>
        <v>0</v>
      </c>
      <c r="F688" s="157" t="str">
        <f t="shared" si="24"/>
        <v>Friday</v>
      </c>
      <c r="H688" s="157">
        <v>5</v>
      </c>
      <c r="I688" s="157">
        <f t="shared" si="30"/>
        <v>9</v>
      </c>
      <c r="J688" s="157">
        <f t="shared" si="29"/>
        <v>27</v>
      </c>
    </row>
    <row r="689" spans="1:10" ht="15.75" customHeight="1" x14ac:dyDescent="0.2">
      <c r="A689" s="157">
        <v>688</v>
      </c>
      <c r="B689" s="163">
        <v>45479</v>
      </c>
      <c r="C689" s="157">
        <f t="shared" si="22"/>
        <v>1</v>
      </c>
      <c r="D689" s="157">
        <v>0</v>
      </c>
      <c r="E689" s="157">
        <f t="shared" si="23"/>
        <v>1</v>
      </c>
      <c r="F689" s="157" t="str">
        <f t="shared" si="24"/>
        <v>Saturday</v>
      </c>
      <c r="H689" s="157">
        <v>5</v>
      </c>
      <c r="I689" s="157">
        <f t="shared" si="30"/>
        <v>9</v>
      </c>
      <c r="J689" s="157">
        <f t="shared" si="29"/>
        <v>27</v>
      </c>
    </row>
    <row r="690" spans="1:10" ht="15.75" customHeight="1" x14ac:dyDescent="0.2">
      <c r="A690" s="157">
        <v>689</v>
      </c>
      <c r="B690" s="163">
        <v>45480</v>
      </c>
      <c r="C690" s="157">
        <f t="shared" si="22"/>
        <v>1</v>
      </c>
      <c r="D690" s="157">
        <v>0</v>
      </c>
      <c r="E690" s="157">
        <f t="shared" si="23"/>
        <v>1</v>
      </c>
      <c r="F690" s="157" t="str">
        <f t="shared" si="24"/>
        <v>Sunday</v>
      </c>
      <c r="H690" s="157">
        <v>5</v>
      </c>
      <c r="I690" s="157">
        <f t="shared" si="30"/>
        <v>9</v>
      </c>
      <c r="J690" s="157">
        <f t="shared" si="29"/>
        <v>27</v>
      </c>
    </row>
    <row r="691" spans="1:10" ht="15.75" customHeight="1" x14ac:dyDescent="0.2">
      <c r="A691" s="157">
        <v>690</v>
      </c>
      <c r="B691" s="163">
        <v>45481</v>
      </c>
      <c r="C691" s="157">
        <f t="shared" si="22"/>
        <v>0</v>
      </c>
      <c r="D691" s="157">
        <v>0</v>
      </c>
      <c r="E691" s="157">
        <f t="shared" si="23"/>
        <v>0</v>
      </c>
      <c r="F691" s="157" t="str">
        <f t="shared" si="24"/>
        <v>Monday</v>
      </c>
      <c r="H691" s="157">
        <v>5</v>
      </c>
      <c r="I691" s="157">
        <f t="shared" si="30"/>
        <v>10</v>
      </c>
      <c r="J691" s="157">
        <f t="shared" si="29"/>
        <v>28</v>
      </c>
    </row>
    <row r="692" spans="1:10" ht="15.75" customHeight="1" x14ac:dyDescent="0.2">
      <c r="A692" s="157">
        <v>691</v>
      </c>
      <c r="B692" s="163">
        <v>45482</v>
      </c>
      <c r="C692" s="157">
        <f t="shared" si="22"/>
        <v>0</v>
      </c>
      <c r="D692" s="157">
        <v>0</v>
      </c>
      <c r="E692" s="157">
        <f t="shared" si="23"/>
        <v>0</v>
      </c>
      <c r="F692" s="157" t="str">
        <f t="shared" si="24"/>
        <v>Tuesday</v>
      </c>
      <c r="H692" s="157">
        <v>5</v>
      </c>
      <c r="I692" s="157">
        <f t="shared" si="30"/>
        <v>10</v>
      </c>
      <c r="J692" s="157">
        <f t="shared" si="29"/>
        <v>28</v>
      </c>
    </row>
    <row r="693" spans="1:10" ht="15.75" customHeight="1" x14ac:dyDescent="0.2">
      <c r="A693" s="157">
        <v>692</v>
      </c>
      <c r="B693" s="163">
        <v>45483</v>
      </c>
      <c r="C693" s="157">
        <f t="shared" si="22"/>
        <v>0</v>
      </c>
      <c r="D693" s="157">
        <v>0</v>
      </c>
      <c r="E693" s="157">
        <f t="shared" si="23"/>
        <v>0</v>
      </c>
      <c r="F693" s="157" t="str">
        <f t="shared" si="24"/>
        <v>Wednesday</v>
      </c>
      <c r="H693" s="157">
        <v>5</v>
      </c>
      <c r="I693" s="157">
        <f t="shared" si="30"/>
        <v>10</v>
      </c>
      <c r="J693" s="157">
        <f t="shared" si="29"/>
        <v>28</v>
      </c>
    </row>
    <row r="694" spans="1:10" ht="15.75" customHeight="1" x14ac:dyDescent="0.2">
      <c r="A694" s="157">
        <v>693</v>
      </c>
      <c r="B694" s="163">
        <v>45484</v>
      </c>
      <c r="C694" s="157">
        <f t="shared" si="22"/>
        <v>0</v>
      </c>
      <c r="D694" s="157">
        <v>0</v>
      </c>
      <c r="E694" s="157">
        <f t="shared" si="23"/>
        <v>0</v>
      </c>
      <c r="F694" s="157" t="str">
        <f t="shared" si="24"/>
        <v>Thursday</v>
      </c>
      <c r="H694" s="157">
        <v>5</v>
      </c>
      <c r="I694" s="157">
        <f t="shared" si="30"/>
        <v>10</v>
      </c>
      <c r="J694" s="157">
        <f t="shared" si="29"/>
        <v>28</v>
      </c>
    </row>
    <row r="695" spans="1:10" ht="15.75" customHeight="1" x14ac:dyDescent="0.2">
      <c r="A695" s="157">
        <v>694</v>
      </c>
      <c r="B695" s="163">
        <v>45485</v>
      </c>
      <c r="C695" s="157">
        <f t="shared" si="22"/>
        <v>0</v>
      </c>
      <c r="D695" s="157">
        <v>0</v>
      </c>
      <c r="E695" s="157">
        <f t="shared" si="23"/>
        <v>0</v>
      </c>
      <c r="F695" s="157" t="str">
        <f t="shared" si="24"/>
        <v>Friday</v>
      </c>
      <c r="H695" s="157">
        <v>5</v>
      </c>
      <c r="I695" s="157">
        <f t="shared" si="30"/>
        <v>10</v>
      </c>
      <c r="J695" s="157">
        <f t="shared" si="29"/>
        <v>28</v>
      </c>
    </row>
    <row r="696" spans="1:10" ht="15.75" customHeight="1" x14ac:dyDescent="0.2">
      <c r="A696" s="157">
        <v>695</v>
      </c>
      <c r="B696" s="163">
        <v>45486</v>
      </c>
      <c r="C696" s="157">
        <f t="shared" si="22"/>
        <v>1</v>
      </c>
      <c r="D696" s="157">
        <v>1</v>
      </c>
      <c r="E696" s="157">
        <f t="shared" si="23"/>
        <v>1</v>
      </c>
      <c r="F696" s="157" t="str">
        <f t="shared" si="24"/>
        <v>Saturday</v>
      </c>
      <c r="G696" s="157" t="s">
        <v>1772</v>
      </c>
      <c r="H696" s="157">
        <v>5</v>
      </c>
      <c r="I696" s="157">
        <f t="shared" si="30"/>
        <v>10</v>
      </c>
      <c r="J696" s="157">
        <f t="shared" si="29"/>
        <v>28</v>
      </c>
    </row>
    <row r="697" spans="1:10" ht="15.75" customHeight="1" x14ac:dyDescent="0.2">
      <c r="A697" s="157">
        <v>696</v>
      </c>
      <c r="B697" s="163">
        <v>45487</v>
      </c>
      <c r="C697" s="157">
        <f t="shared" si="22"/>
        <v>1</v>
      </c>
      <c r="D697" s="157">
        <v>1</v>
      </c>
      <c r="E697" s="157">
        <f t="shared" si="23"/>
        <v>1</v>
      </c>
      <c r="F697" s="157" t="str">
        <f t="shared" si="24"/>
        <v>Sunday</v>
      </c>
      <c r="G697" s="157" t="s">
        <v>1772</v>
      </c>
      <c r="H697" s="157">
        <v>5</v>
      </c>
      <c r="I697" s="157">
        <f t="shared" si="30"/>
        <v>10</v>
      </c>
      <c r="J697" s="157">
        <f t="shared" si="29"/>
        <v>28</v>
      </c>
    </row>
    <row r="698" spans="1:10" ht="15.75" customHeight="1" x14ac:dyDescent="0.2">
      <c r="A698" s="157">
        <v>697</v>
      </c>
      <c r="B698" s="163">
        <v>45488</v>
      </c>
      <c r="C698" s="157">
        <f t="shared" si="22"/>
        <v>0</v>
      </c>
      <c r="D698" s="157">
        <v>1</v>
      </c>
      <c r="E698" s="157">
        <f t="shared" si="23"/>
        <v>1</v>
      </c>
      <c r="F698" s="157" t="str">
        <f t="shared" si="24"/>
        <v>Monday</v>
      </c>
      <c r="G698" s="157" t="s">
        <v>1772</v>
      </c>
      <c r="H698" s="157">
        <v>5</v>
      </c>
      <c r="I698" s="157">
        <f t="shared" si="30"/>
        <v>11</v>
      </c>
      <c r="J698" s="157">
        <f t="shared" si="29"/>
        <v>29</v>
      </c>
    </row>
    <row r="699" spans="1:10" ht="15.75" customHeight="1" x14ac:dyDescent="0.2">
      <c r="A699" s="157">
        <v>698</v>
      </c>
      <c r="B699" s="163">
        <v>45489</v>
      </c>
      <c r="C699" s="157">
        <f t="shared" si="22"/>
        <v>0</v>
      </c>
      <c r="D699" s="157">
        <v>1</v>
      </c>
      <c r="E699" s="157">
        <f t="shared" si="23"/>
        <v>1</v>
      </c>
      <c r="F699" s="157" t="str">
        <f t="shared" si="24"/>
        <v>Tuesday</v>
      </c>
      <c r="G699" s="157" t="s">
        <v>1772</v>
      </c>
      <c r="H699" s="157">
        <v>5</v>
      </c>
      <c r="I699" s="157">
        <f t="shared" si="30"/>
        <v>11</v>
      </c>
      <c r="J699" s="157">
        <f t="shared" si="29"/>
        <v>29</v>
      </c>
    </row>
    <row r="700" spans="1:10" ht="15.75" customHeight="1" x14ac:dyDescent="0.2">
      <c r="A700" s="157">
        <v>699</v>
      </c>
      <c r="B700" s="163">
        <v>45490</v>
      </c>
      <c r="C700" s="157">
        <f t="shared" si="22"/>
        <v>0</v>
      </c>
      <c r="D700" s="157">
        <v>1</v>
      </c>
      <c r="E700" s="157">
        <f t="shared" si="23"/>
        <v>1</v>
      </c>
      <c r="F700" s="157" t="str">
        <f t="shared" si="24"/>
        <v>Wednesday</v>
      </c>
      <c r="G700" s="157" t="s">
        <v>1772</v>
      </c>
      <c r="H700" s="157">
        <v>5</v>
      </c>
      <c r="I700" s="157">
        <f t="shared" si="30"/>
        <v>11</v>
      </c>
      <c r="J700" s="157">
        <f t="shared" si="29"/>
        <v>29</v>
      </c>
    </row>
    <row r="701" spans="1:10" ht="15.75" customHeight="1" x14ac:dyDescent="0.2">
      <c r="A701" s="157">
        <v>700</v>
      </c>
      <c r="B701" s="163">
        <v>45491</v>
      </c>
      <c r="C701" s="157">
        <f t="shared" si="22"/>
        <v>0</v>
      </c>
      <c r="D701" s="157">
        <v>1</v>
      </c>
      <c r="E701" s="157">
        <f t="shared" si="23"/>
        <v>1</v>
      </c>
      <c r="F701" s="157" t="str">
        <f t="shared" si="24"/>
        <v>Thursday</v>
      </c>
      <c r="G701" s="157" t="s">
        <v>1772</v>
      </c>
      <c r="H701" s="157">
        <v>5</v>
      </c>
      <c r="I701" s="157">
        <f t="shared" si="30"/>
        <v>11</v>
      </c>
      <c r="J701" s="157">
        <f t="shared" si="29"/>
        <v>29</v>
      </c>
    </row>
    <row r="702" spans="1:10" ht="15.75" customHeight="1" x14ac:dyDescent="0.2">
      <c r="A702" s="157">
        <v>701</v>
      </c>
      <c r="B702" s="163">
        <v>45492</v>
      </c>
      <c r="C702" s="157">
        <f t="shared" si="22"/>
        <v>0</v>
      </c>
      <c r="D702" s="157">
        <v>1</v>
      </c>
      <c r="E702" s="157">
        <f t="shared" si="23"/>
        <v>1</v>
      </c>
      <c r="F702" s="157" t="str">
        <f t="shared" si="24"/>
        <v>Friday</v>
      </c>
      <c r="G702" s="157" t="s">
        <v>1772</v>
      </c>
      <c r="H702" s="157">
        <v>5</v>
      </c>
      <c r="I702" s="157">
        <f t="shared" si="30"/>
        <v>11</v>
      </c>
      <c r="J702" s="157">
        <f t="shared" si="29"/>
        <v>29</v>
      </c>
    </row>
    <row r="703" spans="1:10" ht="15.75" customHeight="1" x14ac:dyDescent="0.2">
      <c r="A703" s="157">
        <v>702</v>
      </c>
      <c r="B703" s="163">
        <v>45493</v>
      </c>
      <c r="C703" s="157">
        <f t="shared" si="22"/>
        <v>1</v>
      </c>
      <c r="D703" s="157">
        <v>1</v>
      </c>
      <c r="E703" s="157">
        <f t="shared" si="23"/>
        <v>1</v>
      </c>
      <c r="F703" s="157" t="str">
        <f t="shared" si="24"/>
        <v>Saturday</v>
      </c>
      <c r="G703" s="157" t="s">
        <v>1772</v>
      </c>
      <c r="H703" s="157">
        <v>5</v>
      </c>
      <c r="I703" s="157">
        <f t="shared" si="30"/>
        <v>11</v>
      </c>
      <c r="J703" s="157">
        <f t="shared" si="29"/>
        <v>29</v>
      </c>
    </row>
    <row r="704" spans="1:10" ht="15.75" customHeight="1" x14ac:dyDescent="0.2">
      <c r="A704" s="157">
        <v>703</v>
      </c>
      <c r="B704" s="163">
        <v>45494</v>
      </c>
      <c r="C704" s="157">
        <f t="shared" si="22"/>
        <v>1</v>
      </c>
      <c r="D704" s="157">
        <v>1</v>
      </c>
      <c r="E704" s="157">
        <f t="shared" si="23"/>
        <v>1</v>
      </c>
      <c r="F704" s="157" t="str">
        <f t="shared" si="24"/>
        <v>Sunday</v>
      </c>
      <c r="G704" s="157" t="s">
        <v>1772</v>
      </c>
      <c r="H704" s="157">
        <v>5</v>
      </c>
      <c r="I704" s="157">
        <f t="shared" si="30"/>
        <v>11</v>
      </c>
      <c r="J704" s="157">
        <f t="shared" si="29"/>
        <v>29</v>
      </c>
    </row>
    <row r="705" spans="1:10" ht="15.75" customHeight="1" x14ac:dyDescent="0.2">
      <c r="A705" s="157">
        <v>704</v>
      </c>
      <c r="B705" s="163">
        <v>45495</v>
      </c>
      <c r="C705" s="157">
        <f t="shared" si="22"/>
        <v>0</v>
      </c>
      <c r="D705" s="157">
        <v>1</v>
      </c>
      <c r="E705" s="157">
        <f t="shared" si="23"/>
        <v>1</v>
      </c>
      <c r="F705" s="157" t="str">
        <f t="shared" si="24"/>
        <v>Monday</v>
      </c>
      <c r="G705" s="157" t="s">
        <v>1772</v>
      </c>
      <c r="H705" s="157">
        <v>5</v>
      </c>
      <c r="I705" s="157">
        <f t="shared" si="30"/>
        <v>12</v>
      </c>
      <c r="J705" s="157">
        <f t="shared" si="29"/>
        <v>30</v>
      </c>
    </row>
    <row r="706" spans="1:10" ht="15.75" customHeight="1" x14ac:dyDescent="0.2">
      <c r="A706" s="157">
        <v>705</v>
      </c>
      <c r="B706" s="163">
        <v>45496</v>
      </c>
      <c r="C706" s="157">
        <f t="shared" si="22"/>
        <v>0</v>
      </c>
      <c r="D706" s="157">
        <v>1</v>
      </c>
      <c r="E706" s="157">
        <f t="shared" si="23"/>
        <v>1</v>
      </c>
      <c r="F706" s="157" t="str">
        <f t="shared" si="24"/>
        <v>Tuesday</v>
      </c>
      <c r="G706" s="157" t="s">
        <v>1772</v>
      </c>
      <c r="H706" s="157">
        <v>5</v>
      </c>
      <c r="I706" s="157">
        <f t="shared" si="30"/>
        <v>12</v>
      </c>
      <c r="J706" s="157">
        <f t="shared" si="29"/>
        <v>30</v>
      </c>
    </row>
    <row r="707" spans="1:10" ht="15.75" customHeight="1" x14ac:dyDescent="0.2">
      <c r="A707" s="157">
        <v>706</v>
      </c>
      <c r="B707" s="163">
        <v>45497</v>
      </c>
      <c r="C707" s="157">
        <f t="shared" si="22"/>
        <v>0</v>
      </c>
      <c r="D707" s="157">
        <v>1</v>
      </c>
      <c r="E707" s="157">
        <f t="shared" si="23"/>
        <v>1</v>
      </c>
      <c r="F707" s="157" t="str">
        <f t="shared" si="24"/>
        <v>Wednesday</v>
      </c>
      <c r="G707" s="157" t="s">
        <v>1772</v>
      </c>
      <c r="H707" s="157">
        <v>5</v>
      </c>
      <c r="I707" s="157">
        <f t="shared" si="30"/>
        <v>12</v>
      </c>
      <c r="J707" s="157">
        <f t="shared" ref="J707:J770" si="31">_xlfn.ISOWEEKNUM(B707)</f>
        <v>30</v>
      </c>
    </row>
    <row r="708" spans="1:10" ht="15.75" customHeight="1" x14ac:dyDescent="0.2">
      <c r="A708" s="157">
        <v>707</v>
      </c>
      <c r="B708" s="163">
        <v>45498</v>
      </c>
      <c r="C708" s="157">
        <f t="shared" si="22"/>
        <v>0</v>
      </c>
      <c r="D708" s="157">
        <v>1</v>
      </c>
      <c r="E708" s="157">
        <f t="shared" si="23"/>
        <v>1</v>
      </c>
      <c r="F708" s="157" t="str">
        <f t="shared" si="24"/>
        <v>Thursday</v>
      </c>
      <c r="G708" s="157" t="s">
        <v>1772</v>
      </c>
      <c r="H708" s="157">
        <v>5</v>
      </c>
      <c r="I708" s="157">
        <f t="shared" si="30"/>
        <v>12</v>
      </c>
      <c r="J708" s="157">
        <f t="shared" si="31"/>
        <v>30</v>
      </c>
    </row>
    <row r="709" spans="1:10" ht="15.75" customHeight="1" x14ac:dyDescent="0.2">
      <c r="A709" s="157">
        <v>708</v>
      </c>
      <c r="B709" s="163">
        <v>45499</v>
      </c>
      <c r="C709" s="157">
        <f t="shared" si="22"/>
        <v>0</v>
      </c>
      <c r="D709" s="157">
        <v>1</v>
      </c>
      <c r="E709" s="157">
        <f t="shared" si="23"/>
        <v>1</v>
      </c>
      <c r="F709" s="157" t="str">
        <f t="shared" si="24"/>
        <v>Friday</v>
      </c>
      <c r="G709" s="157" t="s">
        <v>1772</v>
      </c>
      <c r="H709" s="157">
        <v>5</v>
      </c>
      <c r="I709" s="157">
        <f t="shared" ref="I709:I772" si="32">IF(J709&gt;J708, IF(H709&lt;&gt;H708,1, I708+1),I708)</f>
        <v>12</v>
      </c>
      <c r="J709" s="157">
        <f t="shared" si="31"/>
        <v>30</v>
      </c>
    </row>
    <row r="710" spans="1:10" ht="15.75" customHeight="1" x14ac:dyDescent="0.2">
      <c r="A710" s="157">
        <v>709</v>
      </c>
      <c r="B710" s="163">
        <v>45500</v>
      </c>
      <c r="C710" s="157">
        <f t="shared" si="22"/>
        <v>1</v>
      </c>
      <c r="D710" s="157">
        <v>1</v>
      </c>
      <c r="E710" s="157">
        <f t="shared" si="23"/>
        <v>1</v>
      </c>
      <c r="F710" s="157" t="str">
        <f t="shared" si="24"/>
        <v>Saturday</v>
      </c>
      <c r="G710" s="157" t="s">
        <v>1772</v>
      </c>
      <c r="H710" s="157">
        <v>5</v>
      </c>
      <c r="I710" s="157">
        <f t="shared" si="32"/>
        <v>12</v>
      </c>
      <c r="J710" s="157">
        <f t="shared" si="31"/>
        <v>30</v>
      </c>
    </row>
    <row r="711" spans="1:10" ht="15.75" customHeight="1" x14ac:dyDescent="0.2">
      <c r="A711" s="157">
        <v>710</v>
      </c>
      <c r="B711" s="163">
        <v>45501</v>
      </c>
      <c r="C711" s="157">
        <f t="shared" si="22"/>
        <v>1</v>
      </c>
      <c r="D711" s="157">
        <v>1</v>
      </c>
      <c r="E711" s="157">
        <f t="shared" si="23"/>
        <v>1</v>
      </c>
      <c r="F711" s="157" t="str">
        <f t="shared" si="24"/>
        <v>Sunday</v>
      </c>
      <c r="G711" s="157" t="s">
        <v>1772</v>
      </c>
      <c r="H711" s="157">
        <v>5</v>
      </c>
      <c r="I711" s="157">
        <f t="shared" si="32"/>
        <v>12</v>
      </c>
      <c r="J711" s="157">
        <f t="shared" si="31"/>
        <v>30</v>
      </c>
    </row>
    <row r="712" spans="1:10" ht="15.75" customHeight="1" x14ac:dyDescent="0.2">
      <c r="A712" s="157">
        <v>711</v>
      </c>
      <c r="B712" s="163">
        <v>45502</v>
      </c>
      <c r="C712" s="157">
        <f t="shared" si="22"/>
        <v>0</v>
      </c>
      <c r="D712" s="157">
        <v>1</v>
      </c>
      <c r="E712" s="157">
        <f t="shared" si="23"/>
        <v>1</v>
      </c>
      <c r="F712" s="157" t="str">
        <f t="shared" si="24"/>
        <v>Monday</v>
      </c>
      <c r="G712" s="157" t="s">
        <v>1772</v>
      </c>
      <c r="H712" s="157">
        <v>5</v>
      </c>
      <c r="I712" s="157">
        <f t="shared" si="32"/>
        <v>13</v>
      </c>
      <c r="J712" s="157">
        <f t="shared" si="31"/>
        <v>31</v>
      </c>
    </row>
    <row r="713" spans="1:10" ht="15.75" customHeight="1" x14ac:dyDescent="0.2">
      <c r="A713" s="157">
        <v>712</v>
      </c>
      <c r="B713" s="163">
        <v>45503</v>
      </c>
      <c r="C713" s="157">
        <f t="shared" si="22"/>
        <v>0</v>
      </c>
      <c r="D713" s="157">
        <v>1</v>
      </c>
      <c r="E713" s="157">
        <f t="shared" si="23"/>
        <v>1</v>
      </c>
      <c r="F713" s="157" t="str">
        <f t="shared" si="24"/>
        <v>Tuesday</v>
      </c>
      <c r="G713" s="157" t="s">
        <v>1772</v>
      </c>
      <c r="H713" s="157">
        <v>5</v>
      </c>
      <c r="I713" s="157">
        <f t="shared" si="32"/>
        <v>13</v>
      </c>
      <c r="J713" s="157">
        <f t="shared" si="31"/>
        <v>31</v>
      </c>
    </row>
    <row r="714" spans="1:10" ht="15.75" customHeight="1" x14ac:dyDescent="0.2">
      <c r="A714" s="157">
        <v>713</v>
      </c>
      <c r="B714" s="163">
        <v>45504</v>
      </c>
      <c r="C714" s="157">
        <f t="shared" si="22"/>
        <v>0</v>
      </c>
      <c r="D714" s="157">
        <v>1</v>
      </c>
      <c r="E714" s="157">
        <f t="shared" si="23"/>
        <v>1</v>
      </c>
      <c r="F714" s="157" t="str">
        <f t="shared" si="24"/>
        <v>Wednesday</v>
      </c>
      <c r="G714" s="157" t="s">
        <v>1772</v>
      </c>
      <c r="H714" s="157">
        <v>5</v>
      </c>
      <c r="I714" s="157">
        <f t="shared" si="32"/>
        <v>13</v>
      </c>
      <c r="J714" s="157">
        <f t="shared" si="31"/>
        <v>31</v>
      </c>
    </row>
    <row r="715" spans="1:10" ht="15.75" customHeight="1" x14ac:dyDescent="0.2">
      <c r="A715" s="157">
        <v>714</v>
      </c>
      <c r="B715" s="163">
        <v>45505</v>
      </c>
      <c r="C715" s="157">
        <f t="shared" si="22"/>
        <v>0</v>
      </c>
      <c r="D715" s="157">
        <v>1</v>
      </c>
      <c r="E715" s="157">
        <f t="shared" si="23"/>
        <v>1</v>
      </c>
      <c r="F715" s="157" t="str">
        <f t="shared" si="24"/>
        <v>Thursday</v>
      </c>
      <c r="G715" s="157" t="s">
        <v>1772</v>
      </c>
      <c r="H715" s="157">
        <v>5</v>
      </c>
      <c r="I715" s="157">
        <f t="shared" si="32"/>
        <v>13</v>
      </c>
      <c r="J715" s="157">
        <f t="shared" si="31"/>
        <v>31</v>
      </c>
    </row>
    <row r="716" spans="1:10" ht="15.75" customHeight="1" x14ac:dyDescent="0.2">
      <c r="A716" s="157">
        <v>715</v>
      </c>
      <c r="B716" s="163">
        <v>45506</v>
      </c>
      <c r="C716" s="157">
        <f t="shared" si="22"/>
        <v>0</v>
      </c>
      <c r="D716" s="157">
        <v>1</v>
      </c>
      <c r="E716" s="157">
        <f t="shared" si="23"/>
        <v>1</v>
      </c>
      <c r="F716" s="157" t="str">
        <f t="shared" si="24"/>
        <v>Friday</v>
      </c>
      <c r="G716" s="157" t="s">
        <v>1772</v>
      </c>
      <c r="H716" s="157">
        <v>5</v>
      </c>
      <c r="I716" s="157">
        <f t="shared" si="32"/>
        <v>13</v>
      </c>
      <c r="J716" s="157">
        <f t="shared" si="31"/>
        <v>31</v>
      </c>
    </row>
    <row r="717" spans="1:10" ht="15.75" customHeight="1" x14ac:dyDescent="0.2">
      <c r="A717" s="157">
        <v>716</v>
      </c>
      <c r="B717" s="163">
        <v>45507</v>
      </c>
      <c r="C717" s="157">
        <f t="shared" si="22"/>
        <v>1</v>
      </c>
      <c r="D717" s="157">
        <v>1</v>
      </c>
      <c r="E717" s="157">
        <f t="shared" si="23"/>
        <v>1</v>
      </c>
      <c r="F717" s="157" t="str">
        <f t="shared" si="24"/>
        <v>Saturday</v>
      </c>
      <c r="G717" s="157" t="s">
        <v>1772</v>
      </c>
      <c r="H717" s="157">
        <v>5</v>
      </c>
      <c r="I717" s="157">
        <f t="shared" si="32"/>
        <v>13</v>
      </c>
      <c r="J717" s="157">
        <f t="shared" si="31"/>
        <v>31</v>
      </c>
    </row>
    <row r="718" spans="1:10" ht="15.75" customHeight="1" x14ac:dyDescent="0.2">
      <c r="A718" s="157">
        <v>717</v>
      </c>
      <c r="B718" s="163">
        <v>45508</v>
      </c>
      <c r="C718" s="157">
        <f t="shared" si="22"/>
        <v>1</v>
      </c>
      <c r="D718" s="157">
        <v>1</v>
      </c>
      <c r="E718" s="157">
        <f t="shared" si="23"/>
        <v>1</v>
      </c>
      <c r="F718" s="157" t="str">
        <f t="shared" si="24"/>
        <v>Sunday</v>
      </c>
      <c r="G718" s="157" t="s">
        <v>1772</v>
      </c>
      <c r="H718" s="157">
        <v>5</v>
      </c>
      <c r="I718" s="157">
        <f t="shared" si="32"/>
        <v>13</v>
      </c>
      <c r="J718" s="157">
        <f t="shared" si="31"/>
        <v>31</v>
      </c>
    </row>
    <row r="719" spans="1:10" ht="15.75" customHeight="1" x14ac:dyDescent="0.2">
      <c r="A719" s="157">
        <v>718</v>
      </c>
      <c r="B719" s="163">
        <v>45509</v>
      </c>
      <c r="C719" s="157">
        <f t="shared" si="22"/>
        <v>0</v>
      </c>
      <c r="D719" s="157">
        <v>1</v>
      </c>
      <c r="E719" s="157">
        <f t="shared" si="23"/>
        <v>1</v>
      </c>
      <c r="F719" s="157" t="str">
        <f t="shared" si="24"/>
        <v>Monday</v>
      </c>
      <c r="G719" s="157" t="s">
        <v>1772</v>
      </c>
      <c r="H719" s="157">
        <v>5</v>
      </c>
      <c r="I719" s="157">
        <f t="shared" si="32"/>
        <v>14</v>
      </c>
      <c r="J719" s="157">
        <f t="shared" si="31"/>
        <v>32</v>
      </c>
    </row>
    <row r="720" spans="1:10" ht="15.75" customHeight="1" x14ac:dyDescent="0.2">
      <c r="A720" s="157">
        <v>719</v>
      </c>
      <c r="B720" s="163">
        <v>45510</v>
      </c>
      <c r="C720" s="157">
        <f t="shared" si="22"/>
        <v>0</v>
      </c>
      <c r="D720" s="157">
        <v>1</v>
      </c>
      <c r="E720" s="157">
        <f t="shared" si="23"/>
        <v>1</v>
      </c>
      <c r="F720" s="157" t="str">
        <f t="shared" si="24"/>
        <v>Tuesday</v>
      </c>
      <c r="G720" s="157" t="s">
        <v>1772</v>
      </c>
      <c r="H720" s="157">
        <v>5</v>
      </c>
      <c r="I720" s="157">
        <f t="shared" si="32"/>
        <v>14</v>
      </c>
      <c r="J720" s="157">
        <f t="shared" si="31"/>
        <v>32</v>
      </c>
    </row>
    <row r="721" spans="1:10" ht="15.75" customHeight="1" x14ac:dyDescent="0.2">
      <c r="A721" s="157">
        <v>720</v>
      </c>
      <c r="B721" s="163">
        <v>45511</v>
      </c>
      <c r="C721" s="157">
        <f t="shared" si="22"/>
        <v>0</v>
      </c>
      <c r="D721" s="157">
        <v>1</v>
      </c>
      <c r="E721" s="157">
        <f t="shared" si="23"/>
        <v>1</v>
      </c>
      <c r="F721" s="157" t="str">
        <f t="shared" si="24"/>
        <v>Wednesday</v>
      </c>
      <c r="G721" s="157" t="s">
        <v>1772</v>
      </c>
      <c r="H721" s="157">
        <v>5</v>
      </c>
      <c r="I721" s="157">
        <f t="shared" si="32"/>
        <v>14</v>
      </c>
      <c r="J721" s="157">
        <f t="shared" si="31"/>
        <v>32</v>
      </c>
    </row>
    <row r="722" spans="1:10" ht="15.75" customHeight="1" x14ac:dyDescent="0.2">
      <c r="A722" s="157">
        <v>721</v>
      </c>
      <c r="B722" s="163">
        <v>45512</v>
      </c>
      <c r="C722" s="157">
        <f t="shared" si="22"/>
        <v>0</v>
      </c>
      <c r="D722" s="157">
        <v>1</v>
      </c>
      <c r="E722" s="157">
        <f t="shared" si="23"/>
        <v>1</v>
      </c>
      <c r="F722" s="157" t="str">
        <f t="shared" si="24"/>
        <v>Thursday</v>
      </c>
      <c r="G722" s="157" t="s">
        <v>1772</v>
      </c>
      <c r="H722" s="157">
        <v>5</v>
      </c>
      <c r="I722" s="157">
        <f t="shared" si="32"/>
        <v>14</v>
      </c>
      <c r="J722" s="157">
        <f t="shared" si="31"/>
        <v>32</v>
      </c>
    </row>
    <row r="723" spans="1:10" ht="15.75" customHeight="1" x14ac:dyDescent="0.2">
      <c r="A723" s="157">
        <v>722</v>
      </c>
      <c r="B723" s="163">
        <v>45513</v>
      </c>
      <c r="C723" s="157">
        <f t="shared" si="22"/>
        <v>0</v>
      </c>
      <c r="D723" s="157">
        <v>1</v>
      </c>
      <c r="E723" s="157">
        <f t="shared" si="23"/>
        <v>1</v>
      </c>
      <c r="F723" s="157" t="str">
        <f t="shared" si="24"/>
        <v>Friday</v>
      </c>
      <c r="G723" s="157" t="s">
        <v>1772</v>
      </c>
      <c r="H723" s="157">
        <v>5</v>
      </c>
      <c r="I723" s="157">
        <f t="shared" si="32"/>
        <v>14</v>
      </c>
      <c r="J723" s="157">
        <f t="shared" si="31"/>
        <v>32</v>
      </c>
    </row>
    <row r="724" spans="1:10" ht="15.75" customHeight="1" x14ac:dyDescent="0.2">
      <c r="A724" s="157">
        <v>723</v>
      </c>
      <c r="B724" s="163">
        <v>45514</v>
      </c>
      <c r="C724" s="157">
        <f t="shared" si="22"/>
        <v>1</v>
      </c>
      <c r="D724" s="157">
        <v>1</v>
      </c>
      <c r="E724" s="157">
        <f t="shared" si="23"/>
        <v>1</v>
      </c>
      <c r="F724" s="157" t="str">
        <f t="shared" si="24"/>
        <v>Saturday</v>
      </c>
      <c r="G724" s="157" t="s">
        <v>1772</v>
      </c>
      <c r="H724" s="157">
        <v>5</v>
      </c>
      <c r="I724" s="157">
        <f t="shared" si="32"/>
        <v>14</v>
      </c>
      <c r="J724" s="157">
        <f t="shared" si="31"/>
        <v>32</v>
      </c>
    </row>
    <row r="725" spans="1:10" ht="15.75" customHeight="1" x14ac:dyDescent="0.2">
      <c r="A725" s="157">
        <v>724</v>
      </c>
      <c r="B725" s="163">
        <v>45515</v>
      </c>
      <c r="C725" s="157">
        <f t="shared" si="22"/>
        <v>1</v>
      </c>
      <c r="D725" s="157">
        <v>1</v>
      </c>
      <c r="E725" s="157">
        <f t="shared" si="23"/>
        <v>1</v>
      </c>
      <c r="F725" s="157" t="str">
        <f t="shared" si="24"/>
        <v>Sunday</v>
      </c>
      <c r="G725" s="157" t="s">
        <v>1772</v>
      </c>
      <c r="H725" s="157">
        <v>5</v>
      </c>
      <c r="I725" s="157">
        <f t="shared" si="32"/>
        <v>14</v>
      </c>
      <c r="J725" s="157">
        <f t="shared" si="31"/>
        <v>32</v>
      </c>
    </row>
    <row r="726" spans="1:10" ht="15.75" customHeight="1" x14ac:dyDescent="0.2">
      <c r="A726" s="157">
        <v>725</v>
      </c>
      <c r="B726" s="163">
        <v>45516</v>
      </c>
      <c r="C726" s="157">
        <f t="shared" si="22"/>
        <v>0</v>
      </c>
      <c r="D726" s="157">
        <v>1</v>
      </c>
      <c r="E726" s="157">
        <f t="shared" si="23"/>
        <v>1</v>
      </c>
      <c r="F726" s="157" t="str">
        <f t="shared" si="24"/>
        <v>Monday</v>
      </c>
      <c r="G726" s="157" t="s">
        <v>1772</v>
      </c>
      <c r="H726" s="157">
        <v>5</v>
      </c>
      <c r="I726" s="157">
        <f t="shared" si="32"/>
        <v>15</v>
      </c>
      <c r="J726" s="157">
        <f t="shared" si="31"/>
        <v>33</v>
      </c>
    </row>
    <row r="727" spans="1:10" ht="15.75" customHeight="1" x14ac:dyDescent="0.2">
      <c r="A727" s="157">
        <v>726</v>
      </c>
      <c r="B727" s="163">
        <v>45517</v>
      </c>
      <c r="C727" s="157">
        <f t="shared" si="22"/>
        <v>0</v>
      </c>
      <c r="D727" s="157">
        <v>1</v>
      </c>
      <c r="E727" s="157">
        <f t="shared" si="23"/>
        <v>1</v>
      </c>
      <c r="F727" s="157" t="str">
        <f t="shared" si="24"/>
        <v>Tuesday</v>
      </c>
      <c r="G727" s="157" t="s">
        <v>1772</v>
      </c>
      <c r="H727" s="157">
        <v>5</v>
      </c>
      <c r="I727" s="157">
        <f t="shared" si="32"/>
        <v>15</v>
      </c>
      <c r="J727" s="157">
        <f t="shared" si="31"/>
        <v>33</v>
      </c>
    </row>
    <row r="728" spans="1:10" ht="15.75" customHeight="1" x14ac:dyDescent="0.2">
      <c r="A728" s="157">
        <v>727</v>
      </c>
      <c r="B728" s="163">
        <v>45518</v>
      </c>
      <c r="C728" s="157">
        <f t="shared" si="22"/>
        <v>0</v>
      </c>
      <c r="D728" s="157">
        <v>1</v>
      </c>
      <c r="E728" s="157">
        <f t="shared" si="23"/>
        <v>1</v>
      </c>
      <c r="F728" s="157" t="str">
        <f t="shared" si="24"/>
        <v>Wednesday</v>
      </c>
      <c r="G728" s="157" t="s">
        <v>1772</v>
      </c>
      <c r="H728" s="157">
        <v>5</v>
      </c>
      <c r="I728" s="157">
        <f t="shared" si="32"/>
        <v>15</v>
      </c>
      <c r="J728" s="157">
        <f t="shared" si="31"/>
        <v>33</v>
      </c>
    </row>
    <row r="729" spans="1:10" ht="15.75" customHeight="1" x14ac:dyDescent="0.2">
      <c r="A729" s="157">
        <v>728</v>
      </c>
      <c r="B729" s="163">
        <v>45519</v>
      </c>
      <c r="C729" s="157">
        <f t="shared" si="22"/>
        <v>0</v>
      </c>
      <c r="D729" s="157">
        <v>1</v>
      </c>
      <c r="E729" s="157">
        <f t="shared" si="23"/>
        <v>1</v>
      </c>
      <c r="F729" s="157" t="str">
        <f t="shared" si="24"/>
        <v>Thursday</v>
      </c>
      <c r="G729" s="157" t="s">
        <v>1772</v>
      </c>
      <c r="H729" s="157">
        <v>5</v>
      </c>
      <c r="I729" s="157">
        <f t="shared" si="32"/>
        <v>15</v>
      </c>
      <c r="J729" s="157">
        <f t="shared" si="31"/>
        <v>33</v>
      </c>
    </row>
    <row r="730" spans="1:10" ht="15.75" customHeight="1" x14ac:dyDescent="0.2">
      <c r="A730" s="157">
        <v>729</v>
      </c>
      <c r="B730" s="163">
        <v>45520</v>
      </c>
      <c r="C730" s="157">
        <f t="shared" si="22"/>
        <v>0</v>
      </c>
      <c r="D730" s="157">
        <v>1</v>
      </c>
      <c r="E730" s="157">
        <f t="shared" si="23"/>
        <v>1</v>
      </c>
      <c r="F730" s="157" t="str">
        <f t="shared" si="24"/>
        <v>Friday</v>
      </c>
      <c r="G730" s="157" t="s">
        <v>1772</v>
      </c>
      <c r="H730" s="157">
        <v>5</v>
      </c>
      <c r="I730" s="157">
        <f t="shared" si="32"/>
        <v>15</v>
      </c>
      <c r="J730" s="157">
        <f t="shared" si="31"/>
        <v>33</v>
      </c>
    </row>
    <row r="731" spans="1:10" ht="15.75" customHeight="1" x14ac:dyDescent="0.2">
      <c r="A731" s="157">
        <v>730</v>
      </c>
      <c r="B731" s="163">
        <v>45521</v>
      </c>
      <c r="C731" s="157">
        <f t="shared" si="22"/>
        <v>1</v>
      </c>
      <c r="D731" s="157">
        <v>1</v>
      </c>
      <c r="E731" s="157">
        <f t="shared" si="23"/>
        <v>1</v>
      </c>
      <c r="F731" s="157" t="str">
        <f t="shared" si="24"/>
        <v>Saturday</v>
      </c>
      <c r="G731" s="157" t="s">
        <v>1772</v>
      </c>
      <c r="H731" s="157">
        <v>5</v>
      </c>
      <c r="I731" s="157">
        <f t="shared" si="32"/>
        <v>15</v>
      </c>
      <c r="J731" s="157">
        <f t="shared" si="31"/>
        <v>33</v>
      </c>
    </row>
    <row r="732" spans="1:10" ht="15.75" customHeight="1" x14ac:dyDescent="0.2">
      <c r="A732" s="157">
        <v>731</v>
      </c>
      <c r="B732" s="163">
        <v>45522</v>
      </c>
      <c r="C732" s="157">
        <f t="shared" si="22"/>
        <v>1</v>
      </c>
      <c r="D732" s="157">
        <v>1</v>
      </c>
      <c r="E732" s="157">
        <f t="shared" si="23"/>
        <v>1</v>
      </c>
      <c r="F732" s="157" t="str">
        <f t="shared" si="24"/>
        <v>Sunday</v>
      </c>
      <c r="G732" s="157" t="s">
        <v>1772</v>
      </c>
      <c r="H732" s="157">
        <v>5</v>
      </c>
      <c r="I732" s="157">
        <f t="shared" si="32"/>
        <v>15</v>
      </c>
      <c r="J732" s="157">
        <f t="shared" si="31"/>
        <v>33</v>
      </c>
    </row>
    <row r="733" spans="1:10" ht="15.75" customHeight="1" x14ac:dyDescent="0.2">
      <c r="A733" s="157">
        <v>732</v>
      </c>
      <c r="B733" s="163">
        <v>45523</v>
      </c>
      <c r="C733" s="157">
        <f t="shared" si="22"/>
        <v>0</v>
      </c>
      <c r="D733" s="157">
        <v>1</v>
      </c>
      <c r="E733" s="157">
        <f t="shared" si="23"/>
        <v>1</v>
      </c>
      <c r="F733" s="157" t="str">
        <f t="shared" si="24"/>
        <v>Monday</v>
      </c>
      <c r="G733" s="157" t="s">
        <v>1772</v>
      </c>
      <c r="H733" s="157">
        <v>5</v>
      </c>
      <c r="I733" s="157">
        <f t="shared" si="32"/>
        <v>16</v>
      </c>
      <c r="J733" s="157">
        <f t="shared" si="31"/>
        <v>34</v>
      </c>
    </row>
    <row r="734" spans="1:10" ht="15.75" customHeight="1" x14ac:dyDescent="0.2">
      <c r="A734" s="157">
        <v>733</v>
      </c>
      <c r="B734" s="163">
        <v>45524</v>
      </c>
      <c r="C734" s="157">
        <f t="shared" si="22"/>
        <v>0</v>
      </c>
      <c r="D734" s="157">
        <v>1</v>
      </c>
      <c r="E734" s="157">
        <f t="shared" si="23"/>
        <v>1</v>
      </c>
      <c r="F734" s="157" t="str">
        <f t="shared" si="24"/>
        <v>Tuesday</v>
      </c>
      <c r="G734" s="157" t="s">
        <v>1772</v>
      </c>
      <c r="H734" s="157">
        <v>5</v>
      </c>
      <c r="I734" s="157">
        <f t="shared" si="32"/>
        <v>16</v>
      </c>
      <c r="J734" s="157">
        <f t="shared" si="31"/>
        <v>34</v>
      </c>
    </row>
    <row r="735" spans="1:10" ht="15.75" customHeight="1" x14ac:dyDescent="0.2">
      <c r="A735" s="157">
        <v>734</v>
      </c>
      <c r="B735" s="163">
        <v>45525</v>
      </c>
      <c r="C735" s="157">
        <f t="shared" si="22"/>
        <v>0</v>
      </c>
      <c r="D735" s="157">
        <v>1</v>
      </c>
      <c r="E735" s="157">
        <f t="shared" si="23"/>
        <v>1</v>
      </c>
      <c r="F735" s="157" t="str">
        <f t="shared" si="24"/>
        <v>Wednesday</v>
      </c>
      <c r="G735" s="157" t="s">
        <v>1772</v>
      </c>
      <c r="H735" s="157">
        <v>5</v>
      </c>
      <c r="I735" s="157">
        <f t="shared" si="32"/>
        <v>16</v>
      </c>
      <c r="J735" s="157">
        <f t="shared" si="31"/>
        <v>34</v>
      </c>
    </row>
    <row r="736" spans="1:10" ht="15.75" customHeight="1" x14ac:dyDescent="0.2">
      <c r="A736" s="157">
        <v>735</v>
      </c>
      <c r="B736" s="163">
        <v>45526</v>
      </c>
      <c r="C736" s="157">
        <f t="shared" si="22"/>
        <v>0</v>
      </c>
      <c r="D736" s="157">
        <v>1</v>
      </c>
      <c r="E736" s="157">
        <f t="shared" si="23"/>
        <v>1</v>
      </c>
      <c r="F736" s="157" t="str">
        <f t="shared" si="24"/>
        <v>Thursday</v>
      </c>
      <c r="G736" s="157" t="s">
        <v>1772</v>
      </c>
      <c r="H736" s="157">
        <v>5</v>
      </c>
      <c r="I736" s="157">
        <f t="shared" si="32"/>
        <v>16</v>
      </c>
      <c r="J736" s="157">
        <f t="shared" si="31"/>
        <v>34</v>
      </c>
    </row>
    <row r="737" spans="1:10" ht="15.75" customHeight="1" x14ac:dyDescent="0.2">
      <c r="A737" s="157">
        <v>736</v>
      </c>
      <c r="B737" s="163">
        <v>45527</v>
      </c>
      <c r="C737" s="157">
        <f t="shared" si="22"/>
        <v>0</v>
      </c>
      <c r="D737" s="157">
        <v>1</v>
      </c>
      <c r="E737" s="157">
        <f t="shared" si="23"/>
        <v>1</v>
      </c>
      <c r="F737" s="157" t="str">
        <f t="shared" si="24"/>
        <v>Friday</v>
      </c>
      <c r="G737" s="157" t="s">
        <v>1772</v>
      </c>
      <c r="H737" s="157">
        <v>5</v>
      </c>
      <c r="I737" s="157">
        <f t="shared" si="32"/>
        <v>16</v>
      </c>
      <c r="J737" s="157">
        <f t="shared" si="31"/>
        <v>34</v>
      </c>
    </row>
    <row r="738" spans="1:10" ht="15.75" customHeight="1" x14ac:dyDescent="0.2">
      <c r="A738" s="157">
        <v>737</v>
      </c>
      <c r="B738" s="163">
        <v>45528</v>
      </c>
      <c r="C738" s="157">
        <f t="shared" si="22"/>
        <v>1</v>
      </c>
      <c r="D738" s="157">
        <v>1</v>
      </c>
      <c r="E738" s="157">
        <f t="shared" si="23"/>
        <v>1</v>
      </c>
      <c r="F738" s="157" t="str">
        <f t="shared" si="24"/>
        <v>Saturday</v>
      </c>
      <c r="G738" s="157" t="s">
        <v>1772</v>
      </c>
      <c r="H738" s="157">
        <v>5</v>
      </c>
      <c r="I738" s="157">
        <f t="shared" si="32"/>
        <v>16</v>
      </c>
      <c r="J738" s="157">
        <f t="shared" si="31"/>
        <v>34</v>
      </c>
    </row>
    <row r="739" spans="1:10" ht="15.75" customHeight="1" x14ac:dyDescent="0.2">
      <c r="A739" s="157">
        <v>738</v>
      </c>
      <c r="B739" s="163">
        <v>45529</v>
      </c>
      <c r="C739" s="157">
        <f t="shared" si="22"/>
        <v>1</v>
      </c>
      <c r="D739" s="157">
        <v>1</v>
      </c>
      <c r="E739" s="157">
        <f t="shared" si="23"/>
        <v>1</v>
      </c>
      <c r="F739" s="157" t="str">
        <f t="shared" si="24"/>
        <v>Sunday</v>
      </c>
      <c r="G739" s="157" t="s">
        <v>1772</v>
      </c>
      <c r="H739" s="157">
        <v>5</v>
      </c>
      <c r="I739" s="157">
        <f t="shared" si="32"/>
        <v>16</v>
      </c>
      <c r="J739" s="157">
        <f t="shared" si="31"/>
        <v>34</v>
      </c>
    </row>
    <row r="740" spans="1:10" ht="15.75" customHeight="1" x14ac:dyDescent="0.2">
      <c r="A740" s="157">
        <v>739</v>
      </c>
      <c r="B740" s="163">
        <v>45530</v>
      </c>
      <c r="C740" s="157">
        <f t="shared" si="22"/>
        <v>0</v>
      </c>
      <c r="D740" s="157">
        <v>0</v>
      </c>
      <c r="E740" s="157">
        <f t="shared" si="23"/>
        <v>0</v>
      </c>
      <c r="F740" s="157" t="str">
        <f t="shared" si="24"/>
        <v>Monday</v>
      </c>
      <c r="H740" s="157">
        <v>1</v>
      </c>
      <c r="I740" s="157">
        <f t="shared" si="32"/>
        <v>1</v>
      </c>
      <c r="J740" s="157">
        <f t="shared" si="31"/>
        <v>35</v>
      </c>
    </row>
    <row r="741" spans="1:10" ht="15.75" customHeight="1" x14ac:dyDescent="0.2">
      <c r="A741" s="157">
        <v>740</v>
      </c>
      <c r="B741" s="163">
        <v>45531</v>
      </c>
      <c r="C741" s="157">
        <f t="shared" si="22"/>
        <v>0</v>
      </c>
      <c r="D741" s="157">
        <v>0</v>
      </c>
      <c r="E741" s="157">
        <f t="shared" si="23"/>
        <v>0</v>
      </c>
      <c r="F741" s="157" t="str">
        <f t="shared" si="24"/>
        <v>Tuesday</v>
      </c>
      <c r="H741" s="157">
        <v>1</v>
      </c>
      <c r="I741" s="157">
        <f t="shared" si="32"/>
        <v>1</v>
      </c>
      <c r="J741" s="157">
        <f t="shared" si="31"/>
        <v>35</v>
      </c>
    </row>
    <row r="742" spans="1:10" ht="15.75" customHeight="1" x14ac:dyDescent="0.2">
      <c r="A742" s="157">
        <v>741</v>
      </c>
      <c r="B742" s="163">
        <v>45532</v>
      </c>
      <c r="C742" s="157">
        <f t="shared" si="22"/>
        <v>0</v>
      </c>
      <c r="D742" s="157">
        <v>0</v>
      </c>
      <c r="E742" s="157">
        <f t="shared" si="23"/>
        <v>0</v>
      </c>
      <c r="F742" s="157" t="str">
        <f t="shared" si="24"/>
        <v>Wednesday</v>
      </c>
      <c r="H742" s="157">
        <v>1</v>
      </c>
      <c r="I742" s="157">
        <f t="shared" si="32"/>
        <v>1</v>
      </c>
      <c r="J742" s="157">
        <f t="shared" si="31"/>
        <v>35</v>
      </c>
    </row>
    <row r="743" spans="1:10" ht="15.75" customHeight="1" x14ac:dyDescent="0.2">
      <c r="A743" s="157">
        <v>742</v>
      </c>
      <c r="B743" s="163">
        <v>45533</v>
      </c>
      <c r="C743" s="157">
        <f t="shared" si="22"/>
        <v>0</v>
      </c>
      <c r="D743" s="157">
        <v>0</v>
      </c>
      <c r="E743" s="157">
        <f t="shared" si="23"/>
        <v>0</v>
      </c>
      <c r="F743" s="157" t="str">
        <f t="shared" si="24"/>
        <v>Thursday</v>
      </c>
      <c r="H743" s="157">
        <v>1</v>
      </c>
      <c r="I743" s="157">
        <f t="shared" si="32"/>
        <v>1</v>
      </c>
      <c r="J743" s="157">
        <f t="shared" si="31"/>
        <v>35</v>
      </c>
    </row>
    <row r="744" spans="1:10" ht="15.75" customHeight="1" x14ac:dyDescent="0.2">
      <c r="A744" s="157">
        <v>743</v>
      </c>
      <c r="B744" s="163">
        <v>45534</v>
      </c>
      <c r="C744" s="157">
        <f t="shared" si="22"/>
        <v>0</v>
      </c>
      <c r="D744" s="157">
        <v>0</v>
      </c>
      <c r="E744" s="157">
        <f t="shared" si="23"/>
        <v>0</v>
      </c>
      <c r="F744" s="157" t="str">
        <f t="shared" si="24"/>
        <v>Friday</v>
      </c>
      <c r="H744" s="157">
        <v>1</v>
      </c>
      <c r="I744" s="157">
        <f t="shared" si="32"/>
        <v>1</v>
      </c>
      <c r="J744" s="157">
        <f t="shared" si="31"/>
        <v>35</v>
      </c>
    </row>
    <row r="745" spans="1:10" ht="15.75" customHeight="1" x14ac:dyDescent="0.2">
      <c r="A745" s="157">
        <v>744</v>
      </c>
      <c r="B745" s="163">
        <v>45535</v>
      </c>
      <c r="C745" s="157">
        <f t="shared" si="22"/>
        <v>1</v>
      </c>
      <c r="D745" s="157">
        <v>0</v>
      </c>
      <c r="E745" s="157">
        <f t="shared" si="23"/>
        <v>1</v>
      </c>
      <c r="F745" s="157" t="str">
        <f t="shared" si="24"/>
        <v>Saturday</v>
      </c>
      <c r="H745" s="157">
        <v>1</v>
      </c>
      <c r="I745" s="157">
        <f t="shared" si="32"/>
        <v>1</v>
      </c>
      <c r="J745" s="157">
        <f t="shared" si="31"/>
        <v>35</v>
      </c>
    </row>
    <row r="746" spans="1:10" ht="15.75" customHeight="1" x14ac:dyDescent="0.2">
      <c r="A746" s="157">
        <v>745</v>
      </c>
      <c r="B746" s="163">
        <v>45536</v>
      </c>
      <c r="C746" s="157">
        <f t="shared" si="22"/>
        <v>1</v>
      </c>
      <c r="D746" s="157">
        <v>0</v>
      </c>
      <c r="E746" s="157">
        <f t="shared" si="23"/>
        <v>1</v>
      </c>
      <c r="F746" s="157" t="str">
        <f t="shared" si="24"/>
        <v>Sunday</v>
      </c>
      <c r="H746" s="157">
        <v>1</v>
      </c>
      <c r="I746" s="157">
        <f t="shared" si="32"/>
        <v>1</v>
      </c>
      <c r="J746" s="157">
        <f t="shared" si="31"/>
        <v>35</v>
      </c>
    </row>
    <row r="747" spans="1:10" ht="15.75" customHeight="1" x14ac:dyDescent="0.2">
      <c r="A747" s="157">
        <v>746</v>
      </c>
      <c r="B747" s="163">
        <v>45537</v>
      </c>
      <c r="C747" s="157">
        <f t="shared" si="22"/>
        <v>0</v>
      </c>
      <c r="D747" s="157">
        <v>0</v>
      </c>
      <c r="E747" s="157">
        <f t="shared" si="23"/>
        <v>0</v>
      </c>
      <c r="F747" s="157" t="str">
        <f t="shared" si="24"/>
        <v>Monday</v>
      </c>
      <c r="H747" s="157">
        <v>1</v>
      </c>
      <c r="I747" s="157">
        <f t="shared" si="32"/>
        <v>2</v>
      </c>
      <c r="J747" s="157">
        <f t="shared" si="31"/>
        <v>36</v>
      </c>
    </row>
    <row r="748" spans="1:10" ht="15.75" customHeight="1" x14ac:dyDescent="0.2">
      <c r="A748" s="157">
        <v>747</v>
      </c>
      <c r="B748" s="163">
        <v>45538</v>
      </c>
      <c r="C748" s="157">
        <f t="shared" si="22"/>
        <v>0</v>
      </c>
      <c r="D748" s="157">
        <v>0</v>
      </c>
      <c r="E748" s="157">
        <f t="shared" si="23"/>
        <v>0</v>
      </c>
      <c r="F748" s="157" t="str">
        <f t="shared" si="24"/>
        <v>Tuesday</v>
      </c>
      <c r="H748" s="157">
        <v>1</v>
      </c>
      <c r="I748" s="157">
        <f t="shared" si="32"/>
        <v>2</v>
      </c>
      <c r="J748" s="157">
        <f t="shared" si="31"/>
        <v>36</v>
      </c>
    </row>
    <row r="749" spans="1:10" ht="15.75" customHeight="1" x14ac:dyDescent="0.2">
      <c r="A749" s="157">
        <v>748</v>
      </c>
      <c r="B749" s="163">
        <v>45539</v>
      </c>
      <c r="C749" s="157">
        <f t="shared" si="22"/>
        <v>0</v>
      </c>
      <c r="D749" s="157">
        <v>0</v>
      </c>
      <c r="E749" s="157">
        <f t="shared" si="23"/>
        <v>0</v>
      </c>
      <c r="F749" s="157" t="str">
        <f t="shared" si="24"/>
        <v>Wednesday</v>
      </c>
      <c r="H749" s="157">
        <v>1</v>
      </c>
      <c r="I749" s="157">
        <f t="shared" si="32"/>
        <v>2</v>
      </c>
      <c r="J749" s="157">
        <f t="shared" si="31"/>
        <v>36</v>
      </c>
    </row>
    <row r="750" spans="1:10" ht="15.75" customHeight="1" x14ac:dyDescent="0.2">
      <c r="A750" s="157">
        <v>749</v>
      </c>
      <c r="B750" s="163">
        <v>45540</v>
      </c>
      <c r="C750" s="157">
        <f t="shared" si="22"/>
        <v>0</v>
      </c>
      <c r="D750" s="157">
        <v>0</v>
      </c>
      <c r="E750" s="157">
        <f t="shared" si="23"/>
        <v>0</v>
      </c>
      <c r="F750" s="157" t="str">
        <f t="shared" si="24"/>
        <v>Thursday</v>
      </c>
      <c r="H750" s="157">
        <v>1</v>
      </c>
      <c r="I750" s="157">
        <f t="shared" si="32"/>
        <v>2</v>
      </c>
      <c r="J750" s="157">
        <f t="shared" si="31"/>
        <v>36</v>
      </c>
    </row>
    <row r="751" spans="1:10" ht="15.75" customHeight="1" x14ac:dyDescent="0.2">
      <c r="A751" s="157">
        <v>750</v>
      </c>
      <c r="B751" s="163">
        <v>45541</v>
      </c>
      <c r="C751" s="157">
        <f t="shared" si="22"/>
        <v>0</v>
      </c>
      <c r="D751" s="157">
        <v>0</v>
      </c>
      <c r="E751" s="157">
        <f t="shared" si="23"/>
        <v>0</v>
      </c>
      <c r="F751" s="157" t="str">
        <f t="shared" si="24"/>
        <v>Friday</v>
      </c>
      <c r="H751" s="157">
        <v>1</v>
      </c>
      <c r="I751" s="157">
        <f t="shared" si="32"/>
        <v>2</v>
      </c>
      <c r="J751" s="157">
        <f t="shared" si="31"/>
        <v>36</v>
      </c>
    </row>
    <row r="752" spans="1:10" ht="15.75" customHeight="1" x14ac:dyDescent="0.2">
      <c r="A752" s="157">
        <v>751</v>
      </c>
      <c r="B752" s="163">
        <v>45542</v>
      </c>
      <c r="C752" s="157">
        <f t="shared" si="22"/>
        <v>1</v>
      </c>
      <c r="D752" s="157">
        <v>0</v>
      </c>
      <c r="E752" s="157">
        <f t="shared" si="23"/>
        <v>1</v>
      </c>
      <c r="F752" s="157" t="str">
        <f t="shared" si="24"/>
        <v>Saturday</v>
      </c>
      <c r="H752" s="157">
        <v>1</v>
      </c>
      <c r="I752" s="157">
        <f t="shared" si="32"/>
        <v>2</v>
      </c>
      <c r="J752" s="157">
        <f t="shared" si="31"/>
        <v>36</v>
      </c>
    </row>
    <row r="753" spans="1:10" ht="15.75" customHeight="1" x14ac:dyDescent="0.2">
      <c r="A753" s="157">
        <v>752</v>
      </c>
      <c r="B753" s="163">
        <v>45543</v>
      </c>
      <c r="C753" s="157">
        <f t="shared" si="22"/>
        <v>1</v>
      </c>
      <c r="D753" s="157">
        <v>0</v>
      </c>
      <c r="E753" s="157">
        <f t="shared" si="23"/>
        <v>1</v>
      </c>
      <c r="F753" s="157" t="str">
        <f t="shared" si="24"/>
        <v>Sunday</v>
      </c>
      <c r="H753" s="157">
        <v>1</v>
      </c>
      <c r="I753" s="157">
        <f t="shared" si="32"/>
        <v>2</v>
      </c>
      <c r="J753" s="157">
        <f t="shared" si="31"/>
        <v>36</v>
      </c>
    </row>
    <row r="754" spans="1:10" ht="15.75" customHeight="1" x14ac:dyDescent="0.2">
      <c r="A754" s="157">
        <v>753</v>
      </c>
      <c r="B754" s="163">
        <v>45544</v>
      </c>
      <c r="C754" s="157">
        <f t="shared" si="22"/>
        <v>0</v>
      </c>
      <c r="D754" s="157">
        <v>0</v>
      </c>
      <c r="E754" s="157">
        <f t="shared" si="23"/>
        <v>0</v>
      </c>
      <c r="F754" s="157" t="str">
        <f t="shared" si="24"/>
        <v>Monday</v>
      </c>
      <c r="H754" s="157">
        <v>1</v>
      </c>
      <c r="I754" s="157">
        <f t="shared" si="32"/>
        <v>3</v>
      </c>
      <c r="J754" s="157">
        <f t="shared" si="31"/>
        <v>37</v>
      </c>
    </row>
    <row r="755" spans="1:10" ht="15.75" customHeight="1" x14ac:dyDescent="0.2">
      <c r="A755" s="157">
        <v>754</v>
      </c>
      <c r="B755" s="163">
        <v>45545</v>
      </c>
      <c r="C755" s="157">
        <f t="shared" si="22"/>
        <v>0</v>
      </c>
      <c r="D755" s="157">
        <v>0</v>
      </c>
      <c r="E755" s="157">
        <f t="shared" si="23"/>
        <v>0</v>
      </c>
      <c r="F755" s="157" t="str">
        <f t="shared" si="24"/>
        <v>Tuesday</v>
      </c>
      <c r="H755" s="157">
        <v>1</v>
      </c>
      <c r="I755" s="157">
        <f t="shared" si="32"/>
        <v>3</v>
      </c>
      <c r="J755" s="157">
        <f t="shared" si="31"/>
        <v>37</v>
      </c>
    </row>
    <row r="756" spans="1:10" ht="15.75" customHeight="1" x14ac:dyDescent="0.2">
      <c r="A756" s="157">
        <v>755</v>
      </c>
      <c r="B756" s="163">
        <v>45546</v>
      </c>
      <c r="C756" s="157">
        <f t="shared" si="22"/>
        <v>0</v>
      </c>
      <c r="D756" s="157">
        <v>0</v>
      </c>
      <c r="E756" s="157">
        <f t="shared" si="23"/>
        <v>0</v>
      </c>
      <c r="F756" s="157" t="str">
        <f t="shared" si="24"/>
        <v>Wednesday</v>
      </c>
      <c r="H756" s="157">
        <v>1</v>
      </c>
      <c r="I756" s="157">
        <f t="shared" si="32"/>
        <v>3</v>
      </c>
      <c r="J756" s="157">
        <f t="shared" si="31"/>
        <v>37</v>
      </c>
    </row>
    <row r="757" spans="1:10" ht="15.75" customHeight="1" x14ac:dyDescent="0.2">
      <c r="A757" s="157">
        <v>756</v>
      </c>
      <c r="B757" s="163">
        <v>45547</v>
      </c>
      <c r="C757" s="157">
        <f t="shared" si="22"/>
        <v>0</v>
      </c>
      <c r="D757" s="157">
        <v>0</v>
      </c>
      <c r="E757" s="157">
        <f t="shared" si="23"/>
        <v>0</v>
      </c>
      <c r="F757" s="157" t="str">
        <f t="shared" si="24"/>
        <v>Thursday</v>
      </c>
      <c r="H757" s="157">
        <v>1</v>
      </c>
      <c r="I757" s="157">
        <f t="shared" si="32"/>
        <v>3</v>
      </c>
      <c r="J757" s="157">
        <f t="shared" si="31"/>
        <v>37</v>
      </c>
    </row>
    <row r="758" spans="1:10" ht="15.75" customHeight="1" x14ac:dyDescent="0.2">
      <c r="A758" s="157">
        <v>757</v>
      </c>
      <c r="B758" s="163">
        <v>45548</v>
      </c>
      <c r="C758" s="157">
        <f t="shared" si="22"/>
        <v>0</v>
      </c>
      <c r="D758" s="157">
        <v>0</v>
      </c>
      <c r="E758" s="157">
        <f t="shared" si="23"/>
        <v>0</v>
      </c>
      <c r="F758" s="157" t="str">
        <f t="shared" si="24"/>
        <v>Friday</v>
      </c>
      <c r="H758" s="157">
        <v>1</v>
      </c>
      <c r="I758" s="157">
        <f t="shared" si="32"/>
        <v>3</v>
      </c>
      <c r="J758" s="157">
        <f t="shared" si="31"/>
        <v>37</v>
      </c>
    </row>
    <row r="759" spans="1:10" ht="15.75" customHeight="1" x14ac:dyDescent="0.2">
      <c r="A759" s="157">
        <v>758</v>
      </c>
      <c r="B759" s="163">
        <v>45549</v>
      </c>
      <c r="C759" s="157">
        <f t="shared" si="22"/>
        <v>1</v>
      </c>
      <c r="D759" s="157">
        <v>0</v>
      </c>
      <c r="E759" s="157">
        <f t="shared" si="23"/>
        <v>1</v>
      </c>
      <c r="F759" s="157" t="str">
        <f t="shared" si="24"/>
        <v>Saturday</v>
      </c>
      <c r="H759" s="157">
        <v>1</v>
      </c>
      <c r="I759" s="157">
        <f t="shared" si="32"/>
        <v>3</v>
      </c>
      <c r="J759" s="157">
        <f t="shared" si="31"/>
        <v>37</v>
      </c>
    </row>
    <row r="760" spans="1:10" ht="15.75" customHeight="1" x14ac:dyDescent="0.2">
      <c r="A760" s="157">
        <v>759</v>
      </c>
      <c r="B760" s="163">
        <v>45550</v>
      </c>
      <c r="C760" s="157">
        <f t="shared" si="22"/>
        <v>1</v>
      </c>
      <c r="D760" s="157">
        <v>0</v>
      </c>
      <c r="E760" s="157">
        <f t="shared" si="23"/>
        <v>1</v>
      </c>
      <c r="F760" s="157" t="str">
        <f t="shared" si="24"/>
        <v>Sunday</v>
      </c>
      <c r="H760" s="157">
        <v>1</v>
      </c>
      <c r="I760" s="157">
        <f t="shared" si="32"/>
        <v>3</v>
      </c>
      <c r="J760" s="157">
        <f t="shared" si="31"/>
        <v>37</v>
      </c>
    </row>
    <row r="761" spans="1:10" ht="15.75" customHeight="1" x14ac:dyDescent="0.2">
      <c r="A761" s="157">
        <v>760</v>
      </c>
      <c r="B761" s="163">
        <v>45551</v>
      </c>
      <c r="C761" s="157">
        <f t="shared" si="22"/>
        <v>0</v>
      </c>
      <c r="D761" s="157">
        <v>0</v>
      </c>
      <c r="E761" s="157">
        <f t="shared" si="23"/>
        <v>0</v>
      </c>
      <c r="F761" s="157" t="str">
        <f t="shared" si="24"/>
        <v>Monday</v>
      </c>
      <c r="H761" s="157">
        <v>1</v>
      </c>
      <c r="I761" s="157">
        <f t="shared" si="32"/>
        <v>4</v>
      </c>
      <c r="J761" s="157">
        <f t="shared" si="31"/>
        <v>38</v>
      </c>
    </row>
    <row r="762" spans="1:10" ht="15.75" customHeight="1" x14ac:dyDescent="0.2">
      <c r="A762" s="157">
        <v>761</v>
      </c>
      <c r="B762" s="163">
        <v>45552</v>
      </c>
      <c r="C762" s="157">
        <f t="shared" si="22"/>
        <v>0</v>
      </c>
      <c r="D762" s="157">
        <v>0</v>
      </c>
      <c r="E762" s="157">
        <f t="shared" si="23"/>
        <v>0</v>
      </c>
      <c r="F762" s="157" t="str">
        <f t="shared" si="24"/>
        <v>Tuesday</v>
      </c>
      <c r="H762" s="157">
        <v>1</v>
      </c>
      <c r="I762" s="157">
        <f t="shared" si="32"/>
        <v>4</v>
      </c>
      <c r="J762" s="157">
        <f t="shared" si="31"/>
        <v>38</v>
      </c>
    </row>
    <row r="763" spans="1:10" ht="15.75" customHeight="1" x14ac:dyDescent="0.2">
      <c r="A763" s="157">
        <v>762</v>
      </c>
      <c r="B763" s="163">
        <v>45553</v>
      </c>
      <c r="C763" s="157">
        <f t="shared" si="22"/>
        <v>0</v>
      </c>
      <c r="D763" s="157">
        <v>0</v>
      </c>
      <c r="E763" s="157">
        <f t="shared" si="23"/>
        <v>0</v>
      </c>
      <c r="F763" s="157" t="str">
        <f t="shared" si="24"/>
        <v>Wednesday</v>
      </c>
      <c r="H763" s="157">
        <v>1</v>
      </c>
      <c r="I763" s="157">
        <f t="shared" si="32"/>
        <v>4</v>
      </c>
      <c r="J763" s="157">
        <f t="shared" si="31"/>
        <v>38</v>
      </c>
    </row>
    <row r="764" spans="1:10" ht="15.75" customHeight="1" x14ac:dyDescent="0.2">
      <c r="A764" s="157">
        <v>763</v>
      </c>
      <c r="B764" s="163">
        <v>45554</v>
      </c>
      <c r="C764" s="157">
        <f t="shared" si="22"/>
        <v>0</v>
      </c>
      <c r="D764" s="157">
        <v>0</v>
      </c>
      <c r="E764" s="157">
        <f t="shared" si="23"/>
        <v>0</v>
      </c>
      <c r="F764" s="157" t="str">
        <f t="shared" si="24"/>
        <v>Thursday</v>
      </c>
      <c r="H764" s="157">
        <v>1</v>
      </c>
      <c r="I764" s="157">
        <f t="shared" si="32"/>
        <v>4</v>
      </c>
      <c r="J764" s="157">
        <f t="shared" si="31"/>
        <v>38</v>
      </c>
    </row>
    <row r="765" spans="1:10" ht="15.75" customHeight="1" x14ac:dyDescent="0.2">
      <c r="A765" s="157">
        <v>764</v>
      </c>
      <c r="B765" s="163">
        <v>45555</v>
      </c>
      <c r="C765" s="157">
        <f t="shared" si="22"/>
        <v>0</v>
      </c>
      <c r="D765" s="157">
        <v>0</v>
      </c>
      <c r="E765" s="157">
        <f t="shared" si="23"/>
        <v>0</v>
      </c>
      <c r="F765" s="157" t="str">
        <f t="shared" si="24"/>
        <v>Friday</v>
      </c>
      <c r="H765" s="157">
        <v>1</v>
      </c>
      <c r="I765" s="157">
        <f t="shared" si="32"/>
        <v>4</v>
      </c>
      <c r="J765" s="157">
        <f t="shared" si="31"/>
        <v>38</v>
      </c>
    </row>
    <row r="766" spans="1:10" ht="15.75" customHeight="1" x14ac:dyDescent="0.2">
      <c r="A766" s="157">
        <v>765</v>
      </c>
      <c r="B766" s="163">
        <v>45556</v>
      </c>
      <c r="C766" s="157">
        <f t="shared" si="22"/>
        <v>1</v>
      </c>
      <c r="D766" s="157">
        <v>0</v>
      </c>
      <c r="E766" s="157">
        <f t="shared" si="23"/>
        <v>1</v>
      </c>
      <c r="F766" s="157" t="str">
        <f t="shared" si="24"/>
        <v>Saturday</v>
      </c>
      <c r="H766" s="157">
        <v>1</v>
      </c>
      <c r="I766" s="157">
        <f t="shared" si="32"/>
        <v>4</v>
      </c>
      <c r="J766" s="157">
        <f t="shared" si="31"/>
        <v>38</v>
      </c>
    </row>
    <row r="767" spans="1:10" ht="15.75" customHeight="1" x14ac:dyDescent="0.2">
      <c r="A767" s="157">
        <v>766</v>
      </c>
      <c r="B767" s="163">
        <v>45557</v>
      </c>
      <c r="C767" s="157">
        <f t="shared" ref="C767:C1001" si="33">IF(OR(WEEKDAY(B767) = 7, WEEKDAY(B767) = 1), 1, 0)</f>
        <v>1</v>
      </c>
      <c r="D767" s="157">
        <v>0</v>
      </c>
      <c r="E767" s="157">
        <f t="shared" ref="E767:E1001" si="34">IF((C767+D767)&gt;0, 1, 0)</f>
        <v>1</v>
      </c>
      <c r="F767" s="157" t="str">
        <f t="shared" ref="F767:F1001" si="35">TEXT(B767, "dddd")</f>
        <v>Sunday</v>
      </c>
      <c r="H767" s="157">
        <v>1</v>
      </c>
      <c r="I767" s="157">
        <f t="shared" si="32"/>
        <v>4</v>
      </c>
      <c r="J767" s="157">
        <f t="shared" si="31"/>
        <v>38</v>
      </c>
    </row>
    <row r="768" spans="1:10" ht="15.75" customHeight="1" x14ac:dyDescent="0.2">
      <c r="A768" s="157">
        <v>767</v>
      </c>
      <c r="B768" s="163">
        <v>45558</v>
      </c>
      <c r="C768" s="157">
        <f t="shared" si="33"/>
        <v>0</v>
      </c>
      <c r="D768" s="157">
        <v>0</v>
      </c>
      <c r="E768" s="157">
        <f t="shared" si="34"/>
        <v>0</v>
      </c>
      <c r="F768" s="157" t="str">
        <f t="shared" si="35"/>
        <v>Monday</v>
      </c>
      <c r="H768" s="157">
        <v>1</v>
      </c>
      <c r="I768" s="157">
        <f t="shared" si="32"/>
        <v>5</v>
      </c>
      <c r="J768" s="157">
        <f t="shared" si="31"/>
        <v>39</v>
      </c>
    </row>
    <row r="769" spans="1:10" ht="15.75" customHeight="1" x14ac:dyDescent="0.2">
      <c r="A769" s="157">
        <v>768</v>
      </c>
      <c r="B769" s="163">
        <v>45559</v>
      </c>
      <c r="C769" s="157">
        <f t="shared" si="33"/>
        <v>0</v>
      </c>
      <c r="D769" s="157">
        <v>0</v>
      </c>
      <c r="E769" s="157">
        <f t="shared" si="34"/>
        <v>0</v>
      </c>
      <c r="F769" s="157" t="str">
        <f t="shared" si="35"/>
        <v>Tuesday</v>
      </c>
      <c r="H769" s="157">
        <v>1</v>
      </c>
      <c r="I769" s="157">
        <f t="shared" si="32"/>
        <v>5</v>
      </c>
      <c r="J769" s="157">
        <f t="shared" si="31"/>
        <v>39</v>
      </c>
    </row>
    <row r="770" spans="1:10" ht="15.75" customHeight="1" x14ac:dyDescent="0.2">
      <c r="A770" s="157">
        <v>769</v>
      </c>
      <c r="B770" s="163">
        <v>45560</v>
      </c>
      <c r="C770" s="157">
        <f t="shared" si="33"/>
        <v>0</v>
      </c>
      <c r="D770" s="157">
        <v>0</v>
      </c>
      <c r="E770" s="157">
        <f t="shared" si="34"/>
        <v>0</v>
      </c>
      <c r="F770" s="157" t="str">
        <f t="shared" si="35"/>
        <v>Wednesday</v>
      </c>
      <c r="H770" s="157">
        <v>1</v>
      </c>
      <c r="I770" s="157">
        <f t="shared" si="32"/>
        <v>5</v>
      </c>
      <c r="J770" s="157">
        <f t="shared" si="31"/>
        <v>39</v>
      </c>
    </row>
    <row r="771" spans="1:10" ht="15.75" customHeight="1" x14ac:dyDescent="0.2">
      <c r="A771" s="157">
        <v>770</v>
      </c>
      <c r="B771" s="163">
        <v>45561</v>
      </c>
      <c r="C771" s="157">
        <f t="shared" si="33"/>
        <v>0</v>
      </c>
      <c r="D771" s="157">
        <v>0</v>
      </c>
      <c r="E771" s="157">
        <f t="shared" si="34"/>
        <v>0</v>
      </c>
      <c r="F771" s="157" t="str">
        <f t="shared" si="35"/>
        <v>Thursday</v>
      </c>
      <c r="H771" s="157">
        <v>1</v>
      </c>
      <c r="I771" s="157">
        <f t="shared" si="32"/>
        <v>5</v>
      </c>
      <c r="J771" s="157">
        <f t="shared" ref="J771:J834" si="36">_xlfn.ISOWEEKNUM(B771)</f>
        <v>39</v>
      </c>
    </row>
    <row r="772" spans="1:10" ht="15.75" customHeight="1" x14ac:dyDescent="0.2">
      <c r="A772" s="157">
        <v>771</v>
      </c>
      <c r="B772" s="163">
        <v>45562</v>
      </c>
      <c r="C772" s="157">
        <f t="shared" si="33"/>
        <v>0</v>
      </c>
      <c r="D772" s="157">
        <v>0</v>
      </c>
      <c r="E772" s="157">
        <f t="shared" si="34"/>
        <v>0</v>
      </c>
      <c r="F772" s="157" t="str">
        <f t="shared" si="35"/>
        <v>Friday</v>
      </c>
      <c r="H772" s="157">
        <v>1</v>
      </c>
      <c r="I772" s="157">
        <f t="shared" si="32"/>
        <v>5</v>
      </c>
      <c r="J772" s="157">
        <f t="shared" si="36"/>
        <v>39</v>
      </c>
    </row>
    <row r="773" spans="1:10" ht="15.75" customHeight="1" x14ac:dyDescent="0.2">
      <c r="A773" s="157">
        <v>772</v>
      </c>
      <c r="B773" s="163">
        <v>45563</v>
      </c>
      <c r="C773" s="157">
        <f t="shared" si="33"/>
        <v>1</v>
      </c>
      <c r="D773" s="157">
        <v>0</v>
      </c>
      <c r="E773" s="157">
        <f t="shared" si="34"/>
        <v>1</v>
      </c>
      <c r="F773" s="157" t="str">
        <f t="shared" si="35"/>
        <v>Saturday</v>
      </c>
      <c r="H773" s="157">
        <v>1</v>
      </c>
      <c r="I773" s="157">
        <f t="shared" ref="I773:I836" si="37">IF(J773&gt;J772, IF(H773&lt;&gt;H772,1, I772+1),I772)</f>
        <v>5</v>
      </c>
      <c r="J773" s="157">
        <f t="shared" si="36"/>
        <v>39</v>
      </c>
    </row>
    <row r="774" spans="1:10" ht="15.75" customHeight="1" x14ac:dyDescent="0.2">
      <c r="A774" s="157">
        <v>773</v>
      </c>
      <c r="B774" s="163">
        <v>45564</v>
      </c>
      <c r="C774" s="157">
        <f t="shared" si="33"/>
        <v>1</v>
      </c>
      <c r="D774" s="157">
        <v>0</v>
      </c>
      <c r="E774" s="157">
        <f t="shared" si="34"/>
        <v>1</v>
      </c>
      <c r="F774" s="157" t="str">
        <f t="shared" si="35"/>
        <v>Sunday</v>
      </c>
      <c r="H774" s="157">
        <v>1</v>
      </c>
      <c r="I774" s="157">
        <f t="shared" si="37"/>
        <v>5</v>
      </c>
      <c r="J774" s="157">
        <f t="shared" si="36"/>
        <v>39</v>
      </c>
    </row>
    <row r="775" spans="1:10" ht="15.75" customHeight="1" x14ac:dyDescent="0.2">
      <c r="A775" s="157">
        <v>774</v>
      </c>
      <c r="B775" s="163">
        <v>45565</v>
      </c>
      <c r="C775" s="157">
        <f t="shared" si="33"/>
        <v>0</v>
      </c>
      <c r="D775" s="157">
        <v>0</v>
      </c>
      <c r="E775" s="157">
        <f t="shared" si="34"/>
        <v>0</v>
      </c>
      <c r="F775" s="157" t="str">
        <f t="shared" si="35"/>
        <v>Monday</v>
      </c>
      <c r="H775" s="157">
        <v>1</v>
      </c>
      <c r="I775" s="157">
        <f t="shared" si="37"/>
        <v>6</v>
      </c>
      <c r="J775" s="157">
        <f t="shared" si="36"/>
        <v>40</v>
      </c>
    </row>
    <row r="776" spans="1:10" ht="15.75" customHeight="1" x14ac:dyDescent="0.2">
      <c r="A776" s="157">
        <v>775</v>
      </c>
      <c r="B776" s="163">
        <v>45566</v>
      </c>
      <c r="C776" s="157">
        <f t="shared" si="33"/>
        <v>0</v>
      </c>
      <c r="D776" s="157">
        <v>0</v>
      </c>
      <c r="E776" s="157">
        <f t="shared" si="34"/>
        <v>0</v>
      </c>
      <c r="F776" s="157" t="str">
        <f t="shared" si="35"/>
        <v>Tuesday</v>
      </c>
      <c r="H776" s="157">
        <v>1</v>
      </c>
      <c r="I776" s="157">
        <f t="shared" si="37"/>
        <v>6</v>
      </c>
      <c r="J776" s="157">
        <f t="shared" si="36"/>
        <v>40</v>
      </c>
    </row>
    <row r="777" spans="1:10" ht="15.75" customHeight="1" x14ac:dyDescent="0.2">
      <c r="A777" s="157">
        <v>776</v>
      </c>
      <c r="B777" s="163">
        <v>45567</v>
      </c>
      <c r="C777" s="157">
        <f t="shared" si="33"/>
        <v>0</v>
      </c>
      <c r="D777" s="157">
        <v>0</v>
      </c>
      <c r="E777" s="157">
        <f t="shared" si="34"/>
        <v>0</v>
      </c>
      <c r="F777" s="157" t="str">
        <f t="shared" si="35"/>
        <v>Wednesday</v>
      </c>
      <c r="H777" s="157">
        <v>1</v>
      </c>
      <c r="I777" s="157">
        <f t="shared" si="37"/>
        <v>6</v>
      </c>
      <c r="J777" s="157">
        <f t="shared" si="36"/>
        <v>40</v>
      </c>
    </row>
    <row r="778" spans="1:10" ht="15.75" customHeight="1" x14ac:dyDescent="0.2">
      <c r="A778" s="157">
        <v>777</v>
      </c>
      <c r="B778" s="163">
        <v>45568</v>
      </c>
      <c r="C778" s="157">
        <f t="shared" si="33"/>
        <v>0</v>
      </c>
      <c r="D778" s="157">
        <v>0</v>
      </c>
      <c r="E778" s="157">
        <f t="shared" si="34"/>
        <v>0</v>
      </c>
      <c r="F778" s="157" t="str">
        <f t="shared" si="35"/>
        <v>Thursday</v>
      </c>
      <c r="H778" s="157">
        <v>1</v>
      </c>
      <c r="I778" s="157">
        <f t="shared" si="37"/>
        <v>6</v>
      </c>
      <c r="J778" s="157">
        <f t="shared" si="36"/>
        <v>40</v>
      </c>
    </row>
    <row r="779" spans="1:10" ht="15.75" customHeight="1" x14ac:dyDescent="0.2">
      <c r="A779" s="157">
        <v>778</v>
      </c>
      <c r="B779" s="163">
        <v>45569</v>
      </c>
      <c r="C779" s="157">
        <f t="shared" si="33"/>
        <v>0</v>
      </c>
      <c r="D779" s="157">
        <v>0</v>
      </c>
      <c r="E779" s="157">
        <f t="shared" si="34"/>
        <v>0</v>
      </c>
      <c r="F779" s="157" t="str">
        <f t="shared" si="35"/>
        <v>Friday</v>
      </c>
      <c r="H779" s="157">
        <v>1</v>
      </c>
      <c r="I779" s="157">
        <f t="shared" si="37"/>
        <v>6</v>
      </c>
      <c r="J779" s="157">
        <f t="shared" si="36"/>
        <v>40</v>
      </c>
    </row>
    <row r="780" spans="1:10" ht="15.75" customHeight="1" x14ac:dyDescent="0.2">
      <c r="A780" s="157">
        <v>779</v>
      </c>
      <c r="B780" s="163">
        <v>45570</v>
      </c>
      <c r="C780" s="157">
        <f t="shared" si="33"/>
        <v>1</v>
      </c>
      <c r="D780" s="157">
        <v>0</v>
      </c>
      <c r="E780" s="157">
        <f t="shared" si="34"/>
        <v>1</v>
      </c>
      <c r="F780" s="157" t="str">
        <f t="shared" si="35"/>
        <v>Saturday</v>
      </c>
      <c r="H780" s="157">
        <v>1</v>
      </c>
      <c r="I780" s="157">
        <f t="shared" si="37"/>
        <v>6</v>
      </c>
      <c r="J780" s="157">
        <f t="shared" si="36"/>
        <v>40</v>
      </c>
    </row>
    <row r="781" spans="1:10" ht="15.75" customHeight="1" x14ac:dyDescent="0.2">
      <c r="A781" s="157">
        <v>780</v>
      </c>
      <c r="B781" s="163">
        <v>45571</v>
      </c>
      <c r="C781" s="157">
        <f t="shared" si="33"/>
        <v>1</v>
      </c>
      <c r="D781" s="157">
        <v>0</v>
      </c>
      <c r="E781" s="157">
        <f t="shared" si="34"/>
        <v>1</v>
      </c>
      <c r="F781" s="157" t="str">
        <f t="shared" si="35"/>
        <v>Sunday</v>
      </c>
      <c r="H781" s="157">
        <v>1</v>
      </c>
      <c r="I781" s="157">
        <f t="shared" si="37"/>
        <v>6</v>
      </c>
      <c r="J781" s="157">
        <f t="shared" si="36"/>
        <v>40</v>
      </c>
    </row>
    <row r="782" spans="1:10" ht="15.75" customHeight="1" x14ac:dyDescent="0.2">
      <c r="A782" s="157">
        <v>781</v>
      </c>
      <c r="B782" s="163">
        <v>45572</v>
      </c>
      <c r="C782" s="157">
        <f t="shared" si="33"/>
        <v>0</v>
      </c>
      <c r="D782" s="157">
        <v>0</v>
      </c>
      <c r="E782" s="157">
        <f t="shared" si="34"/>
        <v>0</v>
      </c>
      <c r="F782" s="157" t="str">
        <f t="shared" si="35"/>
        <v>Monday</v>
      </c>
      <c r="H782" s="157">
        <v>1</v>
      </c>
      <c r="I782" s="157">
        <f t="shared" si="37"/>
        <v>7</v>
      </c>
      <c r="J782" s="157">
        <f t="shared" si="36"/>
        <v>41</v>
      </c>
    </row>
    <row r="783" spans="1:10" ht="15.75" customHeight="1" x14ac:dyDescent="0.2">
      <c r="A783" s="157">
        <v>782</v>
      </c>
      <c r="B783" s="163">
        <v>45573</v>
      </c>
      <c r="C783" s="157">
        <f t="shared" si="33"/>
        <v>0</v>
      </c>
      <c r="D783" s="157">
        <v>0</v>
      </c>
      <c r="E783" s="157">
        <f t="shared" si="34"/>
        <v>0</v>
      </c>
      <c r="F783" s="157" t="str">
        <f t="shared" si="35"/>
        <v>Tuesday</v>
      </c>
      <c r="H783" s="157">
        <v>1</v>
      </c>
      <c r="I783" s="157">
        <f t="shared" si="37"/>
        <v>7</v>
      </c>
      <c r="J783" s="157">
        <f t="shared" si="36"/>
        <v>41</v>
      </c>
    </row>
    <row r="784" spans="1:10" ht="15.75" customHeight="1" x14ac:dyDescent="0.2">
      <c r="A784" s="157">
        <v>783</v>
      </c>
      <c r="B784" s="163">
        <v>45574</v>
      </c>
      <c r="C784" s="157">
        <f t="shared" si="33"/>
        <v>0</v>
      </c>
      <c r="D784" s="157">
        <v>0</v>
      </c>
      <c r="E784" s="157">
        <f t="shared" si="34"/>
        <v>0</v>
      </c>
      <c r="F784" s="157" t="str">
        <f t="shared" si="35"/>
        <v>Wednesday</v>
      </c>
      <c r="H784" s="157">
        <v>1</v>
      </c>
      <c r="I784" s="157">
        <f t="shared" si="37"/>
        <v>7</v>
      </c>
      <c r="J784" s="157">
        <f t="shared" si="36"/>
        <v>41</v>
      </c>
    </row>
    <row r="785" spans="1:10" ht="15.75" customHeight="1" x14ac:dyDescent="0.2">
      <c r="A785" s="157">
        <v>784</v>
      </c>
      <c r="B785" s="163">
        <v>45575</v>
      </c>
      <c r="C785" s="157">
        <f t="shared" si="33"/>
        <v>0</v>
      </c>
      <c r="D785" s="157">
        <v>0</v>
      </c>
      <c r="E785" s="157">
        <f t="shared" si="34"/>
        <v>0</v>
      </c>
      <c r="F785" s="157" t="str">
        <f t="shared" si="35"/>
        <v>Thursday</v>
      </c>
      <c r="H785" s="157">
        <v>1</v>
      </c>
      <c r="I785" s="157">
        <f t="shared" si="37"/>
        <v>7</v>
      </c>
      <c r="J785" s="157">
        <f t="shared" si="36"/>
        <v>41</v>
      </c>
    </row>
    <row r="786" spans="1:10" ht="15.75" customHeight="1" x14ac:dyDescent="0.2">
      <c r="A786" s="157">
        <v>785</v>
      </c>
      <c r="B786" s="163">
        <v>45576</v>
      </c>
      <c r="C786" s="157">
        <f t="shared" si="33"/>
        <v>0</v>
      </c>
      <c r="D786" s="157">
        <v>0</v>
      </c>
      <c r="E786" s="157">
        <f t="shared" si="34"/>
        <v>0</v>
      </c>
      <c r="F786" s="157" t="str">
        <f t="shared" si="35"/>
        <v>Friday</v>
      </c>
      <c r="H786" s="157">
        <v>1</v>
      </c>
      <c r="I786" s="157">
        <f t="shared" si="37"/>
        <v>7</v>
      </c>
      <c r="J786" s="157">
        <f t="shared" si="36"/>
        <v>41</v>
      </c>
    </row>
    <row r="787" spans="1:10" ht="15.75" customHeight="1" x14ac:dyDescent="0.2">
      <c r="A787" s="157">
        <v>786</v>
      </c>
      <c r="B787" s="163">
        <v>45577</v>
      </c>
      <c r="C787" s="157">
        <f t="shared" si="33"/>
        <v>1</v>
      </c>
      <c r="D787" s="157">
        <v>0</v>
      </c>
      <c r="E787" s="157">
        <f t="shared" si="34"/>
        <v>1</v>
      </c>
      <c r="F787" s="157" t="str">
        <f t="shared" si="35"/>
        <v>Saturday</v>
      </c>
      <c r="H787" s="157">
        <v>1</v>
      </c>
      <c r="I787" s="157">
        <f t="shared" si="37"/>
        <v>7</v>
      </c>
      <c r="J787" s="157">
        <f t="shared" si="36"/>
        <v>41</v>
      </c>
    </row>
    <row r="788" spans="1:10" ht="15.75" customHeight="1" x14ac:dyDescent="0.2">
      <c r="A788" s="157">
        <v>787</v>
      </c>
      <c r="B788" s="163">
        <v>45578</v>
      </c>
      <c r="C788" s="157">
        <f t="shared" si="33"/>
        <v>1</v>
      </c>
      <c r="D788" s="157">
        <v>0</v>
      </c>
      <c r="E788" s="157">
        <f t="shared" si="34"/>
        <v>1</v>
      </c>
      <c r="F788" s="157" t="str">
        <f t="shared" si="35"/>
        <v>Sunday</v>
      </c>
      <c r="H788" s="157">
        <v>1</v>
      </c>
      <c r="I788" s="157">
        <f t="shared" si="37"/>
        <v>7</v>
      </c>
      <c r="J788" s="157">
        <f t="shared" si="36"/>
        <v>41</v>
      </c>
    </row>
    <row r="789" spans="1:10" ht="15.75" customHeight="1" x14ac:dyDescent="0.2">
      <c r="A789" s="157">
        <v>788</v>
      </c>
      <c r="B789" s="163">
        <v>45579</v>
      </c>
      <c r="C789" s="157">
        <f t="shared" si="33"/>
        <v>0</v>
      </c>
      <c r="D789" s="157">
        <v>0</v>
      </c>
      <c r="E789" s="157">
        <f t="shared" si="34"/>
        <v>0</v>
      </c>
      <c r="F789" s="157" t="str">
        <f t="shared" si="35"/>
        <v>Monday</v>
      </c>
      <c r="H789" s="157">
        <v>1</v>
      </c>
      <c r="I789" s="157">
        <f t="shared" si="37"/>
        <v>8</v>
      </c>
      <c r="J789" s="157">
        <f t="shared" si="36"/>
        <v>42</v>
      </c>
    </row>
    <row r="790" spans="1:10" ht="15.75" customHeight="1" x14ac:dyDescent="0.2">
      <c r="A790" s="157">
        <v>789</v>
      </c>
      <c r="B790" s="163">
        <v>45580</v>
      </c>
      <c r="C790" s="157">
        <f t="shared" si="33"/>
        <v>0</v>
      </c>
      <c r="D790" s="157">
        <v>0</v>
      </c>
      <c r="E790" s="157">
        <f t="shared" si="34"/>
        <v>0</v>
      </c>
      <c r="F790" s="157" t="str">
        <f t="shared" si="35"/>
        <v>Tuesday</v>
      </c>
      <c r="H790" s="157">
        <v>1</v>
      </c>
      <c r="I790" s="157">
        <f t="shared" si="37"/>
        <v>8</v>
      </c>
      <c r="J790" s="157">
        <f t="shared" si="36"/>
        <v>42</v>
      </c>
    </row>
    <row r="791" spans="1:10" ht="15.75" customHeight="1" x14ac:dyDescent="0.2">
      <c r="A791" s="157">
        <v>790</v>
      </c>
      <c r="B791" s="163">
        <v>45581</v>
      </c>
      <c r="C791" s="157">
        <f t="shared" si="33"/>
        <v>0</v>
      </c>
      <c r="D791" s="157">
        <v>0</v>
      </c>
      <c r="E791" s="157">
        <f t="shared" si="34"/>
        <v>0</v>
      </c>
      <c r="F791" s="157" t="str">
        <f t="shared" si="35"/>
        <v>Wednesday</v>
      </c>
      <c r="H791" s="157">
        <v>1</v>
      </c>
      <c r="I791" s="157">
        <f t="shared" si="37"/>
        <v>8</v>
      </c>
      <c r="J791" s="157">
        <f t="shared" si="36"/>
        <v>42</v>
      </c>
    </row>
    <row r="792" spans="1:10" ht="15.75" customHeight="1" x14ac:dyDescent="0.2">
      <c r="A792" s="157">
        <v>791</v>
      </c>
      <c r="B792" s="163">
        <v>45582</v>
      </c>
      <c r="C792" s="157">
        <f t="shared" si="33"/>
        <v>0</v>
      </c>
      <c r="D792" s="157">
        <v>0</v>
      </c>
      <c r="E792" s="157">
        <f t="shared" si="34"/>
        <v>0</v>
      </c>
      <c r="F792" s="157" t="str">
        <f t="shared" si="35"/>
        <v>Thursday</v>
      </c>
      <c r="H792" s="157">
        <v>1</v>
      </c>
      <c r="I792" s="157">
        <f t="shared" si="37"/>
        <v>8</v>
      </c>
      <c r="J792" s="157">
        <f t="shared" si="36"/>
        <v>42</v>
      </c>
    </row>
    <row r="793" spans="1:10" ht="15.75" customHeight="1" x14ac:dyDescent="0.2">
      <c r="A793" s="157">
        <v>792</v>
      </c>
      <c r="B793" s="163">
        <v>45583</v>
      </c>
      <c r="C793" s="157">
        <f t="shared" si="33"/>
        <v>0</v>
      </c>
      <c r="D793" s="157">
        <v>0</v>
      </c>
      <c r="E793" s="157">
        <f t="shared" si="34"/>
        <v>0</v>
      </c>
      <c r="F793" s="157" t="str">
        <f t="shared" si="35"/>
        <v>Friday</v>
      </c>
      <c r="H793" s="157">
        <v>1</v>
      </c>
      <c r="I793" s="157">
        <f t="shared" si="37"/>
        <v>8</v>
      </c>
      <c r="J793" s="157">
        <f t="shared" si="36"/>
        <v>42</v>
      </c>
    </row>
    <row r="794" spans="1:10" ht="15.75" customHeight="1" x14ac:dyDescent="0.2">
      <c r="A794" s="157">
        <v>793</v>
      </c>
      <c r="B794" s="163">
        <v>45584</v>
      </c>
      <c r="C794" s="157">
        <f t="shared" si="33"/>
        <v>1</v>
      </c>
      <c r="D794" s="157">
        <v>0</v>
      </c>
      <c r="E794" s="157">
        <f t="shared" si="34"/>
        <v>1</v>
      </c>
      <c r="F794" s="157" t="str">
        <f t="shared" si="35"/>
        <v>Saturday</v>
      </c>
      <c r="H794" s="157">
        <v>1</v>
      </c>
      <c r="I794" s="157">
        <f t="shared" si="37"/>
        <v>8</v>
      </c>
      <c r="J794" s="157">
        <f t="shared" si="36"/>
        <v>42</v>
      </c>
    </row>
    <row r="795" spans="1:10" ht="15.75" customHeight="1" x14ac:dyDescent="0.2">
      <c r="A795" s="157">
        <v>794</v>
      </c>
      <c r="B795" s="163">
        <v>45585</v>
      </c>
      <c r="C795" s="157">
        <f t="shared" si="33"/>
        <v>1</v>
      </c>
      <c r="D795" s="157">
        <v>0</v>
      </c>
      <c r="E795" s="157">
        <f t="shared" si="34"/>
        <v>1</v>
      </c>
      <c r="F795" s="157" t="str">
        <f t="shared" si="35"/>
        <v>Sunday</v>
      </c>
      <c r="H795" s="157">
        <v>1</v>
      </c>
      <c r="I795" s="157">
        <f t="shared" si="37"/>
        <v>8</v>
      </c>
      <c r="J795" s="157">
        <f t="shared" si="36"/>
        <v>42</v>
      </c>
    </row>
    <row r="796" spans="1:10" ht="15.75" customHeight="1" x14ac:dyDescent="0.2">
      <c r="A796" s="157">
        <v>795</v>
      </c>
      <c r="B796" s="163">
        <v>45586</v>
      </c>
      <c r="C796" s="157">
        <f t="shared" si="33"/>
        <v>0</v>
      </c>
      <c r="D796" s="157">
        <v>0</v>
      </c>
      <c r="E796" s="157">
        <f t="shared" si="34"/>
        <v>0</v>
      </c>
      <c r="F796" s="157" t="str">
        <f t="shared" si="35"/>
        <v>Monday</v>
      </c>
      <c r="H796" s="157">
        <v>1</v>
      </c>
      <c r="I796" s="157">
        <f t="shared" si="37"/>
        <v>9</v>
      </c>
      <c r="J796" s="157">
        <f t="shared" si="36"/>
        <v>43</v>
      </c>
    </row>
    <row r="797" spans="1:10" ht="15.75" customHeight="1" x14ac:dyDescent="0.2">
      <c r="A797" s="157">
        <v>796</v>
      </c>
      <c r="B797" s="163">
        <v>45587</v>
      </c>
      <c r="C797" s="157">
        <f t="shared" si="33"/>
        <v>0</v>
      </c>
      <c r="D797" s="157">
        <v>0</v>
      </c>
      <c r="E797" s="157">
        <f t="shared" si="34"/>
        <v>0</v>
      </c>
      <c r="F797" s="157" t="str">
        <f t="shared" si="35"/>
        <v>Tuesday</v>
      </c>
      <c r="H797" s="157">
        <v>1</v>
      </c>
      <c r="I797" s="157">
        <f t="shared" si="37"/>
        <v>9</v>
      </c>
      <c r="J797" s="157">
        <f t="shared" si="36"/>
        <v>43</v>
      </c>
    </row>
    <row r="798" spans="1:10" ht="15.75" customHeight="1" x14ac:dyDescent="0.2">
      <c r="A798" s="157">
        <v>797</v>
      </c>
      <c r="B798" s="163">
        <v>45588</v>
      </c>
      <c r="C798" s="157">
        <f t="shared" si="33"/>
        <v>0</v>
      </c>
      <c r="D798" s="157">
        <v>0</v>
      </c>
      <c r="E798" s="157">
        <f t="shared" si="34"/>
        <v>0</v>
      </c>
      <c r="F798" s="157" t="str">
        <f t="shared" si="35"/>
        <v>Wednesday</v>
      </c>
      <c r="H798" s="157">
        <v>1</v>
      </c>
      <c r="I798" s="157">
        <f t="shared" si="37"/>
        <v>9</v>
      </c>
      <c r="J798" s="157">
        <f t="shared" si="36"/>
        <v>43</v>
      </c>
    </row>
    <row r="799" spans="1:10" ht="15.75" customHeight="1" x14ac:dyDescent="0.2">
      <c r="A799" s="157">
        <v>798</v>
      </c>
      <c r="B799" s="163">
        <v>45589</v>
      </c>
      <c r="C799" s="157">
        <f t="shared" si="33"/>
        <v>0</v>
      </c>
      <c r="D799" s="157">
        <v>0</v>
      </c>
      <c r="E799" s="157">
        <f t="shared" si="34"/>
        <v>0</v>
      </c>
      <c r="F799" s="157" t="str">
        <f t="shared" si="35"/>
        <v>Thursday</v>
      </c>
      <c r="H799" s="157">
        <v>1</v>
      </c>
      <c r="I799" s="157">
        <f t="shared" si="37"/>
        <v>9</v>
      </c>
      <c r="J799" s="157">
        <f t="shared" si="36"/>
        <v>43</v>
      </c>
    </row>
    <row r="800" spans="1:10" ht="15.75" customHeight="1" x14ac:dyDescent="0.2">
      <c r="A800" s="157">
        <v>799</v>
      </c>
      <c r="B800" s="163">
        <v>45590</v>
      </c>
      <c r="C800" s="157">
        <f t="shared" si="33"/>
        <v>0</v>
      </c>
      <c r="D800" s="157">
        <v>0</v>
      </c>
      <c r="E800" s="157">
        <f t="shared" si="34"/>
        <v>0</v>
      </c>
      <c r="F800" s="157" t="str">
        <f t="shared" si="35"/>
        <v>Friday</v>
      </c>
      <c r="H800" s="157">
        <v>1</v>
      </c>
      <c r="I800" s="157">
        <f t="shared" si="37"/>
        <v>9</v>
      </c>
      <c r="J800" s="157">
        <f t="shared" si="36"/>
        <v>43</v>
      </c>
    </row>
    <row r="801" spans="1:10" ht="15.75" customHeight="1" x14ac:dyDescent="0.2">
      <c r="A801" s="157">
        <v>800</v>
      </c>
      <c r="B801" s="163">
        <v>45591</v>
      </c>
      <c r="C801" s="157">
        <f t="shared" si="33"/>
        <v>1</v>
      </c>
      <c r="D801" s="157">
        <v>0</v>
      </c>
      <c r="E801" s="157">
        <f t="shared" si="34"/>
        <v>1</v>
      </c>
      <c r="F801" s="157" t="str">
        <f t="shared" si="35"/>
        <v>Saturday</v>
      </c>
      <c r="H801" s="157">
        <v>1</v>
      </c>
      <c r="I801" s="157">
        <f t="shared" si="37"/>
        <v>9</v>
      </c>
      <c r="J801" s="157">
        <f t="shared" si="36"/>
        <v>43</v>
      </c>
    </row>
    <row r="802" spans="1:10" ht="15.75" customHeight="1" x14ac:dyDescent="0.2">
      <c r="A802" s="157">
        <v>801</v>
      </c>
      <c r="B802" s="163">
        <v>45592</v>
      </c>
      <c r="C802" s="157">
        <f t="shared" si="33"/>
        <v>1</v>
      </c>
      <c r="D802" s="157">
        <v>0</v>
      </c>
      <c r="E802" s="157">
        <f t="shared" si="34"/>
        <v>1</v>
      </c>
      <c r="F802" s="157" t="str">
        <f t="shared" si="35"/>
        <v>Sunday</v>
      </c>
      <c r="H802" s="157">
        <v>1</v>
      </c>
      <c r="I802" s="157">
        <f t="shared" si="37"/>
        <v>9</v>
      </c>
      <c r="J802" s="157">
        <f t="shared" si="36"/>
        <v>43</v>
      </c>
    </row>
    <row r="803" spans="1:10" ht="15.75" customHeight="1" x14ac:dyDescent="0.2">
      <c r="A803" s="157">
        <v>802</v>
      </c>
      <c r="B803" s="163">
        <v>45593</v>
      </c>
      <c r="C803" s="157">
        <f t="shared" si="33"/>
        <v>0</v>
      </c>
      <c r="D803" s="157">
        <v>1</v>
      </c>
      <c r="E803" s="157">
        <f t="shared" si="34"/>
        <v>1</v>
      </c>
      <c r="F803" s="157" t="str">
        <f t="shared" si="35"/>
        <v>Monday</v>
      </c>
      <c r="G803" s="157" t="s">
        <v>1778</v>
      </c>
      <c r="H803" s="157">
        <v>1</v>
      </c>
      <c r="I803" s="157">
        <f t="shared" si="37"/>
        <v>10</v>
      </c>
      <c r="J803" s="157">
        <f t="shared" si="36"/>
        <v>44</v>
      </c>
    </row>
    <row r="804" spans="1:10" ht="15.75" customHeight="1" x14ac:dyDescent="0.2">
      <c r="A804" s="157">
        <v>803</v>
      </c>
      <c r="B804" s="163">
        <v>45594</v>
      </c>
      <c r="C804" s="157">
        <f t="shared" si="33"/>
        <v>0</v>
      </c>
      <c r="D804" s="157">
        <v>1</v>
      </c>
      <c r="E804" s="157">
        <f t="shared" si="34"/>
        <v>1</v>
      </c>
      <c r="F804" s="157" t="str">
        <f t="shared" si="35"/>
        <v>Tuesday</v>
      </c>
      <c r="G804" s="157" t="s">
        <v>1778</v>
      </c>
      <c r="H804" s="157">
        <v>1</v>
      </c>
      <c r="I804" s="157">
        <f t="shared" si="37"/>
        <v>10</v>
      </c>
      <c r="J804" s="157">
        <f t="shared" si="36"/>
        <v>44</v>
      </c>
    </row>
    <row r="805" spans="1:10" ht="15.75" customHeight="1" x14ac:dyDescent="0.2">
      <c r="A805" s="157">
        <v>804</v>
      </c>
      <c r="B805" s="163">
        <v>45595</v>
      </c>
      <c r="C805" s="157">
        <f t="shared" si="33"/>
        <v>0</v>
      </c>
      <c r="D805" s="157">
        <v>1</v>
      </c>
      <c r="E805" s="157">
        <f t="shared" si="34"/>
        <v>1</v>
      </c>
      <c r="F805" s="157" t="str">
        <f t="shared" si="35"/>
        <v>Wednesday</v>
      </c>
      <c r="G805" s="157" t="s">
        <v>1778</v>
      </c>
      <c r="H805" s="157">
        <v>1</v>
      </c>
      <c r="I805" s="157">
        <f t="shared" si="37"/>
        <v>10</v>
      </c>
      <c r="J805" s="157">
        <f t="shared" si="36"/>
        <v>44</v>
      </c>
    </row>
    <row r="806" spans="1:10" ht="15.75" customHeight="1" x14ac:dyDescent="0.2">
      <c r="A806" s="157">
        <v>805</v>
      </c>
      <c r="B806" s="163">
        <v>45596</v>
      </c>
      <c r="C806" s="157">
        <f t="shared" si="33"/>
        <v>0</v>
      </c>
      <c r="D806" s="157">
        <v>1</v>
      </c>
      <c r="E806" s="157">
        <f t="shared" si="34"/>
        <v>1</v>
      </c>
      <c r="F806" s="157" t="str">
        <f t="shared" si="35"/>
        <v>Thursday</v>
      </c>
      <c r="G806" s="157" t="s">
        <v>1778</v>
      </c>
      <c r="H806" s="157">
        <v>1</v>
      </c>
      <c r="I806" s="157">
        <f t="shared" si="37"/>
        <v>10</v>
      </c>
      <c r="J806" s="157">
        <f t="shared" si="36"/>
        <v>44</v>
      </c>
    </row>
    <row r="807" spans="1:10" ht="15.75" customHeight="1" x14ac:dyDescent="0.2">
      <c r="A807" s="157">
        <v>806</v>
      </c>
      <c r="B807" s="163">
        <v>45597</v>
      </c>
      <c r="C807" s="157">
        <f t="shared" si="33"/>
        <v>0</v>
      </c>
      <c r="D807" s="157">
        <v>1</v>
      </c>
      <c r="E807" s="157">
        <f t="shared" si="34"/>
        <v>1</v>
      </c>
      <c r="F807" s="157" t="str">
        <f t="shared" si="35"/>
        <v>Friday</v>
      </c>
      <c r="G807" s="157" t="s">
        <v>1778</v>
      </c>
      <c r="H807" s="157">
        <v>1</v>
      </c>
      <c r="I807" s="157">
        <f t="shared" si="37"/>
        <v>10</v>
      </c>
      <c r="J807" s="157">
        <f t="shared" si="36"/>
        <v>44</v>
      </c>
    </row>
    <row r="808" spans="1:10" ht="15.75" customHeight="1" x14ac:dyDescent="0.2">
      <c r="A808" s="157">
        <v>807</v>
      </c>
      <c r="B808" s="163">
        <v>45598</v>
      </c>
      <c r="C808" s="157">
        <f t="shared" si="33"/>
        <v>1</v>
      </c>
      <c r="D808" s="157">
        <v>1</v>
      </c>
      <c r="E808" s="157">
        <f t="shared" si="34"/>
        <v>1</v>
      </c>
      <c r="F808" s="157" t="str">
        <f t="shared" si="35"/>
        <v>Saturday</v>
      </c>
      <c r="G808" s="157" t="s">
        <v>1778</v>
      </c>
      <c r="H808" s="157">
        <v>1</v>
      </c>
      <c r="I808" s="157">
        <f t="shared" si="37"/>
        <v>10</v>
      </c>
      <c r="J808" s="157">
        <f t="shared" si="36"/>
        <v>44</v>
      </c>
    </row>
    <row r="809" spans="1:10" ht="15.75" customHeight="1" x14ac:dyDescent="0.2">
      <c r="A809" s="157">
        <v>808</v>
      </c>
      <c r="B809" s="163">
        <v>45599</v>
      </c>
      <c r="C809" s="157">
        <f t="shared" si="33"/>
        <v>1</v>
      </c>
      <c r="D809" s="157">
        <v>1</v>
      </c>
      <c r="E809" s="157">
        <f t="shared" si="34"/>
        <v>1</v>
      </c>
      <c r="F809" s="157" t="str">
        <f t="shared" si="35"/>
        <v>Sunday</v>
      </c>
      <c r="G809" s="157" t="s">
        <v>1778</v>
      </c>
      <c r="H809" s="157">
        <v>1</v>
      </c>
      <c r="I809" s="157">
        <f t="shared" si="37"/>
        <v>10</v>
      </c>
      <c r="J809" s="157">
        <f t="shared" si="36"/>
        <v>44</v>
      </c>
    </row>
    <row r="810" spans="1:10" ht="15.75" customHeight="1" x14ac:dyDescent="0.2">
      <c r="A810" s="157">
        <v>809</v>
      </c>
      <c r="B810" s="163">
        <v>45600</v>
      </c>
      <c r="C810" s="157">
        <f t="shared" si="33"/>
        <v>0</v>
      </c>
      <c r="D810" s="157">
        <v>1</v>
      </c>
      <c r="E810" s="157">
        <f t="shared" si="34"/>
        <v>1</v>
      </c>
      <c r="F810" s="157" t="str">
        <f t="shared" si="35"/>
        <v>Monday</v>
      </c>
      <c r="G810" s="157" t="s">
        <v>1774</v>
      </c>
      <c r="H810" s="157">
        <v>2</v>
      </c>
      <c r="I810" s="157">
        <f t="shared" si="37"/>
        <v>1</v>
      </c>
      <c r="J810" s="157">
        <f t="shared" si="36"/>
        <v>45</v>
      </c>
    </row>
    <row r="811" spans="1:10" ht="15.75" customHeight="1" x14ac:dyDescent="0.2">
      <c r="A811" s="157">
        <v>810</v>
      </c>
      <c r="B811" s="163">
        <v>45601</v>
      </c>
      <c r="C811" s="157">
        <f t="shared" si="33"/>
        <v>0</v>
      </c>
      <c r="D811" s="157">
        <v>0</v>
      </c>
      <c r="E811" s="157">
        <f t="shared" si="34"/>
        <v>0</v>
      </c>
      <c r="F811" s="157" t="str">
        <f t="shared" si="35"/>
        <v>Tuesday</v>
      </c>
      <c r="H811" s="157">
        <v>2</v>
      </c>
      <c r="I811" s="157">
        <f t="shared" si="37"/>
        <v>1</v>
      </c>
      <c r="J811" s="157">
        <f t="shared" si="36"/>
        <v>45</v>
      </c>
    </row>
    <row r="812" spans="1:10" ht="15.75" customHeight="1" x14ac:dyDescent="0.2">
      <c r="A812" s="157">
        <v>811</v>
      </c>
      <c r="B812" s="163">
        <v>45602</v>
      </c>
      <c r="C812" s="157">
        <f t="shared" si="33"/>
        <v>0</v>
      </c>
      <c r="D812" s="157">
        <v>0</v>
      </c>
      <c r="E812" s="157">
        <f t="shared" si="34"/>
        <v>0</v>
      </c>
      <c r="F812" s="157" t="str">
        <f t="shared" si="35"/>
        <v>Wednesday</v>
      </c>
      <c r="H812" s="157">
        <v>2</v>
      </c>
      <c r="I812" s="157">
        <f t="shared" si="37"/>
        <v>1</v>
      </c>
      <c r="J812" s="157">
        <f t="shared" si="36"/>
        <v>45</v>
      </c>
    </row>
    <row r="813" spans="1:10" ht="15.75" customHeight="1" x14ac:dyDescent="0.2">
      <c r="A813" s="157">
        <v>812</v>
      </c>
      <c r="B813" s="163">
        <v>45603</v>
      </c>
      <c r="C813" s="157">
        <f t="shared" si="33"/>
        <v>0</v>
      </c>
      <c r="D813" s="157">
        <v>0</v>
      </c>
      <c r="E813" s="157">
        <f t="shared" si="34"/>
        <v>0</v>
      </c>
      <c r="F813" s="157" t="str">
        <f t="shared" si="35"/>
        <v>Thursday</v>
      </c>
      <c r="H813" s="157">
        <v>2</v>
      </c>
      <c r="I813" s="157">
        <f t="shared" si="37"/>
        <v>1</v>
      </c>
      <c r="J813" s="157">
        <f t="shared" si="36"/>
        <v>45</v>
      </c>
    </row>
    <row r="814" spans="1:10" ht="15.75" customHeight="1" x14ac:dyDescent="0.2">
      <c r="A814" s="157">
        <v>813</v>
      </c>
      <c r="B814" s="163">
        <v>45604</v>
      </c>
      <c r="C814" s="157">
        <f t="shared" si="33"/>
        <v>0</v>
      </c>
      <c r="D814" s="157">
        <v>0</v>
      </c>
      <c r="E814" s="157">
        <f t="shared" si="34"/>
        <v>0</v>
      </c>
      <c r="F814" s="157" t="str">
        <f t="shared" si="35"/>
        <v>Friday</v>
      </c>
      <c r="H814" s="157">
        <v>2</v>
      </c>
      <c r="I814" s="157">
        <f t="shared" si="37"/>
        <v>1</v>
      </c>
      <c r="J814" s="157">
        <f t="shared" si="36"/>
        <v>45</v>
      </c>
    </row>
    <row r="815" spans="1:10" ht="15.75" customHeight="1" x14ac:dyDescent="0.2">
      <c r="A815" s="157">
        <v>814</v>
      </c>
      <c r="B815" s="163">
        <v>45605</v>
      </c>
      <c r="C815" s="157">
        <f t="shared" si="33"/>
        <v>1</v>
      </c>
      <c r="D815" s="157">
        <v>0</v>
      </c>
      <c r="E815" s="157">
        <f t="shared" si="34"/>
        <v>1</v>
      </c>
      <c r="F815" s="157" t="str">
        <f t="shared" si="35"/>
        <v>Saturday</v>
      </c>
      <c r="H815" s="157">
        <v>2</v>
      </c>
      <c r="I815" s="157">
        <f t="shared" si="37"/>
        <v>1</v>
      </c>
      <c r="J815" s="157">
        <f t="shared" si="36"/>
        <v>45</v>
      </c>
    </row>
    <row r="816" spans="1:10" ht="15.75" customHeight="1" x14ac:dyDescent="0.2">
      <c r="A816" s="157">
        <v>815</v>
      </c>
      <c r="B816" s="163">
        <v>45606</v>
      </c>
      <c r="C816" s="157">
        <f t="shared" si="33"/>
        <v>1</v>
      </c>
      <c r="D816" s="157">
        <v>0</v>
      </c>
      <c r="E816" s="157">
        <f t="shared" si="34"/>
        <v>1</v>
      </c>
      <c r="F816" s="157" t="str">
        <f t="shared" si="35"/>
        <v>Sunday</v>
      </c>
      <c r="H816" s="157">
        <v>2</v>
      </c>
      <c r="I816" s="157">
        <f t="shared" si="37"/>
        <v>1</v>
      </c>
      <c r="J816" s="157">
        <f t="shared" si="36"/>
        <v>45</v>
      </c>
    </row>
    <row r="817" spans="1:10" ht="15.75" customHeight="1" x14ac:dyDescent="0.2">
      <c r="A817" s="157">
        <v>816</v>
      </c>
      <c r="B817" s="163">
        <v>45607</v>
      </c>
      <c r="C817" s="157">
        <f t="shared" si="33"/>
        <v>0</v>
      </c>
      <c r="D817" s="157">
        <v>0</v>
      </c>
      <c r="E817" s="157">
        <f t="shared" si="34"/>
        <v>0</v>
      </c>
      <c r="F817" s="157" t="str">
        <f t="shared" si="35"/>
        <v>Monday</v>
      </c>
      <c r="H817" s="157">
        <v>2</v>
      </c>
      <c r="I817" s="157">
        <f t="shared" si="37"/>
        <v>2</v>
      </c>
      <c r="J817" s="157">
        <f t="shared" si="36"/>
        <v>46</v>
      </c>
    </row>
    <row r="818" spans="1:10" ht="15.75" customHeight="1" x14ac:dyDescent="0.2">
      <c r="A818" s="157">
        <v>817</v>
      </c>
      <c r="B818" s="163">
        <v>45608</v>
      </c>
      <c r="C818" s="157">
        <f t="shared" si="33"/>
        <v>0</v>
      </c>
      <c r="D818" s="157">
        <v>0</v>
      </c>
      <c r="E818" s="157">
        <f t="shared" si="34"/>
        <v>0</v>
      </c>
      <c r="F818" s="157" t="str">
        <f t="shared" si="35"/>
        <v>Tuesday</v>
      </c>
      <c r="H818" s="157">
        <v>2</v>
      </c>
      <c r="I818" s="157">
        <f t="shared" si="37"/>
        <v>2</v>
      </c>
      <c r="J818" s="157">
        <f t="shared" si="36"/>
        <v>46</v>
      </c>
    </row>
    <row r="819" spans="1:10" ht="15.75" customHeight="1" x14ac:dyDescent="0.2">
      <c r="A819" s="157">
        <v>818</v>
      </c>
      <c r="B819" s="163">
        <v>45609</v>
      </c>
      <c r="C819" s="157">
        <f t="shared" si="33"/>
        <v>0</v>
      </c>
      <c r="D819" s="157">
        <v>0</v>
      </c>
      <c r="E819" s="157">
        <f t="shared" si="34"/>
        <v>0</v>
      </c>
      <c r="F819" s="157" t="str">
        <f t="shared" si="35"/>
        <v>Wednesday</v>
      </c>
      <c r="H819" s="157">
        <v>2</v>
      </c>
      <c r="I819" s="157">
        <f t="shared" si="37"/>
        <v>2</v>
      </c>
      <c r="J819" s="157">
        <f t="shared" si="36"/>
        <v>46</v>
      </c>
    </row>
    <row r="820" spans="1:10" ht="15.75" customHeight="1" x14ac:dyDescent="0.2">
      <c r="A820" s="157">
        <v>819</v>
      </c>
      <c r="B820" s="163">
        <v>45610</v>
      </c>
      <c r="C820" s="157">
        <f t="shared" si="33"/>
        <v>0</v>
      </c>
      <c r="D820" s="157">
        <v>0</v>
      </c>
      <c r="E820" s="157">
        <f t="shared" si="34"/>
        <v>0</v>
      </c>
      <c r="F820" s="157" t="str">
        <f t="shared" si="35"/>
        <v>Thursday</v>
      </c>
      <c r="H820" s="157">
        <v>2</v>
      </c>
      <c r="I820" s="157">
        <f t="shared" si="37"/>
        <v>2</v>
      </c>
      <c r="J820" s="157">
        <f t="shared" si="36"/>
        <v>46</v>
      </c>
    </row>
    <row r="821" spans="1:10" ht="15.75" customHeight="1" x14ac:dyDescent="0.2">
      <c r="A821" s="157">
        <v>820</v>
      </c>
      <c r="B821" s="163">
        <v>45611</v>
      </c>
      <c r="C821" s="157">
        <f t="shared" si="33"/>
        <v>0</v>
      </c>
      <c r="D821" s="157">
        <v>0</v>
      </c>
      <c r="E821" s="157">
        <f t="shared" si="34"/>
        <v>0</v>
      </c>
      <c r="F821" s="157" t="str">
        <f t="shared" si="35"/>
        <v>Friday</v>
      </c>
      <c r="H821" s="157">
        <v>2</v>
      </c>
      <c r="I821" s="157">
        <f t="shared" si="37"/>
        <v>2</v>
      </c>
      <c r="J821" s="157">
        <f t="shared" si="36"/>
        <v>46</v>
      </c>
    </row>
    <row r="822" spans="1:10" ht="15.75" customHeight="1" x14ac:dyDescent="0.2">
      <c r="A822" s="157">
        <v>821</v>
      </c>
      <c r="B822" s="163">
        <v>45612</v>
      </c>
      <c r="C822" s="157">
        <f t="shared" si="33"/>
        <v>1</v>
      </c>
      <c r="D822" s="157">
        <v>0</v>
      </c>
      <c r="E822" s="157">
        <f t="shared" si="34"/>
        <v>1</v>
      </c>
      <c r="F822" s="157" t="str">
        <f t="shared" si="35"/>
        <v>Saturday</v>
      </c>
      <c r="H822" s="157">
        <v>2</v>
      </c>
      <c r="I822" s="157">
        <f t="shared" si="37"/>
        <v>2</v>
      </c>
      <c r="J822" s="157">
        <f t="shared" si="36"/>
        <v>46</v>
      </c>
    </row>
    <row r="823" spans="1:10" ht="15.75" customHeight="1" x14ac:dyDescent="0.2">
      <c r="A823" s="157">
        <v>822</v>
      </c>
      <c r="B823" s="163">
        <v>45613</v>
      </c>
      <c r="C823" s="157">
        <f t="shared" si="33"/>
        <v>1</v>
      </c>
      <c r="D823" s="157">
        <v>0</v>
      </c>
      <c r="E823" s="157">
        <f t="shared" si="34"/>
        <v>1</v>
      </c>
      <c r="F823" s="157" t="str">
        <f t="shared" si="35"/>
        <v>Sunday</v>
      </c>
      <c r="H823" s="157">
        <v>2</v>
      </c>
      <c r="I823" s="157">
        <f t="shared" si="37"/>
        <v>2</v>
      </c>
      <c r="J823" s="157">
        <f t="shared" si="36"/>
        <v>46</v>
      </c>
    </row>
    <row r="824" spans="1:10" ht="15.75" customHeight="1" x14ac:dyDescent="0.2">
      <c r="A824" s="157">
        <v>823</v>
      </c>
      <c r="B824" s="163">
        <v>45614</v>
      </c>
      <c r="C824" s="157">
        <f t="shared" si="33"/>
        <v>0</v>
      </c>
      <c r="D824" s="157">
        <v>0</v>
      </c>
      <c r="E824" s="157">
        <f t="shared" si="34"/>
        <v>0</v>
      </c>
      <c r="F824" s="157" t="str">
        <f t="shared" si="35"/>
        <v>Monday</v>
      </c>
      <c r="H824" s="157">
        <v>2</v>
      </c>
      <c r="I824" s="157">
        <f t="shared" si="37"/>
        <v>3</v>
      </c>
      <c r="J824" s="157">
        <f t="shared" si="36"/>
        <v>47</v>
      </c>
    </row>
    <row r="825" spans="1:10" ht="15.75" customHeight="1" x14ac:dyDescent="0.2">
      <c r="A825" s="157">
        <v>824</v>
      </c>
      <c r="B825" s="163">
        <v>45615</v>
      </c>
      <c r="C825" s="157">
        <f t="shared" si="33"/>
        <v>0</v>
      </c>
      <c r="D825" s="157">
        <v>0</v>
      </c>
      <c r="E825" s="157">
        <f t="shared" si="34"/>
        <v>0</v>
      </c>
      <c r="F825" s="157" t="str">
        <f t="shared" si="35"/>
        <v>Tuesday</v>
      </c>
      <c r="H825" s="157">
        <v>2</v>
      </c>
      <c r="I825" s="157">
        <f t="shared" si="37"/>
        <v>3</v>
      </c>
      <c r="J825" s="157">
        <f t="shared" si="36"/>
        <v>47</v>
      </c>
    </row>
    <row r="826" spans="1:10" ht="15.75" customHeight="1" x14ac:dyDescent="0.2">
      <c r="A826" s="157">
        <v>825</v>
      </c>
      <c r="B826" s="163">
        <v>45616</v>
      </c>
      <c r="C826" s="157">
        <f t="shared" si="33"/>
        <v>0</v>
      </c>
      <c r="D826" s="157">
        <v>0</v>
      </c>
      <c r="E826" s="157">
        <f t="shared" si="34"/>
        <v>0</v>
      </c>
      <c r="F826" s="157" t="str">
        <f t="shared" si="35"/>
        <v>Wednesday</v>
      </c>
      <c r="H826" s="157">
        <v>2</v>
      </c>
      <c r="I826" s="157">
        <f t="shared" si="37"/>
        <v>3</v>
      </c>
      <c r="J826" s="157">
        <f t="shared" si="36"/>
        <v>47</v>
      </c>
    </row>
    <row r="827" spans="1:10" ht="15.75" customHeight="1" x14ac:dyDescent="0.2">
      <c r="A827" s="157">
        <v>826</v>
      </c>
      <c r="B827" s="163">
        <v>45617</v>
      </c>
      <c r="C827" s="157">
        <f t="shared" si="33"/>
        <v>0</v>
      </c>
      <c r="D827" s="157">
        <v>0</v>
      </c>
      <c r="E827" s="157">
        <f t="shared" si="34"/>
        <v>0</v>
      </c>
      <c r="F827" s="157" t="str">
        <f t="shared" si="35"/>
        <v>Thursday</v>
      </c>
      <c r="H827" s="157">
        <v>2</v>
      </c>
      <c r="I827" s="157">
        <f t="shared" si="37"/>
        <v>3</v>
      </c>
      <c r="J827" s="157">
        <f t="shared" si="36"/>
        <v>47</v>
      </c>
    </row>
    <row r="828" spans="1:10" ht="15.75" customHeight="1" x14ac:dyDescent="0.2">
      <c r="A828" s="157">
        <v>827</v>
      </c>
      <c r="B828" s="163">
        <v>45618</v>
      </c>
      <c r="C828" s="157">
        <f t="shared" si="33"/>
        <v>0</v>
      </c>
      <c r="D828" s="157">
        <v>0</v>
      </c>
      <c r="E828" s="157">
        <f t="shared" si="34"/>
        <v>0</v>
      </c>
      <c r="F828" s="157" t="str">
        <f t="shared" si="35"/>
        <v>Friday</v>
      </c>
      <c r="H828" s="157">
        <v>2</v>
      </c>
      <c r="I828" s="157">
        <f t="shared" si="37"/>
        <v>3</v>
      </c>
      <c r="J828" s="157">
        <f t="shared" si="36"/>
        <v>47</v>
      </c>
    </row>
    <row r="829" spans="1:10" ht="15.75" customHeight="1" x14ac:dyDescent="0.2">
      <c r="A829" s="157">
        <v>828</v>
      </c>
      <c r="B829" s="163">
        <v>45619</v>
      </c>
      <c r="C829" s="157">
        <f t="shared" si="33"/>
        <v>1</v>
      </c>
      <c r="D829" s="157">
        <v>0</v>
      </c>
      <c r="E829" s="157">
        <f t="shared" si="34"/>
        <v>1</v>
      </c>
      <c r="F829" s="157" t="str">
        <f t="shared" si="35"/>
        <v>Saturday</v>
      </c>
      <c r="H829" s="157">
        <v>2</v>
      </c>
      <c r="I829" s="157">
        <f t="shared" si="37"/>
        <v>3</v>
      </c>
      <c r="J829" s="157">
        <f t="shared" si="36"/>
        <v>47</v>
      </c>
    </row>
    <row r="830" spans="1:10" ht="15.75" customHeight="1" x14ac:dyDescent="0.2">
      <c r="A830" s="157">
        <v>829</v>
      </c>
      <c r="B830" s="163">
        <v>45620</v>
      </c>
      <c r="C830" s="157">
        <f t="shared" si="33"/>
        <v>1</v>
      </c>
      <c r="D830" s="157">
        <v>0</v>
      </c>
      <c r="E830" s="157">
        <f t="shared" si="34"/>
        <v>1</v>
      </c>
      <c r="F830" s="157" t="str">
        <f t="shared" si="35"/>
        <v>Sunday</v>
      </c>
      <c r="H830" s="157">
        <v>2</v>
      </c>
      <c r="I830" s="157">
        <f t="shared" si="37"/>
        <v>3</v>
      </c>
      <c r="J830" s="157">
        <f t="shared" si="36"/>
        <v>47</v>
      </c>
    </row>
    <row r="831" spans="1:10" ht="15.75" customHeight="1" x14ac:dyDescent="0.2">
      <c r="A831" s="157">
        <v>830</v>
      </c>
      <c r="B831" s="163">
        <v>45621</v>
      </c>
      <c r="C831" s="157">
        <f t="shared" si="33"/>
        <v>0</v>
      </c>
      <c r="D831" s="157">
        <v>0</v>
      </c>
      <c r="E831" s="157">
        <f t="shared" si="34"/>
        <v>0</v>
      </c>
      <c r="F831" s="157" t="str">
        <f t="shared" si="35"/>
        <v>Monday</v>
      </c>
      <c r="H831" s="157">
        <v>2</v>
      </c>
      <c r="I831" s="157">
        <f t="shared" si="37"/>
        <v>4</v>
      </c>
      <c r="J831" s="157">
        <f t="shared" si="36"/>
        <v>48</v>
      </c>
    </row>
    <row r="832" spans="1:10" ht="15.75" customHeight="1" x14ac:dyDescent="0.2">
      <c r="A832" s="157">
        <v>831</v>
      </c>
      <c r="B832" s="163">
        <v>45622</v>
      </c>
      <c r="C832" s="157">
        <f t="shared" si="33"/>
        <v>0</v>
      </c>
      <c r="D832" s="157">
        <v>0</v>
      </c>
      <c r="E832" s="157">
        <f t="shared" si="34"/>
        <v>0</v>
      </c>
      <c r="F832" s="157" t="str">
        <f t="shared" si="35"/>
        <v>Tuesday</v>
      </c>
      <c r="H832" s="157">
        <v>2</v>
      </c>
      <c r="I832" s="157">
        <f t="shared" si="37"/>
        <v>4</v>
      </c>
      <c r="J832" s="157">
        <f t="shared" si="36"/>
        <v>48</v>
      </c>
    </row>
    <row r="833" spans="1:10" ht="15.75" customHeight="1" x14ac:dyDescent="0.2">
      <c r="A833" s="157">
        <v>832</v>
      </c>
      <c r="B833" s="163">
        <v>45623</v>
      </c>
      <c r="C833" s="157">
        <f t="shared" si="33"/>
        <v>0</v>
      </c>
      <c r="D833" s="157">
        <v>0</v>
      </c>
      <c r="E833" s="157">
        <f t="shared" si="34"/>
        <v>0</v>
      </c>
      <c r="F833" s="157" t="str">
        <f t="shared" si="35"/>
        <v>Wednesday</v>
      </c>
      <c r="H833" s="157">
        <v>2</v>
      </c>
      <c r="I833" s="157">
        <f t="shared" si="37"/>
        <v>4</v>
      </c>
      <c r="J833" s="157">
        <f t="shared" si="36"/>
        <v>48</v>
      </c>
    </row>
    <row r="834" spans="1:10" ht="15.75" customHeight="1" x14ac:dyDescent="0.2">
      <c r="A834" s="157">
        <v>833</v>
      </c>
      <c r="B834" s="163">
        <v>45624</v>
      </c>
      <c r="C834" s="157">
        <f t="shared" si="33"/>
        <v>0</v>
      </c>
      <c r="D834" s="157">
        <v>0</v>
      </c>
      <c r="E834" s="157">
        <f t="shared" si="34"/>
        <v>0</v>
      </c>
      <c r="F834" s="157" t="str">
        <f t="shared" si="35"/>
        <v>Thursday</v>
      </c>
      <c r="H834" s="157">
        <v>2</v>
      </c>
      <c r="I834" s="157">
        <f t="shared" si="37"/>
        <v>4</v>
      </c>
      <c r="J834" s="157">
        <f t="shared" si="36"/>
        <v>48</v>
      </c>
    </row>
    <row r="835" spans="1:10" ht="15.75" customHeight="1" x14ac:dyDescent="0.2">
      <c r="A835" s="157">
        <v>834</v>
      </c>
      <c r="B835" s="163">
        <v>45625</v>
      </c>
      <c r="C835" s="157">
        <f t="shared" si="33"/>
        <v>0</v>
      </c>
      <c r="D835" s="157">
        <v>0</v>
      </c>
      <c r="E835" s="157">
        <f t="shared" si="34"/>
        <v>0</v>
      </c>
      <c r="F835" s="157" t="str">
        <f t="shared" si="35"/>
        <v>Friday</v>
      </c>
      <c r="H835" s="157">
        <v>2</v>
      </c>
      <c r="I835" s="157">
        <f t="shared" si="37"/>
        <v>4</v>
      </c>
      <c r="J835" s="157">
        <f t="shared" ref="J835:J898" si="38">_xlfn.ISOWEEKNUM(B835)</f>
        <v>48</v>
      </c>
    </row>
    <row r="836" spans="1:10" ht="15.75" customHeight="1" x14ac:dyDescent="0.2">
      <c r="A836" s="157">
        <v>835</v>
      </c>
      <c r="B836" s="163">
        <v>45626</v>
      </c>
      <c r="C836" s="157">
        <f t="shared" si="33"/>
        <v>1</v>
      </c>
      <c r="D836" s="157">
        <v>0</v>
      </c>
      <c r="E836" s="157">
        <f t="shared" si="34"/>
        <v>1</v>
      </c>
      <c r="F836" s="157" t="str">
        <f t="shared" si="35"/>
        <v>Saturday</v>
      </c>
      <c r="H836" s="157">
        <v>2</v>
      </c>
      <c r="I836" s="157">
        <f t="shared" si="37"/>
        <v>4</v>
      </c>
      <c r="J836" s="157">
        <f t="shared" si="38"/>
        <v>48</v>
      </c>
    </row>
    <row r="837" spans="1:10" ht="15.75" customHeight="1" x14ac:dyDescent="0.2">
      <c r="A837" s="157">
        <v>836</v>
      </c>
      <c r="B837" s="163">
        <v>45627</v>
      </c>
      <c r="C837" s="157">
        <f t="shared" si="33"/>
        <v>1</v>
      </c>
      <c r="D837" s="157">
        <v>0</v>
      </c>
      <c r="E837" s="157">
        <f t="shared" si="34"/>
        <v>1</v>
      </c>
      <c r="F837" s="157" t="str">
        <f t="shared" si="35"/>
        <v>Sunday</v>
      </c>
      <c r="H837" s="157">
        <v>2</v>
      </c>
      <c r="I837" s="157">
        <f t="shared" ref="I837:I900" si="39">IF(J837&gt;J836, IF(H837&lt;&gt;H836,1, I836+1),I836)</f>
        <v>4</v>
      </c>
      <c r="J837" s="157">
        <f t="shared" si="38"/>
        <v>48</v>
      </c>
    </row>
    <row r="838" spans="1:10" ht="15.75" customHeight="1" x14ac:dyDescent="0.2">
      <c r="A838" s="157">
        <v>837</v>
      </c>
      <c r="B838" s="163">
        <v>45628</v>
      </c>
      <c r="C838" s="157">
        <f t="shared" si="33"/>
        <v>0</v>
      </c>
      <c r="D838" s="157">
        <v>0</v>
      </c>
      <c r="E838" s="157">
        <f t="shared" si="34"/>
        <v>0</v>
      </c>
      <c r="F838" s="157" t="str">
        <f t="shared" si="35"/>
        <v>Monday</v>
      </c>
      <c r="H838" s="157">
        <v>2</v>
      </c>
      <c r="I838" s="157">
        <f t="shared" si="39"/>
        <v>5</v>
      </c>
      <c r="J838" s="157">
        <f t="shared" si="38"/>
        <v>49</v>
      </c>
    </row>
    <row r="839" spans="1:10" ht="15.75" customHeight="1" x14ac:dyDescent="0.2">
      <c r="A839" s="157">
        <v>838</v>
      </c>
      <c r="B839" s="163">
        <v>45629</v>
      </c>
      <c r="C839" s="157">
        <f t="shared" si="33"/>
        <v>0</v>
      </c>
      <c r="D839" s="157">
        <v>0</v>
      </c>
      <c r="E839" s="157">
        <f t="shared" si="34"/>
        <v>0</v>
      </c>
      <c r="F839" s="157" t="str">
        <f t="shared" si="35"/>
        <v>Tuesday</v>
      </c>
      <c r="H839" s="157">
        <v>2</v>
      </c>
      <c r="I839" s="157">
        <f t="shared" si="39"/>
        <v>5</v>
      </c>
      <c r="J839" s="157">
        <f t="shared" si="38"/>
        <v>49</v>
      </c>
    </row>
    <row r="840" spans="1:10" ht="15.75" customHeight="1" x14ac:dyDescent="0.2">
      <c r="A840" s="157">
        <v>839</v>
      </c>
      <c r="B840" s="163">
        <v>45630</v>
      </c>
      <c r="C840" s="157">
        <f t="shared" si="33"/>
        <v>0</v>
      </c>
      <c r="D840" s="157">
        <v>0</v>
      </c>
      <c r="E840" s="157">
        <f t="shared" si="34"/>
        <v>0</v>
      </c>
      <c r="F840" s="157" t="str">
        <f t="shared" si="35"/>
        <v>Wednesday</v>
      </c>
      <c r="H840" s="157">
        <v>2</v>
      </c>
      <c r="I840" s="157">
        <f t="shared" si="39"/>
        <v>5</v>
      </c>
      <c r="J840" s="157">
        <f t="shared" si="38"/>
        <v>49</v>
      </c>
    </row>
    <row r="841" spans="1:10" ht="15.75" customHeight="1" x14ac:dyDescent="0.2">
      <c r="A841" s="157">
        <v>840</v>
      </c>
      <c r="B841" s="163">
        <v>45631</v>
      </c>
      <c r="C841" s="157">
        <f t="shared" si="33"/>
        <v>0</v>
      </c>
      <c r="D841" s="157">
        <v>0</v>
      </c>
      <c r="E841" s="157">
        <f t="shared" si="34"/>
        <v>0</v>
      </c>
      <c r="F841" s="157" t="str">
        <f t="shared" si="35"/>
        <v>Thursday</v>
      </c>
      <c r="H841" s="157">
        <v>2</v>
      </c>
      <c r="I841" s="157">
        <f t="shared" si="39"/>
        <v>5</v>
      </c>
      <c r="J841" s="157">
        <f t="shared" si="38"/>
        <v>49</v>
      </c>
    </row>
    <row r="842" spans="1:10" ht="15.75" customHeight="1" x14ac:dyDescent="0.2">
      <c r="A842" s="157">
        <v>841</v>
      </c>
      <c r="B842" s="163">
        <v>45632</v>
      </c>
      <c r="C842" s="157">
        <f t="shared" si="33"/>
        <v>0</v>
      </c>
      <c r="D842" s="157">
        <v>0</v>
      </c>
      <c r="E842" s="157">
        <f t="shared" si="34"/>
        <v>0</v>
      </c>
      <c r="F842" s="157" t="str">
        <f t="shared" si="35"/>
        <v>Friday</v>
      </c>
      <c r="H842" s="157">
        <v>2</v>
      </c>
      <c r="I842" s="157">
        <f t="shared" si="39"/>
        <v>5</v>
      </c>
      <c r="J842" s="157">
        <f t="shared" si="38"/>
        <v>49</v>
      </c>
    </row>
    <row r="843" spans="1:10" ht="15.75" customHeight="1" x14ac:dyDescent="0.2">
      <c r="A843" s="157">
        <v>842</v>
      </c>
      <c r="B843" s="163">
        <v>45633</v>
      </c>
      <c r="C843" s="157">
        <f t="shared" si="33"/>
        <v>1</v>
      </c>
      <c r="D843" s="157">
        <v>0</v>
      </c>
      <c r="E843" s="157">
        <f t="shared" si="34"/>
        <v>1</v>
      </c>
      <c r="F843" s="157" t="str">
        <f t="shared" si="35"/>
        <v>Saturday</v>
      </c>
      <c r="H843" s="157">
        <v>2</v>
      </c>
      <c r="I843" s="157">
        <f t="shared" si="39"/>
        <v>5</v>
      </c>
      <c r="J843" s="157">
        <f t="shared" si="38"/>
        <v>49</v>
      </c>
    </row>
    <row r="844" spans="1:10" ht="15.75" customHeight="1" x14ac:dyDescent="0.2">
      <c r="A844" s="157">
        <v>843</v>
      </c>
      <c r="B844" s="163">
        <v>45634</v>
      </c>
      <c r="C844" s="157">
        <f t="shared" si="33"/>
        <v>1</v>
      </c>
      <c r="D844" s="157">
        <v>0</v>
      </c>
      <c r="E844" s="157">
        <f t="shared" si="34"/>
        <v>1</v>
      </c>
      <c r="F844" s="157" t="str">
        <f t="shared" si="35"/>
        <v>Sunday</v>
      </c>
      <c r="H844" s="157">
        <v>2</v>
      </c>
      <c r="I844" s="157">
        <f t="shared" si="39"/>
        <v>5</v>
      </c>
      <c r="J844" s="157">
        <f t="shared" si="38"/>
        <v>49</v>
      </c>
    </row>
    <row r="845" spans="1:10" ht="15.75" customHeight="1" x14ac:dyDescent="0.2">
      <c r="A845" s="157">
        <v>844</v>
      </c>
      <c r="B845" s="163">
        <v>45635</v>
      </c>
      <c r="C845" s="157">
        <f t="shared" si="33"/>
        <v>0</v>
      </c>
      <c r="D845" s="157">
        <v>0</v>
      </c>
      <c r="E845" s="157">
        <f t="shared" si="34"/>
        <v>0</v>
      </c>
      <c r="F845" s="157" t="str">
        <f t="shared" si="35"/>
        <v>Monday</v>
      </c>
      <c r="H845" s="157">
        <v>2</v>
      </c>
      <c r="I845" s="157">
        <f t="shared" si="39"/>
        <v>6</v>
      </c>
      <c r="J845" s="157">
        <f t="shared" si="38"/>
        <v>50</v>
      </c>
    </row>
    <row r="846" spans="1:10" ht="15.75" customHeight="1" x14ac:dyDescent="0.2">
      <c r="A846" s="157">
        <v>845</v>
      </c>
      <c r="B846" s="163">
        <v>45636</v>
      </c>
      <c r="C846" s="157">
        <f t="shared" si="33"/>
        <v>0</v>
      </c>
      <c r="D846" s="157">
        <v>0</v>
      </c>
      <c r="E846" s="157">
        <f t="shared" si="34"/>
        <v>0</v>
      </c>
      <c r="F846" s="157" t="str">
        <f t="shared" si="35"/>
        <v>Tuesday</v>
      </c>
      <c r="H846" s="157">
        <v>2</v>
      </c>
      <c r="I846" s="157">
        <f t="shared" si="39"/>
        <v>6</v>
      </c>
      <c r="J846" s="157">
        <f t="shared" si="38"/>
        <v>50</v>
      </c>
    </row>
    <row r="847" spans="1:10" ht="15.75" customHeight="1" x14ac:dyDescent="0.2">
      <c r="A847" s="157">
        <v>846</v>
      </c>
      <c r="B847" s="163">
        <v>45637</v>
      </c>
      <c r="C847" s="157">
        <f t="shared" si="33"/>
        <v>0</v>
      </c>
      <c r="D847" s="157">
        <v>0</v>
      </c>
      <c r="E847" s="157">
        <f t="shared" si="34"/>
        <v>0</v>
      </c>
      <c r="F847" s="157" t="str">
        <f t="shared" si="35"/>
        <v>Wednesday</v>
      </c>
      <c r="H847" s="157">
        <v>2</v>
      </c>
      <c r="I847" s="157">
        <f t="shared" si="39"/>
        <v>6</v>
      </c>
      <c r="J847" s="157">
        <f t="shared" si="38"/>
        <v>50</v>
      </c>
    </row>
    <row r="848" spans="1:10" ht="15.75" customHeight="1" x14ac:dyDescent="0.2">
      <c r="A848" s="157">
        <v>847</v>
      </c>
      <c r="B848" s="163">
        <v>45638</v>
      </c>
      <c r="C848" s="157">
        <f t="shared" si="33"/>
        <v>0</v>
      </c>
      <c r="D848" s="157">
        <v>0</v>
      </c>
      <c r="E848" s="157">
        <f t="shared" si="34"/>
        <v>0</v>
      </c>
      <c r="F848" s="157" t="str">
        <f t="shared" si="35"/>
        <v>Thursday</v>
      </c>
      <c r="H848" s="157">
        <v>2</v>
      </c>
      <c r="I848" s="157">
        <f t="shared" si="39"/>
        <v>6</v>
      </c>
      <c r="J848" s="157">
        <f t="shared" si="38"/>
        <v>50</v>
      </c>
    </row>
    <row r="849" spans="1:10" ht="15.75" customHeight="1" x14ac:dyDescent="0.2">
      <c r="A849" s="157">
        <v>848</v>
      </c>
      <c r="B849" s="163">
        <v>45639</v>
      </c>
      <c r="C849" s="157">
        <f t="shared" si="33"/>
        <v>0</v>
      </c>
      <c r="D849" s="157">
        <v>0</v>
      </c>
      <c r="E849" s="157">
        <f t="shared" si="34"/>
        <v>0</v>
      </c>
      <c r="F849" s="157" t="str">
        <f t="shared" si="35"/>
        <v>Friday</v>
      </c>
      <c r="H849" s="157">
        <v>2</v>
      </c>
      <c r="I849" s="157">
        <f t="shared" si="39"/>
        <v>6</v>
      </c>
      <c r="J849" s="157">
        <f t="shared" si="38"/>
        <v>50</v>
      </c>
    </row>
    <row r="850" spans="1:10" ht="15.75" customHeight="1" x14ac:dyDescent="0.2">
      <c r="A850" s="157">
        <v>849</v>
      </c>
      <c r="B850" s="163">
        <v>45640</v>
      </c>
      <c r="C850" s="157">
        <f t="shared" si="33"/>
        <v>1</v>
      </c>
      <c r="D850" s="157">
        <v>0</v>
      </c>
      <c r="E850" s="157">
        <f t="shared" si="34"/>
        <v>1</v>
      </c>
      <c r="F850" s="157" t="str">
        <f t="shared" si="35"/>
        <v>Saturday</v>
      </c>
      <c r="H850" s="157">
        <v>2</v>
      </c>
      <c r="I850" s="157">
        <f t="shared" si="39"/>
        <v>6</v>
      </c>
      <c r="J850" s="157">
        <f t="shared" si="38"/>
        <v>50</v>
      </c>
    </row>
    <row r="851" spans="1:10" ht="15.75" customHeight="1" x14ac:dyDescent="0.2">
      <c r="A851" s="157">
        <v>850</v>
      </c>
      <c r="B851" s="163">
        <v>45641</v>
      </c>
      <c r="C851" s="157">
        <f t="shared" si="33"/>
        <v>1</v>
      </c>
      <c r="D851" s="157">
        <v>0</v>
      </c>
      <c r="E851" s="157">
        <f t="shared" si="34"/>
        <v>1</v>
      </c>
      <c r="F851" s="157" t="str">
        <f t="shared" si="35"/>
        <v>Sunday</v>
      </c>
      <c r="H851" s="157">
        <v>2</v>
      </c>
      <c r="I851" s="157">
        <f t="shared" si="39"/>
        <v>6</v>
      </c>
      <c r="J851" s="157">
        <f t="shared" si="38"/>
        <v>50</v>
      </c>
    </row>
    <row r="852" spans="1:10" ht="15.75" customHeight="1" x14ac:dyDescent="0.2">
      <c r="A852" s="157">
        <v>851</v>
      </c>
      <c r="B852" s="163">
        <v>45642</v>
      </c>
      <c r="C852" s="157">
        <f t="shared" si="33"/>
        <v>0</v>
      </c>
      <c r="D852" s="157">
        <v>0</v>
      </c>
      <c r="E852" s="157">
        <f t="shared" si="34"/>
        <v>0</v>
      </c>
      <c r="F852" s="157" t="str">
        <f t="shared" si="35"/>
        <v>Monday</v>
      </c>
      <c r="H852" s="157">
        <v>2</v>
      </c>
      <c r="I852" s="157">
        <f t="shared" si="39"/>
        <v>7</v>
      </c>
      <c r="J852" s="157">
        <f t="shared" si="38"/>
        <v>51</v>
      </c>
    </row>
    <row r="853" spans="1:10" ht="15.75" customHeight="1" x14ac:dyDescent="0.2">
      <c r="A853" s="157">
        <v>852</v>
      </c>
      <c r="B853" s="163">
        <v>45643</v>
      </c>
      <c r="C853" s="157">
        <f t="shared" si="33"/>
        <v>0</v>
      </c>
      <c r="D853" s="157">
        <v>0</v>
      </c>
      <c r="E853" s="157">
        <f t="shared" si="34"/>
        <v>0</v>
      </c>
      <c r="F853" s="157" t="str">
        <f t="shared" si="35"/>
        <v>Tuesday</v>
      </c>
      <c r="H853" s="157">
        <v>2</v>
      </c>
      <c r="I853" s="157">
        <f t="shared" si="39"/>
        <v>7</v>
      </c>
      <c r="J853" s="157">
        <f t="shared" si="38"/>
        <v>51</v>
      </c>
    </row>
    <row r="854" spans="1:10" ht="15.75" customHeight="1" x14ac:dyDescent="0.2">
      <c r="A854" s="157">
        <v>853</v>
      </c>
      <c r="B854" s="163">
        <v>45644</v>
      </c>
      <c r="C854" s="157">
        <f t="shared" si="33"/>
        <v>0</v>
      </c>
      <c r="D854" s="157">
        <v>0</v>
      </c>
      <c r="E854" s="157">
        <f t="shared" si="34"/>
        <v>0</v>
      </c>
      <c r="F854" s="157" t="str">
        <f t="shared" si="35"/>
        <v>Wednesday</v>
      </c>
      <c r="H854" s="157">
        <v>2</v>
      </c>
      <c r="I854" s="157">
        <f t="shared" si="39"/>
        <v>7</v>
      </c>
      <c r="J854" s="157">
        <f t="shared" si="38"/>
        <v>51</v>
      </c>
    </row>
    <row r="855" spans="1:10" ht="15.75" customHeight="1" x14ac:dyDescent="0.2">
      <c r="A855" s="157">
        <v>854</v>
      </c>
      <c r="B855" s="163">
        <v>45645</v>
      </c>
      <c r="C855" s="157">
        <f t="shared" si="33"/>
        <v>0</v>
      </c>
      <c r="D855" s="157">
        <v>0</v>
      </c>
      <c r="E855" s="157">
        <f t="shared" si="34"/>
        <v>0</v>
      </c>
      <c r="F855" s="157" t="str">
        <f t="shared" si="35"/>
        <v>Thursday</v>
      </c>
      <c r="H855" s="157">
        <v>2</v>
      </c>
      <c r="I855" s="157">
        <f t="shared" si="39"/>
        <v>7</v>
      </c>
      <c r="J855" s="157">
        <f t="shared" si="38"/>
        <v>51</v>
      </c>
    </row>
    <row r="856" spans="1:10" ht="15.75" customHeight="1" x14ac:dyDescent="0.2">
      <c r="A856" s="157">
        <v>855</v>
      </c>
      <c r="B856" s="163">
        <v>45646</v>
      </c>
      <c r="C856" s="157">
        <f t="shared" si="33"/>
        <v>0</v>
      </c>
      <c r="D856" s="157">
        <v>0</v>
      </c>
      <c r="E856" s="157">
        <f t="shared" si="34"/>
        <v>0</v>
      </c>
      <c r="F856" s="157" t="str">
        <f t="shared" si="35"/>
        <v>Friday</v>
      </c>
      <c r="H856" s="157">
        <v>2</v>
      </c>
      <c r="I856" s="157">
        <f t="shared" si="39"/>
        <v>7</v>
      </c>
      <c r="J856" s="157">
        <f t="shared" si="38"/>
        <v>51</v>
      </c>
    </row>
    <row r="857" spans="1:10" ht="15.75" customHeight="1" x14ac:dyDescent="0.2">
      <c r="A857" s="157">
        <v>856</v>
      </c>
      <c r="B857" s="163">
        <v>45647</v>
      </c>
      <c r="C857" s="157">
        <f t="shared" si="33"/>
        <v>1</v>
      </c>
      <c r="D857" s="157">
        <v>1</v>
      </c>
      <c r="E857" s="157">
        <f t="shared" si="34"/>
        <v>1</v>
      </c>
      <c r="F857" s="157" t="str">
        <f t="shared" si="35"/>
        <v>Saturday</v>
      </c>
      <c r="G857" s="157" t="s">
        <v>1775</v>
      </c>
      <c r="H857" s="157">
        <v>2</v>
      </c>
      <c r="I857" s="157">
        <f t="shared" si="39"/>
        <v>7</v>
      </c>
      <c r="J857" s="157">
        <f t="shared" si="38"/>
        <v>51</v>
      </c>
    </row>
    <row r="858" spans="1:10" ht="15.75" customHeight="1" x14ac:dyDescent="0.2">
      <c r="A858" s="157">
        <v>857</v>
      </c>
      <c r="B858" s="163">
        <v>45648</v>
      </c>
      <c r="C858" s="157">
        <f t="shared" si="33"/>
        <v>1</v>
      </c>
      <c r="D858" s="157">
        <v>1</v>
      </c>
      <c r="E858" s="157">
        <f t="shared" si="34"/>
        <v>1</v>
      </c>
      <c r="F858" s="157" t="str">
        <f t="shared" si="35"/>
        <v>Sunday</v>
      </c>
      <c r="G858" s="157" t="s">
        <v>1775</v>
      </c>
      <c r="H858" s="157">
        <v>2</v>
      </c>
      <c r="I858" s="157">
        <f t="shared" si="39"/>
        <v>7</v>
      </c>
      <c r="J858" s="157">
        <f t="shared" si="38"/>
        <v>51</v>
      </c>
    </row>
    <row r="859" spans="1:10" ht="15.75" customHeight="1" x14ac:dyDescent="0.2">
      <c r="A859" s="157">
        <v>858</v>
      </c>
      <c r="B859" s="163">
        <v>45649</v>
      </c>
      <c r="C859" s="157">
        <f t="shared" si="33"/>
        <v>0</v>
      </c>
      <c r="D859" s="157">
        <v>1</v>
      </c>
      <c r="E859" s="157">
        <f t="shared" si="34"/>
        <v>1</v>
      </c>
      <c r="F859" s="157" t="str">
        <f t="shared" si="35"/>
        <v>Monday</v>
      </c>
      <c r="G859" s="157" t="s">
        <v>1775</v>
      </c>
      <c r="H859" s="157">
        <v>2</v>
      </c>
      <c r="I859" s="157">
        <f t="shared" si="39"/>
        <v>8</v>
      </c>
      <c r="J859" s="157">
        <f t="shared" si="38"/>
        <v>52</v>
      </c>
    </row>
    <row r="860" spans="1:10" ht="15.75" customHeight="1" x14ac:dyDescent="0.2">
      <c r="A860" s="157">
        <v>859</v>
      </c>
      <c r="B860" s="163">
        <v>45650</v>
      </c>
      <c r="C860" s="157">
        <f t="shared" si="33"/>
        <v>0</v>
      </c>
      <c r="D860" s="157">
        <v>1</v>
      </c>
      <c r="E860" s="157">
        <f t="shared" si="34"/>
        <v>1</v>
      </c>
      <c r="F860" s="157" t="str">
        <f t="shared" si="35"/>
        <v>Tuesday</v>
      </c>
      <c r="G860" s="157" t="s">
        <v>1775</v>
      </c>
      <c r="H860" s="157">
        <v>2</v>
      </c>
      <c r="I860" s="157">
        <f t="shared" si="39"/>
        <v>8</v>
      </c>
      <c r="J860" s="157">
        <f t="shared" si="38"/>
        <v>52</v>
      </c>
    </row>
    <row r="861" spans="1:10" ht="15.75" customHeight="1" x14ac:dyDescent="0.2">
      <c r="A861" s="157">
        <v>860</v>
      </c>
      <c r="B861" s="163">
        <v>45651</v>
      </c>
      <c r="C861" s="157">
        <f t="shared" si="33"/>
        <v>0</v>
      </c>
      <c r="D861" s="157">
        <v>1</v>
      </c>
      <c r="E861" s="157">
        <f t="shared" si="34"/>
        <v>1</v>
      </c>
      <c r="F861" s="157" t="str">
        <f t="shared" si="35"/>
        <v>Wednesday</v>
      </c>
      <c r="G861" s="157" t="s">
        <v>1775</v>
      </c>
      <c r="H861" s="157">
        <v>2</v>
      </c>
      <c r="I861" s="157">
        <f t="shared" si="39"/>
        <v>8</v>
      </c>
      <c r="J861" s="157">
        <f t="shared" si="38"/>
        <v>52</v>
      </c>
    </row>
    <row r="862" spans="1:10" ht="15.75" customHeight="1" x14ac:dyDescent="0.2">
      <c r="A862" s="157">
        <v>861</v>
      </c>
      <c r="B862" s="163">
        <v>45652</v>
      </c>
      <c r="C862" s="157">
        <f t="shared" si="33"/>
        <v>0</v>
      </c>
      <c r="D862" s="157">
        <v>1</v>
      </c>
      <c r="E862" s="157">
        <f t="shared" si="34"/>
        <v>1</v>
      </c>
      <c r="F862" s="157" t="str">
        <f t="shared" si="35"/>
        <v>Thursday</v>
      </c>
      <c r="G862" s="157" t="s">
        <v>1775</v>
      </c>
      <c r="H862" s="157">
        <v>2</v>
      </c>
      <c r="I862" s="157">
        <f t="shared" si="39"/>
        <v>8</v>
      </c>
      <c r="J862" s="157">
        <f t="shared" si="38"/>
        <v>52</v>
      </c>
    </row>
    <row r="863" spans="1:10" ht="15.75" customHeight="1" x14ac:dyDescent="0.2">
      <c r="A863" s="157">
        <v>862</v>
      </c>
      <c r="B863" s="163">
        <v>45653</v>
      </c>
      <c r="C863" s="157">
        <f t="shared" si="33"/>
        <v>0</v>
      </c>
      <c r="D863" s="157">
        <v>1</v>
      </c>
      <c r="E863" s="157">
        <f t="shared" si="34"/>
        <v>1</v>
      </c>
      <c r="F863" s="157" t="str">
        <f t="shared" si="35"/>
        <v>Friday</v>
      </c>
      <c r="G863" s="157" t="s">
        <v>1775</v>
      </c>
      <c r="H863" s="157">
        <v>2</v>
      </c>
      <c r="I863" s="157">
        <f t="shared" si="39"/>
        <v>8</v>
      </c>
      <c r="J863" s="157">
        <f t="shared" si="38"/>
        <v>52</v>
      </c>
    </row>
    <row r="864" spans="1:10" ht="15.75" customHeight="1" x14ac:dyDescent="0.2">
      <c r="A864" s="157">
        <v>863</v>
      </c>
      <c r="B864" s="163">
        <v>45654</v>
      </c>
      <c r="C864" s="157">
        <f t="shared" si="33"/>
        <v>1</v>
      </c>
      <c r="D864" s="157">
        <v>1</v>
      </c>
      <c r="E864" s="157">
        <f t="shared" si="34"/>
        <v>1</v>
      </c>
      <c r="F864" s="157" t="str">
        <f t="shared" si="35"/>
        <v>Saturday</v>
      </c>
      <c r="G864" s="157" t="s">
        <v>1775</v>
      </c>
      <c r="H864" s="157">
        <v>2</v>
      </c>
      <c r="I864" s="157">
        <f t="shared" si="39"/>
        <v>8</v>
      </c>
      <c r="J864" s="157">
        <f t="shared" si="38"/>
        <v>52</v>
      </c>
    </row>
    <row r="865" spans="1:10" ht="15.75" customHeight="1" x14ac:dyDescent="0.2">
      <c r="A865" s="157">
        <v>864</v>
      </c>
      <c r="B865" s="163">
        <v>45655</v>
      </c>
      <c r="C865" s="157">
        <f t="shared" si="33"/>
        <v>1</v>
      </c>
      <c r="D865" s="157">
        <v>1</v>
      </c>
      <c r="E865" s="157">
        <f t="shared" si="34"/>
        <v>1</v>
      </c>
      <c r="F865" s="157" t="str">
        <f t="shared" si="35"/>
        <v>Sunday</v>
      </c>
      <c r="G865" s="157" t="s">
        <v>1775</v>
      </c>
      <c r="H865" s="157">
        <v>2</v>
      </c>
      <c r="I865" s="157">
        <f t="shared" si="39"/>
        <v>8</v>
      </c>
      <c r="J865" s="157">
        <f t="shared" si="38"/>
        <v>52</v>
      </c>
    </row>
    <row r="866" spans="1:10" ht="15.75" customHeight="1" x14ac:dyDescent="0.2">
      <c r="A866" s="157">
        <v>865</v>
      </c>
      <c r="B866" s="163">
        <v>45656</v>
      </c>
      <c r="C866" s="157">
        <f t="shared" si="33"/>
        <v>0</v>
      </c>
      <c r="D866" s="157">
        <v>1</v>
      </c>
      <c r="E866" s="157">
        <f t="shared" si="34"/>
        <v>1</v>
      </c>
      <c r="F866" s="157" t="str">
        <f t="shared" si="35"/>
        <v>Monday</v>
      </c>
      <c r="G866" s="157" t="s">
        <v>1775</v>
      </c>
      <c r="H866" s="157">
        <v>2</v>
      </c>
      <c r="I866" s="157">
        <f t="shared" si="39"/>
        <v>8</v>
      </c>
      <c r="J866" s="157">
        <f t="shared" si="38"/>
        <v>1</v>
      </c>
    </row>
    <row r="867" spans="1:10" ht="15.75" customHeight="1" x14ac:dyDescent="0.2">
      <c r="A867" s="157">
        <v>866</v>
      </c>
      <c r="B867" s="163">
        <v>45657</v>
      </c>
      <c r="C867" s="157">
        <f t="shared" si="33"/>
        <v>0</v>
      </c>
      <c r="D867" s="157">
        <v>1</v>
      </c>
      <c r="E867" s="157">
        <f t="shared" si="34"/>
        <v>1</v>
      </c>
      <c r="F867" s="157" t="str">
        <f t="shared" si="35"/>
        <v>Tuesday</v>
      </c>
      <c r="G867" s="157" t="s">
        <v>1775</v>
      </c>
      <c r="H867" s="157">
        <v>2</v>
      </c>
      <c r="I867" s="157">
        <f t="shared" si="39"/>
        <v>8</v>
      </c>
      <c r="J867" s="157">
        <f t="shared" si="38"/>
        <v>1</v>
      </c>
    </row>
    <row r="868" spans="1:10" ht="15.75" customHeight="1" x14ac:dyDescent="0.2">
      <c r="A868" s="157">
        <v>867</v>
      </c>
      <c r="B868" s="163">
        <v>45658</v>
      </c>
      <c r="C868" s="157">
        <f t="shared" si="33"/>
        <v>0</v>
      </c>
      <c r="D868" s="157">
        <v>1</v>
      </c>
      <c r="E868" s="157">
        <f t="shared" si="34"/>
        <v>1</v>
      </c>
      <c r="F868" s="157" t="str">
        <f t="shared" si="35"/>
        <v>Wednesday</v>
      </c>
      <c r="G868" s="157" t="s">
        <v>1775</v>
      </c>
      <c r="H868" s="157">
        <v>2</v>
      </c>
      <c r="I868" s="157">
        <f t="shared" si="39"/>
        <v>8</v>
      </c>
      <c r="J868" s="157">
        <f t="shared" si="38"/>
        <v>1</v>
      </c>
    </row>
    <row r="869" spans="1:10" ht="15.75" customHeight="1" x14ac:dyDescent="0.2">
      <c r="A869" s="157">
        <v>868</v>
      </c>
      <c r="B869" s="163">
        <v>45659</v>
      </c>
      <c r="C869" s="157">
        <f t="shared" si="33"/>
        <v>0</v>
      </c>
      <c r="D869" s="157">
        <v>1</v>
      </c>
      <c r="E869" s="157">
        <f t="shared" si="34"/>
        <v>1</v>
      </c>
      <c r="F869" s="157" t="str">
        <f t="shared" si="35"/>
        <v>Thursday</v>
      </c>
      <c r="G869" s="157" t="s">
        <v>1775</v>
      </c>
      <c r="H869" s="157">
        <v>2</v>
      </c>
      <c r="I869" s="157">
        <f t="shared" si="39"/>
        <v>8</v>
      </c>
      <c r="J869" s="157">
        <f t="shared" si="38"/>
        <v>1</v>
      </c>
    </row>
    <row r="870" spans="1:10" ht="15.75" customHeight="1" x14ac:dyDescent="0.2">
      <c r="A870" s="157">
        <v>869</v>
      </c>
      <c r="B870" s="163">
        <v>45660</v>
      </c>
      <c r="C870" s="157">
        <f t="shared" si="33"/>
        <v>0</v>
      </c>
      <c r="D870" s="157">
        <v>1</v>
      </c>
      <c r="E870" s="157">
        <f t="shared" si="34"/>
        <v>1</v>
      </c>
      <c r="F870" s="157" t="str">
        <f t="shared" si="35"/>
        <v>Friday</v>
      </c>
      <c r="G870" s="157" t="s">
        <v>1775</v>
      </c>
      <c r="H870" s="157">
        <v>2</v>
      </c>
      <c r="I870" s="157">
        <f t="shared" si="39"/>
        <v>8</v>
      </c>
      <c r="J870" s="157">
        <f t="shared" si="38"/>
        <v>1</v>
      </c>
    </row>
    <row r="871" spans="1:10" ht="15.75" customHeight="1" x14ac:dyDescent="0.2">
      <c r="A871" s="157">
        <v>870</v>
      </c>
      <c r="B871" s="163">
        <v>45661</v>
      </c>
      <c r="C871" s="157">
        <f t="shared" si="33"/>
        <v>1</v>
      </c>
      <c r="D871" s="157">
        <v>1</v>
      </c>
      <c r="E871" s="157">
        <f t="shared" si="34"/>
        <v>1</v>
      </c>
      <c r="F871" s="157" t="str">
        <f t="shared" si="35"/>
        <v>Saturday</v>
      </c>
      <c r="G871" s="157" t="s">
        <v>1775</v>
      </c>
      <c r="H871" s="157">
        <v>2</v>
      </c>
      <c r="I871" s="157">
        <f t="shared" si="39"/>
        <v>8</v>
      </c>
      <c r="J871" s="157">
        <f t="shared" si="38"/>
        <v>1</v>
      </c>
    </row>
    <row r="872" spans="1:10" ht="15.75" customHeight="1" x14ac:dyDescent="0.2">
      <c r="A872" s="157">
        <v>871</v>
      </c>
      <c r="B872" s="163">
        <v>45662</v>
      </c>
      <c r="C872" s="157">
        <f t="shared" si="33"/>
        <v>1</v>
      </c>
      <c r="D872" s="157">
        <v>1</v>
      </c>
      <c r="E872" s="157">
        <f t="shared" si="34"/>
        <v>1</v>
      </c>
      <c r="F872" s="157" t="str">
        <f t="shared" si="35"/>
        <v>Sunday</v>
      </c>
      <c r="G872" s="157" t="s">
        <v>1775</v>
      </c>
      <c r="H872" s="157">
        <v>2</v>
      </c>
      <c r="I872" s="157">
        <f t="shared" si="39"/>
        <v>8</v>
      </c>
      <c r="J872" s="157">
        <f t="shared" si="38"/>
        <v>1</v>
      </c>
    </row>
    <row r="873" spans="1:10" ht="15.75" customHeight="1" x14ac:dyDescent="0.2">
      <c r="A873" s="157">
        <v>872</v>
      </c>
      <c r="B873" s="163">
        <v>45663</v>
      </c>
      <c r="C873" s="157">
        <f t="shared" si="33"/>
        <v>0</v>
      </c>
      <c r="D873" s="157">
        <v>0</v>
      </c>
      <c r="E873" s="157">
        <f t="shared" si="34"/>
        <v>0</v>
      </c>
      <c r="F873" s="157" t="str">
        <f t="shared" si="35"/>
        <v>Monday</v>
      </c>
      <c r="H873" s="157">
        <v>3</v>
      </c>
      <c r="I873" s="157">
        <f t="shared" si="39"/>
        <v>1</v>
      </c>
      <c r="J873" s="157">
        <f t="shared" si="38"/>
        <v>2</v>
      </c>
    </row>
    <row r="874" spans="1:10" ht="15.75" customHeight="1" x14ac:dyDescent="0.2">
      <c r="A874" s="157">
        <v>873</v>
      </c>
      <c r="B874" s="163">
        <v>45664</v>
      </c>
      <c r="C874" s="157">
        <f t="shared" si="33"/>
        <v>0</v>
      </c>
      <c r="D874" s="157">
        <v>0</v>
      </c>
      <c r="E874" s="157">
        <f t="shared" si="34"/>
        <v>0</v>
      </c>
      <c r="F874" s="157" t="str">
        <f t="shared" si="35"/>
        <v>Tuesday</v>
      </c>
      <c r="H874" s="157">
        <v>3</v>
      </c>
      <c r="I874" s="157">
        <f t="shared" si="39"/>
        <v>1</v>
      </c>
      <c r="J874" s="157">
        <f t="shared" si="38"/>
        <v>2</v>
      </c>
    </row>
    <row r="875" spans="1:10" ht="15.75" customHeight="1" x14ac:dyDescent="0.2">
      <c r="A875" s="157">
        <v>874</v>
      </c>
      <c r="B875" s="163">
        <v>45665</v>
      </c>
      <c r="C875" s="157">
        <f t="shared" si="33"/>
        <v>0</v>
      </c>
      <c r="D875" s="157">
        <v>0</v>
      </c>
      <c r="E875" s="157">
        <f t="shared" si="34"/>
        <v>0</v>
      </c>
      <c r="F875" s="157" t="str">
        <f t="shared" si="35"/>
        <v>Wednesday</v>
      </c>
      <c r="H875" s="157">
        <v>3</v>
      </c>
      <c r="I875" s="157">
        <f t="shared" si="39"/>
        <v>1</v>
      </c>
      <c r="J875" s="157">
        <f t="shared" si="38"/>
        <v>2</v>
      </c>
    </row>
    <row r="876" spans="1:10" ht="15.75" customHeight="1" x14ac:dyDescent="0.2">
      <c r="A876" s="157">
        <v>875</v>
      </c>
      <c r="B876" s="163">
        <v>45666</v>
      </c>
      <c r="C876" s="157">
        <f t="shared" si="33"/>
        <v>0</v>
      </c>
      <c r="D876" s="157">
        <v>0</v>
      </c>
      <c r="E876" s="157">
        <f t="shared" si="34"/>
        <v>0</v>
      </c>
      <c r="F876" s="157" t="str">
        <f t="shared" si="35"/>
        <v>Thursday</v>
      </c>
      <c r="H876" s="157">
        <v>3</v>
      </c>
      <c r="I876" s="157">
        <f t="shared" si="39"/>
        <v>1</v>
      </c>
      <c r="J876" s="157">
        <f t="shared" si="38"/>
        <v>2</v>
      </c>
    </row>
    <row r="877" spans="1:10" ht="15.75" customHeight="1" x14ac:dyDescent="0.2">
      <c r="A877" s="157">
        <v>876</v>
      </c>
      <c r="B877" s="163">
        <v>45667</v>
      </c>
      <c r="C877" s="157">
        <f t="shared" si="33"/>
        <v>0</v>
      </c>
      <c r="D877" s="157">
        <v>0</v>
      </c>
      <c r="E877" s="157">
        <f t="shared" si="34"/>
        <v>0</v>
      </c>
      <c r="F877" s="157" t="str">
        <f t="shared" si="35"/>
        <v>Friday</v>
      </c>
      <c r="H877" s="157">
        <v>3</v>
      </c>
      <c r="I877" s="157">
        <f t="shared" si="39"/>
        <v>1</v>
      </c>
      <c r="J877" s="157">
        <f t="shared" si="38"/>
        <v>2</v>
      </c>
    </row>
    <row r="878" spans="1:10" ht="15.75" customHeight="1" x14ac:dyDescent="0.2">
      <c r="A878" s="157">
        <v>877</v>
      </c>
      <c r="B878" s="163">
        <v>45668</v>
      </c>
      <c r="C878" s="157">
        <f t="shared" si="33"/>
        <v>1</v>
      </c>
      <c r="D878" s="157">
        <v>0</v>
      </c>
      <c r="E878" s="157">
        <f t="shared" si="34"/>
        <v>1</v>
      </c>
      <c r="F878" s="157" t="str">
        <f t="shared" si="35"/>
        <v>Saturday</v>
      </c>
      <c r="H878" s="157">
        <v>3</v>
      </c>
      <c r="I878" s="157">
        <f t="shared" si="39"/>
        <v>1</v>
      </c>
      <c r="J878" s="157">
        <f t="shared" si="38"/>
        <v>2</v>
      </c>
    </row>
    <row r="879" spans="1:10" ht="15.75" customHeight="1" x14ac:dyDescent="0.2">
      <c r="A879" s="157">
        <v>878</v>
      </c>
      <c r="B879" s="163">
        <v>45669</v>
      </c>
      <c r="C879" s="157">
        <f t="shared" si="33"/>
        <v>1</v>
      </c>
      <c r="D879" s="157">
        <v>0</v>
      </c>
      <c r="E879" s="157">
        <f t="shared" si="34"/>
        <v>1</v>
      </c>
      <c r="F879" s="157" t="str">
        <f t="shared" si="35"/>
        <v>Sunday</v>
      </c>
      <c r="H879" s="157">
        <v>3</v>
      </c>
      <c r="I879" s="157">
        <f t="shared" si="39"/>
        <v>1</v>
      </c>
      <c r="J879" s="157">
        <f t="shared" si="38"/>
        <v>2</v>
      </c>
    </row>
    <row r="880" spans="1:10" ht="15.75" customHeight="1" x14ac:dyDescent="0.2">
      <c r="A880" s="157">
        <v>879</v>
      </c>
      <c r="B880" s="163">
        <v>45670</v>
      </c>
      <c r="C880" s="157">
        <f t="shared" si="33"/>
        <v>0</v>
      </c>
      <c r="D880" s="157">
        <v>0</v>
      </c>
      <c r="E880" s="157">
        <f t="shared" si="34"/>
        <v>0</v>
      </c>
      <c r="F880" s="157" t="str">
        <f t="shared" si="35"/>
        <v>Monday</v>
      </c>
      <c r="H880" s="157">
        <v>3</v>
      </c>
      <c r="I880" s="157">
        <f t="shared" si="39"/>
        <v>2</v>
      </c>
      <c r="J880" s="157">
        <f t="shared" si="38"/>
        <v>3</v>
      </c>
    </row>
    <row r="881" spans="1:10" ht="15.75" customHeight="1" x14ac:dyDescent="0.2">
      <c r="A881" s="157">
        <v>880</v>
      </c>
      <c r="B881" s="163">
        <v>45671</v>
      </c>
      <c r="C881" s="157">
        <f t="shared" si="33"/>
        <v>0</v>
      </c>
      <c r="D881" s="157">
        <v>0</v>
      </c>
      <c r="E881" s="157">
        <f t="shared" si="34"/>
        <v>0</v>
      </c>
      <c r="F881" s="157" t="str">
        <f t="shared" si="35"/>
        <v>Tuesday</v>
      </c>
      <c r="H881" s="157">
        <v>3</v>
      </c>
      <c r="I881" s="157">
        <f t="shared" si="39"/>
        <v>2</v>
      </c>
      <c r="J881" s="157">
        <f t="shared" si="38"/>
        <v>3</v>
      </c>
    </row>
    <row r="882" spans="1:10" ht="15.75" customHeight="1" x14ac:dyDescent="0.2">
      <c r="A882" s="157">
        <v>881</v>
      </c>
      <c r="B882" s="163">
        <v>45672</v>
      </c>
      <c r="C882" s="157">
        <f t="shared" si="33"/>
        <v>0</v>
      </c>
      <c r="D882" s="157">
        <v>0</v>
      </c>
      <c r="E882" s="157">
        <f t="shared" si="34"/>
        <v>0</v>
      </c>
      <c r="F882" s="157" t="str">
        <f t="shared" si="35"/>
        <v>Wednesday</v>
      </c>
      <c r="H882" s="157">
        <v>3</v>
      </c>
      <c r="I882" s="157">
        <f t="shared" si="39"/>
        <v>2</v>
      </c>
      <c r="J882" s="157">
        <f t="shared" si="38"/>
        <v>3</v>
      </c>
    </row>
    <row r="883" spans="1:10" ht="15.75" customHeight="1" x14ac:dyDescent="0.2">
      <c r="A883" s="157">
        <v>882</v>
      </c>
      <c r="B883" s="163">
        <v>45673</v>
      </c>
      <c r="C883" s="157">
        <f t="shared" si="33"/>
        <v>0</v>
      </c>
      <c r="D883" s="157">
        <v>0</v>
      </c>
      <c r="E883" s="157">
        <f t="shared" si="34"/>
        <v>0</v>
      </c>
      <c r="F883" s="157" t="str">
        <f t="shared" si="35"/>
        <v>Thursday</v>
      </c>
      <c r="H883" s="157">
        <v>3</v>
      </c>
      <c r="I883" s="157">
        <f t="shared" si="39"/>
        <v>2</v>
      </c>
      <c r="J883" s="157">
        <f t="shared" si="38"/>
        <v>3</v>
      </c>
    </row>
    <row r="884" spans="1:10" ht="15.75" customHeight="1" x14ac:dyDescent="0.2">
      <c r="A884" s="157">
        <v>883</v>
      </c>
      <c r="B884" s="163">
        <v>45674</v>
      </c>
      <c r="C884" s="157">
        <f t="shared" si="33"/>
        <v>0</v>
      </c>
      <c r="D884" s="157">
        <v>0</v>
      </c>
      <c r="E884" s="157">
        <f t="shared" si="34"/>
        <v>0</v>
      </c>
      <c r="F884" s="157" t="str">
        <f t="shared" si="35"/>
        <v>Friday</v>
      </c>
      <c r="H884" s="157">
        <v>3</v>
      </c>
      <c r="I884" s="157">
        <f t="shared" si="39"/>
        <v>2</v>
      </c>
      <c r="J884" s="157">
        <f t="shared" si="38"/>
        <v>3</v>
      </c>
    </row>
    <row r="885" spans="1:10" ht="15.75" customHeight="1" x14ac:dyDescent="0.2">
      <c r="A885" s="157">
        <v>884</v>
      </c>
      <c r="B885" s="163">
        <v>45675</v>
      </c>
      <c r="C885" s="157">
        <f t="shared" si="33"/>
        <v>1</v>
      </c>
      <c r="D885" s="157">
        <v>0</v>
      </c>
      <c r="E885" s="157">
        <f t="shared" si="34"/>
        <v>1</v>
      </c>
      <c r="F885" s="157" t="str">
        <f t="shared" si="35"/>
        <v>Saturday</v>
      </c>
      <c r="H885" s="157">
        <v>3</v>
      </c>
      <c r="I885" s="157">
        <f t="shared" si="39"/>
        <v>2</v>
      </c>
      <c r="J885" s="157">
        <f t="shared" si="38"/>
        <v>3</v>
      </c>
    </row>
    <row r="886" spans="1:10" ht="15.75" customHeight="1" x14ac:dyDescent="0.2">
      <c r="A886" s="157">
        <v>885</v>
      </c>
      <c r="B886" s="163">
        <v>45676</v>
      </c>
      <c r="C886" s="157">
        <f t="shared" si="33"/>
        <v>1</v>
      </c>
      <c r="D886" s="157">
        <v>0</v>
      </c>
      <c r="E886" s="157">
        <f t="shared" si="34"/>
        <v>1</v>
      </c>
      <c r="F886" s="157" t="str">
        <f t="shared" si="35"/>
        <v>Sunday</v>
      </c>
      <c r="H886" s="157">
        <v>3</v>
      </c>
      <c r="I886" s="157">
        <f t="shared" si="39"/>
        <v>2</v>
      </c>
      <c r="J886" s="157">
        <f t="shared" si="38"/>
        <v>3</v>
      </c>
    </row>
    <row r="887" spans="1:10" ht="15.75" customHeight="1" x14ac:dyDescent="0.2">
      <c r="A887" s="157">
        <v>886</v>
      </c>
      <c r="B887" s="163">
        <v>45677</v>
      </c>
      <c r="C887" s="157">
        <f t="shared" si="33"/>
        <v>0</v>
      </c>
      <c r="D887" s="157">
        <v>0</v>
      </c>
      <c r="E887" s="157">
        <f t="shared" si="34"/>
        <v>0</v>
      </c>
      <c r="F887" s="157" t="str">
        <f t="shared" si="35"/>
        <v>Monday</v>
      </c>
      <c r="H887" s="157">
        <v>3</v>
      </c>
      <c r="I887" s="157">
        <f t="shared" si="39"/>
        <v>3</v>
      </c>
      <c r="J887" s="157">
        <f t="shared" si="38"/>
        <v>4</v>
      </c>
    </row>
    <row r="888" spans="1:10" ht="15.75" customHeight="1" x14ac:dyDescent="0.2">
      <c r="A888" s="157">
        <v>887</v>
      </c>
      <c r="B888" s="163">
        <v>45678</v>
      </c>
      <c r="C888" s="157">
        <f t="shared" si="33"/>
        <v>0</v>
      </c>
      <c r="D888" s="157">
        <v>0</v>
      </c>
      <c r="E888" s="157">
        <f t="shared" si="34"/>
        <v>0</v>
      </c>
      <c r="F888" s="157" t="str">
        <f t="shared" si="35"/>
        <v>Tuesday</v>
      </c>
      <c r="H888" s="157">
        <v>3</v>
      </c>
      <c r="I888" s="157">
        <f t="shared" si="39"/>
        <v>3</v>
      </c>
      <c r="J888" s="157">
        <f t="shared" si="38"/>
        <v>4</v>
      </c>
    </row>
    <row r="889" spans="1:10" ht="15.75" customHeight="1" x14ac:dyDescent="0.2">
      <c r="A889" s="157">
        <v>888</v>
      </c>
      <c r="B889" s="163">
        <v>45679</v>
      </c>
      <c r="C889" s="157">
        <f t="shared" si="33"/>
        <v>0</v>
      </c>
      <c r="D889" s="157">
        <v>0</v>
      </c>
      <c r="E889" s="157">
        <f t="shared" si="34"/>
        <v>0</v>
      </c>
      <c r="F889" s="157" t="str">
        <f t="shared" si="35"/>
        <v>Wednesday</v>
      </c>
      <c r="H889" s="157">
        <v>3</v>
      </c>
      <c r="I889" s="157">
        <f t="shared" si="39"/>
        <v>3</v>
      </c>
      <c r="J889" s="157">
        <f t="shared" si="38"/>
        <v>4</v>
      </c>
    </row>
    <row r="890" spans="1:10" ht="15.75" customHeight="1" x14ac:dyDescent="0.2">
      <c r="A890" s="157">
        <v>889</v>
      </c>
      <c r="B890" s="163">
        <v>45680</v>
      </c>
      <c r="C890" s="157">
        <f t="shared" si="33"/>
        <v>0</v>
      </c>
      <c r="D890" s="157">
        <v>0</v>
      </c>
      <c r="E890" s="157">
        <f t="shared" si="34"/>
        <v>0</v>
      </c>
      <c r="F890" s="157" t="str">
        <f t="shared" si="35"/>
        <v>Thursday</v>
      </c>
      <c r="H890" s="157">
        <v>3</v>
      </c>
      <c r="I890" s="157">
        <f t="shared" si="39"/>
        <v>3</v>
      </c>
      <c r="J890" s="157">
        <f t="shared" si="38"/>
        <v>4</v>
      </c>
    </row>
    <row r="891" spans="1:10" ht="15.75" customHeight="1" x14ac:dyDescent="0.2">
      <c r="A891" s="157">
        <v>890</v>
      </c>
      <c r="B891" s="163">
        <v>45681</v>
      </c>
      <c r="C891" s="157">
        <f t="shared" si="33"/>
        <v>0</v>
      </c>
      <c r="D891" s="157">
        <v>0</v>
      </c>
      <c r="E891" s="157">
        <f t="shared" si="34"/>
        <v>0</v>
      </c>
      <c r="F891" s="157" t="str">
        <f t="shared" si="35"/>
        <v>Friday</v>
      </c>
      <c r="H891" s="157">
        <v>3</v>
      </c>
      <c r="I891" s="157">
        <f t="shared" si="39"/>
        <v>3</v>
      </c>
      <c r="J891" s="157">
        <f t="shared" si="38"/>
        <v>4</v>
      </c>
    </row>
    <row r="892" spans="1:10" ht="15.75" customHeight="1" x14ac:dyDescent="0.2">
      <c r="A892" s="157">
        <v>891</v>
      </c>
      <c r="B892" s="163">
        <v>45682</v>
      </c>
      <c r="C892" s="157">
        <f t="shared" si="33"/>
        <v>1</v>
      </c>
      <c r="D892" s="157">
        <v>0</v>
      </c>
      <c r="E892" s="157">
        <f t="shared" si="34"/>
        <v>1</v>
      </c>
      <c r="F892" s="157" t="str">
        <f t="shared" si="35"/>
        <v>Saturday</v>
      </c>
      <c r="H892" s="157">
        <v>3</v>
      </c>
      <c r="I892" s="157">
        <f t="shared" si="39"/>
        <v>3</v>
      </c>
      <c r="J892" s="157">
        <f t="shared" si="38"/>
        <v>4</v>
      </c>
    </row>
    <row r="893" spans="1:10" ht="15.75" customHeight="1" x14ac:dyDescent="0.2">
      <c r="A893" s="157">
        <v>892</v>
      </c>
      <c r="B893" s="163">
        <v>45683</v>
      </c>
      <c r="C893" s="157">
        <f t="shared" si="33"/>
        <v>1</v>
      </c>
      <c r="D893" s="157">
        <v>0</v>
      </c>
      <c r="E893" s="157">
        <f t="shared" si="34"/>
        <v>1</v>
      </c>
      <c r="F893" s="157" t="str">
        <f t="shared" si="35"/>
        <v>Sunday</v>
      </c>
      <c r="H893" s="157">
        <v>3</v>
      </c>
      <c r="I893" s="157">
        <f t="shared" si="39"/>
        <v>3</v>
      </c>
      <c r="J893" s="157">
        <f t="shared" si="38"/>
        <v>4</v>
      </c>
    </row>
    <row r="894" spans="1:10" ht="15.75" customHeight="1" x14ac:dyDescent="0.2">
      <c r="A894" s="157">
        <v>893</v>
      </c>
      <c r="B894" s="163">
        <v>45684</v>
      </c>
      <c r="C894" s="157">
        <f t="shared" si="33"/>
        <v>0</v>
      </c>
      <c r="D894" s="157">
        <v>0</v>
      </c>
      <c r="E894" s="157">
        <f t="shared" si="34"/>
        <v>0</v>
      </c>
      <c r="F894" s="157" t="str">
        <f t="shared" si="35"/>
        <v>Monday</v>
      </c>
      <c r="H894" s="157">
        <v>3</v>
      </c>
      <c r="I894" s="157">
        <f t="shared" si="39"/>
        <v>4</v>
      </c>
      <c r="J894" s="157">
        <f t="shared" si="38"/>
        <v>5</v>
      </c>
    </row>
    <row r="895" spans="1:10" ht="15.75" customHeight="1" x14ac:dyDescent="0.2">
      <c r="A895" s="157">
        <v>894</v>
      </c>
      <c r="B895" s="163">
        <v>45685</v>
      </c>
      <c r="C895" s="157">
        <f t="shared" si="33"/>
        <v>0</v>
      </c>
      <c r="D895" s="157">
        <v>0</v>
      </c>
      <c r="E895" s="157">
        <f t="shared" si="34"/>
        <v>0</v>
      </c>
      <c r="F895" s="157" t="str">
        <f t="shared" si="35"/>
        <v>Tuesday</v>
      </c>
      <c r="H895" s="157">
        <v>3</v>
      </c>
      <c r="I895" s="157">
        <f t="shared" si="39"/>
        <v>4</v>
      </c>
      <c r="J895" s="157">
        <f t="shared" si="38"/>
        <v>5</v>
      </c>
    </row>
    <row r="896" spans="1:10" ht="15.75" customHeight="1" x14ac:dyDescent="0.2">
      <c r="A896" s="157">
        <v>895</v>
      </c>
      <c r="B896" s="163">
        <v>45686</v>
      </c>
      <c r="C896" s="157">
        <f t="shared" si="33"/>
        <v>0</v>
      </c>
      <c r="D896" s="157">
        <v>0</v>
      </c>
      <c r="E896" s="157">
        <f t="shared" si="34"/>
        <v>0</v>
      </c>
      <c r="F896" s="157" t="str">
        <f t="shared" si="35"/>
        <v>Wednesday</v>
      </c>
      <c r="H896" s="157">
        <v>3</v>
      </c>
      <c r="I896" s="157">
        <f t="shared" si="39"/>
        <v>4</v>
      </c>
      <c r="J896" s="157">
        <f t="shared" si="38"/>
        <v>5</v>
      </c>
    </row>
    <row r="897" spans="1:10" ht="15.75" customHeight="1" x14ac:dyDescent="0.2">
      <c r="A897" s="157">
        <v>896</v>
      </c>
      <c r="B897" s="163">
        <v>45687</v>
      </c>
      <c r="C897" s="157">
        <f t="shared" si="33"/>
        <v>0</v>
      </c>
      <c r="D897" s="157">
        <v>0</v>
      </c>
      <c r="E897" s="157">
        <f t="shared" si="34"/>
        <v>0</v>
      </c>
      <c r="F897" s="157" t="str">
        <f t="shared" si="35"/>
        <v>Thursday</v>
      </c>
      <c r="H897" s="157">
        <v>3</v>
      </c>
      <c r="I897" s="157">
        <f t="shared" si="39"/>
        <v>4</v>
      </c>
      <c r="J897" s="157">
        <f t="shared" si="38"/>
        <v>5</v>
      </c>
    </row>
    <row r="898" spans="1:10" ht="15.75" customHeight="1" x14ac:dyDescent="0.2">
      <c r="A898" s="157">
        <v>897</v>
      </c>
      <c r="B898" s="163">
        <v>45688</v>
      </c>
      <c r="C898" s="157">
        <f t="shared" si="33"/>
        <v>0</v>
      </c>
      <c r="D898" s="157">
        <v>0</v>
      </c>
      <c r="E898" s="157">
        <f t="shared" si="34"/>
        <v>0</v>
      </c>
      <c r="F898" s="157" t="str">
        <f t="shared" si="35"/>
        <v>Friday</v>
      </c>
      <c r="H898" s="157">
        <v>3</v>
      </c>
      <c r="I898" s="157">
        <f t="shared" si="39"/>
        <v>4</v>
      </c>
      <c r="J898" s="157">
        <f t="shared" si="38"/>
        <v>5</v>
      </c>
    </row>
    <row r="899" spans="1:10" ht="15.75" customHeight="1" x14ac:dyDescent="0.2">
      <c r="A899" s="157">
        <v>898</v>
      </c>
      <c r="B899" s="163">
        <v>45689</v>
      </c>
      <c r="C899" s="157">
        <f t="shared" si="33"/>
        <v>1</v>
      </c>
      <c r="D899" s="157">
        <v>0</v>
      </c>
      <c r="E899" s="157">
        <f t="shared" si="34"/>
        <v>1</v>
      </c>
      <c r="F899" s="157" t="str">
        <f t="shared" si="35"/>
        <v>Saturday</v>
      </c>
      <c r="H899" s="157">
        <v>3</v>
      </c>
      <c r="I899" s="157">
        <f t="shared" si="39"/>
        <v>4</v>
      </c>
      <c r="J899" s="157">
        <f t="shared" ref="J899:J962" si="40">_xlfn.ISOWEEKNUM(B899)</f>
        <v>5</v>
      </c>
    </row>
    <row r="900" spans="1:10" ht="15.75" customHeight="1" x14ac:dyDescent="0.2">
      <c r="A900" s="157">
        <v>899</v>
      </c>
      <c r="B900" s="163">
        <v>45690</v>
      </c>
      <c r="C900" s="157">
        <f t="shared" si="33"/>
        <v>1</v>
      </c>
      <c r="D900" s="157">
        <v>0</v>
      </c>
      <c r="E900" s="157">
        <f t="shared" si="34"/>
        <v>1</v>
      </c>
      <c r="F900" s="157" t="str">
        <f t="shared" si="35"/>
        <v>Sunday</v>
      </c>
      <c r="H900" s="157">
        <v>3</v>
      </c>
      <c r="I900" s="157">
        <f t="shared" si="39"/>
        <v>4</v>
      </c>
      <c r="J900" s="157">
        <f t="shared" si="40"/>
        <v>5</v>
      </c>
    </row>
    <row r="901" spans="1:10" ht="15.75" customHeight="1" x14ac:dyDescent="0.2">
      <c r="A901" s="157">
        <v>900</v>
      </c>
      <c r="B901" s="163">
        <v>45691</v>
      </c>
      <c r="C901" s="157">
        <f t="shared" si="33"/>
        <v>0</v>
      </c>
      <c r="D901" s="157">
        <v>0</v>
      </c>
      <c r="E901" s="157">
        <f t="shared" si="34"/>
        <v>0</v>
      </c>
      <c r="F901" s="157" t="str">
        <f t="shared" si="35"/>
        <v>Monday</v>
      </c>
      <c r="H901" s="157">
        <v>3</v>
      </c>
      <c r="I901" s="157">
        <f t="shared" ref="I901:I964" si="41">IF(J901&gt;J900, IF(H901&lt;&gt;H900,1, I900+1),I900)</f>
        <v>5</v>
      </c>
      <c r="J901" s="157">
        <f t="shared" si="40"/>
        <v>6</v>
      </c>
    </row>
    <row r="902" spans="1:10" ht="15.75" customHeight="1" x14ac:dyDescent="0.2">
      <c r="A902" s="157">
        <v>901</v>
      </c>
      <c r="B902" s="163">
        <v>45692</v>
      </c>
      <c r="C902" s="157">
        <f t="shared" si="33"/>
        <v>0</v>
      </c>
      <c r="D902" s="157">
        <v>0</v>
      </c>
      <c r="E902" s="157">
        <f t="shared" si="34"/>
        <v>0</v>
      </c>
      <c r="F902" s="157" t="str">
        <f t="shared" si="35"/>
        <v>Tuesday</v>
      </c>
      <c r="H902" s="157">
        <v>3</v>
      </c>
      <c r="I902" s="157">
        <f t="shared" si="41"/>
        <v>5</v>
      </c>
      <c r="J902" s="157">
        <f t="shared" si="40"/>
        <v>6</v>
      </c>
    </row>
    <row r="903" spans="1:10" ht="15.75" customHeight="1" x14ac:dyDescent="0.2">
      <c r="A903" s="157">
        <v>902</v>
      </c>
      <c r="B903" s="163">
        <v>45693</v>
      </c>
      <c r="C903" s="157">
        <f t="shared" si="33"/>
        <v>0</v>
      </c>
      <c r="D903" s="157">
        <v>0</v>
      </c>
      <c r="E903" s="157">
        <f t="shared" si="34"/>
        <v>0</v>
      </c>
      <c r="F903" s="157" t="str">
        <f t="shared" si="35"/>
        <v>Wednesday</v>
      </c>
      <c r="H903" s="157">
        <v>3</v>
      </c>
      <c r="I903" s="157">
        <f t="shared" si="41"/>
        <v>5</v>
      </c>
      <c r="J903" s="157">
        <f t="shared" si="40"/>
        <v>6</v>
      </c>
    </row>
    <row r="904" spans="1:10" ht="15.75" customHeight="1" x14ac:dyDescent="0.2">
      <c r="A904" s="157">
        <v>903</v>
      </c>
      <c r="B904" s="163">
        <v>45694</v>
      </c>
      <c r="C904" s="157">
        <f t="shared" si="33"/>
        <v>0</v>
      </c>
      <c r="D904" s="157">
        <v>0</v>
      </c>
      <c r="E904" s="157">
        <f t="shared" si="34"/>
        <v>0</v>
      </c>
      <c r="F904" s="157" t="str">
        <f t="shared" si="35"/>
        <v>Thursday</v>
      </c>
      <c r="H904" s="157">
        <v>3</v>
      </c>
      <c r="I904" s="157">
        <f t="shared" si="41"/>
        <v>5</v>
      </c>
      <c r="J904" s="157">
        <f t="shared" si="40"/>
        <v>6</v>
      </c>
    </row>
    <row r="905" spans="1:10" ht="15.75" customHeight="1" x14ac:dyDescent="0.2">
      <c r="A905" s="157">
        <v>904</v>
      </c>
      <c r="B905" s="163">
        <v>45695</v>
      </c>
      <c r="C905" s="157">
        <f t="shared" si="33"/>
        <v>0</v>
      </c>
      <c r="D905" s="157">
        <v>0</v>
      </c>
      <c r="E905" s="157">
        <f t="shared" si="34"/>
        <v>0</v>
      </c>
      <c r="F905" s="157" t="str">
        <f t="shared" si="35"/>
        <v>Friday</v>
      </c>
      <c r="H905" s="157">
        <v>3</v>
      </c>
      <c r="I905" s="157">
        <f t="shared" si="41"/>
        <v>5</v>
      </c>
      <c r="J905" s="157">
        <f t="shared" si="40"/>
        <v>6</v>
      </c>
    </row>
    <row r="906" spans="1:10" ht="15.75" customHeight="1" x14ac:dyDescent="0.2">
      <c r="A906" s="157">
        <v>905</v>
      </c>
      <c r="B906" s="163">
        <v>45696</v>
      </c>
      <c r="C906" s="157">
        <f t="shared" si="33"/>
        <v>1</v>
      </c>
      <c r="D906" s="157">
        <v>0</v>
      </c>
      <c r="E906" s="157">
        <f t="shared" si="34"/>
        <v>1</v>
      </c>
      <c r="F906" s="157" t="str">
        <f t="shared" si="35"/>
        <v>Saturday</v>
      </c>
      <c r="H906" s="157">
        <v>3</v>
      </c>
      <c r="I906" s="157">
        <f t="shared" si="41"/>
        <v>5</v>
      </c>
      <c r="J906" s="157">
        <f t="shared" si="40"/>
        <v>6</v>
      </c>
    </row>
    <row r="907" spans="1:10" ht="15.75" customHeight="1" x14ac:dyDescent="0.2">
      <c r="A907" s="157">
        <v>906</v>
      </c>
      <c r="B907" s="163">
        <v>45697</v>
      </c>
      <c r="C907" s="157">
        <f t="shared" si="33"/>
        <v>1</v>
      </c>
      <c r="D907" s="157">
        <v>0</v>
      </c>
      <c r="E907" s="157">
        <f t="shared" si="34"/>
        <v>1</v>
      </c>
      <c r="F907" s="157" t="str">
        <f t="shared" si="35"/>
        <v>Sunday</v>
      </c>
      <c r="H907" s="157">
        <v>3</v>
      </c>
      <c r="I907" s="157">
        <f t="shared" si="41"/>
        <v>5</v>
      </c>
      <c r="J907" s="157">
        <f t="shared" si="40"/>
        <v>6</v>
      </c>
    </row>
    <row r="908" spans="1:10" ht="15.75" customHeight="1" x14ac:dyDescent="0.2">
      <c r="A908" s="157">
        <v>907</v>
      </c>
      <c r="B908" s="163">
        <v>45698</v>
      </c>
      <c r="C908" s="157">
        <f t="shared" si="33"/>
        <v>0</v>
      </c>
      <c r="D908" s="157">
        <v>0</v>
      </c>
      <c r="E908" s="157">
        <f t="shared" si="34"/>
        <v>0</v>
      </c>
      <c r="F908" s="157" t="str">
        <f t="shared" si="35"/>
        <v>Monday</v>
      </c>
      <c r="H908" s="157">
        <v>3</v>
      </c>
      <c r="I908" s="157">
        <f t="shared" si="41"/>
        <v>6</v>
      </c>
      <c r="J908" s="157">
        <f t="shared" si="40"/>
        <v>7</v>
      </c>
    </row>
    <row r="909" spans="1:10" ht="15.75" customHeight="1" x14ac:dyDescent="0.2">
      <c r="A909" s="157">
        <v>908</v>
      </c>
      <c r="B909" s="163">
        <v>45699</v>
      </c>
      <c r="C909" s="157">
        <f t="shared" si="33"/>
        <v>0</v>
      </c>
      <c r="D909" s="157">
        <v>0</v>
      </c>
      <c r="E909" s="157">
        <f t="shared" si="34"/>
        <v>0</v>
      </c>
      <c r="F909" s="157" t="str">
        <f t="shared" si="35"/>
        <v>Tuesday</v>
      </c>
      <c r="H909" s="157">
        <v>3</v>
      </c>
      <c r="I909" s="157">
        <f t="shared" si="41"/>
        <v>6</v>
      </c>
      <c r="J909" s="157">
        <f t="shared" si="40"/>
        <v>7</v>
      </c>
    </row>
    <row r="910" spans="1:10" ht="15.75" customHeight="1" x14ac:dyDescent="0.2">
      <c r="A910" s="157">
        <v>909</v>
      </c>
      <c r="B910" s="163">
        <v>45700</v>
      </c>
      <c r="C910" s="157">
        <f t="shared" si="33"/>
        <v>0</v>
      </c>
      <c r="D910" s="157">
        <v>0</v>
      </c>
      <c r="E910" s="157">
        <f t="shared" si="34"/>
        <v>0</v>
      </c>
      <c r="F910" s="157" t="str">
        <f t="shared" si="35"/>
        <v>Wednesday</v>
      </c>
      <c r="H910" s="157">
        <v>3</v>
      </c>
      <c r="I910" s="157">
        <f t="shared" si="41"/>
        <v>6</v>
      </c>
      <c r="J910" s="157">
        <f t="shared" si="40"/>
        <v>7</v>
      </c>
    </row>
    <row r="911" spans="1:10" ht="15.75" customHeight="1" x14ac:dyDescent="0.2">
      <c r="A911" s="157">
        <v>910</v>
      </c>
      <c r="B911" s="163">
        <v>45701</v>
      </c>
      <c r="C911" s="157">
        <f t="shared" si="33"/>
        <v>0</v>
      </c>
      <c r="D911" s="157">
        <v>0</v>
      </c>
      <c r="E911" s="157">
        <f t="shared" si="34"/>
        <v>0</v>
      </c>
      <c r="F911" s="157" t="str">
        <f t="shared" si="35"/>
        <v>Thursday</v>
      </c>
      <c r="H911" s="157">
        <v>3</v>
      </c>
      <c r="I911" s="157">
        <f t="shared" si="41"/>
        <v>6</v>
      </c>
      <c r="J911" s="157">
        <f t="shared" si="40"/>
        <v>7</v>
      </c>
    </row>
    <row r="912" spans="1:10" ht="15.75" customHeight="1" x14ac:dyDescent="0.2">
      <c r="A912" s="157">
        <v>911</v>
      </c>
      <c r="B912" s="163">
        <v>45702</v>
      </c>
      <c r="C912" s="157">
        <f t="shared" si="33"/>
        <v>0</v>
      </c>
      <c r="D912" s="157">
        <v>0</v>
      </c>
      <c r="E912" s="157">
        <f t="shared" si="34"/>
        <v>0</v>
      </c>
      <c r="F912" s="157" t="str">
        <f t="shared" si="35"/>
        <v>Friday</v>
      </c>
      <c r="H912" s="157">
        <v>3</v>
      </c>
      <c r="I912" s="157">
        <f t="shared" si="41"/>
        <v>6</v>
      </c>
      <c r="J912" s="157">
        <f t="shared" si="40"/>
        <v>7</v>
      </c>
    </row>
    <row r="913" spans="1:10" ht="15.75" customHeight="1" x14ac:dyDescent="0.2">
      <c r="A913" s="157">
        <v>912</v>
      </c>
      <c r="B913" s="163">
        <v>45703</v>
      </c>
      <c r="C913" s="157">
        <f t="shared" si="33"/>
        <v>1</v>
      </c>
      <c r="D913" s="157">
        <v>0</v>
      </c>
      <c r="E913" s="157">
        <f t="shared" si="34"/>
        <v>1</v>
      </c>
      <c r="F913" s="157" t="str">
        <f t="shared" si="35"/>
        <v>Saturday</v>
      </c>
      <c r="H913" s="157">
        <v>3</v>
      </c>
      <c r="I913" s="157">
        <f t="shared" si="41"/>
        <v>6</v>
      </c>
      <c r="J913" s="157">
        <f t="shared" si="40"/>
        <v>7</v>
      </c>
    </row>
    <row r="914" spans="1:10" ht="15.75" customHeight="1" x14ac:dyDescent="0.2">
      <c r="A914" s="157">
        <v>913</v>
      </c>
      <c r="B914" s="163">
        <v>45704</v>
      </c>
      <c r="C914" s="157">
        <f t="shared" si="33"/>
        <v>1</v>
      </c>
      <c r="D914" s="157">
        <v>0</v>
      </c>
      <c r="E914" s="157">
        <f t="shared" si="34"/>
        <v>1</v>
      </c>
      <c r="F914" s="157" t="str">
        <f t="shared" si="35"/>
        <v>Sunday</v>
      </c>
      <c r="H914" s="157">
        <v>3</v>
      </c>
      <c r="I914" s="157">
        <f t="shared" si="41"/>
        <v>6</v>
      </c>
      <c r="J914" s="157">
        <f t="shared" si="40"/>
        <v>7</v>
      </c>
    </row>
    <row r="915" spans="1:10" ht="15.75" customHeight="1" x14ac:dyDescent="0.2">
      <c r="A915" s="157">
        <v>914</v>
      </c>
      <c r="B915" s="163">
        <v>45705</v>
      </c>
      <c r="C915" s="157">
        <f t="shared" si="33"/>
        <v>0</v>
      </c>
      <c r="D915" s="157">
        <v>0</v>
      </c>
      <c r="E915" s="157">
        <f t="shared" si="34"/>
        <v>0</v>
      </c>
      <c r="F915" s="157" t="str">
        <f t="shared" si="35"/>
        <v>Monday</v>
      </c>
      <c r="H915" s="157">
        <v>3</v>
      </c>
      <c r="I915" s="157">
        <f t="shared" si="41"/>
        <v>7</v>
      </c>
      <c r="J915" s="157">
        <f t="shared" si="40"/>
        <v>8</v>
      </c>
    </row>
    <row r="916" spans="1:10" ht="15.75" customHeight="1" x14ac:dyDescent="0.2">
      <c r="A916" s="157">
        <v>915</v>
      </c>
      <c r="B916" s="163">
        <v>45706</v>
      </c>
      <c r="C916" s="157">
        <f t="shared" si="33"/>
        <v>0</v>
      </c>
      <c r="D916" s="157">
        <v>0</v>
      </c>
      <c r="E916" s="157">
        <f t="shared" si="34"/>
        <v>0</v>
      </c>
      <c r="F916" s="157" t="str">
        <f t="shared" si="35"/>
        <v>Tuesday</v>
      </c>
      <c r="H916" s="157">
        <v>3</v>
      </c>
      <c r="I916" s="157">
        <f t="shared" si="41"/>
        <v>7</v>
      </c>
      <c r="J916" s="157">
        <f t="shared" si="40"/>
        <v>8</v>
      </c>
    </row>
    <row r="917" spans="1:10" ht="15.75" customHeight="1" x14ac:dyDescent="0.2">
      <c r="A917" s="157">
        <v>916</v>
      </c>
      <c r="B917" s="163">
        <v>45707</v>
      </c>
      <c r="C917" s="157">
        <f t="shared" si="33"/>
        <v>0</v>
      </c>
      <c r="D917" s="157">
        <v>0</v>
      </c>
      <c r="E917" s="157">
        <f t="shared" si="34"/>
        <v>0</v>
      </c>
      <c r="F917" s="157" t="str">
        <f t="shared" si="35"/>
        <v>Wednesday</v>
      </c>
      <c r="H917" s="157">
        <v>3</v>
      </c>
      <c r="I917" s="157">
        <f t="shared" si="41"/>
        <v>7</v>
      </c>
      <c r="J917" s="157">
        <f t="shared" si="40"/>
        <v>8</v>
      </c>
    </row>
    <row r="918" spans="1:10" ht="15.75" customHeight="1" x14ac:dyDescent="0.2">
      <c r="A918" s="157">
        <v>917</v>
      </c>
      <c r="B918" s="163">
        <v>45708</v>
      </c>
      <c r="C918" s="157">
        <f t="shared" si="33"/>
        <v>0</v>
      </c>
      <c r="D918" s="157">
        <v>0</v>
      </c>
      <c r="E918" s="157">
        <f t="shared" si="34"/>
        <v>0</v>
      </c>
      <c r="F918" s="157" t="str">
        <f t="shared" si="35"/>
        <v>Thursday</v>
      </c>
      <c r="H918" s="157">
        <v>3</v>
      </c>
      <c r="I918" s="157">
        <f t="shared" si="41"/>
        <v>7</v>
      </c>
      <c r="J918" s="157">
        <f t="shared" si="40"/>
        <v>8</v>
      </c>
    </row>
    <row r="919" spans="1:10" ht="15.75" customHeight="1" x14ac:dyDescent="0.2">
      <c r="A919" s="157">
        <v>918</v>
      </c>
      <c r="B919" s="163">
        <v>45709</v>
      </c>
      <c r="C919" s="157">
        <f t="shared" si="33"/>
        <v>0</v>
      </c>
      <c r="D919" s="157">
        <v>0</v>
      </c>
      <c r="E919" s="157">
        <f t="shared" si="34"/>
        <v>0</v>
      </c>
      <c r="F919" s="157" t="str">
        <f t="shared" si="35"/>
        <v>Friday</v>
      </c>
      <c r="H919" s="157">
        <v>3</v>
      </c>
      <c r="I919" s="157">
        <f t="shared" si="41"/>
        <v>7</v>
      </c>
      <c r="J919" s="157">
        <f t="shared" si="40"/>
        <v>8</v>
      </c>
    </row>
    <row r="920" spans="1:10" ht="15.75" customHeight="1" x14ac:dyDescent="0.2">
      <c r="A920" s="157">
        <v>919</v>
      </c>
      <c r="B920" s="163">
        <v>45710</v>
      </c>
      <c r="C920" s="157">
        <f t="shared" si="33"/>
        <v>1</v>
      </c>
      <c r="D920" s="157">
        <v>0</v>
      </c>
      <c r="E920" s="157">
        <f t="shared" si="34"/>
        <v>1</v>
      </c>
      <c r="F920" s="157" t="str">
        <f t="shared" si="35"/>
        <v>Saturday</v>
      </c>
      <c r="H920" s="157">
        <v>3</v>
      </c>
      <c r="I920" s="157">
        <f t="shared" si="41"/>
        <v>7</v>
      </c>
      <c r="J920" s="157">
        <f t="shared" si="40"/>
        <v>8</v>
      </c>
    </row>
    <row r="921" spans="1:10" ht="15.75" customHeight="1" x14ac:dyDescent="0.2">
      <c r="A921" s="157">
        <v>920</v>
      </c>
      <c r="B921" s="163">
        <v>45711</v>
      </c>
      <c r="C921" s="157">
        <f t="shared" si="33"/>
        <v>1</v>
      </c>
      <c r="D921" s="157">
        <v>0</v>
      </c>
      <c r="E921" s="157">
        <f t="shared" si="34"/>
        <v>1</v>
      </c>
      <c r="F921" s="157" t="str">
        <f t="shared" si="35"/>
        <v>Sunday</v>
      </c>
      <c r="H921" s="157">
        <v>3</v>
      </c>
      <c r="I921" s="157">
        <f t="shared" si="41"/>
        <v>7</v>
      </c>
      <c r="J921" s="157">
        <f t="shared" si="40"/>
        <v>8</v>
      </c>
    </row>
    <row r="922" spans="1:10" ht="15.75" customHeight="1" x14ac:dyDescent="0.2">
      <c r="A922" s="157">
        <v>921</v>
      </c>
      <c r="B922" s="163">
        <v>45712</v>
      </c>
      <c r="C922" s="157">
        <f t="shared" si="33"/>
        <v>0</v>
      </c>
      <c r="D922" s="157">
        <v>0</v>
      </c>
      <c r="E922" s="157">
        <f t="shared" si="34"/>
        <v>0</v>
      </c>
      <c r="F922" s="157" t="str">
        <f t="shared" si="35"/>
        <v>Monday</v>
      </c>
      <c r="H922" s="157">
        <v>3</v>
      </c>
      <c r="I922" s="157">
        <f t="shared" si="41"/>
        <v>8</v>
      </c>
      <c r="J922" s="157">
        <f t="shared" si="40"/>
        <v>9</v>
      </c>
    </row>
    <row r="923" spans="1:10" ht="15.75" customHeight="1" x14ac:dyDescent="0.2">
      <c r="A923" s="157">
        <v>922</v>
      </c>
      <c r="B923" s="163">
        <v>45713</v>
      </c>
      <c r="C923" s="157">
        <f t="shared" si="33"/>
        <v>0</v>
      </c>
      <c r="D923" s="157">
        <v>0</v>
      </c>
      <c r="E923" s="157">
        <f t="shared" si="34"/>
        <v>0</v>
      </c>
      <c r="F923" s="157" t="str">
        <f t="shared" si="35"/>
        <v>Tuesday</v>
      </c>
      <c r="H923" s="157">
        <v>3</v>
      </c>
      <c r="I923" s="157">
        <f t="shared" si="41"/>
        <v>8</v>
      </c>
      <c r="J923" s="157">
        <f t="shared" si="40"/>
        <v>9</v>
      </c>
    </row>
    <row r="924" spans="1:10" ht="15.75" customHeight="1" x14ac:dyDescent="0.2">
      <c r="A924" s="157">
        <v>923</v>
      </c>
      <c r="B924" s="163">
        <v>45714</v>
      </c>
      <c r="C924" s="157">
        <f t="shared" si="33"/>
        <v>0</v>
      </c>
      <c r="D924" s="157">
        <v>0</v>
      </c>
      <c r="E924" s="157">
        <f t="shared" si="34"/>
        <v>0</v>
      </c>
      <c r="F924" s="157" t="str">
        <f t="shared" si="35"/>
        <v>Wednesday</v>
      </c>
      <c r="H924" s="157">
        <v>3</v>
      </c>
      <c r="I924" s="157">
        <f t="shared" si="41"/>
        <v>8</v>
      </c>
      <c r="J924" s="157">
        <f t="shared" si="40"/>
        <v>9</v>
      </c>
    </row>
    <row r="925" spans="1:10" ht="15.75" customHeight="1" x14ac:dyDescent="0.2">
      <c r="A925" s="157">
        <v>924</v>
      </c>
      <c r="B925" s="163">
        <v>45715</v>
      </c>
      <c r="C925" s="157">
        <f t="shared" si="33"/>
        <v>0</v>
      </c>
      <c r="D925" s="157">
        <v>0</v>
      </c>
      <c r="E925" s="157">
        <f t="shared" si="34"/>
        <v>0</v>
      </c>
      <c r="F925" s="157" t="str">
        <f t="shared" si="35"/>
        <v>Thursday</v>
      </c>
      <c r="H925" s="157">
        <v>3</v>
      </c>
      <c r="I925" s="157">
        <f t="shared" si="41"/>
        <v>8</v>
      </c>
      <c r="J925" s="157">
        <f t="shared" si="40"/>
        <v>9</v>
      </c>
    </row>
    <row r="926" spans="1:10" ht="15.75" customHeight="1" x14ac:dyDescent="0.2">
      <c r="A926" s="157">
        <v>925</v>
      </c>
      <c r="B926" s="163">
        <v>45716</v>
      </c>
      <c r="C926" s="157">
        <f t="shared" si="33"/>
        <v>0</v>
      </c>
      <c r="D926" s="157">
        <v>0</v>
      </c>
      <c r="E926" s="157">
        <f t="shared" si="34"/>
        <v>0</v>
      </c>
      <c r="F926" s="157" t="str">
        <f t="shared" si="35"/>
        <v>Friday</v>
      </c>
      <c r="H926" s="157">
        <v>3</v>
      </c>
      <c r="I926" s="157">
        <f t="shared" si="41"/>
        <v>8</v>
      </c>
      <c r="J926" s="157">
        <f t="shared" si="40"/>
        <v>9</v>
      </c>
    </row>
    <row r="927" spans="1:10" ht="15.75" customHeight="1" x14ac:dyDescent="0.2">
      <c r="A927" s="157">
        <v>926</v>
      </c>
      <c r="B927" s="163">
        <v>45717</v>
      </c>
      <c r="C927" s="157">
        <f t="shared" si="33"/>
        <v>1</v>
      </c>
      <c r="D927" s="157">
        <v>0</v>
      </c>
      <c r="E927" s="157">
        <f t="shared" si="34"/>
        <v>1</v>
      </c>
      <c r="F927" s="157" t="str">
        <f t="shared" si="35"/>
        <v>Saturday</v>
      </c>
      <c r="H927" s="157">
        <v>3</v>
      </c>
      <c r="I927" s="157">
        <f t="shared" si="41"/>
        <v>8</v>
      </c>
      <c r="J927" s="157">
        <f t="shared" si="40"/>
        <v>9</v>
      </c>
    </row>
    <row r="928" spans="1:10" ht="15.75" customHeight="1" x14ac:dyDescent="0.2">
      <c r="A928" s="157">
        <v>927</v>
      </c>
      <c r="B928" s="163">
        <v>45718</v>
      </c>
      <c r="C928" s="157">
        <f t="shared" si="33"/>
        <v>1</v>
      </c>
      <c r="D928" s="157">
        <v>0</v>
      </c>
      <c r="E928" s="157">
        <f t="shared" si="34"/>
        <v>1</v>
      </c>
      <c r="F928" s="157" t="str">
        <f t="shared" si="35"/>
        <v>Sunday</v>
      </c>
      <c r="H928" s="157">
        <v>3</v>
      </c>
      <c r="I928" s="157">
        <f t="shared" si="41"/>
        <v>8</v>
      </c>
      <c r="J928" s="157">
        <f t="shared" si="40"/>
        <v>9</v>
      </c>
    </row>
    <row r="929" spans="1:10" ht="15.75" customHeight="1" x14ac:dyDescent="0.2">
      <c r="A929" s="157">
        <v>928</v>
      </c>
      <c r="B929" s="163">
        <v>45719</v>
      </c>
      <c r="C929" s="157">
        <f t="shared" si="33"/>
        <v>0</v>
      </c>
      <c r="D929" s="157">
        <v>0</v>
      </c>
      <c r="E929" s="157">
        <f t="shared" si="34"/>
        <v>0</v>
      </c>
      <c r="F929" s="157" t="str">
        <f t="shared" si="35"/>
        <v>Monday</v>
      </c>
      <c r="H929" s="157">
        <v>3</v>
      </c>
      <c r="I929" s="157">
        <f t="shared" si="41"/>
        <v>9</v>
      </c>
      <c r="J929" s="157">
        <f t="shared" si="40"/>
        <v>10</v>
      </c>
    </row>
    <row r="930" spans="1:10" ht="15.75" customHeight="1" x14ac:dyDescent="0.2">
      <c r="A930" s="157">
        <v>929</v>
      </c>
      <c r="B930" s="163">
        <v>45720</v>
      </c>
      <c r="C930" s="157">
        <f t="shared" si="33"/>
        <v>0</v>
      </c>
      <c r="D930" s="157">
        <v>0</v>
      </c>
      <c r="E930" s="157">
        <f t="shared" si="34"/>
        <v>0</v>
      </c>
      <c r="F930" s="157" t="str">
        <f t="shared" si="35"/>
        <v>Tuesday</v>
      </c>
      <c r="H930" s="157">
        <v>3</v>
      </c>
      <c r="I930" s="157">
        <f t="shared" si="41"/>
        <v>9</v>
      </c>
      <c r="J930" s="157">
        <f t="shared" si="40"/>
        <v>10</v>
      </c>
    </row>
    <row r="931" spans="1:10" ht="15.75" customHeight="1" x14ac:dyDescent="0.2">
      <c r="A931" s="157">
        <v>930</v>
      </c>
      <c r="B931" s="163">
        <v>45721</v>
      </c>
      <c r="C931" s="157">
        <f t="shared" si="33"/>
        <v>0</v>
      </c>
      <c r="D931" s="157">
        <v>0</v>
      </c>
      <c r="E931" s="157">
        <f t="shared" si="34"/>
        <v>0</v>
      </c>
      <c r="F931" s="157" t="str">
        <f t="shared" si="35"/>
        <v>Wednesday</v>
      </c>
      <c r="H931" s="157">
        <v>3</v>
      </c>
      <c r="I931" s="157">
        <f t="shared" si="41"/>
        <v>9</v>
      </c>
      <c r="J931" s="157">
        <f t="shared" si="40"/>
        <v>10</v>
      </c>
    </row>
    <row r="932" spans="1:10" ht="15.75" customHeight="1" x14ac:dyDescent="0.2">
      <c r="A932" s="157">
        <v>931</v>
      </c>
      <c r="B932" s="163">
        <v>45722</v>
      </c>
      <c r="C932" s="157">
        <f t="shared" si="33"/>
        <v>0</v>
      </c>
      <c r="D932" s="157">
        <v>0</v>
      </c>
      <c r="E932" s="157">
        <f t="shared" si="34"/>
        <v>0</v>
      </c>
      <c r="F932" s="157" t="str">
        <f t="shared" si="35"/>
        <v>Thursday</v>
      </c>
      <c r="H932" s="157">
        <v>3</v>
      </c>
      <c r="I932" s="157">
        <f t="shared" si="41"/>
        <v>9</v>
      </c>
      <c r="J932" s="157">
        <f t="shared" si="40"/>
        <v>10</v>
      </c>
    </row>
    <row r="933" spans="1:10" ht="15.75" customHeight="1" x14ac:dyDescent="0.2">
      <c r="A933" s="157">
        <v>932</v>
      </c>
      <c r="B933" s="163">
        <v>45723</v>
      </c>
      <c r="C933" s="157">
        <f t="shared" si="33"/>
        <v>0</v>
      </c>
      <c r="D933" s="157">
        <v>0</v>
      </c>
      <c r="E933" s="157">
        <f t="shared" si="34"/>
        <v>0</v>
      </c>
      <c r="F933" s="157" t="str">
        <f t="shared" si="35"/>
        <v>Friday</v>
      </c>
      <c r="H933" s="157">
        <v>3</v>
      </c>
      <c r="I933" s="157">
        <f t="shared" si="41"/>
        <v>9</v>
      </c>
      <c r="J933" s="157">
        <f t="shared" si="40"/>
        <v>10</v>
      </c>
    </row>
    <row r="934" spans="1:10" ht="15.75" customHeight="1" x14ac:dyDescent="0.2">
      <c r="A934" s="157">
        <v>933</v>
      </c>
      <c r="B934" s="163">
        <v>45724</v>
      </c>
      <c r="C934" s="157">
        <f t="shared" si="33"/>
        <v>1</v>
      </c>
      <c r="D934" s="157">
        <v>0</v>
      </c>
      <c r="E934" s="157">
        <f t="shared" si="34"/>
        <v>1</v>
      </c>
      <c r="F934" s="157" t="str">
        <f t="shared" si="35"/>
        <v>Saturday</v>
      </c>
      <c r="H934" s="157">
        <v>3</v>
      </c>
      <c r="I934" s="157">
        <f t="shared" si="41"/>
        <v>9</v>
      </c>
      <c r="J934" s="157">
        <f t="shared" si="40"/>
        <v>10</v>
      </c>
    </row>
    <row r="935" spans="1:10" ht="15.75" customHeight="1" x14ac:dyDescent="0.2">
      <c r="A935" s="157">
        <v>934</v>
      </c>
      <c r="B935" s="163">
        <v>45725</v>
      </c>
      <c r="C935" s="157">
        <f t="shared" si="33"/>
        <v>1</v>
      </c>
      <c r="D935" s="157">
        <v>0</v>
      </c>
      <c r="E935" s="157">
        <f t="shared" si="34"/>
        <v>1</v>
      </c>
      <c r="F935" s="157" t="str">
        <f t="shared" si="35"/>
        <v>Sunday</v>
      </c>
      <c r="H935" s="157">
        <v>3</v>
      </c>
      <c r="I935" s="157">
        <f t="shared" si="41"/>
        <v>9</v>
      </c>
      <c r="J935" s="157">
        <f t="shared" si="40"/>
        <v>10</v>
      </c>
    </row>
    <row r="936" spans="1:10" ht="15.75" customHeight="1" x14ac:dyDescent="0.2">
      <c r="A936" s="157">
        <v>935</v>
      </c>
      <c r="B936" s="163">
        <v>45726</v>
      </c>
      <c r="C936" s="157">
        <f t="shared" si="33"/>
        <v>0</v>
      </c>
      <c r="D936" s="157">
        <v>0</v>
      </c>
      <c r="E936" s="157">
        <f t="shared" si="34"/>
        <v>0</v>
      </c>
      <c r="F936" s="157" t="str">
        <f t="shared" si="35"/>
        <v>Monday</v>
      </c>
      <c r="H936" s="157">
        <v>3</v>
      </c>
      <c r="I936" s="157">
        <f t="shared" si="41"/>
        <v>10</v>
      </c>
      <c r="J936" s="157">
        <f t="shared" si="40"/>
        <v>11</v>
      </c>
    </row>
    <row r="937" spans="1:10" ht="15.75" customHeight="1" x14ac:dyDescent="0.2">
      <c r="A937" s="157">
        <v>936</v>
      </c>
      <c r="B937" s="163">
        <v>45727</v>
      </c>
      <c r="C937" s="157">
        <f t="shared" si="33"/>
        <v>0</v>
      </c>
      <c r="D937" s="157">
        <v>0</v>
      </c>
      <c r="E937" s="157">
        <f t="shared" si="34"/>
        <v>0</v>
      </c>
      <c r="F937" s="157" t="str">
        <f t="shared" si="35"/>
        <v>Tuesday</v>
      </c>
      <c r="H937" s="157">
        <v>3</v>
      </c>
      <c r="I937" s="157">
        <f t="shared" si="41"/>
        <v>10</v>
      </c>
      <c r="J937" s="157">
        <f t="shared" si="40"/>
        <v>11</v>
      </c>
    </row>
    <row r="938" spans="1:10" ht="15.75" customHeight="1" x14ac:dyDescent="0.2">
      <c r="A938" s="157">
        <v>937</v>
      </c>
      <c r="B938" s="163">
        <v>45728</v>
      </c>
      <c r="C938" s="157">
        <f t="shared" si="33"/>
        <v>0</v>
      </c>
      <c r="D938" s="157">
        <v>0</v>
      </c>
      <c r="E938" s="157">
        <f t="shared" si="34"/>
        <v>0</v>
      </c>
      <c r="F938" s="157" t="str">
        <f t="shared" si="35"/>
        <v>Wednesday</v>
      </c>
      <c r="H938" s="157">
        <v>3</v>
      </c>
      <c r="I938" s="157">
        <f t="shared" si="41"/>
        <v>10</v>
      </c>
      <c r="J938" s="157">
        <f t="shared" si="40"/>
        <v>11</v>
      </c>
    </row>
    <row r="939" spans="1:10" ht="15.75" customHeight="1" x14ac:dyDescent="0.2">
      <c r="A939" s="157">
        <v>938</v>
      </c>
      <c r="B939" s="163">
        <v>45729</v>
      </c>
      <c r="C939" s="157">
        <f t="shared" si="33"/>
        <v>0</v>
      </c>
      <c r="D939" s="157">
        <v>0</v>
      </c>
      <c r="E939" s="157">
        <f t="shared" si="34"/>
        <v>0</v>
      </c>
      <c r="F939" s="157" t="str">
        <f t="shared" si="35"/>
        <v>Thursday</v>
      </c>
      <c r="H939" s="157">
        <v>3</v>
      </c>
      <c r="I939" s="157">
        <f t="shared" si="41"/>
        <v>10</v>
      </c>
      <c r="J939" s="157">
        <f t="shared" si="40"/>
        <v>11</v>
      </c>
    </row>
    <row r="940" spans="1:10" ht="15.75" customHeight="1" x14ac:dyDescent="0.2">
      <c r="A940" s="157">
        <v>939</v>
      </c>
      <c r="B940" s="163">
        <v>45730</v>
      </c>
      <c r="C940" s="157">
        <f t="shared" si="33"/>
        <v>0</v>
      </c>
      <c r="D940" s="157">
        <v>0</v>
      </c>
      <c r="E940" s="157">
        <f t="shared" si="34"/>
        <v>0</v>
      </c>
      <c r="F940" s="157" t="str">
        <f t="shared" si="35"/>
        <v>Friday</v>
      </c>
      <c r="H940" s="157">
        <v>3</v>
      </c>
      <c r="I940" s="157">
        <f t="shared" si="41"/>
        <v>10</v>
      </c>
      <c r="J940" s="157">
        <f t="shared" si="40"/>
        <v>11</v>
      </c>
    </row>
    <row r="941" spans="1:10" ht="15.75" customHeight="1" x14ac:dyDescent="0.2">
      <c r="A941" s="157">
        <v>940</v>
      </c>
      <c r="B941" s="163">
        <v>45731</v>
      </c>
      <c r="C941" s="157">
        <f t="shared" si="33"/>
        <v>1</v>
      </c>
      <c r="D941" s="157">
        <v>0</v>
      </c>
      <c r="E941" s="157">
        <f t="shared" si="34"/>
        <v>1</v>
      </c>
      <c r="F941" s="157" t="str">
        <f t="shared" si="35"/>
        <v>Saturday</v>
      </c>
      <c r="H941" s="157">
        <v>3</v>
      </c>
      <c r="I941" s="157">
        <f t="shared" si="41"/>
        <v>10</v>
      </c>
      <c r="J941" s="157">
        <f t="shared" si="40"/>
        <v>11</v>
      </c>
    </row>
    <row r="942" spans="1:10" ht="15.75" customHeight="1" x14ac:dyDescent="0.2">
      <c r="A942" s="157">
        <v>941</v>
      </c>
      <c r="B942" s="163">
        <v>45732</v>
      </c>
      <c r="C942" s="157">
        <f t="shared" si="33"/>
        <v>1</v>
      </c>
      <c r="D942" s="157">
        <v>0</v>
      </c>
      <c r="E942" s="157">
        <f t="shared" si="34"/>
        <v>1</v>
      </c>
      <c r="F942" s="157" t="str">
        <f t="shared" si="35"/>
        <v>Sunday</v>
      </c>
      <c r="H942" s="157">
        <v>3</v>
      </c>
      <c r="I942" s="157">
        <f t="shared" si="41"/>
        <v>10</v>
      </c>
      <c r="J942" s="157">
        <f t="shared" si="40"/>
        <v>11</v>
      </c>
    </row>
    <row r="943" spans="1:10" ht="15.75" customHeight="1" x14ac:dyDescent="0.2">
      <c r="A943" s="157">
        <v>942</v>
      </c>
      <c r="B943" s="163">
        <v>45733</v>
      </c>
      <c r="C943" s="157">
        <f t="shared" si="33"/>
        <v>0</v>
      </c>
      <c r="D943" s="157">
        <v>0</v>
      </c>
      <c r="E943" s="157">
        <f t="shared" si="34"/>
        <v>0</v>
      </c>
      <c r="F943" s="157" t="str">
        <f t="shared" si="35"/>
        <v>Monday</v>
      </c>
      <c r="H943" s="157">
        <v>3</v>
      </c>
      <c r="I943" s="157">
        <f t="shared" si="41"/>
        <v>11</v>
      </c>
      <c r="J943" s="157">
        <f t="shared" si="40"/>
        <v>12</v>
      </c>
    </row>
    <row r="944" spans="1:10" ht="15.75" customHeight="1" x14ac:dyDescent="0.2">
      <c r="A944" s="157">
        <v>943</v>
      </c>
      <c r="B944" s="163">
        <v>45734</v>
      </c>
      <c r="C944" s="157">
        <f t="shared" si="33"/>
        <v>0</v>
      </c>
      <c r="D944" s="157">
        <v>0</v>
      </c>
      <c r="E944" s="157">
        <f t="shared" si="34"/>
        <v>0</v>
      </c>
      <c r="F944" s="157" t="str">
        <f t="shared" si="35"/>
        <v>Tuesday</v>
      </c>
      <c r="H944" s="157">
        <v>3</v>
      </c>
      <c r="I944" s="157">
        <f t="shared" si="41"/>
        <v>11</v>
      </c>
      <c r="J944" s="157">
        <f t="shared" si="40"/>
        <v>12</v>
      </c>
    </row>
    <row r="945" spans="1:10" ht="15.75" customHeight="1" x14ac:dyDescent="0.2">
      <c r="A945" s="157">
        <v>944</v>
      </c>
      <c r="B945" s="163">
        <v>45735</v>
      </c>
      <c r="C945" s="157">
        <f t="shared" si="33"/>
        <v>0</v>
      </c>
      <c r="D945" s="157">
        <v>0</v>
      </c>
      <c r="E945" s="157">
        <f t="shared" si="34"/>
        <v>0</v>
      </c>
      <c r="F945" s="157" t="str">
        <f t="shared" si="35"/>
        <v>Wednesday</v>
      </c>
      <c r="H945" s="157">
        <v>3</v>
      </c>
      <c r="I945" s="157">
        <f t="shared" si="41"/>
        <v>11</v>
      </c>
      <c r="J945" s="157">
        <f t="shared" si="40"/>
        <v>12</v>
      </c>
    </row>
    <row r="946" spans="1:10" ht="15.75" customHeight="1" x14ac:dyDescent="0.2">
      <c r="A946" s="157">
        <v>945</v>
      </c>
      <c r="B946" s="163">
        <v>45736</v>
      </c>
      <c r="C946" s="157">
        <f t="shared" si="33"/>
        <v>0</v>
      </c>
      <c r="D946" s="157">
        <v>0</v>
      </c>
      <c r="E946" s="157">
        <f t="shared" si="34"/>
        <v>0</v>
      </c>
      <c r="F946" s="157" t="str">
        <f t="shared" si="35"/>
        <v>Thursday</v>
      </c>
      <c r="H946" s="157">
        <v>3</v>
      </c>
      <c r="I946" s="157">
        <f t="shared" si="41"/>
        <v>11</v>
      </c>
      <c r="J946" s="157">
        <f t="shared" si="40"/>
        <v>12</v>
      </c>
    </row>
    <row r="947" spans="1:10" ht="15.75" customHeight="1" x14ac:dyDescent="0.2">
      <c r="A947" s="157">
        <v>946</v>
      </c>
      <c r="B947" s="163">
        <v>45737</v>
      </c>
      <c r="C947" s="157">
        <f t="shared" si="33"/>
        <v>0</v>
      </c>
      <c r="D947" s="157">
        <v>0</v>
      </c>
      <c r="E947" s="157">
        <f t="shared" si="34"/>
        <v>0</v>
      </c>
      <c r="F947" s="157" t="str">
        <f t="shared" si="35"/>
        <v>Friday</v>
      </c>
      <c r="H947" s="157">
        <v>3</v>
      </c>
      <c r="I947" s="157">
        <f t="shared" si="41"/>
        <v>11</v>
      </c>
      <c r="J947" s="157">
        <f t="shared" si="40"/>
        <v>12</v>
      </c>
    </row>
    <row r="948" spans="1:10" ht="15.75" customHeight="1" x14ac:dyDescent="0.2">
      <c r="A948" s="157">
        <v>947</v>
      </c>
      <c r="B948" s="163">
        <v>45738</v>
      </c>
      <c r="C948" s="157">
        <f t="shared" si="33"/>
        <v>1</v>
      </c>
      <c r="D948" s="157">
        <v>0</v>
      </c>
      <c r="E948" s="157">
        <f t="shared" si="34"/>
        <v>1</v>
      </c>
      <c r="F948" s="157" t="str">
        <f t="shared" si="35"/>
        <v>Saturday</v>
      </c>
      <c r="H948" s="157">
        <v>3</v>
      </c>
      <c r="I948" s="157">
        <f t="shared" si="41"/>
        <v>11</v>
      </c>
      <c r="J948" s="157">
        <f t="shared" si="40"/>
        <v>12</v>
      </c>
    </row>
    <row r="949" spans="1:10" ht="15.75" customHeight="1" x14ac:dyDescent="0.2">
      <c r="A949" s="157">
        <v>948</v>
      </c>
      <c r="B949" s="163">
        <v>45739</v>
      </c>
      <c r="C949" s="157">
        <f t="shared" si="33"/>
        <v>1</v>
      </c>
      <c r="D949" s="157">
        <v>0</v>
      </c>
      <c r="E949" s="157">
        <f t="shared" si="34"/>
        <v>1</v>
      </c>
      <c r="F949" s="157" t="str">
        <f t="shared" si="35"/>
        <v>Sunday</v>
      </c>
      <c r="H949" s="157">
        <v>3</v>
      </c>
      <c r="I949" s="157">
        <f t="shared" si="41"/>
        <v>11</v>
      </c>
      <c r="J949" s="157">
        <f t="shared" si="40"/>
        <v>12</v>
      </c>
    </row>
    <row r="950" spans="1:10" ht="15.75" customHeight="1" x14ac:dyDescent="0.2">
      <c r="A950" s="157">
        <v>949</v>
      </c>
      <c r="B950" s="163">
        <v>45740</v>
      </c>
      <c r="C950" s="157">
        <f t="shared" si="33"/>
        <v>0</v>
      </c>
      <c r="D950" s="157">
        <v>0</v>
      </c>
      <c r="E950" s="157">
        <f t="shared" si="34"/>
        <v>0</v>
      </c>
      <c r="F950" s="157" t="str">
        <f t="shared" si="35"/>
        <v>Monday</v>
      </c>
      <c r="H950" s="157">
        <v>3</v>
      </c>
      <c r="I950" s="157">
        <f t="shared" si="41"/>
        <v>12</v>
      </c>
      <c r="J950" s="157">
        <f t="shared" si="40"/>
        <v>13</v>
      </c>
    </row>
    <row r="951" spans="1:10" ht="15.75" customHeight="1" x14ac:dyDescent="0.2">
      <c r="A951" s="157">
        <v>950</v>
      </c>
      <c r="B951" s="163">
        <v>45741</v>
      </c>
      <c r="C951" s="157">
        <f t="shared" si="33"/>
        <v>0</v>
      </c>
      <c r="D951" s="157">
        <v>0</v>
      </c>
      <c r="E951" s="157">
        <f t="shared" si="34"/>
        <v>0</v>
      </c>
      <c r="F951" s="157" t="str">
        <f t="shared" si="35"/>
        <v>Tuesday</v>
      </c>
      <c r="H951" s="157">
        <v>3</v>
      </c>
      <c r="I951" s="157">
        <f t="shared" si="41"/>
        <v>12</v>
      </c>
      <c r="J951" s="157">
        <f t="shared" si="40"/>
        <v>13</v>
      </c>
    </row>
    <row r="952" spans="1:10" ht="15.75" customHeight="1" x14ac:dyDescent="0.2">
      <c r="A952" s="157">
        <v>951</v>
      </c>
      <c r="B952" s="163">
        <v>45742</v>
      </c>
      <c r="C952" s="157">
        <f t="shared" si="33"/>
        <v>0</v>
      </c>
      <c r="D952" s="157">
        <v>0</v>
      </c>
      <c r="E952" s="157">
        <f t="shared" si="34"/>
        <v>0</v>
      </c>
      <c r="F952" s="157" t="str">
        <f t="shared" si="35"/>
        <v>Wednesday</v>
      </c>
      <c r="H952" s="157">
        <v>3</v>
      </c>
      <c r="I952" s="157">
        <f t="shared" si="41"/>
        <v>12</v>
      </c>
      <c r="J952" s="157">
        <f t="shared" si="40"/>
        <v>13</v>
      </c>
    </row>
    <row r="953" spans="1:10" ht="15.75" customHeight="1" x14ac:dyDescent="0.2">
      <c r="A953" s="157">
        <v>952</v>
      </c>
      <c r="B953" s="163">
        <v>45743</v>
      </c>
      <c r="C953" s="157">
        <f t="shared" si="33"/>
        <v>0</v>
      </c>
      <c r="D953" s="157">
        <v>0</v>
      </c>
      <c r="E953" s="157">
        <f t="shared" si="34"/>
        <v>0</v>
      </c>
      <c r="F953" s="157" t="str">
        <f t="shared" si="35"/>
        <v>Thursday</v>
      </c>
      <c r="H953" s="157">
        <v>3</v>
      </c>
      <c r="I953" s="157">
        <f t="shared" si="41"/>
        <v>12</v>
      </c>
      <c r="J953" s="157">
        <f t="shared" si="40"/>
        <v>13</v>
      </c>
    </row>
    <row r="954" spans="1:10" ht="15.75" customHeight="1" x14ac:dyDescent="0.2">
      <c r="A954" s="157">
        <v>953</v>
      </c>
      <c r="B954" s="163">
        <v>45744</v>
      </c>
      <c r="C954" s="157">
        <f t="shared" si="33"/>
        <v>0</v>
      </c>
      <c r="D954" s="157">
        <v>0</v>
      </c>
      <c r="E954" s="157">
        <f t="shared" si="34"/>
        <v>0</v>
      </c>
      <c r="F954" s="157" t="str">
        <f t="shared" si="35"/>
        <v>Friday</v>
      </c>
      <c r="H954" s="157">
        <v>3</v>
      </c>
      <c r="I954" s="157">
        <f t="shared" si="41"/>
        <v>12</v>
      </c>
      <c r="J954" s="157">
        <f t="shared" si="40"/>
        <v>13</v>
      </c>
    </row>
    <row r="955" spans="1:10" ht="15.75" customHeight="1" x14ac:dyDescent="0.2">
      <c r="A955" s="157">
        <v>954</v>
      </c>
      <c r="B955" s="163">
        <v>45745</v>
      </c>
      <c r="C955" s="157">
        <f t="shared" si="33"/>
        <v>1</v>
      </c>
      <c r="D955" s="157">
        <v>0</v>
      </c>
      <c r="E955" s="157">
        <f t="shared" si="34"/>
        <v>1</v>
      </c>
      <c r="F955" s="157" t="str">
        <f t="shared" si="35"/>
        <v>Saturday</v>
      </c>
      <c r="H955" s="157">
        <v>3</v>
      </c>
      <c r="I955" s="157">
        <f t="shared" si="41"/>
        <v>12</v>
      </c>
      <c r="J955" s="157">
        <f t="shared" si="40"/>
        <v>13</v>
      </c>
    </row>
    <row r="956" spans="1:10" ht="15.75" customHeight="1" x14ac:dyDescent="0.2">
      <c r="A956" s="157">
        <v>955</v>
      </c>
      <c r="B956" s="163">
        <v>45746</v>
      </c>
      <c r="C956" s="157">
        <f t="shared" si="33"/>
        <v>1</v>
      </c>
      <c r="D956" s="157">
        <v>0</v>
      </c>
      <c r="E956" s="157">
        <f t="shared" si="34"/>
        <v>1</v>
      </c>
      <c r="F956" s="157" t="str">
        <f t="shared" si="35"/>
        <v>Sunday</v>
      </c>
      <c r="H956" s="157">
        <v>3</v>
      </c>
      <c r="I956" s="157">
        <f t="shared" si="41"/>
        <v>12</v>
      </c>
      <c r="J956" s="157">
        <f t="shared" si="40"/>
        <v>13</v>
      </c>
    </row>
    <row r="957" spans="1:10" ht="15.75" customHeight="1" x14ac:dyDescent="0.2">
      <c r="A957" s="157">
        <v>956</v>
      </c>
      <c r="B957" s="163">
        <v>45747</v>
      </c>
      <c r="C957" s="157">
        <f t="shared" si="33"/>
        <v>0</v>
      </c>
      <c r="D957" s="157">
        <v>0</v>
      </c>
      <c r="E957" s="157">
        <f t="shared" si="34"/>
        <v>0</v>
      </c>
      <c r="F957" s="157" t="str">
        <f t="shared" si="35"/>
        <v>Monday</v>
      </c>
      <c r="H957" s="157">
        <v>3</v>
      </c>
      <c r="I957" s="157">
        <f t="shared" si="41"/>
        <v>13</v>
      </c>
      <c r="J957" s="157">
        <f t="shared" si="40"/>
        <v>14</v>
      </c>
    </row>
    <row r="958" spans="1:10" ht="15.75" customHeight="1" x14ac:dyDescent="0.2">
      <c r="A958" s="157">
        <v>957</v>
      </c>
      <c r="B958" s="163">
        <v>45748</v>
      </c>
      <c r="C958" s="157">
        <f t="shared" si="33"/>
        <v>0</v>
      </c>
      <c r="D958" s="157">
        <v>0</v>
      </c>
      <c r="E958" s="157">
        <f t="shared" si="34"/>
        <v>0</v>
      </c>
      <c r="F958" s="157" t="str">
        <f t="shared" si="35"/>
        <v>Tuesday</v>
      </c>
      <c r="H958" s="157">
        <v>3</v>
      </c>
      <c r="I958" s="157">
        <f t="shared" si="41"/>
        <v>13</v>
      </c>
      <c r="J958" s="157">
        <f t="shared" si="40"/>
        <v>14</v>
      </c>
    </row>
    <row r="959" spans="1:10" ht="15.75" customHeight="1" x14ac:dyDescent="0.2">
      <c r="A959" s="157">
        <v>958</v>
      </c>
      <c r="B959" s="163">
        <v>45749</v>
      </c>
      <c r="C959" s="157">
        <f t="shared" si="33"/>
        <v>0</v>
      </c>
      <c r="D959" s="157">
        <v>0</v>
      </c>
      <c r="E959" s="157">
        <f t="shared" si="34"/>
        <v>0</v>
      </c>
      <c r="F959" s="157" t="str">
        <f t="shared" si="35"/>
        <v>Wednesday</v>
      </c>
      <c r="H959" s="157">
        <v>3</v>
      </c>
      <c r="I959" s="157">
        <f t="shared" si="41"/>
        <v>13</v>
      </c>
      <c r="J959" s="157">
        <f t="shared" si="40"/>
        <v>14</v>
      </c>
    </row>
    <row r="960" spans="1:10" ht="15.75" customHeight="1" x14ac:dyDescent="0.2">
      <c r="A960" s="157">
        <v>959</v>
      </c>
      <c r="B960" s="163">
        <v>45750</v>
      </c>
      <c r="C960" s="157">
        <f t="shared" si="33"/>
        <v>0</v>
      </c>
      <c r="D960" s="157">
        <v>0</v>
      </c>
      <c r="E960" s="157">
        <f t="shared" si="34"/>
        <v>0</v>
      </c>
      <c r="F960" s="157" t="str">
        <f t="shared" si="35"/>
        <v>Thursday</v>
      </c>
      <c r="H960" s="157">
        <v>3</v>
      </c>
      <c r="I960" s="157">
        <f t="shared" si="41"/>
        <v>13</v>
      </c>
      <c r="J960" s="157">
        <f t="shared" si="40"/>
        <v>14</v>
      </c>
    </row>
    <row r="961" spans="1:10" ht="15.75" customHeight="1" x14ac:dyDescent="0.2">
      <c r="A961" s="157">
        <v>960</v>
      </c>
      <c r="B961" s="163">
        <v>45751</v>
      </c>
      <c r="C961" s="157">
        <f t="shared" si="33"/>
        <v>0</v>
      </c>
      <c r="D961" s="157">
        <v>0</v>
      </c>
      <c r="E961" s="157">
        <f t="shared" si="34"/>
        <v>0</v>
      </c>
      <c r="F961" s="157" t="str">
        <f t="shared" si="35"/>
        <v>Friday</v>
      </c>
      <c r="H961" s="157">
        <v>3</v>
      </c>
      <c r="I961" s="157">
        <f t="shared" si="41"/>
        <v>13</v>
      </c>
      <c r="J961" s="157">
        <f t="shared" si="40"/>
        <v>14</v>
      </c>
    </row>
    <row r="962" spans="1:10" ht="15.75" customHeight="1" x14ac:dyDescent="0.2">
      <c r="A962" s="157">
        <v>961</v>
      </c>
      <c r="B962" s="163">
        <v>45752</v>
      </c>
      <c r="C962" s="157">
        <f t="shared" si="33"/>
        <v>1</v>
      </c>
      <c r="D962" s="157">
        <v>0</v>
      </c>
      <c r="E962" s="157">
        <f t="shared" si="34"/>
        <v>1</v>
      </c>
      <c r="F962" s="157" t="str">
        <f t="shared" si="35"/>
        <v>Saturday</v>
      </c>
      <c r="H962" s="157">
        <v>3</v>
      </c>
      <c r="I962" s="157">
        <f t="shared" si="41"/>
        <v>13</v>
      </c>
      <c r="J962" s="157">
        <f t="shared" si="40"/>
        <v>14</v>
      </c>
    </row>
    <row r="963" spans="1:10" ht="15.75" customHeight="1" x14ac:dyDescent="0.2">
      <c r="A963" s="157">
        <v>962</v>
      </c>
      <c r="B963" s="163">
        <v>45753</v>
      </c>
      <c r="C963" s="157">
        <f t="shared" si="33"/>
        <v>1</v>
      </c>
      <c r="D963" s="157">
        <v>0</v>
      </c>
      <c r="E963" s="157">
        <f t="shared" si="34"/>
        <v>1</v>
      </c>
      <c r="F963" s="157" t="str">
        <f t="shared" si="35"/>
        <v>Sunday</v>
      </c>
      <c r="H963" s="157">
        <v>3</v>
      </c>
      <c r="I963" s="157">
        <f t="shared" si="41"/>
        <v>13</v>
      </c>
      <c r="J963" s="157">
        <f t="shared" ref="J963:J1001" si="42">_xlfn.ISOWEEKNUM(B963)</f>
        <v>14</v>
      </c>
    </row>
    <row r="964" spans="1:10" ht="15.75" customHeight="1" x14ac:dyDescent="0.2">
      <c r="A964" s="157">
        <v>963</v>
      </c>
      <c r="B964" s="163">
        <v>45754</v>
      </c>
      <c r="C964" s="157">
        <f t="shared" si="33"/>
        <v>0</v>
      </c>
      <c r="D964" s="157">
        <v>0</v>
      </c>
      <c r="E964" s="157">
        <f t="shared" si="34"/>
        <v>0</v>
      </c>
      <c r="F964" s="157" t="str">
        <f t="shared" si="35"/>
        <v>Monday</v>
      </c>
      <c r="H964" s="157">
        <v>3</v>
      </c>
      <c r="I964" s="157">
        <f t="shared" si="41"/>
        <v>14</v>
      </c>
      <c r="J964" s="157">
        <f t="shared" si="42"/>
        <v>15</v>
      </c>
    </row>
    <row r="965" spans="1:10" ht="15.75" customHeight="1" x14ac:dyDescent="0.2">
      <c r="A965" s="157">
        <v>964</v>
      </c>
      <c r="B965" s="163">
        <v>45755</v>
      </c>
      <c r="C965" s="157">
        <f t="shared" si="33"/>
        <v>0</v>
      </c>
      <c r="D965" s="157">
        <v>0</v>
      </c>
      <c r="E965" s="157">
        <f t="shared" si="34"/>
        <v>0</v>
      </c>
      <c r="F965" s="157" t="str">
        <f t="shared" si="35"/>
        <v>Tuesday</v>
      </c>
      <c r="H965" s="157">
        <v>3</v>
      </c>
      <c r="I965" s="157">
        <f t="shared" ref="I965:I1001" si="43">IF(J965&gt;J964, IF(H965&lt;&gt;H964,1, I964+1),I964)</f>
        <v>14</v>
      </c>
      <c r="J965" s="157">
        <f t="shared" si="42"/>
        <v>15</v>
      </c>
    </row>
    <row r="966" spans="1:10" ht="15.75" customHeight="1" x14ac:dyDescent="0.2">
      <c r="A966" s="157">
        <v>965</v>
      </c>
      <c r="B966" s="163">
        <v>45756</v>
      </c>
      <c r="C966" s="157">
        <f t="shared" si="33"/>
        <v>0</v>
      </c>
      <c r="D966" s="157">
        <v>0</v>
      </c>
      <c r="E966" s="157">
        <f t="shared" si="34"/>
        <v>0</v>
      </c>
      <c r="F966" s="157" t="str">
        <f t="shared" si="35"/>
        <v>Wednesday</v>
      </c>
      <c r="H966" s="157">
        <v>3</v>
      </c>
      <c r="I966" s="157">
        <f t="shared" si="43"/>
        <v>14</v>
      </c>
      <c r="J966" s="157">
        <f t="shared" si="42"/>
        <v>15</v>
      </c>
    </row>
    <row r="967" spans="1:10" ht="15.75" customHeight="1" x14ac:dyDescent="0.2">
      <c r="A967" s="157">
        <v>966</v>
      </c>
      <c r="B967" s="163">
        <v>45757</v>
      </c>
      <c r="C967" s="157">
        <f t="shared" si="33"/>
        <v>0</v>
      </c>
      <c r="D967" s="157">
        <v>0</v>
      </c>
      <c r="E967" s="157">
        <f t="shared" si="34"/>
        <v>0</v>
      </c>
      <c r="F967" s="157" t="str">
        <f t="shared" si="35"/>
        <v>Thursday</v>
      </c>
      <c r="H967" s="157">
        <v>3</v>
      </c>
      <c r="I967" s="157">
        <f t="shared" si="43"/>
        <v>14</v>
      </c>
      <c r="J967" s="157">
        <f t="shared" si="42"/>
        <v>15</v>
      </c>
    </row>
    <row r="968" spans="1:10" ht="15.75" customHeight="1" x14ac:dyDescent="0.2">
      <c r="A968" s="157">
        <v>967</v>
      </c>
      <c r="B968" s="163">
        <v>45758</v>
      </c>
      <c r="C968" s="157">
        <f t="shared" si="33"/>
        <v>0</v>
      </c>
      <c r="D968" s="157">
        <v>0</v>
      </c>
      <c r="E968" s="157">
        <f t="shared" si="34"/>
        <v>0</v>
      </c>
      <c r="F968" s="157" t="str">
        <f t="shared" si="35"/>
        <v>Friday</v>
      </c>
      <c r="H968" s="157">
        <v>3</v>
      </c>
      <c r="I968" s="157">
        <f t="shared" si="43"/>
        <v>14</v>
      </c>
      <c r="J968" s="157">
        <f t="shared" si="42"/>
        <v>15</v>
      </c>
    </row>
    <row r="969" spans="1:10" ht="15.75" customHeight="1" x14ac:dyDescent="0.2">
      <c r="A969" s="157">
        <v>968</v>
      </c>
      <c r="B969" s="163">
        <v>45759</v>
      </c>
      <c r="C969" s="157">
        <f t="shared" si="33"/>
        <v>1</v>
      </c>
      <c r="D969" s="157">
        <v>0</v>
      </c>
      <c r="E969" s="157">
        <f t="shared" si="34"/>
        <v>1</v>
      </c>
      <c r="F969" s="157" t="str">
        <f t="shared" si="35"/>
        <v>Saturday</v>
      </c>
      <c r="H969" s="157">
        <v>3</v>
      </c>
      <c r="I969" s="157">
        <f t="shared" si="43"/>
        <v>14</v>
      </c>
      <c r="J969" s="157">
        <f t="shared" si="42"/>
        <v>15</v>
      </c>
    </row>
    <row r="970" spans="1:10" ht="15.75" customHeight="1" x14ac:dyDescent="0.2">
      <c r="A970" s="157">
        <v>969</v>
      </c>
      <c r="B970" s="163">
        <v>45760</v>
      </c>
      <c r="C970" s="157">
        <f t="shared" si="33"/>
        <v>1</v>
      </c>
      <c r="D970" s="157">
        <v>0</v>
      </c>
      <c r="E970" s="157">
        <f t="shared" si="34"/>
        <v>1</v>
      </c>
      <c r="F970" s="157" t="str">
        <f t="shared" si="35"/>
        <v>Sunday</v>
      </c>
      <c r="H970" s="157">
        <v>3</v>
      </c>
      <c r="I970" s="157">
        <f t="shared" si="43"/>
        <v>14</v>
      </c>
      <c r="J970" s="157">
        <f t="shared" si="42"/>
        <v>15</v>
      </c>
    </row>
    <row r="971" spans="1:10" ht="15.75" customHeight="1" x14ac:dyDescent="0.2">
      <c r="A971" s="157">
        <v>970</v>
      </c>
      <c r="B971" s="163">
        <v>45761</v>
      </c>
      <c r="C971" s="157">
        <f t="shared" si="33"/>
        <v>0</v>
      </c>
      <c r="D971" s="157">
        <v>0</v>
      </c>
      <c r="E971" s="157">
        <f t="shared" si="34"/>
        <v>0</v>
      </c>
      <c r="F971" s="157" t="str">
        <f t="shared" si="35"/>
        <v>Monday</v>
      </c>
      <c r="H971" s="157">
        <v>3</v>
      </c>
      <c r="I971" s="157">
        <f t="shared" si="43"/>
        <v>15</v>
      </c>
      <c r="J971" s="157">
        <f t="shared" si="42"/>
        <v>16</v>
      </c>
    </row>
    <row r="972" spans="1:10" ht="15.75" customHeight="1" x14ac:dyDescent="0.2">
      <c r="A972" s="157">
        <v>971</v>
      </c>
      <c r="B972" s="163">
        <v>45762</v>
      </c>
      <c r="C972" s="157">
        <f t="shared" si="33"/>
        <v>0</v>
      </c>
      <c r="D972" s="157">
        <v>0</v>
      </c>
      <c r="E972" s="157">
        <f t="shared" si="34"/>
        <v>0</v>
      </c>
      <c r="F972" s="157" t="str">
        <f t="shared" si="35"/>
        <v>Tuesday</v>
      </c>
      <c r="H972" s="157">
        <v>3</v>
      </c>
      <c r="I972" s="157">
        <f t="shared" si="43"/>
        <v>15</v>
      </c>
      <c r="J972" s="157">
        <f t="shared" si="42"/>
        <v>16</v>
      </c>
    </row>
    <row r="973" spans="1:10" ht="15.75" customHeight="1" x14ac:dyDescent="0.2">
      <c r="A973" s="157">
        <v>972</v>
      </c>
      <c r="B973" s="163">
        <v>45763</v>
      </c>
      <c r="C973" s="157">
        <f t="shared" si="33"/>
        <v>0</v>
      </c>
      <c r="D973" s="157">
        <v>0</v>
      </c>
      <c r="E973" s="157">
        <f t="shared" si="34"/>
        <v>0</v>
      </c>
      <c r="F973" s="157" t="str">
        <f t="shared" si="35"/>
        <v>Wednesday</v>
      </c>
      <c r="H973" s="157">
        <v>3</v>
      </c>
      <c r="I973" s="157">
        <f t="shared" si="43"/>
        <v>15</v>
      </c>
      <c r="J973" s="157">
        <f t="shared" si="42"/>
        <v>16</v>
      </c>
    </row>
    <row r="974" spans="1:10" ht="15.75" customHeight="1" x14ac:dyDescent="0.2">
      <c r="A974" s="157">
        <v>973</v>
      </c>
      <c r="B974" s="163">
        <v>45764</v>
      </c>
      <c r="C974" s="157">
        <f t="shared" si="33"/>
        <v>0</v>
      </c>
      <c r="D974" s="157">
        <v>0</v>
      </c>
      <c r="E974" s="157">
        <f t="shared" si="34"/>
        <v>0</v>
      </c>
      <c r="F974" s="157" t="str">
        <f t="shared" si="35"/>
        <v>Thursday</v>
      </c>
      <c r="H974" s="157">
        <v>3</v>
      </c>
      <c r="I974" s="157">
        <f t="shared" si="43"/>
        <v>15</v>
      </c>
      <c r="J974" s="157">
        <f t="shared" si="42"/>
        <v>16</v>
      </c>
    </row>
    <row r="975" spans="1:10" ht="15.75" customHeight="1" x14ac:dyDescent="0.2">
      <c r="A975" s="157">
        <v>974</v>
      </c>
      <c r="B975" s="163">
        <v>45765</v>
      </c>
      <c r="C975" s="157">
        <f t="shared" si="33"/>
        <v>0</v>
      </c>
      <c r="D975" s="157">
        <v>0</v>
      </c>
      <c r="E975" s="157">
        <f t="shared" si="34"/>
        <v>0</v>
      </c>
      <c r="F975" s="157" t="str">
        <f t="shared" si="35"/>
        <v>Friday</v>
      </c>
      <c r="H975" s="157">
        <v>3</v>
      </c>
      <c r="I975" s="157">
        <f t="shared" si="43"/>
        <v>15</v>
      </c>
      <c r="J975" s="157">
        <f t="shared" si="42"/>
        <v>16</v>
      </c>
    </row>
    <row r="976" spans="1:10" ht="15.75" customHeight="1" x14ac:dyDescent="0.2">
      <c r="A976" s="157">
        <v>975</v>
      </c>
      <c r="B976" s="163">
        <v>45766</v>
      </c>
      <c r="C976" s="157">
        <f t="shared" si="33"/>
        <v>1</v>
      </c>
      <c r="D976" s="157">
        <v>0</v>
      </c>
      <c r="E976" s="157">
        <f t="shared" si="34"/>
        <v>1</v>
      </c>
      <c r="F976" s="157" t="str">
        <f t="shared" si="35"/>
        <v>Saturday</v>
      </c>
      <c r="H976" s="157">
        <v>3</v>
      </c>
      <c r="I976" s="157">
        <f t="shared" si="43"/>
        <v>15</v>
      </c>
      <c r="J976" s="157">
        <f t="shared" si="42"/>
        <v>16</v>
      </c>
    </row>
    <row r="977" spans="1:10" ht="15.75" customHeight="1" x14ac:dyDescent="0.2">
      <c r="A977" s="157">
        <v>976</v>
      </c>
      <c r="B977" s="163">
        <v>45767</v>
      </c>
      <c r="C977" s="157">
        <f t="shared" si="33"/>
        <v>1</v>
      </c>
      <c r="D977" s="157">
        <v>0</v>
      </c>
      <c r="E977" s="157">
        <f t="shared" si="34"/>
        <v>1</v>
      </c>
      <c r="F977" s="157" t="str">
        <f t="shared" si="35"/>
        <v>Sunday</v>
      </c>
      <c r="H977" s="157">
        <v>3</v>
      </c>
      <c r="I977" s="157">
        <f t="shared" si="43"/>
        <v>15</v>
      </c>
      <c r="J977" s="157">
        <f t="shared" si="42"/>
        <v>16</v>
      </c>
    </row>
    <row r="978" spans="1:10" ht="15.75" customHeight="1" x14ac:dyDescent="0.2">
      <c r="A978" s="157">
        <v>977</v>
      </c>
      <c r="B978" s="163">
        <v>45768</v>
      </c>
      <c r="C978" s="157">
        <f t="shared" si="33"/>
        <v>0</v>
      </c>
      <c r="D978" s="157">
        <v>0</v>
      </c>
      <c r="E978" s="157">
        <f t="shared" si="34"/>
        <v>0</v>
      </c>
      <c r="F978" s="157" t="str">
        <f t="shared" si="35"/>
        <v>Monday</v>
      </c>
      <c r="H978" s="157">
        <v>3</v>
      </c>
      <c r="I978" s="157">
        <f t="shared" si="43"/>
        <v>16</v>
      </c>
      <c r="J978" s="157">
        <f t="shared" si="42"/>
        <v>17</v>
      </c>
    </row>
    <row r="979" spans="1:10" ht="15.75" customHeight="1" x14ac:dyDescent="0.2">
      <c r="A979" s="157">
        <v>978</v>
      </c>
      <c r="B979" s="163">
        <v>45769</v>
      </c>
      <c r="C979" s="157">
        <f t="shared" si="33"/>
        <v>0</v>
      </c>
      <c r="D979" s="157">
        <v>0</v>
      </c>
      <c r="E979" s="157">
        <f t="shared" si="34"/>
        <v>0</v>
      </c>
      <c r="F979" s="157" t="str">
        <f t="shared" si="35"/>
        <v>Tuesday</v>
      </c>
      <c r="H979" s="157">
        <v>3</v>
      </c>
      <c r="I979" s="157">
        <f t="shared" si="43"/>
        <v>16</v>
      </c>
      <c r="J979" s="157">
        <f t="shared" si="42"/>
        <v>17</v>
      </c>
    </row>
    <row r="980" spans="1:10" ht="15.75" customHeight="1" x14ac:dyDescent="0.2">
      <c r="A980" s="157">
        <v>979</v>
      </c>
      <c r="B980" s="163">
        <v>45770</v>
      </c>
      <c r="C980" s="157">
        <f t="shared" si="33"/>
        <v>0</v>
      </c>
      <c r="D980" s="157">
        <v>0</v>
      </c>
      <c r="E980" s="157">
        <f t="shared" si="34"/>
        <v>0</v>
      </c>
      <c r="F980" s="157" t="str">
        <f t="shared" si="35"/>
        <v>Wednesday</v>
      </c>
      <c r="H980" s="157">
        <v>3</v>
      </c>
      <c r="I980" s="157">
        <f t="shared" si="43"/>
        <v>16</v>
      </c>
      <c r="J980" s="157">
        <f t="shared" si="42"/>
        <v>17</v>
      </c>
    </row>
    <row r="981" spans="1:10" ht="15.75" customHeight="1" x14ac:dyDescent="0.2">
      <c r="A981" s="157">
        <v>980</v>
      </c>
      <c r="B981" s="163">
        <v>45771</v>
      </c>
      <c r="C981" s="157">
        <f t="shared" si="33"/>
        <v>0</v>
      </c>
      <c r="D981" s="157">
        <v>0</v>
      </c>
      <c r="E981" s="157">
        <f t="shared" si="34"/>
        <v>0</v>
      </c>
      <c r="F981" s="157" t="str">
        <f t="shared" si="35"/>
        <v>Thursday</v>
      </c>
      <c r="H981" s="157">
        <v>3</v>
      </c>
      <c r="I981" s="157">
        <f t="shared" si="43"/>
        <v>16</v>
      </c>
      <c r="J981" s="157">
        <f t="shared" si="42"/>
        <v>17</v>
      </c>
    </row>
    <row r="982" spans="1:10" ht="15.75" customHeight="1" x14ac:dyDescent="0.2">
      <c r="A982" s="157">
        <v>981</v>
      </c>
      <c r="B982" s="163">
        <v>45772</v>
      </c>
      <c r="C982" s="157">
        <f t="shared" si="33"/>
        <v>0</v>
      </c>
      <c r="D982" s="157">
        <v>0</v>
      </c>
      <c r="E982" s="157">
        <f t="shared" si="34"/>
        <v>0</v>
      </c>
      <c r="F982" s="157" t="str">
        <f t="shared" si="35"/>
        <v>Friday</v>
      </c>
      <c r="H982" s="157">
        <v>3</v>
      </c>
      <c r="I982" s="157">
        <f t="shared" si="43"/>
        <v>16</v>
      </c>
      <c r="J982" s="157">
        <f t="shared" si="42"/>
        <v>17</v>
      </c>
    </row>
    <row r="983" spans="1:10" ht="15.75" customHeight="1" x14ac:dyDescent="0.2">
      <c r="A983" s="157">
        <v>982</v>
      </c>
      <c r="B983" s="163">
        <v>45773</v>
      </c>
      <c r="C983" s="157">
        <f t="shared" si="33"/>
        <v>1</v>
      </c>
      <c r="D983" s="157">
        <v>0</v>
      </c>
      <c r="E983" s="157">
        <f t="shared" si="34"/>
        <v>1</v>
      </c>
      <c r="F983" s="157" t="str">
        <f t="shared" si="35"/>
        <v>Saturday</v>
      </c>
      <c r="H983" s="157">
        <v>3</v>
      </c>
      <c r="I983" s="157">
        <f t="shared" si="43"/>
        <v>16</v>
      </c>
      <c r="J983" s="157">
        <f t="shared" si="42"/>
        <v>17</v>
      </c>
    </row>
    <row r="984" spans="1:10" ht="15.75" customHeight="1" x14ac:dyDescent="0.2">
      <c r="A984" s="157">
        <v>983</v>
      </c>
      <c r="B984" s="163">
        <v>45774</v>
      </c>
      <c r="C984" s="157">
        <f t="shared" si="33"/>
        <v>1</v>
      </c>
      <c r="D984" s="157">
        <v>0</v>
      </c>
      <c r="E984" s="157">
        <f t="shared" si="34"/>
        <v>1</v>
      </c>
      <c r="F984" s="157" t="str">
        <f t="shared" si="35"/>
        <v>Sunday</v>
      </c>
      <c r="H984" s="157">
        <v>3</v>
      </c>
      <c r="I984" s="157">
        <f t="shared" si="43"/>
        <v>16</v>
      </c>
      <c r="J984" s="157">
        <f t="shared" si="42"/>
        <v>17</v>
      </c>
    </row>
    <row r="985" spans="1:10" ht="15.75" customHeight="1" x14ac:dyDescent="0.2">
      <c r="A985" s="157">
        <v>984</v>
      </c>
      <c r="B985" s="163">
        <v>45775</v>
      </c>
      <c r="C985" s="157">
        <f t="shared" si="33"/>
        <v>0</v>
      </c>
      <c r="D985" s="157">
        <v>0</v>
      </c>
      <c r="E985" s="157">
        <f t="shared" si="34"/>
        <v>0</v>
      </c>
      <c r="F985" s="157" t="str">
        <f t="shared" si="35"/>
        <v>Monday</v>
      </c>
      <c r="H985" s="157">
        <v>3</v>
      </c>
      <c r="I985" s="157">
        <f t="shared" si="43"/>
        <v>17</v>
      </c>
      <c r="J985" s="157">
        <f t="shared" si="42"/>
        <v>18</v>
      </c>
    </row>
    <row r="986" spans="1:10" ht="15.75" customHeight="1" x14ac:dyDescent="0.2">
      <c r="A986" s="157">
        <v>985</v>
      </c>
      <c r="B986" s="163">
        <v>45776</v>
      </c>
      <c r="C986" s="157">
        <f t="shared" si="33"/>
        <v>0</v>
      </c>
      <c r="D986" s="157">
        <v>0</v>
      </c>
      <c r="E986" s="157">
        <f t="shared" si="34"/>
        <v>0</v>
      </c>
      <c r="F986" s="157" t="str">
        <f t="shared" si="35"/>
        <v>Tuesday</v>
      </c>
      <c r="H986" s="157">
        <v>3</v>
      </c>
      <c r="I986" s="157">
        <f t="shared" si="43"/>
        <v>17</v>
      </c>
      <c r="J986" s="157">
        <f t="shared" si="42"/>
        <v>18</v>
      </c>
    </row>
    <row r="987" spans="1:10" ht="15.75" customHeight="1" x14ac:dyDescent="0.2">
      <c r="A987" s="157">
        <v>986</v>
      </c>
      <c r="B987" s="163">
        <v>45777</v>
      </c>
      <c r="C987" s="157">
        <f t="shared" si="33"/>
        <v>0</v>
      </c>
      <c r="D987" s="157">
        <v>0</v>
      </c>
      <c r="E987" s="157">
        <f t="shared" si="34"/>
        <v>0</v>
      </c>
      <c r="F987" s="157" t="str">
        <f t="shared" si="35"/>
        <v>Wednesday</v>
      </c>
      <c r="H987" s="157">
        <v>3</v>
      </c>
      <c r="I987" s="157">
        <f t="shared" si="43"/>
        <v>17</v>
      </c>
      <c r="J987" s="157">
        <f t="shared" si="42"/>
        <v>18</v>
      </c>
    </row>
    <row r="988" spans="1:10" ht="15.75" customHeight="1" x14ac:dyDescent="0.2">
      <c r="A988" s="157">
        <v>987</v>
      </c>
      <c r="B988" s="163">
        <v>45778</v>
      </c>
      <c r="C988" s="157">
        <f t="shared" si="33"/>
        <v>0</v>
      </c>
      <c r="D988" s="157">
        <v>0</v>
      </c>
      <c r="E988" s="157">
        <f t="shared" si="34"/>
        <v>0</v>
      </c>
      <c r="F988" s="157" t="str">
        <f t="shared" si="35"/>
        <v>Thursday</v>
      </c>
      <c r="H988" s="157">
        <v>3</v>
      </c>
      <c r="I988" s="157">
        <f t="shared" si="43"/>
        <v>17</v>
      </c>
      <c r="J988" s="157">
        <f t="shared" si="42"/>
        <v>18</v>
      </c>
    </row>
    <row r="989" spans="1:10" ht="15.75" customHeight="1" x14ac:dyDescent="0.2">
      <c r="A989" s="157">
        <v>988</v>
      </c>
      <c r="B989" s="163">
        <v>45779</v>
      </c>
      <c r="C989" s="157">
        <f t="shared" si="33"/>
        <v>0</v>
      </c>
      <c r="D989" s="157">
        <v>0</v>
      </c>
      <c r="E989" s="157">
        <f t="shared" si="34"/>
        <v>0</v>
      </c>
      <c r="F989" s="157" t="str">
        <f t="shared" si="35"/>
        <v>Friday</v>
      </c>
      <c r="H989" s="157">
        <v>3</v>
      </c>
      <c r="I989" s="157">
        <f t="shared" si="43"/>
        <v>17</v>
      </c>
      <c r="J989" s="157">
        <f t="shared" si="42"/>
        <v>18</v>
      </c>
    </row>
    <row r="990" spans="1:10" ht="15.75" customHeight="1" x14ac:dyDescent="0.2">
      <c r="A990" s="157">
        <v>989</v>
      </c>
      <c r="B990" s="163">
        <v>45780</v>
      </c>
      <c r="C990" s="157">
        <f t="shared" si="33"/>
        <v>1</v>
      </c>
      <c r="D990" s="157">
        <v>0</v>
      </c>
      <c r="E990" s="157">
        <f t="shared" si="34"/>
        <v>1</v>
      </c>
      <c r="F990" s="157" t="str">
        <f t="shared" si="35"/>
        <v>Saturday</v>
      </c>
      <c r="H990" s="157">
        <v>3</v>
      </c>
      <c r="I990" s="157">
        <f t="shared" si="43"/>
        <v>17</v>
      </c>
      <c r="J990" s="157">
        <f t="shared" si="42"/>
        <v>18</v>
      </c>
    </row>
    <row r="991" spans="1:10" ht="15.75" customHeight="1" x14ac:dyDescent="0.2">
      <c r="A991" s="157">
        <v>990</v>
      </c>
      <c r="B991" s="163">
        <v>45781</v>
      </c>
      <c r="C991" s="157">
        <f t="shared" si="33"/>
        <v>1</v>
      </c>
      <c r="D991" s="157">
        <v>0</v>
      </c>
      <c r="E991" s="157">
        <f t="shared" si="34"/>
        <v>1</v>
      </c>
      <c r="F991" s="157" t="str">
        <f t="shared" si="35"/>
        <v>Sunday</v>
      </c>
      <c r="H991" s="157">
        <v>3</v>
      </c>
      <c r="I991" s="157">
        <f t="shared" si="43"/>
        <v>17</v>
      </c>
      <c r="J991" s="157">
        <f t="shared" si="42"/>
        <v>18</v>
      </c>
    </row>
    <row r="992" spans="1:10" ht="15.75" customHeight="1" x14ac:dyDescent="0.2">
      <c r="A992" s="157">
        <v>991</v>
      </c>
      <c r="B992" s="163">
        <v>45782</v>
      </c>
      <c r="C992" s="157">
        <f t="shared" si="33"/>
        <v>0</v>
      </c>
      <c r="D992" s="157">
        <v>0</v>
      </c>
      <c r="E992" s="157">
        <f t="shared" si="34"/>
        <v>0</v>
      </c>
      <c r="F992" s="157" t="str">
        <f t="shared" si="35"/>
        <v>Monday</v>
      </c>
      <c r="H992" s="157">
        <v>3</v>
      </c>
      <c r="I992" s="157">
        <f t="shared" si="43"/>
        <v>18</v>
      </c>
      <c r="J992" s="157">
        <f t="shared" si="42"/>
        <v>19</v>
      </c>
    </row>
    <row r="993" spans="1:10" ht="15.75" customHeight="1" x14ac:dyDescent="0.2">
      <c r="A993" s="157">
        <v>992</v>
      </c>
      <c r="B993" s="163">
        <v>45783</v>
      </c>
      <c r="C993" s="157">
        <f t="shared" si="33"/>
        <v>0</v>
      </c>
      <c r="D993" s="157">
        <v>0</v>
      </c>
      <c r="E993" s="157">
        <f t="shared" si="34"/>
        <v>0</v>
      </c>
      <c r="F993" s="157" t="str">
        <f t="shared" si="35"/>
        <v>Tuesday</v>
      </c>
      <c r="H993" s="157">
        <v>3</v>
      </c>
      <c r="I993" s="157">
        <f t="shared" si="43"/>
        <v>18</v>
      </c>
      <c r="J993" s="157">
        <f t="shared" si="42"/>
        <v>19</v>
      </c>
    </row>
    <row r="994" spans="1:10" ht="15.75" customHeight="1" x14ac:dyDescent="0.2">
      <c r="A994" s="157">
        <v>993</v>
      </c>
      <c r="B994" s="163">
        <v>45784</v>
      </c>
      <c r="C994" s="157">
        <f t="shared" si="33"/>
        <v>0</v>
      </c>
      <c r="D994" s="157">
        <v>0</v>
      </c>
      <c r="E994" s="157">
        <f t="shared" si="34"/>
        <v>0</v>
      </c>
      <c r="F994" s="157" t="str">
        <f t="shared" si="35"/>
        <v>Wednesday</v>
      </c>
      <c r="H994" s="157">
        <v>3</v>
      </c>
      <c r="I994" s="157">
        <f t="shared" si="43"/>
        <v>18</v>
      </c>
      <c r="J994" s="157">
        <f t="shared" si="42"/>
        <v>19</v>
      </c>
    </row>
    <row r="995" spans="1:10" ht="15.75" customHeight="1" x14ac:dyDescent="0.2">
      <c r="A995" s="157">
        <v>994</v>
      </c>
      <c r="B995" s="163">
        <v>45785</v>
      </c>
      <c r="C995" s="157">
        <f t="shared" si="33"/>
        <v>0</v>
      </c>
      <c r="D995" s="157">
        <v>0</v>
      </c>
      <c r="E995" s="157">
        <f t="shared" si="34"/>
        <v>0</v>
      </c>
      <c r="F995" s="157" t="str">
        <f t="shared" si="35"/>
        <v>Thursday</v>
      </c>
      <c r="H995" s="157">
        <v>3</v>
      </c>
      <c r="I995" s="157">
        <f t="shared" si="43"/>
        <v>18</v>
      </c>
      <c r="J995" s="157">
        <f t="shared" si="42"/>
        <v>19</v>
      </c>
    </row>
    <row r="996" spans="1:10" ht="15.75" customHeight="1" x14ac:dyDescent="0.2">
      <c r="A996" s="157">
        <v>995</v>
      </c>
      <c r="B996" s="163">
        <v>45786</v>
      </c>
      <c r="C996" s="157">
        <f t="shared" si="33"/>
        <v>0</v>
      </c>
      <c r="D996" s="157">
        <v>0</v>
      </c>
      <c r="E996" s="157">
        <f t="shared" si="34"/>
        <v>0</v>
      </c>
      <c r="F996" s="157" t="str">
        <f t="shared" si="35"/>
        <v>Friday</v>
      </c>
      <c r="H996" s="157">
        <v>3</v>
      </c>
      <c r="I996" s="157">
        <f t="shared" si="43"/>
        <v>18</v>
      </c>
      <c r="J996" s="157">
        <f t="shared" si="42"/>
        <v>19</v>
      </c>
    </row>
    <row r="997" spans="1:10" ht="15.75" customHeight="1" x14ac:dyDescent="0.2">
      <c r="A997" s="157">
        <v>996</v>
      </c>
      <c r="B997" s="163">
        <v>45787</v>
      </c>
      <c r="C997" s="157">
        <f t="shared" si="33"/>
        <v>1</v>
      </c>
      <c r="D997" s="157">
        <v>0</v>
      </c>
      <c r="E997" s="157">
        <f t="shared" si="34"/>
        <v>1</v>
      </c>
      <c r="F997" s="157" t="str">
        <f t="shared" si="35"/>
        <v>Saturday</v>
      </c>
      <c r="H997" s="157">
        <v>3</v>
      </c>
      <c r="I997" s="157">
        <f t="shared" si="43"/>
        <v>18</v>
      </c>
      <c r="J997" s="157">
        <f t="shared" si="42"/>
        <v>19</v>
      </c>
    </row>
    <row r="998" spans="1:10" ht="15.75" customHeight="1" x14ac:dyDescent="0.2">
      <c r="A998" s="157">
        <v>997</v>
      </c>
      <c r="B998" s="163">
        <v>45788</v>
      </c>
      <c r="C998" s="157">
        <f t="shared" si="33"/>
        <v>1</v>
      </c>
      <c r="D998" s="157">
        <v>0</v>
      </c>
      <c r="E998" s="157">
        <f t="shared" si="34"/>
        <v>1</v>
      </c>
      <c r="F998" s="157" t="str">
        <f t="shared" si="35"/>
        <v>Sunday</v>
      </c>
      <c r="H998" s="157">
        <v>3</v>
      </c>
      <c r="I998" s="157">
        <f t="shared" si="43"/>
        <v>18</v>
      </c>
      <c r="J998" s="157">
        <f t="shared" si="42"/>
        <v>19</v>
      </c>
    </row>
    <row r="999" spans="1:10" ht="15.75" customHeight="1" x14ac:dyDescent="0.2">
      <c r="A999" s="157">
        <v>998</v>
      </c>
      <c r="B999" s="163">
        <v>45789</v>
      </c>
      <c r="C999" s="157">
        <f t="shared" si="33"/>
        <v>0</v>
      </c>
      <c r="D999" s="157">
        <v>0</v>
      </c>
      <c r="E999" s="157">
        <f t="shared" si="34"/>
        <v>0</v>
      </c>
      <c r="F999" s="157" t="str">
        <f t="shared" si="35"/>
        <v>Monday</v>
      </c>
      <c r="H999" s="157">
        <v>3</v>
      </c>
      <c r="I999" s="157">
        <f t="shared" si="43"/>
        <v>19</v>
      </c>
      <c r="J999" s="157">
        <f t="shared" si="42"/>
        <v>20</v>
      </c>
    </row>
    <row r="1000" spans="1:10" ht="15.75" customHeight="1" x14ac:dyDescent="0.2">
      <c r="A1000" s="157">
        <v>999</v>
      </c>
      <c r="B1000" s="163">
        <v>45790</v>
      </c>
      <c r="C1000" s="157">
        <f t="shared" si="33"/>
        <v>0</v>
      </c>
      <c r="D1000" s="157">
        <v>0</v>
      </c>
      <c r="E1000" s="157">
        <f t="shared" si="34"/>
        <v>0</v>
      </c>
      <c r="F1000" s="157" t="str">
        <f t="shared" si="35"/>
        <v>Tuesday</v>
      </c>
      <c r="H1000" s="157">
        <v>3</v>
      </c>
      <c r="I1000" s="157">
        <f t="shared" si="43"/>
        <v>19</v>
      </c>
      <c r="J1000" s="157">
        <f t="shared" si="42"/>
        <v>20</v>
      </c>
    </row>
    <row r="1001" spans="1:10" ht="15.75" customHeight="1" x14ac:dyDescent="0.2">
      <c r="A1001" s="157">
        <v>1000</v>
      </c>
      <c r="B1001" s="163">
        <v>45791</v>
      </c>
      <c r="C1001" s="157">
        <f t="shared" si="33"/>
        <v>0</v>
      </c>
      <c r="D1001" s="157">
        <v>0</v>
      </c>
      <c r="E1001" s="157">
        <f t="shared" si="34"/>
        <v>0</v>
      </c>
      <c r="F1001" s="157" t="str">
        <f t="shared" si="35"/>
        <v>Wednesday</v>
      </c>
      <c r="H1001" s="157">
        <v>3</v>
      </c>
      <c r="I1001" s="157">
        <f t="shared" si="43"/>
        <v>19</v>
      </c>
      <c r="J1001" s="157">
        <f t="shared" si="42"/>
        <v>20</v>
      </c>
    </row>
    <row r="1002" spans="1:10" ht="15" customHeight="1" x14ac:dyDescent="0.2">
      <c r="A1002" s="157">
        <v>1001</v>
      </c>
      <c r="B1002" s="163">
        <v>45792</v>
      </c>
      <c r="C1002" s="157">
        <f t="shared" ref="C1002:C1065" si="44">IF(OR(WEEKDAY(B1002) = 7, WEEKDAY(B1002) = 1), 1, 0)</f>
        <v>0</v>
      </c>
      <c r="D1002" s="157">
        <v>1</v>
      </c>
      <c r="E1002" s="157">
        <f t="shared" ref="E1002:E1065" si="45">IF((C1002+D1002)&gt;0, 1, 0)</f>
        <v>1</v>
      </c>
      <c r="F1002" s="157" t="str">
        <f t="shared" ref="F1002:F1065" si="46">TEXT(B1002, "dddd")</f>
        <v>Thursday</v>
      </c>
      <c r="H1002" s="157"/>
      <c r="I1002" s="157">
        <f t="shared" ref="I1002:I1065" si="47">IF(J1002&gt;J1001, IF(H1002&lt;&gt;H1001,1, I1001+1),I1001)</f>
        <v>19</v>
      </c>
      <c r="J1002" s="157">
        <f t="shared" ref="J1002:J1065" si="48">_xlfn.ISOWEEKNUM(B1002)</f>
        <v>20</v>
      </c>
    </row>
    <row r="1003" spans="1:10" ht="15" customHeight="1" x14ac:dyDescent="0.2">
      <c r="A1003" s="157">
        <v>1002</v>
      </c>
      <c r="B1003" s="163">
        <v>45793</v>
      </c>
      <c r="C1003" s="157">
        <f t="shared" si="44"/>
        <v>0</v>
      </c>
      <c r="D1003" s="157">
        <v>0</v>
      </c>
      <c r="E1003" s="157">
        <f t="shared" si="45"/>
        <v>0</v>
      </c>
      <c r="F1003" s="157" t="str">
        <f t="shared" si="46"/>
        <v>Friday</v>
      </c>
      <c r="H1003" s="157"/>
      <c r="I1003" s="157">
        <f t="shared" si="47"/>
        <v>19</v>
      </c>
      <c r="J1003" s="157">
        <f t="shared" si="48"/>
        <v>20</v>
      </c>
    </row>
    <row r="1004" spans="1:10" ht="15" customHeight="1" x14ac:dyDescent="0.2">
      <c r="A1004" s="157">
        <v>1003</v>
      </c>
      <c r="B1004" s="163">
        <v>45794</v>
      </c>
      <c r="C1004" s="157">
        <f t="shared" si="44"/>
        <v>1</v>
      </c>
      <c r="D1004" s="157">
        <v>0</v>
      </c>
      <c r="E1004" s="157">
        <f t="shared" si="45"/>
        <v>1</v>
      </c>
      <c r="F1004" s="157" t="str">
        <f t="shared" si="46"/>
        <v>Saturday</v>
      </c>
      <c r="H1004" s="157"/>
      <c r="I1004" s="157">
        <f t="shared" si="47"/>
        <v>19</v>
      </c>
      <c r="J1004" s="157">
        <f t="shared" si="48"/>
        <v>20</v>
      </c>
    </row>
    <row r="1005" spans="1:10" ht="15" customHeight="1" x14ac:dyDescent="0.2">
      <c r="A1005" s="157">
        <v>1004</v>
      </c>
      <c r="B1005" s="163">
        <v>45795</v>
      </c>
      <c r="C1005" s="157">
        <f t="shared" si="44"/>
        <v>1</v>
      </c>
      <c r="D1005" s="157">
        <v>0</v>
      </c>
      <c r="E1005" s="157">
        <f t="shared" si="45"/>
        <v>1</v>
      </c>
      <c r="F1005" s="157" t="str">
        <f t="shared" si="46"/>
        <v>Sunday</v>
      </c>
      <c r="H1005" s="157"/>
      <c r="I1005" s="157">
        <f t="shared" si="47"/>
        <v>19</v>
      </c>
      <c r="J1005" s="157">
        <f t="shared" si="48"/>
        <v>20</v>
      </c>
    </row>
    <row r="1006" spans="1:10" ht="15" customHeight="1" x14ac:dyDescent="0.2">
      <c r="A1006" s="157">
        <v>1005</v>
      </c>
      <c r="B1006" s="163">
        <v>45796</v>
      </c>
      <c r="C1006" s="157">
        <f t="shared" si="44"/>
        <v>0</v>
      </c>
      <c r="D1006" s="157">
        <v>0</v>
      </c>
      <c r="E1006" s="157">
        <f t="shared" si="45"/>
        <v>0</v>
      </c>
      <c r="F1006" s="157" t="str">
        <f t="shared" si="46"/>
        <v>Monday</v>
      </c>
      <c r="H1006" s="157"/>
      <c r="I1006" s="157">
        <f t="shared" si="47"/>
        <v>20</v>
      </c>
      <c r="J1006" s="157">
        <f t="shared" si="48"/>
        <v>21</v>
      </c>
    </row>
    <row r="1007" spans="1:10" ht="15" customHeight="1" x14ac:dyDescent="0.2">
      <c r="A1007" s="157">
        <v>1006</v>
      </c>
      <c r="B1007" s="163">
        <v>45797</v>
      </c>
      <c r="C1007" s="157">
        <f t="shared" si="44"/>
        <v>0</v>
      </c>
      <c r="D1007" s="157">
        <v>0</v>
      </c>
      <c r="E1007" s="157">
        <f t="shared" si="45"/>
        <v>0</v>
      </c>
      <c r="F1007" s="157" t="str">
        <f t="shared" si="46"/>
        <v>Tuesday</v>
      </c>
      <c r="H1007" s="157"/>
      <c r="I1007" s="157">
        <f t="shared" si="47"/>
        <v>20</v>
      </c>
      <c r="J1007" s="157">
        <f t="shared" si="48"/>
        <v>21</v>
      </c>
    </row>
    <row r="1008" spans="1:10" ht="15" customHeight="1" x14ac:dyDescent="0.2">
      <c r="A1008" s="157">
        <v>1007</v>
      </c>
      <c r="B1008" s="163">
        <v>45798</v>
      </c>
      <c r="C1008" s="157">
        <f t="shared" si="44"/>
        <v>0</v>
      </c>
      <c r="D1008" s="157">
        <v>0</v>
      </c>
      <c r="E1008" s="157">
        <f t="shared" si="45"/>
        <v>0</v>
      </c>
      <c r="F1008" s="157" t="str">
        <f t="shared" si="46"/>
        <v>Wednesday</v>
      </c>
      <c r="H1008" s="157"/>
      <c r="I1008" s="157">
        <f t="shared" si="47"/>
        <v>20</v>
      </c>
      <c r="J1008" s="157">
        <f t="shared" si="48"/>
        <v>21</v>
      </c>
    </row>
    <row r="1009" spans="1:10" ht="15" customHeight="1" x14ac:dyDescent="0.2">
      <c r="A1009" s="157">
        <v>1008</v>
      </c>
      <c r="B1009" s="163">
        <v>45799</v>
      </c>
      <c r="C1009" s="157">
        <f t="shared" si="44"/>
        <v>0</v>
      </c>
      <c r="D1009" s="157">
        <v>0</v>
      </c>
      <c r="E1009" s="157">
        <f t="shared" si="45"/>
        <v>0</v>
      </c>
      <c r="F1009" s="157" t="str">
        <f t="shared" si="46"/>
        <v>Thursday</v>
      </c>
      <c r="H1009" s="157"/>
      <c r="I1009" s="157">
        <f t="shared" si="47"/>
        <v>20</v>
      </c>
      <c r="J1009" s="157">
        <f t="shared" si="48"/>
        <v>21</v>
      </c>
    </row>
    <row r="1010" spans="1:10" ht="15" customHeight="1" x14ac:dyDescent="0.2">
      <c r="A1010" s="157">
        <v>1009</v>
      </c>
      <c r="B1010" s="163">
        <v>45800</v>
      </c>
      <c r="C1010" s="157">
        <f t="shared" si="44"/>
        <v>0</v>
      </c>
      <c r="D1010" s="157">
        <v>0</v>
      </c>
      <c r="E1010" s="157">
        <f t="shared" si="45"/>
        <v>0</v>
      </c>
      <c r="F1010" s="157" t="str">
        <f t="shared" si="46"/>
        <v>Friday</v>
      </c>
      <c r="H1010" s="157"/>
      <c r="I1010" s="157">
        <f t="shared" si="47"/>
        <v>20</v>
      </c>
      <c r="J1010" s="157">
        <f t="shared" si="48"/>
        <v>21</v>
      </c>
    </row>
    <row r="1011" spans="1:10" ht="15" customHeight="1" x14ac:dyDescent="0.2">
      <c r="A1011" s="157">
        <v>1010</v>
      </c>
      <c r="B1011" s="163">
        <v>45801</v>
      </c>
      <c r="C1011" s="157">
        <f t="shared" si="44"/>
        <v>1</v>
      </c>
      <c r="D1011" s="157">
        <v>0</v>
      </c>
      <c r="E1011" s="157">
        <f t="shared" si="45"/>
        <v>1</v>
      </c>
      <c r="F1011" s="157" t="str">
        <f t="shared" si="46"/>
        <v>Saturday</v>
      </c>
      <c r="H1011" s="157"/>
      <c r="I1011" s="157">
        <f t="shared" si="47"/>
        <v>20</v>
      </c>
      <c r="J1011" s="157">
        <f t="shared" si="48"/>
        <v>21</v>
      </c>
    </row>
    <row r="1012" spans="1:10" ht="15" customHeight="1" x14ac:dyDescent="0.2">
      <c r="A1012" s="157">
        <v>1011</v>
      </c>
      <c r="B1012" s="163">
        <v>45802</v>
      </c>
      <c r="C1012" s="157">
        <f t="shared" si="44"/>
        <v>1</v>
      </c>
      <c r="D1012" s="157">
        <v>0</v>
      </c>
      <c r="E1012" s="157">
        <f t="shared" si="45"/>
        <v>1</v>
      </c>
      <c r="F1012" s="157" t="str">
        <f t="shared" si="46"/>
        <v>Sunday</v>
      </c>
      <c r="H1012" s="157"/>
      <c r="I1012" s="157">
        <f t="shared" si="47"/>
        <v>20</v>
      </c>
      <c r="J1012" s="157">
        <f t="shared" si="48"/>
        <v>21</v>
      </c>
    </row>
    <row r="1013" spans="1:10" ht="15" customHeight="1" x14ac:dyDescent="0.2">
      <c r="A1013" s="157">
        <v>1012</v>
      </c>
      <c r="B1013" s="163">
        <v>45803</v>
      </c>
      <c r="C1013" s="157">
        <f t="shared" si="44"/>
        <v>0</v>
      </c>
      <c r="D1013" s="157">
        <v>0</v>
      </c>
      <c r="E1013" s="157">
        <f t="shared" si="45"/>
        <v>0</v>
      </c>
      <c r="F1013" s="157" t="str">
        <f t="shared" si="46"/>
        <v>Monday</v>
      </c>
      <c r="H1013" s="157"/>
      <c r="I1013" s="157">
        <f t="shared" si="47"/>
        <v>21</v>
      </c>
      <c r="J1013" s="157">
        <f t="shared" si="48"/>
        <v>22</v>
      </c>
    </row>
    <row r="1014" spans="1:10" ht="15" customHeight="1" x14ac:dyDescent="0.2">
      <c r="A1014" s="157">
        <v>1013</v>
      </c>
      <c r="B1014" s="163">
        <v>45804</v>
      </c>
      <c r="C1014" s="157">
        <f t="shared" si="44"/>
        <v>0</v>
      </c>
      <c r="D1014" s="157">
        <v>0</v>
      </c>
      <c r="E1014" s="157">
        <f t="shared" si="45"/>
        <v>0</v>
      </c>
      <c r="F1014" s="157" t="str">
        <f t="shared" si="46"/>
        <v>Tuesday</v>
      </c>
      <c r="H1014" s="157"/>
      <c r="I1014" s="157">
        <f t="shared" si="47"/>
        <v>21</v>
      </c>
      <c r="J1014" s="157">
        <f t="shared" si="48"/>
        <v>22</v>
      </c>
    </row>
    <row r="1015" spans="1:10" ht="15" customHeight="1" x14ac:dyDescent="0.2">
      <c r="A1015" s="157">
        <v>1014</v>
      </c>
      <c r="B1015" s="163">
        <v>45805</v>
      </c>
      <c r="C1015" s="157">
        <f t="shared" si="44"/>
        <v>0</v>
      </c>
      <c r="D1015" s="157">
        <v>0</v>
      </c>
      <c r="E1015" s="157">
        <f t="shared" si="45"/>
        <v>0</v>
      </c>
      <c r="F1015" s="157" t="str">
        <f t="shared" si="46"/>
        <v>Wednesday</v>
      </c>
      <c r="H1015" s="157"/>
      <c r="I1015" s="157">
        <f t="shared" si="47"/>
        <v>21</v>
      </c>
      <c r="J1015" s="157">
        <f t="shared" si="48"/>
        <v>22</v>
      </c>
    </row>
    <row r="1016" spans="1:10" ht="15" customHeight="1" x14ac:dyDescent="0.2">
      <c r="A1016" s="157">
        <v>1015</v>
      </c>
      <c r="B1016" s="163">
        <v>45806</v>
      </c>
      <c r="C1016" s="157">
        <f t="shared" si="44"/>
        <v>0</v>
      </c>
      <c r="D1016" s="157">
        <v>0</v>
      </c>
      <c r="E1016" s="157">
        <f t="shared" si="45"/>
        <v>0</v>
      </c>
      <c r="F1016" s="157" t="str">
        <f t="shared" si="46"/>
        <v>Thursday</v>
      </c>
      <c r="H1016" s="157"/>
      <c r="I1016" s="157">
        <f t="shared" si="47"/>
        <v>21</v>
      </c>
      <c r="J1016" s="157">
        <f t="shared" si="48"/>
        <v>22</v>
      </c>
    </row>
    <row r="1017" spans="1:10" ht="15" customHeight="1" x14ac:dyDescent="0.2">
      <c r="A1017" s="157">
        <v>1016</v>
      </c>
      <c r="B1017" s="163">
        <v>45807</v>
      </c>
      <c r="C1017" s="157">
        <f t="shared" si="44"/>
        <v>0</v>
      </c>
      <c r="D1017" s="157">
        <v>0</v>
      </c>
      <c r="E1017" s="157">
        <f t="shared" si="45"/>
        <v>0</v>
      </c>
      <c r="F1017" s="157" t="str">
        <f t="shared" si="46"/>
        <v>Friday</v>
      </c>
      <c r="H1017" s="157"/>
      <c r="I1017" s="157">
        <f t="shared" si="47"/>
        <v>21</v>
      </c>
      <c r="J1017" s="157">
        <f t="shared" si="48"/>
        <v>22</v>
      </c>
    </row>
    <row r="1018" spans="1:10" ht="15" customHeight="1" x14ac:dyDescent="0.2">
      <c r="A1018" s="157">
        <v>1017</v>
      </c>
      <c r="B1018" s="163">
        <v>45808</v>
      </c>
      <c r="C1018" s="157">
        <f t="shared" si="44"/>
        <v>1</v>
      </c>
      <c r="D1018" s="157">
        <v>0</v>
      </c>
      <c r="E1018" s="157">
        <f t="shared" si="45"/>
        <v>1</v>
      </c>
      <c r="F1018" s="157" t="str">
        <f t="shared" si="46"/>
        <v>Saturday</v>
      </c>
      <c r="H1018" s="157"/>
      <c r="I1018" s="157">
        <f t="shared" si="47"/>
        <v>21</v>
      </c>
      <c r="J1018" s="157">
        <f t="shared" si="48"/>
        <v>22</v>
      </c>
    </row>
    <row r="1019" spans="1:10" ht="15" customHeight="1" x14ac:dyDescent="0.2">
      <c r="A1019" s="157">
        <v>1018</v>
      </c>
      <c r="B1019" s="163">
        <v>45809</v>
      </c>
      <c r="C1019" s="157">
        <f t="shared" si="44"/>
        <v>1</v>
      </c>
      <c r="D1019" s="157">
        <v>0</v>
      </c>
      <c r="E1019" s="157">
        <f t="shared" si="45"/>
        <v>1</v>
      </c>
      <c r="F1019" s="157" t="str">
        <f t="shared" si="46"/>
        <v>Sunday</v>
      </c>
      <c r="H1019" s="157"/>
      <c r="I1019" s="157">
        <f t="shared" si="47"/>
        <v>21</v>
      </c>
      <c r="J1019" s="157">
        <f t="shared" si="48"/>
        <v>22</v>
      </c>
    </row>
    <row r="1020" spans="1:10" ht="15" customHeight="1" x14ac:dyDescent="0.2">
      <c r="A1020" s="157">
        <v>1019</v>
      </c>
      <c r="B1020" s="163">
        <v>45810</v>
      </c>
      <c r="C1020" s="157">
        <f t="shared" si="44"/>
        <v>0</v>
      </c>
      <c r="D1020" s="157">
        <v>0</v>
      </c>
      <c r="E1020" s="157">
        <f t="shared" si="45"/>
        <v>0</v>
      </c>
      <c r="F1020" s="157" t="str">
        <f t="shared" si="46"/>
        <v>Monday</v>
      </c>
      <c r="H1020" s="157"/>
      <c r="I1020" s="157">
        <f t="shared" si="47"/>
        <v>22</v>
      </c>
      <c r="J1020" s="157">
        <f t="shared" si="48"/>
        <v>23</v>
      </c>
    </row>
    <row r="1021" spans="1:10" ht="15" customHeight="1" x14ac:dyDescent="0.2">
      <c r="A1021" s="157">
        <v>1020</v>
      </c>
      <c r="B1021" s="163">
        <v>45811</v>
      </c>
      <c r="C1021" s="157">
        <f t="shared" si="44"/>
        <v>0</v>
      </c>
      <c r="D1021" s="157">
        <v>0</v>
      </c>
      <c r="E1021" s="157">
        <f t="shared" si="45"/>
        <v>0</v>
      </c>
      <c r="F1021" s="157" t="str">
        <f t="shared" si="46"/>
        <v>Tuesday</v>
      </c>
      <c r="H1021" s="157"/>
      <c r="I1021" s="157">
        <f t="shared" si="47"/>
        <v>22</v>
      </c>
      <c r="J1021" s="157">
        <f t="shared" si="48"/>
        <v>23</v>
      </c>
    </row>
    <row r="1022" spans="1:10" ht="15" customHeight="1" x14ac:dyDescent="0.2">
      <c r="A1022" s="157">
        <v>1021</v>
      </c>
      <c r="B1022" s="163">
        <v>45812</v>
      </c>
      <c r="C1022" s="157">
        <f t="shared" si="44"/>
        <v>0</v>
      </c>
      <c r="D1022" s="157">
        <v>0</v>
      </c>
      <c r="E1022" s="157">
        <f t="shared" si="45"/>
        <v>0</v>
      </c>
      <c r="F1022" s="157" t="str">
        <f t="shared" si="46"/>
        <v>Wednesday</v>
      </c>
      <c r="H1022" s="157"/>
      <c r="I1022" s="157">
        <f t="shared" si="47"/>
        <v>22</v>
      </c>
      <c r="J1022" s="157">
        <f t="shared" si="48"/>
        <v>23</v>
      </c>
    </row>
    <row r="1023" spans="1:10" ht="15" customHeight="1" x14ac:dyDescent="0.2">
      <c r="A1023" s="157">
        <v>1022</v>
      </c>
      <c r="B1023" s="163">
        <v>45813</v>
      </c>
      <c r="C1023" s="157">
        <f t="shared" si="44"/>
        <v>0</v>
      </c>
      <c r="D1023" s="157">
        <v>0</v>
      </c>
      <c r="E1023" s="157">
        <f t="shared" si="45"/>
        <v>0</v>
      </c>
      <c r="F1023" s="157" t="str">
        <f t="shared" si="46"/>
        <v>Thursday</v>
      </c>
      <c r="H1023" s="157"/>
      <c r="I1023" s="157">
        <f t="shared" si="47"/>
        <v>22</v>
      </c>
      <c r="J1023" s="157">
        <f t="shared" si="48"/>
        <v>23</v>
      </c>
    </row>
    <row r="1024" spans="1:10" ht="15" customHeight="1" x14ac:dyDescent="0.2">
      <c r="A1024" s="157">
        <v>1023</v>
      </c>
      <c r="B1024" s="163">
        <v>45814</v>
      </c>
      <c r="C1024" s="157">
        <f t="shared" si="44"/>
        <v>0</v>
      </c>
      <c r="D1024" s="157">
        <v>0</v>
      </c>
      <c r="E1024" s="157">
        <f t="shared" si="45"/>
        <v>0</v>
      </c>
      <c r="F1024" s="157" t="str">
        <f t="shared" si="46"/>
        <v>Friday</v>
      </c>
      <c r="H1024" s="157"/>
      <c r="I1024" s="157">
        <f t="shared" si="47"/>
        <v>22</v>
      </c>
      <c r="J1024" s="157">
        <f t="shared" si="48"/>
        <v>23</v>
      </c>
    </row>
    <row r="1025" spans="1:10" ht="15" customHeight="1" x14ac:dyDescent="0.2">
      <c r="A1025" s="157">
        <v>1024</v>
      </c>
      <c r="B1025" s="163">
        <v>45815</v>
      </c>
      <c r="C1025" s="157">
        <f t="shared" si="44"/>
        <v>1</v>
      </c>
      <c r="D1025" s="157">
        <v>0</v>
      </c>
      <c r="E1025" s="157">
        <f t="shared" si="45"/>
        <v>1</v>
      </c>
      <c r="F1025" s="157" t="str">
        <f t="shared" si="46"/>
        <v>Saturday</v>
      </c>
      <c r="H1025" s="157"/>
      <c r="I1025" s="157">
        <f t="shared" si="47"/>
        <v>22</v>
      </c>
      <c r="J1025" s="157">
        <f t="shared" si="48"/>
        <v>23</v>
      </c>
    </row>
    <row r="1026" spans="1:10" ht="15" customHeight="1" x14ac:dyDescent="0.2">
      <c r="A1026" s="157">
        <v>1025</v>
      </c>
      <c r="B1026" s="163">
        <v>45816</v>
      </c>
      <c r="C1026" s="157">
        <f t="shared" si="44"/>
        <v>1</v>
      </c>
      <c r="D1026" s="157">
        <v>0</v>
      </c>
      <c r="E1026" s="157">
        <f t="shared" si="45"/>
        <v>1</v>
      </c>
      <c r="F1026" s="157" t="str">
        <f t="shared" si="46"/>
        <v>Sunday</v>
      </c>
      <c r="H1026" s="157"/>
      <c r="I1026" s="157">
        <f t="shared" si="47"/>
        <v>22</v>
      </c>
      <c r="J1026" s="157">
        <f t="shared" si="48"/>
        <v>23</v>
      </c>
    </row>
    <row r="1027" spans="1:10" ht="15" customHeight="1" x14ac:dyDescent="0.2">
      <c r="A1027" s="157">
        <v>1026</v>
      </c>
      <c r="B1027" s="163">
        <v>45817</v>
      </c>
      <c r="C1027" s="157">
        <f t="shared" si="44"/>
        <v>0</v>
      </c>
      <c r="D1027" s="157">
        <v>0</v>
      </c>
      <c r="E1027" s="157">
        <f t="shared" si="45"/>
        <v>0</v>
      </c>
      <c r="F1027" s="157" t="str">
        <f t="shared" si="46"/>
        <v>Monday</v>
      </c>
      <c r="H1027" s="157"/>
      <c r="I1027" s="157">
        <f t="shared" si="47"/>
        <v>23</v>
      </c>
      <c r="J1027" s="157">
        <f t="shared" si="48"/>
        <v>24</v>
      </c>
    </row>
    <row r="1028" spans="1:10" ht="15" customHeight="1" x14ac:dyDescent="0.2">
      <c r="A1028" s="157">
        <v>1027</v>
      </c>
      <c r="B1028" s="163">
        <v>45818</v>
      </c>
      <c r="C1028" s="157">
        <f t="shared" si="44"/>
        <v>0</v>
      </c>
      <c r="D1028" s="157">
        <v>0</v>
      </c>
      <c r="E1028" s="157">
        <f t="shared" si="45"/>
        <v>0</v>
      </c>
      <c r="F1028" s="157" t="str">
        <f t="shared" si="46"/>
        <v>Tuesday</v>
      </c>
      <c r="H1028" s="157"/>
      <c r="I1028" s="157">
        <f t="shared" si="47"/>
        <v>23</v>
      </c>
      <c r="J1028" s="157">
        <f t="shared" si="48"/>
        <v>24</v>
      </c>
    </row>
    <row r="1029" spans="1:10" ht="15" customHeight="1" x14ac:dyDescent="0.2">
      <c r="A1029" s="157">
        <v>1028</v>
      </c>
      <c r="B1029" s="163">
        <v>45819</v>
      </c>
      <c r="C1029" s="157">
        <f t="shared" si="44"/>
        <v>0</v>
      </c>
      <c r="D1029" s="157">
        <v>0</v>
      </c>
      <c r="E1029" s="157">
        <f t="shared" si="45"/>
        <v>0</v>
      </c>
      <c r="F1029" s="157" t="str">
        <f t="shared" si="46"/>
        <v>Wednesday</v>
      </c>
      <c r="H1029" s="157"/>
      <c r="I1029" s="157">
        <f t="shared" si="47"/>
        <v>23</v>
      </c>
      <c r="J1029" s="157">
        <f t="shared" si="48"/>
        <v>24</v>
      </c>
    </row>
    <row r="1030" spans="1:10" ht="15" customHeight="1" x14ac:dyDescent="0.2">
      <c r="A1030" s="157">
        <v>1029</v>
      </c>
      <c r="B1030" s="163">
        <v>45820</v>
      </c>
      <c r="C1030" s="157">
        <f t="shared" si="44"/>
        <v>0</v>
      </c>
      <c r="D1030" s="157">
        <v>0</v>
      </c>
      <c r="E1030" s="157">
        <f t="shared" si="45"/>
        <v>0</v>
      </c>
      <c r="F1030" s="157" t="str">
        <f t="shared" si="46"/>
        <v>Thursday</v>
      </c>
      <c r="H1030" s="157"/>
      <c r="I1030" s="157">
        <f t="shared" si="47"/>
        <v>23</v>
      </c>
      <c r="J1030" s="157">
        <f t="shared" si="48"/>
        <v>24</v>
      </c>
    </row>
    <row r="1031" spans="1:10" ht="15" customHeight="1" x14ac:dyDescent="0.2">
      <c r="A1031" s="157">
        <v>1030</v>
      </c>
      <c r="B1031" s="163">
        <v>45821</v>
      </c>
      <c r="C1031" s="157">
        <f t="shared" si="44"/>
        <v>0</v>
      </c>
      <c r="D1031" s="157">
        <v>0</v>
      </c>
      <c r="E1031" s="157">
        <f t="shared" si="45"/>
        <v>0</v>
      </c>
      <c r="F1031" s="157" t="str">
        <f t="shared" si="46"/>
        <v>Friday</v>
      </c>
      <c r="H1031" s="157"/>
      <c r="I1031" s="157">
        <f t="shared" si="47"/>
        <v>23</v>
      </c>
      <c r="J1031" s="157">
        <f t="shared" si="48"/>
        <v>24</v>
      </c>
    </row>
    <row r="1032" spans="1:10" ht="15" customHeight="1" x14ac:dyDescent="0.2">
      <c r="A1032" s="157">
        <v>1031</v>
      </c>
      <c r="B1032" s="163">
        <v>45822</v>
      </c>
      <c r="C1032" s="157">
        <f t="shared" si="44"/>
        <v>1</v>
      </c>
      <c r="D1032" s="157">
        <v>0</v>
      </c>
      <c r="E1032" s="157">
        <f t="shared" si="45"/>
        <v>1</v>
      </c>
      <c r="F1032" s="157" t="str">
        <f t="shared" si="46"/>
        <v>Saturday</v>
      </c>
      <c r="H1032" s="157"/>
      <c r="I1032" s="157">
        <f t="shared" si="47"/>
        <v>23</v>
      </c>
      <c r="J1032" s="157">
        <f t="shared" si="48"/>
        <v>24</v>
      </c>
    </row>
    <row r="1033" spans="1:10" ht="15" customHeight="1" x14ac:dyDescent="0.2">
      <c r="A1033" s="157">
        <v>1032</v>
      </c>
      <c r="B1033" s="163">
        <v>45823</v>
      </c>
      <c r="C1033" s="157">
        <f t="shared" si="44"/>
        <v>1</v>
      </c>
      <c r="D1033" s="157">
        <v>0</v>
      </c>
      <c r="E1033" s="157">
        <f t="shared" si="45"/>
        <v>1</v>
      </c>
      <c r="F1033" s="157" t="str">
        <f t="shared" si="46"/>
        <v>Sunday</v>
      </c>
      <c r="H1033" s="157"/>
      <c r="I1033" s="157">
        <f t="shared" si="47"/>
        <v>23</v>
      </c>
      <c r="J1033" s="157">
        <f t="shared" si="48"/>
        <v>24</v>
      </c>
    </row>
    <row r="1034" spans="1:10" ht="15" customHeight="1" x14ac:dyDescent="0.2">
      <c r="A1034" s="157">
        <v>1033</v>
      </c>
      <c r="B1034" s="163">
        <v>45824</v>
      </c>
      <c r="C1034" s="157">
        <f t="shared" si="44"/>
        <v>0</v>
      </c>
      <c r="D1034" s="157">
        <v>0</v>
      </c>
      <c r="E1034" s="157">
        <f t="shared" si="45"/>
        <v>0</v>
      </c>
      <c r="F1034" s="157" t="str">
        <f t="shared" si="46"/>
        <v>Monday</v>
      </c>
      <c r="H1034" s="157"/>
      <c r="I1034" s="157">
        <f t="shared" si="47"/>
        <v>24</v>
      </c>
      <c r="J1034" s="157">
        <f t="shared" si="48"/>
        <v>25</v>
      </c>
    </row>
    <row r="1035" spans="1:10" ht="15" customHeight="1" x14ac:dyDescent="0.2">
      <c r="A1035" s="157">
        <v>1034</v>
      </c>
      <c r="B1035" s="163">
        <v>45825</v>
      </c>
      <c r="C1035" s="157">
        <f t="shared" si="44"/>
        <v>0</v>
      </c>
      <c r="D1035" s="157">
        <v>0</v>
      </c>
      <c r="E1035" s="157">
        <f t="shared" si="45"/>
        <v>0</v>
      </c>
      <c r="F1035" s="157" t="str">
        <f t="shared" si="46"/>
        <v>Tuesday</v>
      </c>
      <c r="H1035" s="157"/>
      <c r="I1035" s="157">
        <f t="shared" si="47"/>
        <v>24</v>
      </c>
      <c r="J1035" s="157">
        <f t="shared" si="48"/>
        <v>25</v>
      </c>
    </row>
    <row r="1036" spans="1:10" ht="15" customHeight="1" x14ac:dyDescent="0.2">
      <c r="A1036" s="157">
        <v>1035</v>
      </c>
      <c r="B1036" s="163">
        <v>45826</v>
      </c>
      <c r="C1036" s="157">
        <f t="shared" si="44"/>
        <v>0</v>
      </c>
      <c r="D1036" s="157">
        <v>0</v>
      </c>
      <c r="E1036" s="157">
        <f t="shared" si="45"/>
        <v>0</v>
      </c>
      <c r="F1036" s="157" t="str">
        <f t="shared" si="46"/>
        <v>Wednesday</v>
      </c>
      <c r="H1036" s="157"/>
      <c r="I1036" s="157">
        <f t="shared" si="47"/>
        <v>24</v>
      </c>
      <c r="J1036" s="157">
        <f t="shared" si="48"/>
        <v>25</v>
      </c>
    </row>
    <row r="1037" spans="1:10" ht="15" customHeight="1" x14ac:dyDescent="0.2">
      <c r="A1037" s="157">
        <v>1036</v>
      </c>
      <c r="B1037" s="163">
        <v>45827</v>
      </c>
      <c r="C1037" s="157">
        <f t="shared" si="44"/>
        <v>0</v>
      </c>
      <c r="D1037" s="157">
        <v>0</v>
      </c>
      <c r="E1037" s="157">
        <f t="shared" si="45"/>
        <v>0</v>
      </c>
      <c r="F1037" s="157" t="str">
        <f t="shared" si="46"/>
        <v>Thursday</v>
      </c>
      <c r="H1037" s="157"/>
      <c r="I1037" s="157">
        <f t="shared" si="47"/>
        <v>24</v>
      </c>
      <c r="J1037" s="157">
        <f t="shared" si="48"/>
        <v>25</v>
      </c>
    </row>
    <row r="1038" spans="1:10" ht="15" customHeight="1" x14ac:dyDescent="0.2">
      <c r="A1038" s="157">
        <v>1037</v>
      </c>
      <c r="B1038" s="163">
        <v>45828</v>
      </c>
      <c r="C1038" s="157">
        <f t="shared" si="44"/>
        <v>0</v>
      </c>
      <c r="D1038" s="157">
        <v>0</v>
      </c>
      <c r="E1038" s="157">
        <f t="shared" si="45"/>
        <v>0</v>
      </c>
      <c r="F1038" s="157" t="str">
        <f t="shared" si="46"/>
        <v>Friday</v>
      </c>
      <c r="H1038" s="157"/>
      <c r="I1038" s="157">
        <f t="shared" si="47"/>
        <v>24</v>
      </c>
      <c r="J1038" s="157">
        <f t="shared" si="48"/>
        <v>25</v>
      </c>
    </row>
    <row r="1039" spans="1:10" ht="15" customHeight="1" x14ac:dyDescent="0.2">
      <c r="A1039" s="157">
        <v>1038</v>
      </c>
      <c r="B1039" s="163">
        <v>45829</v>
      </c>
      <c r="C1039" s="157">
        <f t="shared" si="44"/>
        <v>1</v>
      </c>
      <c r="D1039" s="157">
        <v>0</v>
      </c>
      <c r="E1039" s="157">
        <f t="shared" si="45"/>
        <v>1</v>
      </c>
      <c r="F1039" s="157" t="str">
        <f t="shared" si="46"/>
        <v>Saturday</v>
      </c>
      <c r="H1039" s="157"/>
      <c r="I1039" s="157">
        <f t="shared" si="47"/>
        <v>24</v>
      </c>
      <c r="J1039" s="157">
        <f t="shared" si="48"/>
        <v>25</v>
      </c>
    </row>
    <row r="1040" spans="1:10" ht="15" customHeight="1" x14ac:dyDescent="0.2">
      <c r="A1040" s="157">
        <v>1039</v>
      </c>
      <c r="B1040" s="163">
        <v>45830</v>
      </c>
      <c r="C1040" s="157">
        <f t="shared" si="44"/>
        <v>1</v>
      </c>
      <c r="D1040" s="157">
        <v>0</v>
      </c>
      <c r="E1040" s="157">
        <f t="shared" si="45"/>
        <v>1</v>
      </c>
      <c r="F1040" s="157" t="str">
        <f t="shared" si="46"/>
        <v>Sunday</v>
      </c>
      <c r="H1040" s="157"/>
      <c r="I1040" s="157">
        <f t="shared" si="47"/>
        <v>24</v>
      </c>
      <c r="J1040" s="157">
        <f t="shared" si="48"/>
        <v>25</v>
      </c>
    </row>
    <row r="1041" spans="1:10" ht="15" customHeight="1" x14ac:dyDescent="0.2">
      <c r="A1041" s="157">
        <v>1040</v>
      </c>
      <c r="B1041" s="163">
        <v>45831</v>
      </c>
      <c r="C1041" s="157">
        <f t="shared" si="44"/>
        <v>0</v>
      </c>
      <c r="D1041" s="157">
        <v>0</v>
      </c>
      <c r="E1041" s="157">
        <f t="shared" si="45"/>
        <v>0</v>
      </c>
      <c r="F1041" s="157" t="str">
        <f t="shared" si="46"/>
        <v>Monday</v>
      </c>
      <c r="H1041" s="157"/>
      <c r="I1041" s="157">
        <f t="shared" si="47"/>
        <v>25</v>
      </c>
      <c r="J1041" s="157">
        <f t="shared" si="48"/>
        <v>26</v>
      </c>
    </row>
    <row r="1042" spans="1:10" ht="15" customHeight="1" x14ac:dyDescent="0.2">
      <c r="A1042" s="157">
        <v>1041</v>
      </c>
      <c r="B1042" s="163">
        <v>45832</v>
      </c>
      <c r="C1042" s="157">
        <f t="shared" si="44"/>
        <v>0</v>
      </c>
      <c r="D1042" s="157">
        <v>0</v>
      </c>
      <c r="E1042" s="157">
        <f t="shared" si="45"/>
        <v>0</v>
      </c>
      <c r="F1042" s="157" t="str">
        <f t="shared" si="46"/>
        <v>Tuesday</v>
      </c>
      <c r="H1042" s="157"/>
      <c r="I1042" s="157">
        <f t="shared" si="47"/>
        <v>25</v>
      </c>
      <c r="J1042" s="157">
        <f t="shared" si="48"/>
        <v>26</v>
      </c>
    </row>
    <row r="1043" spans="1:10" ht="15" customHeight="1" x14ac:dyDescent="0.2">
      <c r="A1043" s="157">
        <v>1042</v>
      </c>
      <c r="B1043" s="163">
        <v>45833</v>
      </c>
      <c r="C1043" s="157">
        <f t="shared" si="44"/>
        <v>0</v>
      </c>
      <c r="D1043" s="157">
        <v>0</v>
      </c>
      <c r="E1043" s="157">
        <f t="shared" si="45"/>
        <v>0</v>
      </c>
      <c r="F1043" s="157" t="str">
        <f t="shared" si="46"/>
        <v>Wednesday</v>
      </c>
      <c r="H1043" s="157"/>
      <c r="I1043" s="157">
        <f t="shared" si="47"/>
        <v>25</v>
      </c>
      <c r="J1043" s="157">
        <f t="shared" si="48"/>
        <v>26</v>
      </c>
    </row>
    <row r="1044" spans="1:10" ht="15" customHeight="1" x14ac:dyDescent="0.2">
      <c r="A1044" s="157">
        <v>1043</v>
      </c>
      <c r="B1044" s="163">
        <v>45834</v>
      </c>
      <c r="C1044" s="157">
        <f t="shared" si="44"/>
        <v>0</v>
      </c>
      <c r="D1044" s="157">
        <v>0</v>
      </c>
      <c r="E1044" s="157">
        <f t="shared" si="45"/>
        <v>0</v>
      </c>
      <c r="F1044" s="157" t="str">
        <f t="shared" si="46"/>
        <v>Thursday</v>
      </c>
      <c r="H1044" s="157"/>
      <c r="I1044" s="157">
        <f t="shared" si="47"/>
        <v>25</v>
      </c>
      <c r="J1044" s="157">
        <f t="shared" si="48"/>
        <v>26</v>
      </c>
    </row>
    <row r="1045" spans="1:10" ht="15" customHeight="1" x14ac:dyDescent="0.2">
      <c r="A1045" s="157">
        <v>1044</v>
      </c>
      <c r="B1045" s="163">
        <v>45835</v>
      </c>
      <c r="C1045" s="157">
        <f t="shared" si="44"/>
        <v>0</v>
      </c>
      <c r="D1045" s="157">
        <v>0</v>
      </c>
      <c r="E1045" s="157">
        <f t="shared" si="45"/>
        <v>0</v>
      </c>
      <c r="F1045" s="157" t="str">
        <f t="shared" si="46"/>
        <v>Friday</v>
      </c>
      <c r="H1045" s="157"/>
      <c r="I1045" s="157">
        <f t="shared" si="47"/>
        <v>25</v>
      </c>
      <c r="J1045" s="157">
        <f t="shared" si="48"/>
        <v>26</v>
      </c>
    </row>
    <row r="1046" spans="1:10" ht="15" customHeight="1" x14ac:dyDescent="0.2">
      <c r="A1046" s="157">
        <v>1045</v>
      </c>
      <c r="B1046" s="163">
        <v>45836</v>
      </c>
      <c r="C1046" s="157">
        <f t="shared" si="44"/>
        <v>1</v>
      </c>
      <c r="D1046" s="157">
        <v>0</v>
      </c>
      <c r="E1046" s="157">
        <f t="shared" si="45"/>
        <v>1</v>
      </c>
      <c r="F1046" s="157" t="str">
        <f t="shared" si="46"/>
        <v>Saturday</v>
      </c>
      <c r="H1046" s="157"/>
      <c r="I1046" s="157">
        <f t="shared" si="47"/>
        <v>25</v>
      </c>
      <c r="J1046" s="157">
        <f t="shared" si="48"/>
        <v>26</v>
      </c>
    </row>
    <row r="1047" spans="1:10" ht="15" customHeight="1" x14ac:dyDescent="0.2">
      <c r="A1047" s="157">
        <v>1046</v>
      </c>
      <c r="B1047" s="163">
        <v>45837</v>
      </c>
      <c r="C1047" s="157">
        <f t="shared" si="44"/>
        <v>1</v>
      </c>
      <c r="D1047" s="157">
        <v>0</v>
      </c>
      <c r="E1047" s="157">
        <f t="shared" si="45"/>
        <v>1</v>
      </c>
      <c r="F1047" s="157" t="str">
        <f t="shared" si="46"/>
        <v>Sunday</v>
      </c>
      <c r="H1047" s="157"/>
      <c r="I1047" s="157">
        <f t="shared" si="47"/>
        <v>25</v>
      </c>
      <c r="J1047" s="157">
        <f t="shared" si="48"/>
        <v>26</v>
      </c>
    </row>
    <row r="1048" spans="1:10" ht="15" customHeight="1" x14ac:dyDescent="0.2">
      <c r="A1048" s="157">
        <v>1047</v>
      </c>
      <c r="B1048" s="163">
        <v>45838</v>
      </c>
      <c r="C1048" s="157">
        <f t="shared" si="44"/>
        <v>0</v>
      </c>
      <c r="D1048" s="157">
        <v>0</v>
      </c>
      <c r="E1048" s="157">
        <f t="shared" si="45"/>
        <v>0</v>
      </c>
      <c r="F1048" s="157" t="str">
        <f t="shared" si="46"/>
        <v>Monday</v>
      </c>
      <c r="H1048" s="157"/>
      <c r="I1048" s="157">
        <f t="shared" si="47"/>
        <v>26</v>
      </c>
      <c r="J1048" s="157">
        <f t="shared" si="48"/>
        <v>27</v>
      </c>
    </row>
    <row r="1049" spans="1:10" ht="15" customHeight="1" x14ac:dyDescent="0.2">
      <c r="A1049" s="157">
        <v>1048</v>
      </c>
      <c r="B1049" s="163">
        <v>45839</v>
      </c>
      <c r="C1049" s="157">
        <f t="shared" si="44"/>
        <v>0</v>
      </c>
      <c r="D1049" s="157">
        <v>0</v>
      </c>
      <c r="E1049" s="157">
        <f t="shared" si="45"/>
        <v>0</v>
      </c>
      <c r="F1049" s="157" t="str">
        <f t="shared" si="46"/>
        <v>Tuesday</v>
      </c>
      <c r="H1049" s="157"/>
      <c r="I1049" s="157">
        <f t="shared" si="47"/>
        <v>26</v>
      </c>
      <c r="J1049" s="157">
        <f t="shared" si="48"/>
        <v>27</v>
      </c>
    </row>
    <row r="1050" spans="1:10" ht="15" customHeight="1" x14ac:dyDescent="0.2">
      <c r="A1050" s="157">
        <v>1049</v>
      </c>
      <c r="B1050" s="163">
        <v>45840</v>
      </c>
      <c r="C1050" s="157">
        <f t="shared" si="44"/>
        <v>0</v>
      </c>
      <c r="D1050" s="157">
        <v>0</v>
      </c>
      <c r="E1050" s="157">
        <f t="shared" si="45"/>
        <v>0</v>
      </c>
      <c r="F1050" s="157" t="str">
        <f t="shared" si="46"/>
        <v>Wednesday</v>
      </c>
      <c r="H1050" s="157"/>
      <c r="I1050" s="157">
        <f t="shared" si="47"/>
        <v>26</v>
      </c>
      <c r="J1050" s="157">
        <f t="shared" si="48"/>
        <v>27</v>
      </c>
    </row>
    <row r="1051" spans="1:10" ht="15" customHeight="1" x14ac:dyDescent="0.2">
      <c r="A1051" s="157">
        <v>1050</v>
      </c>
      <c r="B1051" s="163">
        <v>45841</v>
      </c>
      <c r="C1051" s="157">
        <f t="shared" si="44"/>
        <v>0</v>
      </c>
      <c r="D1051" s="157">
        <v>0</v>
      </c>
      <c r="E1051" s="157">
        <f t="shared" si="45"/>
        <v>0</v>
      </c>
      <c r="F1051" s="157" t="str">
        <f t="shared" si="46"/>
        <v>Thursday</v>
      </c>
      <c r="H1051" s="157"/>
      <c r="I1051" s="157">
        <f t="shared" si="47"/>
        <v>26</v>
      </c>
      <c r="J1051" s="157">
        <f t="shared" si="48"/>
        <v>27</v>
      </c>
    </row>
    <row r="1052" spans="1:10" ht="15" customHeight="1" x14ac:dyDescent="0.2">
      <c r="A1052" s="157">
        <v>1051</v>
      </c>
      <c r="B1052" s="163">
        <v>45842</v>
      </c>
      <c r="C1052" s="157">
        <f t="shared" si="44"/>
        <v>0</v>
      </c>
      <c r="D1052" s="157">
        <v>0</v>
      </c>
      <c r="E1052" s="157">
        <f t="shared" si="45"/>
        <v>0</v>
      </c>
      <c r="F1052" s="157" t="str">
        <f t="shared" si="46"/>
        <v>Friday</v>
      </c>
      <c r="H1052" s="157"/>
      <c r="I1052" s="157">
        <f t="shared" si="47"/>
        <v>26</v>
      </c>
      <c r="J1052" s="157">
        <f t="shared" si="48"/>
        <v>27</v>
      </c>
    </row>
    <row r="1053" spans="1:10" ht="15" customHeight="1" x14ac:dyDescent="0.2">
      <c r="A1053" s="157">
        <v>1052</v>
      </c>
      <c r="B1053" s="163">
        <v>45843</v>
      </c>
      <c r="C1053" s="157">
        <f t="shared" si="44"/>
        <v>1</v>
      </c>
      <c r="D1053" s="157">
        <v>0</v>
      </c>
      <c r="E1053" s="157">
        <f t="shared" si="45"/>
        <v>1</v>
      </c>
      <c r="F1053" s="157" t="str">
        <f t="shared" si="46"/>
        <v>Saturday</v>
      </c>
      <c r="H1053" s="157"/>
      <c r="I1053" s="157">
        <f t="shared" si="47"/>
        <v>26</v>
      </c>
      <c r="J1053" s="157">
        <f t="shared" si="48"/>
        <v>27</v>
      </c>
    </row>
    <row r="1054" spans="1:10" ht="15" customHeight="1" x14ac:dyDescent="0.2">
      <c r="A1054" s="157">
        <v>1053</v>
      </c>
      <c r="B1054" s="163">
        <v>45844</v>
      </c>
      <c r="C1054" s="157">
        <f t="shared" si="44"/>
        <v>1</v>
      </c>
      <c r="D1054" s="157">
        <v>0</v>
      </c>
      <c r="E1054" s="157">
        <f t="shared" si="45"/>
        <v>1</v>
      </c>
      <c r="F1054" s="157" t="str">
        <f t="shared" si="46"/>
        <v>Sunday</v>
      </c>
      <c r="H1054" s="157"/>
      <c r="I1054" s="157">
        <f t="shared" si="47"/>
        <v>26</v>
      </c>
      <c r="J1054" s="157">
        <f t="shared" si="48"/>
        <v>27</v>
      </c>
    </row>
    <row r="1055" spans="1:10" ht="15" customHeight="1" x14ac:dyDescent="0.2">
      <c r="A1055" s="157">
        <v>1054</v>
      </c>
      <c r="B1055" s="163">
        <v>45845</v>
      </c>
      <c r="C1055" s="157">
        <f t="shared" si="44"/>
        <v>0</v>
      </c>
      <c r="D1055" s="157">
        <v>0</v>
      </c>
      <c r="E1055" s="157">
        <f t="shared" si="45"/>
        <v>0</v>
      </c>
      <c r="F1055" s="157" t="str">
        <f t="shared" si="46"/>
        <v>Monday</v>
      </c>
      <c r="H1055" s="157"/>
      <c r="I1055" s="157">
        <f t="shared" si="47"/>
        <v>27</v>
      </c>
      <c r="J1055" s="157">
        <f t="shared" si="48"/>
        <v>28</v>
      </c>
    </row>
    <row r="1056" spans="1:10" ht="15" customHeight="1" x14ac:dyDescent="0.2">
      <c r="A1056" s="157">
        <v>1055</v>
      </c>
      <c r="B1056" s="163">
        <v>45846</v>
      </c>
      <c r="C1056" s="157">
        <f t="shared" si="44"/>
        <v>0</v>
      </c>
      <c r="D1056" s="157">
        <v>0</v>
      </c>
      <c r="E1056" s="157">
        <f t="shared" si="45"/>
        <v>0</v>
      </c>
      <c r="F1056" s="157" t="str">
        <f t="shared" si="46"/>
        <v>Tuesday</v>
      </c>
      <c r="H1056" s="157"/>
      <c r="I1056" s="157">
        <f t="shared" si="47"/>
        <v>27</v>
      </c>
      <c r="J1056" s="157">
        <f t="shared" si="48"/>
        <v>28</v>
      </c>
    </row>
    <row r="1057" spans="1:10" ht="15" customHeight="1" x14ac:dyDescent="0.2">
      <c r="A1057" s="157">
        <v>1056</v>
      </c>
      <c r="B1057" s="163">
        <v>45847</v>
      </c>
      <c r="C1057" s="157">
        <f t="shared" si="44"/>
        <v>0</v>
      </c>
      <c r="D1057" s="157">
        <v>0</v>
      </c>
      <c r="E1057" s="157">
        <f t="shared" si="45"/>
        <v>0</v>
      </c>
      <c r="F1057" s="157" t="str">
        <f t="shared" si="46"/>
        <v>Wednesday</v>
      </c>
      <c r="H1057" s="157"/>
      <c r="I1057" s="157">
        <f t="shared" si="47"/>
        <v>27</v>
      </c>
      <c r="J1057" s="157">
        <f t="shared" si="48"/>
        <v>28</v>
      </c>
    </row>
    <row r="1058" spans="1:10" ht="15" customHeight="1" x14ac:dyDescent="0.2">
      <c r="A1058" s="157">
        <v>1057</v>
      </c>
      <c r="B1058" s="163">
        <v>45848</v>
      </c>
      <c r="C1058" s="157">
        <f t="shared" si="44"/>
        <v>0</v>
      </c>
      <c r="D1058" s="157">
        <v>0</v>
      </c>
      <c r="E1058" s="157">
        <f t="shared" si="45"/>
        <v>0</v>
      </c>
      <c r="F1058" s="157" t="str">
        <f t="shared" si="46"/>
        <v>Thursday</v>
      </c>
      <c r="H1058" s="157"/>
      <c r="I1058" s="157">
        <f t="shared" si="47"/>
        <v>27</v>
      </c>
      <c r="J1058" s="157">
        <f t="shared" si="48"/>
        <v>28</v>
      </c>
    </row>
    <row r="1059" spans="1:10" ht="15" customHeight="1" x14ac:dyDescent="0.2">
      <c r="A1059" s="157">
        <v>1058</v>
      </c>
      <c r="B1059" s="163">
        <v>45849</v>
      </c>
      <c r="C1059" s="157">
        <f t="shared" si="44"/>
        <v>0</v>
      </c>
      <c r="D1059" s="157">
        <v>0</v>
      </c>
      <c r="E1059" s="157">
        <f t="shared" si="45"/>
        <v>0</v>
      </c>
      <c r="F1059" s="157" t="str">
        <f t="shared" si="46"/>
        <v>Friday</v>
      </c>
      <c r="H1059" s="157"/>
      <c r="I1059" s="157">
        <f t="shared" si="47"/>
        <v>27</v>
      </c>
      <c r="J1059" s="157">
        <f t="shared" si="48"/>
        <v>28</v>
      </c>
    </row>
    <row r="1060" spans="1:10" ht="15" customHeight="1" x14ac:dyDescent="0.2">
      <c r="A1060" s="157">
        <v>1059</v>
      </c>
      <c r="B1060" s="163">
        <v>45850</v>
      </c>
      <c r="C1060" s="157">
        <f t="shared" si="44"/>
        <v>1</v>
      </c>
      <c r="D1060" s="157">
        <v>0</v>
      </c>
      <c r="E1060" s="157">
        <f t="shared" si="45"/>
        <v>1</v>
      </c>
      <c r="F1060" s="157" t="str">
        <f t="shared" si="46"/>
        <v>Saturday</v>
      </c>
      <c r="H1060" s="157"/>
      <c r="I1060" s="157">
        <f t="shared" si="47"/>
        <v>27</v>
      </c>
      <c r="J1060" s="157">
        <f t="shared" si="48"/>
        <v>28</v>
      </c>
    </row>
    <row r="1061" spans="1:10" ht="15" customHeight="1" x14ac:dyDescent="0.2">
      <c r="A1061" s="157">
        <v>1060</v>
      </c>
      <c r="B1061" s="163">
        <v>45851</v>
      </c>
      <c r="C1061" s="157">
        <f t="shared" si="44"/>
        <v>1</v>
      </c>
      <c r="D1061" s="157">
        <v>0</v>
      </c>
      <c r="E1061" s="157">
        <f t="shared" si="45"/>
        <v>1</v>
      </c>
      <c r="F1061" s="157" t="str">
        <f t="shared" si="46"/>
        <v>Sunday</v>
      </c>
      <c r="H1061" s="157"/>
      <c r="I1061" s="157">
        <f t="shared" si="47"/>
        <v>27</v>
      </c>
      <c r="J1061" s="157">
        <f t="shared" si="48"/>
        <v>28</v>
      </c>
    </row>
    <row r="1062" spans="1:10" ht="15" customHeight="1" x14ac:dyDescent="0.2">
      <c r="A1062" s="157">
        <v>1061</v>
      </c>
      <c r="B1062" s="163">
        <v>45852</v>
      </c>
      <c r="C1062" s="157">
        <f t="shared" si="44"/>
        <v>0</v>
      </c>
      <c r="D1062" s="157">
        <v>0</v>
      </c>
      <c r="E1062" s="157">
        <f t="shared" si="45"/>
        <v>0</v>
      </c>
      <c r="F1062" s="157" t="str">
        <f t="shared" si="46"/>
        <v>Monday</v>
      </c>
      <c r="H1062" s="157"/>
      <c r="I1062" s="157">
        <f t="shared" si="47"/>
        <v>28</v>
      </c>
      <c r="J1062" s="157">
        <f t="shared" si="48"/>
        <v>29</v>
      </c>
    </row>
    <row r="1063" spans="1:10" ht="15" customHeight="1" x14ac:dyDescent="0.2">
      <c r="A1063" s="157">
        <v>1062</v>
      </c>
      <c r="B1063" s="163">
        <v>45853</v>
      </c>
      <c r="C1063" s="157">
        <f t="shared" si="44"/>
        <v>0</v>
      </c>
      <c r="D1063" s="157">
        <v>0</v>
      </c>
      <c r="E1063" s="157">
        <f t="shared" si="45"/>
        <v>0</v>
      </c>
      <c r="F1063" s="157" t="str">
        <f t="shared" si="46"/>
        <v>Tuesday</v>
      </c>
      <c r="H1063" s="157"/>
      <c r="I1063" s="157">
        <f t="shared" si="47"/>
        <v>28</v>
      </c>
      <c r="J1063" s="157">
        <f t="shared" si="48"/>
        <v>29</v>
      </c>
    </row>
    <row r="1064" spans="1:10" ht="15" customHeight="1" x14ac:dyDescent="0.2">
      <c r="A1064" s="157">
        <v>1063</v>
      </c>
      <c r="B1064" s="163">
        <v>45854</v>
      </c>
      <c r="C1064" s="157">
        <f t="shared" si="44"/>
        <v>0</v>
      </c>
      <c r="D1064" s="157">
        <v>0</v>
      </c>
      <c r="E1064" s="157">
        <f t="shared" si="45"/>
        <v>0</v>
      </c>
      <c r="F1064" s="157" t="str">
        <f t="shared" si="46"/>
        <v>Wednesday</v>
      </c>
      <c r="H1064" s="157"/>
      <c r="I1064" s="157">
        <f t="shared" si="47"/>
        <v>28</v>
      </c>
      <c r="J1064" s="157">
        <f t="shared" si="48"/>
        <v>29</v>
      </c>
    </row>
    <row r="1065" spans="1:10" ht="15" customHeight="1" x14ac:dyDescent="0.2">
      <c r="A1065" s="157">
        <v>1064</v>
      </c>
      <c r="B1065" s="163">
        <v>45855</v>
      </c>
      <c r="C1065" s="157">
        <f t="shared" si="44"/>
        <v>0</v>
      </c>
      <c r="D1065" s="157">
        <v>0</v>
      </c>
      <c r="E1065" s="157">
        <f t="shared" si="45"/>
        <v>0</v>
      </c>
      <c r="F1065" s="157" t="str">
        <f t="shared" si="46"/>
        <v>Thursday</v>
      </c>
      <c r="H1065" s="157"/>
      <c r="I1065" s="157">
        <f t="shared" si="47"/>
        <v>28</v>
      </c>
      <c r="J1065" s="157">
        <f t="shared" si="48"/>
        <v>29</v>
      </c>
    </row>
    <row r="1066" spans="1:10" ht="15" customHeight="1" x14ac:dyDescent="0.2">
      <c r="A1066" s="157">
        <v>1065</v>
      </c>
      <c r="B1066" s="163">
        <v>45856</v>
      </c>
      <c r="C1066" s="157">
        <f t="shared" ref="C1066:C1129" si="49">IF(OR(WEEKDAY(B1066) = 7, WEEKDAY(B1066) = 1), 1, 0)</f>
        <v>0</v>
      </c>
      <c r="D1066" s="157">
        <v>0</v>
      </c>
      <c r="E1066" s="157">
        <f t="shared" ref="E1066:E1129" si="50">IF((C1066+D1066)&gt;0, 1, 0)</f>
        <v>0</v>
      </c>
      <c r="F1066" s="157" t="str">
        <f t="shared" ref="F1066:F1129" si="51">TEXT(B1066, "dddd")</f>
        <v>Friday</v>
      </c>
      <c r="H1066" s="157"/>
      <c r="I1066" s="157">
        <f t="shared" ref="I1066:I1129" si="52">IF(J1066&gt;J1065, IF(H1066&lt;&gt;H1065,1, I1065+1),I1065)</f>
        <v>28</v>
      </c>
      <c r="J1066" s="157">
        <f t="shared" ref="J1066:J1129" si="53">_xlfn.ISOWEEKNUM(B1066)</f>
        <v>29</v>
      </c>
    </row>
    <row r="1067" spans="1:10" ht="15" customHeight="1" x14ac:dyDescent="0.2">
      <c r="A1067" s="157">
        <v>1066</v>
      </c>
      <c r="B1067" s="163">
        <v>45857</v>
      </c>
      <c r="C1067" s="157">
        <f t="shared" si="49"/>
        <v>1</v>
      </c>
      <c r="D1067" s="157">
        <v>0</v>
      </c>
      <c r="E1067" s="157">
        <f t="shared" si="50"/>
        <v>1</v>
      </c>
      <c r="F1067" s="157" t="str">
        <f t="shared" si="51"/>
        <v>Saturday</v>
      </c>
      <c r="H1067" s="157"/>
      <c r="I1067" s="157">
        <f t="shared" si="52"/>
        <v>28</v>
      </c>
      <c r="J1067" s="157">
        <f t="shared" si="53"/>
        <v>29</v>
      </c>
    </row>
    <row r="1068" spans="1:10" ht="15" customHeight="1" x14ac:dyDescent="0.2">
      <c r="A1068" s="157">
        <v>1067</v>
      </c>
      <c r="B1068" s="163">
        <v>45858</v>
      </c>
      <c r="C1068" s="157">
        <f t="shared" si="49"/>
        <v>1</v>
      </c>
      <c r="D1068" s="157">
        <v>0</v>
      </c>
      <c r="E1068" s="157">
        <f t="shared" si="50"/>
        <v>1</v>
      </c>
      <c r="F1068" s="157" t="str">
        <f t="shared" si="51"/>
        <v>Sunday</v>
      </c>
      <c r="H1068" s="157"/>
      <c r="I1068" s="157">
        <f t="shared" si="52"/>
        <v>28</v>
      </c>
      <c r="J1068" s="157">
        <f t="shared" si="53"/>
        <v>29</v>
      </c>
    </row>
    <row r="1069" spans="1:10" ht="15" customHeight="1" x14ac:dyDescent="0.2">
      <c r="A1069" s="157">
        <v>1068</v>
      </c>
      <c r="B1069" s="163">
        <v>45859</v>
      </c>
      <c r="C1069" s="157">
        <f t="shared" si="49"/>
        <v>0</v>
      </c>
      <c r="D1069" s="157">
        <v>0</v>
      </c>
      <c r="E1069" s="157">
        <f t="shared" si="50"/>
        <v>0</v>
      </c>
      <c r="F1069" s="157" t="str">
        <f t="shared" si="51"/>
        <v>Monday</v>
      </c>
      <c r="H1069" s="157"/>
      <c r="I1069" s="157">
        <f t="shared" si="52"/>
        <v>29</v>
      </c>
      <c r="J1069" s="157">
        <f t="shared" si="53"/>
        <v>30</v>
      </c>
    </row>
    <row r="1070" spans="1:10" ht="15" customHeight="1" x14ac:dyDescent="0.2">
      <c r="A1070" s="157">
        <v>1069</v>
      </c>
      <c r="B1070" s="163">
        <v>45860</v>
      </c>
      <c r="C1070" s="157">
        <f t="shared" si="49"/>
        <v>0</v>
      </c>
      <c r="D1070" s="157">
        <v>0</v>
      </c>
      <c r="E1070" s="157">
        <f t="shared" si="50"/>
        <v>0</v>
      </c>
      <c r="F1070" s="157" t="str">
        <f t="shared" si="51"/>
        <v>Tuesday</v>
      </c>
      <c r="H1070" s="157"/>
      <c r="I1070" s="157">
        <f t="shared" si="52"/>
        <v>29</v>
      </c>
      <c r="J1070" s="157">
        <f t="shared" si="53"/>
        <v>30</v>
      </c>
    </row>
    <row r="1071" spans="1:10" ht="15" customHeight="1" x14ac:dyDescent="0.2">
      <c r="A1071" s="157">
        <v>1070</v>
      </c>
      <c r="B1071" s="163">
        <v>45861</v>
      </c>
      <c r="C1071" s="157">
        <f t="shared" si="49"/>
        <v>0</v>
      </c>
      <c r="D1071" s="157">
        <v>0</v>
      </c>
      <c r="E1071" s="157">
        <f t="shared" si="50"/>
        <v>0</v>
      </c>
      <c r="F1071" s="157" t="str">
        <f t="shared" si="51"/>
        <v>Wednesday</v>
      </c>
      <c r="H1071" s="157"/>
      <c r="I1071" s="157">
        <f t="shared" si="52"/>
        <v>29</v>
      </c>
      <c r="J1071" s="157">
        <f t="shared" si="53"/>
        <v>30</v>
      </c>
    </row>
    <row r="1072" spans="1:10" ht="15" customHeight="1" x14ac:dyDescent="0.2">
      <c r="A1072" s="157">
        <v>1071</v>
      </c>
      <c r="B1072" s="163">
        <v>45862</v>
      </c>
      <c r="C1072" s="157">
        <f t="shared" si="49"/>
        <v>0</v>
      </c>
      <c r="D1072" s="157">
        <v>0</v>
      </c>
      <c r="E1072" s="157">
        <f t="shared" si="50"/>
        <v>0</v>
      </c>
      <c r="F1072" s="157" t="str">
        <f t="shared" si="51"/>
        <v>Thursday</v>
      </c>
      <c r="H1072" s="157"/>
      <c r="I1072" s="157">
        <f t="shared" si="52"/>
        <v>29</v>
      </c>
      <c r="J1072" s="157">
        <f t="shared" si="53"/>
        <v>30</v>
      </c>
    </row>
    <row r="1073" spans="1:10" ht="15" customHeight="1" x14ac:dyDescent="0.2">
      <c r="A1073" s="157">
        <v>1072</v>
      </c>
      <c r="B1073" s="163">
        <v>45863</v>
      </c>
      <c r="C1073" s="157">
        <f t="shared" si="49"/>
        <v>0</v>
      </c>
      <c r="D1073" s="157">
        <v>0</v>
      </c>
      <c r="E1073" s="157">
        <f t="shared" si="50"/>
        <v>0</v>
      </c>
      <c r="F1073" s="157" t="str">
        <f t="shared" si="51"/>
        <v>Friday</v>
      </c>
      <c r="H1073" s="157"/>
      <c r="I1073" s="157">
        <f t="shared" si="52"/>
        <v>29</v>
      </c>
      <c r="J1073" s="157">
        <f t="shared" si="53"/>
        <v>30</v>
      </c>
    </row>
    <row r="1074" spans="1:10" ht="15" customHeight="1" x14ac:dyDescent="0.2">
      <c r="A1074" s="157">
        <v>1073</v>
      </c>
      <c r="B1074" s="163">
        <v>45864</v>
      </c>
      <c r="C1074" s="157">
        <f t="shared" si="49"/>
        <v>1</v>
      </c>
      <c r="D1074" s="157">
        <v>0</v>
      </c>
      <c r="E1074" s="157">
        <f t="shared" si="50"/>
        <v>1</v>
      </c>
      <c r="F1074" s="157" t="str">
        <f t="shared" si="51"/>
        <v>Saturday</v>
      </c>
      <c r="H1074" s="157"/>
      <c r="I1074" s="157">
        <f t="shared" si="52"/>
        <v>29</v>
      </c>
      <c r="J1074" s="157">
        <f t="shared" si="53"/>
        <v>30</v>
      </c>
    </row>
    <row r="1075" spans="1:10" ht="15" customHeight="1" x14ac:dyDescent="0.2">
      <c r="A1075" s="157">
        <v>1074</v>
      </c>
      <c r="B1075" s="163">
        <v>45865</v>
      </c>
      <c r="C1075" s="157">
        <f t="shared" si="49"/>
        <v>1</v>
      </c>
      <c r="D1075" s="157">
        <v>0</v>
      </c>
      <c r="E1075" s="157">
        <f t="shared" si="50"/>
        <v>1</v>
      </c>
      <c r="F1075" s="157" t="str">
        <f t="shared" si="51"/>
        <v>Sunday</v>
      </c>
      <c r="H1075" s="157"/>
      <c r="I1075" s="157">
        <f t="shared" si="52"/>
        <v>29</v>
      </c>
      <c r="J1075" s="157">
        <f t="shared" si="53"/>
        <v>30</v>
      </c>
    </row>
    <row r="1076" spans="1:10" ht="15" customHeight="1" x14ac:dyDescent="0.2">
      <c r="A1076" s="157">
        <v>1075</v>
      </c>
      <c r="B1076" s="163">
        <v>45866</v>
      </c>
      <c r="C1076" s="157">
        <f t="shared" si="49"/>
        <v>0</v>
      </c>
      <c r="D1076" s="157">
        <v>0</v>
      </c>
      <c r="E1076" s="157">
        <f t="shared" si="50"/>
        <v>0</v>
      </c>
      <c r="F1076" s="157" t="str">
        <f t="shared" si="51"/>
        <v>Monday</v>
      </c>
      <c r="H1076" s="157"/>
      <c r="I1076" s="157">
        <f t="shared" si="52"/>
        <v>30</v>
      </c>
      <c r="J1076" s="157">
        <f t="shared" si="53"/>
        <v>31</v>
      </c>
    </row>
    <row r="1077" spans="1:10" ht="15" customHeight="1" x14ac:dyDescent="0.2">
      <c r="A1077" s="157">
        <v>1076</v>
      </c>
      <c r="B1077" s="163">
        <v>45867</v>
      </c>
      <c r="C1077" s="157">
        <f t="shared" si="49"/>
        <v>0</v>
      </c>
      <c r="D1077" s="157">
        <v>0</v>
      </c>
      <c r="E1077" s="157">
        <f t="shared" si="50"/>
        <v>0</v>
      </c>
      <c r="F1077" s="157" t="str">
        <f t="shared" si="51"/>
        <v>Tuesday</v>
      </c>
      <c r="H1077" s="157"/>
      <c r="I1077" s="157">
        <f t="shared" si="52"/>
        <v>30</v>
      </c>
      <c r="J1077" s="157">
        <f t="shared" si="53"/>
        <v>31</v>
      </c>
    </row>
    <row r="1078" spans="1:10" ht="15" customHeight="1" x14ac:dyDescent="0.2">
      <c r="A1078" s="157">
        <v>1077</v>
      </c>
      <c r="B1078" s="163">
        <v>45868</v>
      </c>
      <c r="C1078" s="157">
        <f t="shared" si="49"/>
        <v>0</v>
      </c>
      <c r="D1078" s="157">
        <v>0</v>
      </c>
      <c r="E1078" s="157">
        <f t="shared" si="50"/>
        <v>0</v>
      </c>
      <c r="F1078" s="157" t="str">
        <f t="shared" si="51"/>
        <v>Wednesday</v>
      </c>
      <c r="H1078" s="157"/>
      <c r="I1078" s="157">
        <f t="shared" si="52"/>
        <v>30</v>
      </c>
      <c r="J1078" s="157">
        <f t="shared" si="53"/>
        <v>31</v>
      </c>
    </row>
    <row r="1079" spans="1:10" ht="15" customHeight="1" x14ac:dyDescent="0.2">
      <c r="A1079" s="157">
        <v>1078</v>
      </c>
      <c r="B1079" s="163">
        <v>45869</v>
      </c>
      <c r="C1079" s="157">
        <f t="shared" si="49"/>
        <v>0</v>
      </c>
      <c r="D1079" s="157">
        <v>0</v>
      </c>
      <c r="E1079" s="157">
        <f t="shared" si="50"/>
        <v>0</v>
      </c>
      <c r="F1079" s="157" t="str">
        <f t="shared" si="51"/>
        <v>Thursday</v>
      </c>
      <c r="H1079" s="157"/>
      <c r="I1079" s="157">
        <f t="shared" si="52"/>
        <v>30</v>
      </c>
      <c r="J1079" s="157">
        <f t="shared" si="53"/>
        <v>31</v>
      </c>
    </row>
    <row r="1080" spans="1:10" ht="15" customHeight="1" x14ac:dyDescent="0.2">
      <c r="A1080" s="157">
        <v>1079</v>
      </c>
      <c r="B1080" s="163">
        <v>45870</v>
      </c>
      <c r="C1080" s="157">
        <f t="shared" si="49"/>
        <v>0</v>
      </c>
      <c r="D1080" s="157">
        <v>0</v>
      </c>
      <c r="E1080" s="157">
        <f t="shared" si="50"/>
        <v>0</v>
      </c>
      <c r="F1080" s="157" t="str">
        <f t="shared" si="51"/>
        <v>Friday</v>
      </c>
      <c r="H1080" s="157"/>
      <c r="I1080" s="157">
        <f t="shared" si="52"/>
        <v>30</v>
      </c>
      <c r="J1080" s="157">
        <f t="shared" si="53"/>
        <v>31</v>
      </c>
    </row>
    <row r="1081" spans="1:10" ht="15" customHeight="1" x14ac:dyDescent="0.2">
      <c r="A1081" s="157">
        <v>1080</v>
      </c>
      <c r="B1081" s="163">
        <v>45871</v>
      </c>
      <c r="C1081" s="157">
        <f t="shared" si="49"/>
        <v>1</v>
      </c>
      <c r="D1081" s="157">
        <v>0</v>
      </c>
      <c r="E1081" s="157">
        <f t="shared" si="50"/>
        <v>1</v>
      </c>
      <c r="F1081" s="157" t="str">
        <f t="shared" si="51"/>
        <v>Saturday</v>
      </c>
      <c r="H1081" s="157"/>
      <c r="I1081" s="157">
        <f t="shared" si="52"/>
        <v>30</v>
      </c>
      <c r="J1081" s="157">
        <f t="shared" si="53"/>
        <v>31</v>
      </c>
    </row>
    <row r="1082" spans="1:10" ht="15" customHeight="1" x14ac:dyDescent="0.2">
      <c r="A1082" s="157">
        <v>1081</v>
      </c>
      <c r="B1082" s="163">
        <v>45872</v>
      </c>
      <c r="C1082" s="157">
        <f t="shared" si="49"/>
        <v>1</v>
      </c>
      <c r="D1082" s="157">
        <v>0</v>
      </c>
      <c r="E1082" s="157">
        <f t="shared" si="50"/>
        <v>1</v>
      </c>
      <c r="F1082" s="157" t="str">
        <f t="shared" si="51"/>
        <v>Sunday</v>
      </c>
      <c r="H1082" s="157"/>
      <c r="I1082" s="157">
        <f t="shared" si="52"/>
        <v>30</v>
      </c>
      <c r="J1082" s="157">
        <f t="shared" si="53"/>
        <v>31</v>
      </c>
    </row>
    <row r="1083" spans="1:10" ht="15" customHeight="1" x14ac:dyDescent="0.2">
      <c r="A1083" s="157">
        <v>1082</v>
      </c>
      <c r="B1083" s="163">
        <v>45873</v>
      </c>
      <c r="C1083" s="157">
        <f t="shared" si="49"/>
        <v>0</v>
      </c>
      <c r="D1083" s="157">
        <v>0</v>
      </c>
      <c r="E1083" s="157">
        <f t="shared" si="50"/>
        <v>0</v>
      </c>
      <c r="F1083" s="157" t="str">
        <f t="shared" si="51"/>
        <v>Monday</v>
      </c>
      <c r="H1083" s="157"/>
      <c r="I1083" s="157">
        <f t="shared" si="52"/>
        <v>31</v>
      </c>
      <c r="J1083" s="157">
        <f t="shared" si="53"/>
        <v>32</v>
      </c>
    </row>
    <row r="1084" spans="1:10" ht="15" customHeight="1" x14ac:dyDescent="0.2">
      <c r="A1084" s="157">
        <v>1083</v>
      </c>
      <c r="B1084" s="163">
        <v>45874</v>
      </c>
      <c r="C1084" s="157">
        <f t="shared" si="49"/>
        <v>0</v>
      </c>
      <c r="D1084" s="157">
        <v>0</v>
      </c>
      <c r="E1084" s="157">
        <f t="shared" si="50"/>
        <v>0</v>
      </c>
      <c r="F1084" s="157" t="str">
        <f t="shared" si="51"/>
        <v>Tuesday</v>
      </c>
      <c r="H1084" s="157"/>
      <c r="I1084" s="157">
        <f t="shared" si="52"/>
        <v>31</v>
      </c>
      <c r="J1084" s="157">
        <f t="shared" si="53"/>
        <v>32</v>
      </c>
    </row>
    <row r="1085" spans="1:10" ht="15" customHeight="1" x14ac:dyDescent="0.2">
      <c r="A1085" s="157">
        <v>1084</v>
      </c>
      <c r="B1085" s="163">
        <v>45875</v>
      </c>
      <c r="C1085" s="157">
        <f t="shared" si="49"/>
        <v>0</v>
      </c>
      <c r="D1085" s="157">
        <v>0</v>
      </c>
      <c r="E1085" s="157">
        <f t="shared" si="50"/>
        <v>0</v>
      </c>
      <c r="F1085" s="157" t="str">
        <f t="shared" si="51"/>
        <v>Wednesday</v>
      </c>
      <c r="H1085" s="157"/>
      <c r="I1085" s="157">
        <f t="shared" si="52"/>
        <v>31</v>
      </c>
      <c r="J1085" s="157">
        <f t="shared" si="53"/>
        <v>32</v>
      </c>
    </row>
    <row r="1086" spans="1:10" ht="15" customHeight="1" x14ac:dyDescent="0.2">
      <c r="A1086" s="157">
        <v>1085</v>
      </c>
      <c r="B1086" s="163">
        <v>45876</v>
      </c>
      <c r="C1086" s="157">
        <f t="shared" si="49"/>
        <v>0</v>
      </c>
      <c r="D1086" s="157">
        <v>0</v>
      </c>
      <c r="E1086" s="157">
        <f t="shared" si="50"/>
        <v>0</v>
      </c>
      <c r="F1086" s="157" t="str">
        <f t="shared" si="51"/>
        <v>Thursday</v>
      </c>
      <c r="H1086" s="157"/>
      <c r="I1086" s="157">
        <f t="shared" si="52"/>
        <v>31</v>
      </c>
      <c r="J1086" s="157">
        <f t="shared" si="53"/>
        <v>32</v>
      </c>
    </row>
    <row r="1087" spans="1:10" ht="15" customHeight="1" x14ac:dyDescent="0.2">
      <c r="A1087" s="157">
        <v>1086</v>
      </c>
      <c r="B1087" s="163">
        <v>45877</v>
      </c>
      <c r="C1087" s="157">
        <f t="shared" si="49"/>
        <v>0</v>
      </c>
      <c r="D1087" s="157">
        <v>0</v>
      </c>
      <c r="E1087" s="157">
        <f t="shared" si="50"/>
        <v>0</v>
      </c>
      <c r="F1087" s="157" t="str">
        <f t="shared" si="51"/>
        <v>Friday</v>
      </c>
      <c r="H1087" s="157"/>
      <c r="I1087" s="157">
        <f t="shared" si="52"/>
        <v>31</v>
      </c>
      <c r="J1087" s="157">
        <f t="shared" si="53"/>
        <v>32</v>
      </c>
    </row>
    <row r="1088" spans="1:10" ht="15" customHeight="1" x14ac:dyDescent="0.2">
      <c r="A1088" s="157">
        <v>1087</v>
      </c>
      <c r="B1088" s="163">
        <v>45878</v>
      </c>
      <c r="C1088" s="157">
        <f t="shared" si="49"/>
        <v>1</v>
      </c>
      <c r="D1088" s="157">
        <v>0</v>
      </c>
      <c r="E1088" s="157">
        <f t="shared" si="50"/>
        <v>1</v>
      </c>
      <c r="F1088" s="157" t="str">
        <f t="shared" si="51"/>
        <v>Saturday</v>
      </c>
      <c r="H1088" s="157"/>
      <c r="I1088" s="157">
        <f t="shared" si="52"/>
        <v>31</v>
      </c>
      <c r="J1088" s="157">
        <f t="shared" si="53"/>
        <v>32</v>
      </c>
    </row>
    <row r="1089" spans="1:10" ht="15" customHeight="1" x14ac:dyDescent="0.2">
      <c r="A1089" s="157">
        <v>1088</v>
      </c>
      <c r="B1089" s="163">
        <v>45879</v>
      </c>
      <c r="C1089" s="157">
        <f t="shared" si="49"/>
        <v>1</v>
      </c>
      <c r="D1089" s="157">
        <v>0</v>
      </c>
      <c r="E1089" s="157">
        <f t="shared" si="50"/>
        <v>1</v>
      </c>
      <c r="F1089" s="157" t="str">
        <f t="shared" si="51"/>
        <v>Sunday</v>
      </c>
      <c r="H1089" s="157"/>
      <c r="I1089" s="157">
        <f t="shared" si="52"/>
        <v>31</v>
      </c>
      <c r="J1089" s="157">
        <f t="shared" si="53"/>
        <v>32</v>
      </c>
    </row>
    <row r="1090" spans="1:10" ht="15" customHeight="1" x14ac:dyDescent="0.2">
      <c r="A1090" s="157">
        <v>1089</v>
      </c>
      <c r="B1090" s="163">
        <v>45880</v>
      </c>
      <c r="C1090" s="157">
        <f t="shared" si="49"/>
        <v>0</v>
      </c>
      <c r="D1090" s="157">
        <v>0</v>
      </c>
      <c r="E1090" s="157">
        <f t="shared" si="50"/>
        <v>0</v>
      </c>
      <c r="F1090" s="157" t="str">
        <f t="shared" si="51"/>
        <v>Monday</v>
      </c>
      <c r="H1090" s="157"/>
      <c r="I1090" s="157">
        <f t="shared" si="52"/>
        <v>32</v>
      </c>
      <c r="J1090" s="157">
        <f t="shared" si="53"/>
        <v>33</v>
      </c>
    </row>
    <row r="1091" spans="1:10" ht="15" customHeight="1" x14ac:dyDescent="0.2">
      <c r="A1091" s="157">
        <v>1090</v>
      </c>
      <c r="B1091" s="163">
        <v>45881</v>
      </c>
      <c r="C1091" s="157">
        <f t="shared" si="49"/>
        <v>0</v>
      </c>
      <c r="D1091" s="157">
        <v>0</v>
      </c>
      <c r="E1091" s="157">
        <f t="shared" si="50"/>
        <v>0</v>
      </c>
      <c r="F1091" s="157" t="str">
        <f t="shared" si="51"/>
        <v>Tuesday</v>
      </c>
      <c r="H1091" s="157"/>
      <c r="I1091" s="157">
        <f t="shared" si="52"/>
        <v>32</v>
      </c>
      <c r="J1091" s="157">
        <f t="shared" si="53"/>
        <v>33</v>
      </c>
    </row>
    <row r="1092" spans="1:10" ht="15" customHeight="1" x14ac:dyDescent="0.2">
      <c r="A1092" s="157">
        <v>1091</v>
      </c>
      <c r="B1092" s="163">
        <v>45882</v>
      </c>
      <c r="C1092" s="157">
        <f t="shared" si="49"/>
        <v>0</v>
      </c>
      <c r="D1092" s="157">
        <v>0</v>
      </c>
      <c r="E1092" s="157">
        <f t="shared" si="50"/>
        <v>0</v>
      </c>
      <c r="F1092" s="157" t="str">
        <f t="shared" si="51"/>
        <v>Wednesday</v>
      </c>
      <c r="H1092" s="157"/>
      <c r="I1092" s="157">
        <f t="shared" si="52"/>
        <v>32</v>
      </c>
      <c r="J1092" s="157">
        <f t="shared" si="53"/>
        <v>33</v>
      </c>
    </row>
    <row r="1093" spans="1:10" ht="15" customHeight="1" x14ac:dyDescent="0.2">
      <c r="A1093" s="157">
        <v>1092</v>
      </c>
      <c r="B1093" s="163">
        <v>45883</v>
      </c>
      <c r="C1093" s="157">
        <f t="shared" si="49"/>
        <v>0</v>
      </c>
      <c r="D1093" s="157">
        <v>0</v>
      </c>
      <c r="E1093" s="157">
        <f t="shared" si="50"/>
        <v>0</v>
      </c>
      <c r="F1093" s="157" t="str">
        <f t="shared" si="51"/>
        <v>Thursday</v>
      </c>
      <c r="H1093" s="157"/>
      <c r="I1093" s="157">
        <f t="shared" si="52"/>
        <v>32</v>
      </c>
      <c r="J1093" s="157">
        <f t="shared" si="53"/>
        <v>33</v>
      </c>
    </row>
    <row r="1094" spans="1:10" ht="15" customHeight="1" x14ac:dyDescent="0.2">
      <c r="A1094" s="157">
        <v>1093</v>
      </c>
      <c r="B1094" s="163">
        <v>45884</v>
      </c>
      <c r="C1094" s="157">
        <f t="shared" si="49"/>
        <v>0</v>
      </c>
      <c r="D1094" s="157">
        <v>0</v>
      </c>
      <c r="E1094" s="157">
        <f t="shared" si="50"/>
        <v>0</v>
      </c>
      <c r="F1094" s="157" t="str">
        <f t="shared" si="51"/>
        <v>Friday</v>
      </c>
      <c r="H1094" s="157"/>
      <c r="I1094" s="157">
        <f t="shared" si="52"/>
        <v>32</v>
      </c>
      <c r="J1094" s="157">
        <f t="shared" si="53"/>
        <v>33</v>
      </c>
    </row>
    <row r="1095" spans="1:10" ht="15" customHeight="1" x14ac:dyDescent="0.2">
      <c r="A1095" s="157">
        <v>1094</v>
      </c>
      <c r="B1095" s="163">
        <v>45885</v>
      </c>
      <c r="C1095" s="157">
        <f t="shared" si="49"/>
        <v>1</v>
      </c>
      <c r="D1095" s="157">
        <v>0</v>
      </c>
      <c r="E1095" s="157">
        <f t="shared" si="50"/>
        <v>1</v>
      </c>
      <c r="F1095" s="157" t="str">
        <f t="shared" si="51"/>
        <v>Saturday</v>
      </c>
      <c r="H1095" s="157"/>
      <c r="I1095" s="157">
        <f t="shared" si="52"/>
        <v>32</v>
      </c>
      <c r="J1095" s="157">
        <f t="shared" si="53"/>
        <v>33</v>
      </c>
    </row>
    <row r="1096" spans="1:10" ht="15" customHeight="1" x14ac:dyDescent="0.2">
      <c r="A1096" s="157">
        <v>1095</v>
      </c>
      <c r="B1096" s="163">
        <v>45886</v>
      </c>
      <c r="C1096" s="157">
        <f t="shared" si="49"/>
        <v>1</v>
      </c>
      <c r="D1096" s="157">
        <v>0</v>
      </c>
      <c r="E1096" s="157">
        <f t="shared" si="50"/>
        <v>1</v>
      </c>
      <c r="F1096" s="157" t="str">
        <f t="shared" si="51"/>
        <v>Sunday</v>
      </c>
      <c r="H1096" s="157"/>
      <c r="I1096" s="157">
        <f t="shared" si="52"/>
        <v>32</v>
      </c>
      <c r="J1096" s="157">
        <f t="shared" si="53"/>
        <v>33</v>
      </c>
    </row>
    <row r="1097" spans="1:10" ht="15" customHeight="1" x14ac:dyDescent="0.2">
      <c r="A1097" s="157">
        <v>1096</v>
      </c>
      <c r="B1097" s="163">
        <v>45887</v>
      </c>
      <c r="C1097" s="157">
        <f t="shared" si="49"/>
        <v>0</v>
      </c>
      <c r="D1097" s="157">
        <v>0</v>
      </c>
      <c r="E1097" s="157">
        <f t="shared" si="50"/>
        <v>0</v>
      </c>
      <c r="F1097" s="157" t="str">
        <f t="shared" si="51"/>
        <v>Monday</v>
      </c>
      <c r="H1097" s="157"/>
      <c r="I1097" s="157">
        <f t="shared" si="52"/>
        <v>33</v>
      </c>
      <c r="J1097" s="157">
        <f t="shared" si="53"/>
        <v>34</v>
      </c>
    </row>
    <row r="1098" spans="1:10" ht="15" customHeight="1" x14ac:dyDescent="0.2">
      <c r="A1098" s="157">
        <v>1097</v>
      </c>
      <c r="B1098" s="163">
        <v>45888</v>
      </c>
      <c r="C1098" s="157">
        <f t="shared" si="49"/>
        <v>0</v>
      </c>
      <c r="D1098" s="157">
        <v>0</v>
      </c>
      <c r="E1098" s="157">
        <f t="shared" si="50"/>
        <v>0</v>
      </c>
      <c r="F1098" s="157" t="str">
        <f t="shared" si="51"/>
        <v>Tuesday</v>
      </c>
      <c r="H1098" s="157"/>
      <c r="I1098" s="157">
        <f t="shared" si="52"/>
        <v>33</v>
      </c>
      <c r="J1098" s="157">
        <f t="shared" si="53"/>
        <v>34</v>
      </c>
    </row>
    <row r="1099" spans="1:10" ht="15" customHeight="1" x14ac:dyDescent="0.2">
      <c r="A1099" s="157">
        <v>1098</v>
      </c>
      <c r="B1099" s="163">
        <v>45889</v>
      </c>
      <c r="C1099" s="157">
        <f t="shared" si="49"/>
        <v>0</v>
      </c>
      <c r="D1099" s="157">
        <v>0</v>
      </c>
      <c r="E1099" s="157">
        <f t="shared" si="50"/>
        <v>0</v>
      </c>
      <c r="F1099" s="157" t="str">
        <f t="shared" si="51"/>
        <v>Wednesday</v>
      </c>
      <c r="H1099" s="157"/>
      <c r="I1099" s="157">
        <f t="shared" si="52"/>
        <v>33</v>
      </c>
      <c r="J1099" s="157">
        <f t="shared" si="53"/>
        <v>34</v>
      </c>
    </row>
    <row r="1100" spans="1:10" ht="15" customHeight="1" x14ac:dyDescent="0.2">
      <c r="A1100" s="157">
        <v>1099</v>
      </c>
      <c r="B1100" s="163">
        <v>45890</v>
      </c>
      <c r="C1100" s="157">
        <f t="shared" si="49"/>
        <v>0</v>
      </c>
      <c r="D1100" s="157">
        <v>0</v>
      </c>
      <c r="E1100" s="157">
        <f t="shared" si="50"/>
        <v>0</v>
      </c>
      <c r="F1100" s="157" t="str">
        <f t="shared" si="51"/>
        <v>Thursday</v>
      </c>
      <c r="H1100" s="157"/>
      <c r="I1100" s="157">
        <f t="shared" si="52"/>
        <v>33</v>
      </c>
      <c r="J1100" s="157">
        <f t="shared" si="53"/>
        <v>34</v>
      </c>
    </row>
    <row r="1101" spans="1:10" ht="15" customHeight="1" x14ac:dyDescent="0.2">
      <c r="A1101" s="157">
        <v>1100</v>
      </c>
      <c r="B1101" s="163">
        <v>45891</v>
      </c>
      <c r="C1101" s="157">
        <f t="shared" si="49"/>
        <v>0</v>
      </c>
      <c r="D1101" s="157">
        <v>0</v>
      </c>
      <c r="E1101" s="157">
        <f t="shared" si="50"/>
        <v>0</v>
      </c>
      <c r="F1101" s="157" t="str">
        <f t="shared" si="51"/>
        <v>Friday</v>
      </c>
      <c r="H1101" s="157"/>
      <c r="I1101" s="157">
        <f t="shared" si="52"/>
        <v>33</v>
      </c>
      <c r="J1101" s="157">
        <f t="shared" si="53"/>
        <v>34</v>
      </c>
    </row>
    <row r="1102" spans="1:10" ht="15" customHeight="1" x14ac:dyDescent="0.2">
      <c r="A1102" s="157">
        <v>1101</v>
      </c>
      <c r="B1102" s="163">
        <v>45892</v>
      </c>
      <c r="C1102" s="157">
        <f t="shared" si="49"/>
        <v>1</v>
      </c>
      <c r="D1102" s="157">
        <v>0</v>
      </c>
      <c r="E1102" s="157">
        <f t="shared" si="50"/>
        <v>1</v>
      </c>
      <c r="F1102" s="157" t="str">
        <f t="shared" si="51"/>
        <v>Saturday</v>
      </c>
      <c r="H1102" s="157"/>
      <c r="I1102" s="157">
        <f t="shared" si="52"/>
        <v>33</v>
      </c>
      <c r="J1102" s="157">
        <f t="shared" si="53"/>
        <v>34</v>
      </c>
    </row>
    <row r="1103" spans="1:10" ht="15" customHeight="1" x14ac:dyDescent="0.2">
      <c r="A1103" s="157">
        <v>1102</v>
      </c>
      <c r="B1103" s="163">
        <v>45893</v>
      </c>
      <c r="C1103" s="157">
        <f t="shared" si="49"/>
        <v>1</v>
      </c>
      <c r="D1103" s="157">
        <v>0</v>
      </c>
      <c r="E1103" s="157">
        <f t="shared" si="50"/>
        <v>1</v>
      </c>
      <c r="F1103" s="157" t="str">
        <f t="shared" si="51"/>
        <v>Sunday</v>
      </c>
      <c r="H1103" s="157"/>
      <c r="I1103" s="157">
        <f t="shared" si="52"/>
        <v>33</v>
      </c>
      <c r="J1103" s="157">
        <f t="shared" si="53"/>
        <v>34</v>
      </c>
    </row>
    <row r="1104" spans="1:10" ht="15" customHeight="1" x14ac:dyDescent="0.2">
      <c r="A1104" s="157">
        <v>1103</v>
      </c>
      <c r="B1104" s="163">
        <v>45894</v>
      </c>
      <c r="C1104" s="157">
        <f t="shared" si="49"/>
        <v>0</v>
      </c>
      <c r="D1104" s="157">
        <v>0</v>
      </c>
      <c r="E1104" s="157">
        <f t="shared" si="50"/>
        <v>0</v>
      </c>
      <c r="F1104" s="157" t="str">
        <f t="shared" si="51"/>
        <v>Monday</v>
      </c>
      <c r="H1104" s="157"/>
      <c r="I1104" s="157">
        <f t="shared" si="52"/>
        <v>34</v>
      </c>
      <c r="J1104" s="157">
        <f t="shared" si="53"/>
        <v>35</v>
      </c>
    </row>
    <row r="1105" spans="1:11" ht="15" customHeight="1" x14ac:dyDescent="0.2">
      <c r="A1105" s="157">
        <v>1104</v>
      </c>
      <c r="B1105" s="163">
        <v>45895</v>
      </c>
      <c r="C1105" s="157">
        <f t="shared" si="49"/>
        <v>0</v>
      </c>
      <c r="D1105" s="157">
        <v>0</v>
      </c>
      <c r="E1105" s="157">
        <f t="shared" si="50"/>
        <v>0</v>
      </c>
      <c r="F1105" s="157" t="str">
        <f t="shared" si="51"/>
        <v>Tuesday</v>
      </c>
      <c r="H1105" s="157"/>
      <c r="I1105" s="157">
        <f t="shared" si="52"/>
        <v>34</v>
      </c>
      <c r="J1105" s="157">
        <f t="shared" si="53"/>
        <v>35</v>
      </c>
    </row>
    <row r="1106" spans="1:11" ht="15" customHeight="1" x14ac:dyDescent="0.2">
      <c r="A1106" s="157">
        <v>1105</v>
      </c>
      <c r="B1106" s="163">
        <v>45896</v>
      </c>
      <c r="C1106" s="157">
        <f t="shared" si="49"/>
        <v>0</v>
      </c>
      <c r="D1106" s="157">
        <v>0</v>
      </c>
      <c r="E1106" s="157">
        <f t="shared" si="50"/>
        <v>0</v>
      </c>
      <c r="F1106" s="157" t="str">
        <f t="shared" si="51"/>
        <v>Wednesday</v>
      </c>
      <c r="H1106" s="157"/>
      <c r="I1106" s="157">
        <f t="shared" si="52"/>
        <v>34</v>
      </c>
      <c r="J1106" s="157">
        <f t="shared" si="53"/>
        <v>35</v>
      </c>
    </row>
    <row r="1107" spans="1:11" ht="15" customHeight="1" x14ac:dyDescent="0.2">
      <c r="A1107" s="157">
        <v>1106</v>
      </c>
      <c r="B1107" s="163">
        <v>45897</v>
      </c>
      <c r="C1107" s="157">
        <f t="shared" si="49"/>
        <v>0</v>
      </c>
      <c r="D1107" s="157">
        <v>0</v>
      </c>
      <c r="E1107" s="157">
        <f t="shared" si="50"/>
        <v>0</v>
      </c>
      <c r="F1107" s="157" t="str">
        <f t="shared" si="51"/>
        <v>Thursday</v>
      </c>
      <c r="H1107" s="157"/>
      <c r="I1107" s="157">
        <f t="shared" si="52"/>
        <v>34</v>
      </c>
      <c r="J1107" s="157">
        <f t="shared" si="53"/>
        <v>35</v>
      </c>
    </row>
    <row r="1108" spans="1:11" ht="15" customHeight="1" x14ac:dyDescent="0.2">
      <c r="A1108" s="157">
        <v>1107</v>
      </c>
      <c r="B1108" s="163">
        <v>45898</v>
      </c>
      <c r="C1108" s="157">
        <f t="shared" si="49"/>
        <v>0</v>
      </c>
      <c r="D1108" s="157">
        <v>0</v>
      </c>
      <c r="E1108" s="157">
        <f t="shared" si="50"/>
        <v>0</v>
      </c>
      <c r="F1108" s="157" t="str">
        <f t="shared" si="51"/>
        <v>Friday</v>
      </c>
      <c r="H1108" s="157"/>
      <c r="I1108" s="157">
        <f t="shared" si="52"/>
        <v>34</v>
      </c>
      <c r="J1108" s="157">
        <f t="shared" si="53"/>
        <v>35</v>
      </c>
    </row>
    <row r="1109" spans="1:11" ht="15" customHeight="1" x14ac:dyDescent="0.2">
      <c r="A1109" s="157">
        <v>1108</v>
      </c>
      <c r="B1109" s="163">
        <v>45899</v>
      </c>
      <c r="C1109" s="157">
        <f t="shared" si="49"/>
        <v>1</v>
      </c>
      <c r="D1109" s="157">
        <v>0</v>
      </c>
      <c r="E1109" s="157">
        <f t="shared" si="50"/>
        <v>1</v>
      </c>
      <c r="F1109" s="157" t="str">
        <f t="shared" si="51"/>
        <v>Saturday</v>
      </c>
      <c r="H1109" s="157"/>
      <c r="I1109" s="157">
        <f t="shared" si="52"/>
        <v>34</v>
      </c>
      <c r="J1109" s="157">
        <f t="shared" si="53"/>
        <v>35</v>
      </c>
    </row>
    <row r="1110" spans="1:11" ht="15" customHeight="1" x14ac:dyDescent="0.2">
      <c r="A1110" s="157">
        <v>1109</v>
      </c>
      <c r="B1110" s="163">
        <v>45900</v>
      </c>
      <c r="C1110" s="157">
        <f t="shared" si="49"/>
        <v>1</v>
      </c>
      <c r="D1110" s="157">
        <v>0</v>
      </c>
      <c r="E1110" s="157">
        <f t="shared" si="50"/>
        <v>1</v>
      </c>
      <c r="F1110" s="157" t="str">
        <f t="shared" si="51"/>
        <v>Sunday</v>
      </c>
      <c r="H1110" s="157"/>
      <c r="I1110" s="157">
        <f t="shared" si="52"/>
        <v>34</v>
      </c>
      <c r="J1110" s="157">
        <f t="shared" si="53"/>
        <v>35</v>
      </c>
    </row>
    <row r="1111" spans="1:11" ht="15" customHeight="1" x14ac:dyDescent="0.2">
      <c r="A1111" s="157">
        <v>1110</v>
      </c>
      <c r="B1111" s="163">
        <v>45901</v>
      </c>
      <c r="C1111" s="157">
        <f t="shared" si="49"/>
        <v>0</v>
      </c>
      <c r="D1111" s="157">
        <v>0</v>
      </c>
      <c r="E1111" s="157">
        <f t="shared" si="50"/>
        <v>0</v>
      </c>
      <c r="F1111" s="157" t="str">
        <f t="shared" si="51"/>
        <v>Monday</v>
      </c>
      <c r="H1111" s="165">
        <v>1</v>
      </c>
      <c r="I1111" s="157">
        <f t="shared" si="52"/>
        <v>1</v>
      </c>
      <c r="J1111" s="157">
        <f t="shared" si="53"/>
        <v>36</v>
      </c>
      <c r="K1111" t="s">
        <v>1780</v>
      </c>
    </row>
    <row r="1112" spans="1:11" ht="15" customHeight="1" x14ac:dyDescent="0.2">
      <c r="A1112" s="157">
        <v>1111</v>
      </c>
      <c r="B1112" s="163">
        <v>45902</v>
      </c>
      <c r="C1112" s="157">
        <f t="shared" si="49"/>
        <v>0</v>
      </c>
      <c r="D1112" s="157">
        <v>0</v>
      </c>
      <c r="E1112" s="157">
        <f t="shared" si="50"/>
        <v>0</v>
      </c>
      <c r="F1112" s="157" t="str">
        <f t="shared" si="51"/>
        <v>Tuesday</v>
      </c>
      <c r="H1112" s="165">
        <v>1</v>
      </c>
      <c r="I1112" s="157">
        <f t="shared" si="52"/>
        <v>1</v>
      </c>
      <c r="J1112" s="157">
        <f t="shared" si="53"/>
        <v>36</v>
      </c>
      <c r="K1112" t="s">
        <v>1780</v>
      </c>
    </row>
    <row r="1113" spans="1:11" ht="15" customHeight="1" x14ac:dyDescent="0.2">
      <c r="A1113" s="157">
        <v>1112</v>
      </c>
      <c r="B1113" s="163">
        <v>45903</v>
      </c>
      <c r="C1113" s="157">
        <f t="shared" si="49"/>
        <v>0</v>
      </c>
      <c r="D1113" s="157">
        <v>0</v>
      </c>
      <c r="E1113" s="157">
        <f t="shared" si="50"/>
        <v>0</v>
      </c>
      <c r="F1113" s="157" t="str">
        <f t="shared" si="51"/>
        <v>Wednesday</v>
      </c>
      <c r="H1113" s="165">
        <v>1</v>
      </c>
      <c r="I1113" s="157">
        <f t="shared" si="52"/>
        <v>1</v>
      </c>
      <c r="J1113" s="157">
        <f t="shared" si="53"/>
        <v>36</v>
      </c>
      <c r="K1113" t="s">
        <v>1780</v>
      </c>
    </row>
    <row r="1114" spans="1:11" ht="15" customHeight="1" x14ac:dyDescent="0.2">
      <c r="A1114" s="157">
        <v>1113</v>
      </c>
      <c r="B1114" s="163">
        <v>45904</v>
      </c>
      <c r="C1114" s="157">
        <f t="shared" si="49"/>
        <v>0</v>
      </c>
      <c r="D1114" s="157">
        <v>0</v>
      </c>
      <c r="E1114" s="157">
        <f t="shared" si="50"/>
        <v>0</v>
      </c>
      <c r="F1114" s="157" t="str">
        <f t="shared" si="51"/>
        <v>Thursday</v>
      </c>
      <c r="H1114" s="165">
        <v>1</v>
      </c>
      <c r="I1114" s="157">
        <f t="shared" si="52"/>
        <v>1</v>
      </c>
      <c r="J1114" s="157">
        <f t="shared" si="53"/>
        <v>36</v>
      </c>
      <c r="K1114" t="s">
        <v>1780</v>
      </c>
    </row>
    <row r="1115" spans="1:11" ht="15" customHeight="1" x14ac:dyDescent="0.2">
      <c r="A1115" s="157">
        <v>1114</v>
      </c>
      <c r="B1115" s="163">
        <v>45905</v>
      </c>
      <c r="C1115" s="157">
        <f t="shared" si="49"/>
        <v>0</v>
      </c>
      <c r="D1115" s="157">
        <v>0</v>
      </c>
      <c r="E1115" s="157">
        <f t="shared" si="50"/>
        <v>0</v>
      </c>
      <c r="F1115" s="157" t="str">
        <f t="shared" si="51"/>
        <v>Friday</v>
      </c>
      <c r="H1115" s="165">
        <v>1</v>
      </c>
      <c r="I1115" s="157">
        <f t="shared" si="52"/>
        <v>1</v>
      </c>
      <c r="J1115" s="157">
        <f t="shared" si="53"/>
        <v>36</v>
      </c>
      <c r="K1115" t="s">
        <v>1780</v>
      </c>
    </row>
    <row r="1116" spans="1:11" ht="15" customHeight="1" x14ac:dyDescent="0.2">
      <c r="A1116" s="157">
        <v>1115</v>
      </c>
      <c r="B1116" s="163">
        <v>45906</v>
      </c>
      <c r="C1116" s="157">
        <f t="shared" si="49"/>
        <v>1</v>
      </c>
      <c r="D1116" s="157">
        <v>0</v>
      </c>
      <c r="E1116" s="157">
        <f t="shared" si="50"/>
        <v>1</v>
      </c>
      <c r="F1116" s="157" t="str">
        <f t="shared" si="51"/>
        <v>Saturday</v>
      </c>
      <c r="H1116" s="165">
        <v>1</v>
      </c>
      <c r="I1116" s="157">
        <f t="shared" si="52"/>
        <v>1</v>
      </c>
      <c r="J1116" s="157">
        <f t="shared" si="53"/>
        <v>36</v>
      </c>
      <c r="K1116" t="s">
        <v>1780</v>
      </c>
    </row>
    <row r="1117" spans="1:11" ht="15" customHeight="1" x14ac:dyDescent="0.2">
      <c r="A1117" s="157">
        <v>1116</v>
      </c>
      <c r="B1117" s="163">
        <v>45907</v>
      </c>
      <c r="C1117" s="157">
        <f t="shared" si="49"/>
        <v>1</v>
      </c>
      <c r="D1117" s="157">
        <v>0</v>
      </c>
      <c r="E1117" s="157">
        <f t="shared" si="50"/>
        <v>1</v>
      </c>
      <c r="F1117" s="157" t="str">
        <f t="shared" si="51"/>
        <v>Sunday</v>
      </c>
      <c r="H1117" s="165">
        <v>1</v>
      </c>
      <c r="I1117" s="157">
        <f t="shared" si="52"/>
        <v>1</v>
      </c>
      <c r="J1117" s="157">
        <f t="shared" si="53"/>
        <v>36</v>
      </c>
      <c r="K1117" t="s">
        <v>1780</v>
      </c>
    </row>
    <row r="1118" spans="1:11" ht="15" customHeight="1" x14ac:dyDescent="0.2">
      <c r="A1118" s="157">
        <v>1117</v>
      </c>
      <c r="B1118" s="163">
        <v>45908</v>
      </c>
      <c r="C1118" s="157">
        <f t="shared" si="49"/>
        <v>0</v>
      </c>
      <c r="D1118" s="157">
        <v>0</v>
      </c>
      <c r="E1118" s="157">
        <f t="shared" si="50"/>
        <v>0</v>
      </c>
      <c r="F1118" s="157" t="str">
        <f t="shared" si="51"/>
        <v>Monday</v>
      </c>
      <c r="H1118" s="165">
        <v>1</v>
      </c>
      <c r="I1118" s="157">
        <f t="shared" si="52"/>
        <v>2</v>
      </c>
      <c r="J1118" s="157">
        <f t="shared" si="53"/>
        <v>37</v>
      </c>
      <c r="K1118" t="s">
        <v>1780</v>
      </c>
    </row>
    <row r="1119" spans="1:11" ht="15" customHeight="1" x14ac:dyDescent="0.2">
      <c r="A1119" s="157">
        <v>1118</v>
      </c>
      <c r="B1119" s="163">
        <v>45909</v>
      </c>
      <c r="C1119" s="157">
        <f t="shared" si="49"/>
        <v>0</v>
      </c>
      <c r="D1119" s="157">
        <v>0</v>
      </c>
      <c r="E1119" s="157">
        <f t="shared" si="50"/>
        <v>0</v>
      </c>
      <c r="F1119" s="157" t="str">
        <f t="shared" si="51"/>
        <v>Tuesday</v>
      </c>
      <c r="H1119" s="165">
        <v>1</v>
      </c>
      <c r="I1119" s="157">
        <f t="shared" si="52"/>
        <v>2</v>
      </c>
      <c r="J1119" s="157">
        <f t="shared" si="53"/>
        <v>37</v>
      </c>
      <c r="K1119" t="s">
        <v>1780</v>
      </c>
    </row>
    <row r="1120" spans="1:11" ht="15" customHeight="1" x14ac:dyDescent="0.2">
      <c r="A1120" s="157">
        <v>1119</v>
      </c>
      <c r="B1120" s="163">
        <v>45910</v>
      </c>
      <c r="C1120" s="157">
        <f t="shared" si="49"/>
        <v>0</v>
      </c>
      <c r="D1120" s="157">
        <v>0</v>
      </c>
      <c r="E1120" s="157">
        <f t="shared" si="50"/>
        <v>0</v>
      </c>
      <c r="F1120" s="157" t="str">
        <f t="shared" si="51"/>
        <v>Wednesday</v>
      </c>
      <c r="H1120" s="165">
        <v>1</v>
      </c>
      <c r="I1120" s="157">
        <f t="shared" si="52"/>
        <v>2</v>
      </c>
      <c r="J1120" s="157">
        <f t="shared" si="53"/>
        <v>37</v>
      </c>
      <c r="K1120" t="s">
        <v>1780</v>
      </c>
    </row>
    <row r="1121" spans="1:11" ht="15" customHeight="1" x14ac:dyDescent="0.2">
      <c r="A1121" s="157">
        <v>1120</v>
      </c>
      <c r="B1121" s="163">
        <v>45911</v>
      </c>
      <c r="C1121" s="157">
        <f t="shared" si="49"/>
        <v>0</v>
      </c>
      <c r="D1121" s="157">
        <v>0</v>
      </c>
      <c r="E1121" s="157">
        <f t="shared" si="50"/>
        <v>0</v>
      </c>
      <c r="F1121" s="157" t="str">
        <f t="shared" si="51"/>
        <v>Thursday</v>
      </c>
      <c r="H1121" s="165">
        <v>1</v>
      </c>
      <c r="I1121" s="157">
        <f t="shared" si="52"/>
        <v>2</v>
      </c>
      <c r="J1121" s="157">
        <f t="shared" si="53"/>
        <v>37</v>
      </c>
      <c r="K1121" t="s">
        <v>1780</v>
      </c>
    </row>
    <row r="1122" spans="1:11" ht="15" customHeight="1" x14ac:dyDescent="0.2">
      <c r="A1122" s="157">
        <v>1121</v>
      </c>
      <c r="B1122" s="163">
        <v>45912</v>
      </c>
      <c r="C1122" s="157">
        <f t="shared" si="49"/>
        <v>0</v>
      </c>
      <c r="D1122" s="157">
        <v>0</v>
      </c>
      <c r="E1122" s="157">
        <f t="shared" si="50"/>
        <v>0</v>
      </c>
      <c r="F1122" s="157" t="str">
        <f t="shared" si="51"/>
        <v>Friday</v>
      </c>
      <c r="H1122" s="165">
        <v>1</v>
      </c>
      <c r="I1122" s="157">
        <f t="shared" si="52"/>
        <v>2</v>
      </c>
      <c r="J1122" s="157">
        <f t="shared" si="53"/>
        <v>37</v>
      </c>
      <c r="K1122" t="s">
        <v>1780</v>
      </c>
    </row>
    <row r="1123" spans="1:11" ht="15" customHeight="1" x14ac:dyDescent="0.2">
      <c r="A1123" s="157">
        <v>1122</v>
      </c>
      <c r="B1123" s="163">
        <v>45913</v>
      </c>
      <c r="C1123" s="157">
        <f t="shared" si="49"/>
        <v>1</v>
      </c>
      <c r="D1123" s="157">
        <v>0</v>
      </c>
      <c r="E1123" s="157">
        <f t="shared" si="50"/>
        <v>1</v>
      </c>
      <c r="F1123" s="157" t="str">
        <f t="shared" si="51"/>
        <v>Saturday</v>
      </c>
      <c r="H1123" s="165">
        <v>1</v>
      </c>
      <c r="I1123" s="157">
        <f t="shared" si="52"/>
        <v>2</v>
      </c>
      <c r="J1123" s="157">
        <f t="shared" si="53"/>
        <v>37</v>
      </c>
      <c r="K1123" t="s">
        <v>1780</v>
      </c>
    </row>
    <row r="1124" spans="1:11" ht="15" customHeight="1" x14ac:dyDescent="0.2">
      <c r="A1124" s="157">
        <v>1123</v>
      </c>
      <c r="B1124" s="163">
        <v>45914</v>
      </c>
      <c r="C1124" s="157">
        <f t="shared" si="49"/>
        <v>1</v>
      </c>
      <c r="D1124" s="157">
        <v>0</v>
      </c>
      <c r="E1124" s="157">
        <f t="shared" si="50"/>
        <v>1</v>
      </c>
      <c r="F1124" s="157" t="str">
        <f t="shared" si="51"/>
        <v>Sunday</v>
      </c>
      <c r="H1124" s="165">
        <v>1</v>
      </c>
      <c r="I1124" s="157">
        <f t="shared" si="52"/>
        <v>2</v>
      </c>
      <c r="J1124" s="157">
        <f t="shared" si="53"/>
        <v>37</v>
      </c>
      <c r="K1124" t="s">
        <v>1780</v>
      </c>
    </row>
    <row r="1125" spans="1:11" ht="15" customHeight="1" x14ac:dyDescent="0.2">
      <c r="A1125" s="157">
        <v>1124</v>
      </c>
      <c r="B1125" s="163">
        <v>45915</v>
      </c>
      <c r="C1125" s="157">
        <f t="shared" si="49"/>
        <v>0</v>
      </c>
      <c r="D1125" s="157">
        <v>0</v>
      </c>
      <c r="E1125" s="157">
        <f t="shared" si="50"/>
        <v>0</v>
      </c>
      <c r="F1125" s="157" t="str">
        <f t="shared" si="51"/>
        <v>Monday</v>
      </c>
      <c r="H1125" s="165">
        <v>1</v>
      </c>
      <c r="I1125" s="157">
        <f t="shared" si="52"/>
        <v>3</v>
      </c>
      <c r="J1125" s="157">
        <f t="shared" si="53"/>
        <v>38</v>
      </c>
      <c r="K1125" t="s">
        <v>1780</v>
      </c>
    </row>
    <row r="1126" spans="1:11" ht="15" customHeight="1" x14ac:dyDescent="0.2">
      <c r="A1126" s="157">
        <v>1125</v>
      </c>
      <c r="B1126" s="163">
        <v>45916</v>
      </c>
      <c r="C1126" s="157">
        <f t="shared" si="49"/>
        <v>0</v>
      </c>
      <c r="D1126" s="157">
        <v>0</v>
      </c>
      <c r="E1126" s="157">
        <f t="shared" si="50"/>
        <v>0</v>
      </c>
      <c r="F1126" s="157" t="str">
        <f t="shared" si="51"/>
        <v>Tuesday</v>
      </c>
      <c r="H1126" s="165">
        <v>1</v>
      </c>
      <c r="I1126" s="157">
        <f t="shared" si="52"/>
        <v>3</v>
      </c>
      <c r="J1126" s="157">
        <f t="shared" si="53"/>
        <v>38</v>
      </c>
      <c r="K1126" t="s">
        <v>1780</v>
      </c>
    </row>
    <row r="1127" spans="1:11" ht="15" customHeight="1" x14ac:dyDescent="0.2">
      <c r="A1127" s="157">
        <v>1126</v>
      </c>
      <c r="B1127" s="163">
        <v>45917</v>
      </c>
      <c r="C1127" s="157">
        <f t="shared" si="49"/>
        <v>0</v>
      </c>
      <c r="D1127" s="157">
        <v>0</v>
      </c>
      <c r="E1127" s="157">
        <f t="shared" si="50"/>
        <v>0</v>
      </c>
      <c r="F1127" s="157" t="str">
        <f t="shared" si="51"/>
        <v>Wednesday</v>
      </c>
      <c r="H1127" s="165">
        <v>1</v>
      </c>
      <c r="I1127" s="157">
        <f t="shared" si="52"/>
        <v>3</v>
      </c>
      <c r="J1127" s="157">
        <f t="shared" si="53"/>
        <v>38</v>
      </c>
      <c r="K1127" t="s">
        <v>1780</v>
      </c>
    </row>
    <row r="1128" spans="1:11" ht="15" customHeight="1" x14ac:dyDescent="0.2">
      <c r="A1128" s="157">
        <v>1127</v>
      </c>
      <c r="B1128" s="163">
        <v>45918</v>
      </c>
      <c r="C1128" s="157">
        <f t="shared" si="49"/>
        <v>0</v>
      </c>
      <c r="D1128" s="157">
        <v>0</v>
      </c>
      <c r="E1128" s="157">
        <f t="shared" si="50"/>
        <v>0</v>
      </c>
      <c r="F1128" s="157" t="str">
        <f t="shared" si="51"/>
        <v>Thursday</v>
      </c>
      <c r="H1128" s="165">
        <v>1</v>
      </c>
      <c r="I1128" s="157">
        <f t="shared" si="52"/>
        <v>3</v>
      </c>
      <c r="J1128" s="157">
        <f t="shared" si="53"/>
        <v>38</v>
      </c>
      <c r="K1128" t="s">
        <v>1780</v>
      </c>
    </row>
    <row r="1129" spans="1:11" ht="15" customHeight="1" x14ac:dyDescent="0.2">
      <c r="A1129" s="157">
        <v>1128</v>
      </c>
      <c r="B1129" s="163">
        <v>45919</v>
      </c>
      <c r="C1129" s="157">
        <f t="shared" si="49"/>
        <v>0</v>
      </c>
      <c r="D1129" s="157">
        <v>0</v>
      </c>
      <c r="E1129" s="157">
        <f t="shared" si="50"/>
        <v>0</v>
      </c>
      <c r="F1129" s="157" t="str">
        <f t="shared" si="51"/>
        <v>Friday</v>
      </c>
      <c r="H1129" s="165">
        <v>1</v>
      </c>
      <c r="I1129" s="157">
        <f t="shared" si="52"/>
        <v>3</v>
      </c>
      <c r="J1129" s="157">
        <f t="shared" si="53"/>
        <v>38</v>
      </c>
      <c r="K1129" t="s">
        <v>1780</v>
      </c>
    </row>
    <row r="1130" spans="1:11" ht="15" customHeight="1" x14ac:dyDescent="0.2">
      <c r="A1130" s="157">
        <v>1129</v>
      </c>
      <c r="B1130" s="163">
        <v>45920</v>
      </c>
      <c r="C1130" s="157">
        <f t="shared" ref="C1130:C1193" si="54">IF(OR(WEEKDAY(B1130) = 7, WEEKDAY(B1130) = 1), 1, 0)</f>
        <v>1</v>
      </c>
      <c r="D1130" s="157">
        <v>0</v>
      </c>
      <c r="E1130" s="157">
        <f t="shared" ref="E1130:E1193" si="55">IF((C1130+D1130)&gt;0, 1, 0)</f>
        <v>1</v>
      </c>
      <c r="F1130" s="157" t="str">
        <f t="shared" ref="F1130:F1193" si="56">TEXT(B1130, "dddd")</f>
        <v>Saturday</v>
      </c>
      <c r="H1130" s="165">
        <v>1</v>
      </c>
      <c r="I1130" s="157">
        <f t="shared" ref="I1130:I1193" si="57">IF(J1130&gt;J1129, IF(H1130&lt;&gt;H1129,1, I1129+1),I1129)</f>
        <v>3</v>
      </c>
      <c r="J1130" s="157">
        <f t="shared" ref="J1130:J1193" si="58">_xlfn.ISOWEEKNUM(B1130)</f>
        <v>38</v>
      </c>
      <c r="K1130" t="s">
        <v>1780</v>
      </c>
    </row>
    <row r="1131" spans="1:11" ht="15" customHeight="1" x14ac:dyDescent="0.2">
      <c r="A1131" s="157">
        <v>1130</v>
      </c>
      <c r="B1131" s="163">
        <v>45921</v>
      </c>
      <c r="C1131" s="157">
        <f t="shared" si="54"/>
        <v>1</v>
      </c>
      <c r="D1131" s="157">
        <v>0</v>
      </c>
      <c r="E1131" s="157">
        <f t="shared" si="55"/>
        <v>1</v>
      </c>
      <c r="F1131" s="157" t="str">
        <f t="shared" si="56"/>
        <v>Sunday</v>
      </c>
      <c r="H1131" s="165">
        <v>1</v>
      </c>
      <c r="I1131" s="157">
        <f t="shared" si="57"/>
        <v>3</v>
      </c>
      <c r="J1131" s="157">
        <f t="shared" si="58"/>
        <v>38</v>
      </c>
      <c r="K1131" t="s">
        <v>1780</v>
      </c>
    </row>
    <row r="1132" spans="1:11" ht="15" customHeight="1" x14ac:dyDescent="0.2">
      <c r="A1132" s="157">
        <v>1131</v>
      </c>
      <c r="B1132" s="163">
        <v>45922</v>
      </c>
      <c r="C1132" s="157">
        <f t="shared" si="54"/>
        <v>0</v>
      </c>
      <c r="D1132" s="157">
        <v>0</v>
      </c>
      <c r="E1132" s="157">
        <f t="shared" si="55"/>
        <v>0</v>
      </c>
      <c r="F1132" s="157" t="str">
        <f t="shared" si="56"/>
        <v>Monday</v>
      </c>
      <c r="H1132" s="165">
        <v>1</v>
      </c>
      <c r="I1132" s="157">
        <f t="shared" si="57"/>
        <v>4</v>
      </c>
      <c r="J1132" s="157">
        <f t="shared" si="58"/>
        <v>39</v>
      </c>
      <c r="K1132" t="s">
        <v>1780</v>
      </c>
    </row>
    <row r="1133" spans="1:11" ht="15" customHeight="1" x14ac:dyDescent="0.2">
      <c r="A1133" s="157">
        <v>1132</v>
      </c>
      <c r="B1133" s="163">
        <v>45923</v>
      </c>
      <c r="C1133" s="157">
        <f t="shared" si="54"/>
        <v>0</v>
      </c>
      <c r="D1133" s="157">
        <v>0</v>
      </c>
      <c r="E1133" s="157">
        <f t="shared" si="55"/>
        <v>0</v>
      </c>
      <c r="F1133" s="157" t="str">
        <f t="shared" si="56"/>
        <v>Tuesday</v>
      </c>
      <c r="H1133" s="165">
        <v>1</v>
      </c>
      <c r="I1133" s="157">
        <f t="shared" si="57"/>
        <v>4</v>
      </c>
      <c r="J1133" s="157">
        <f t="shared" si="58"/>
        <v>39</v>
      </c>
      <c r="K1133" t="s">
        <v>1780</v>
      </c>
    </row>
    <row r="1134" spans="1:11" ht="15" customHeight="1" x14ac:dyDescent="0.2">
      <c r="A1134" s="157">
        <v>1133</v>
      </c>
      <c r="B1134" s="163">
        <v>45924</v>
      </c>
      <c r="C1134" s="157">
        <f t="shared" si="54"/>
        <v>0</v>
      </c>
      <c r="D1134" s="157">
        <v>0</v>
      </c>
      <c r="E1134" s="157">
        <f t="shared" si="55"/>
        <v>0</v>
      </c>
      <c r="F1134" s="157" t="str">
        <f t="shared" si="56"/>
        <v>Wednesday</v>
      </c>
      <c r="H1134" s="165">
        <v>1</v>
      </c>
      <c r="I1134" s="157">
        <f t="shared" si="57"/>
        <v>4</v>
      </c>
      <c r="J1134" s="157">
        <f t="shared" si="58"/>
        <v>39</v>
      </c>
      <c r="K1134" t="s">
        <v>1780</v>
      </c>
    </row>
    <row r="1135" spans="1:11" ht="15" customHeight="1" x14ac:dyDescent="0.2">
      <c r="A1135" s="157">
        <v>1134</v>
      </c>
      <c r="B1135" s="163">
        <v>45925</v>
      </c>
      <c r="C1135" s="157">
        <f t="shared" si="54"/>
        <v>0</v>
      </c>
      <c r="D1135" s="157">
        <v>0</v>
      </c>
      <c r="E1135" s="157">
        <f t="shared" si="55"/>
        <v>0</v>
      </c>
      <c r="F1135" s="157" t="str">
        <f t="shared" si="56"/>
        <v>Thursday</v>
      </c>
      <c r="H1135" s="165">
        <v>1</v>
      </c>
      <c r="I1135" s="157">
        <f t="shared" si="57"/>
        <v>4</v>
      </c>
      <c r="J1135" s="157">
        <f t="shared" si="58"/>
        <v>39</v>
      </c>
      <c r="K1135" t="s">
        <v>1780</v>
      </c>
    </row>
    <row r="1136" spans="1:11" ht="15" customHeight="1" x14ac:dyDescent="0.2">
      <c r="A1136" s="157">
        <v>1135</v>
      </c>
      <c r="B1136" s="163">
        <v>45926</v>
      </c>
      <c r="C1136" s="157">
        <f t="shared" si="54"/>
        <v>0</v>
      </c>
      <c r="D1136" s="157">
        <v>0</v>
      </c>
      <c r="E1136" s="157">
        <f t="shared" si="55"/>
        <v>0</v>
      </c>
      <c r="F1136" s="157" t="str">
        <f t="shared" si="56"/>
        <v>Friday</v>
      </c>
      <c r="H1136" s="165">
        <v>1</v>
      </c>
      <c r="I1136" s="157">
        <f t="shared" si="57"/>
        <v>4</v>
      </c>
      <c r="J1136" s="157">
        <f t="shared" si="58"/>
        <v>39</v>
      </c>
      <c r="K1136" t="s">
        <v>1780</v>
      </c>
    </row>
    <row r="1137" spans="1:11" ht="15" customHeight="1" x14ac:dyDescent="0.2">
      <c r="A1137" s="157">
        <v>1136</v>
      </c>
      <c r="B1137" s="163">
        <v>45927</v>
      </c>
      <c r="C1137" s="157">
        <f t="shared" si="54"/>
        <v>1</v>
      </c>
      <c r="D1137" s="157">
        <v>0</v>
      </c>
      <c r="E1137" s="157">
        <f t="shared" si="55"/>
        <v>1</v>
      </c>
      <c r="F1137" s="157" t="str">
        <f t="shared" si="56"/>
        <v>Saturday</v>
      </c>
      <c r="H1137" s="165">
        <v>1</v>
      </c>
      <c r="I1137" s="157">
        <f t="shared" si="57"/>
        <v>4</v>
      </c>
      <c r="J1137" s="157">
        <f t="shared" si="58"/>
        <v>39</v>
      </c>
      <c r="K1137" t="s">
        <v>1780</v>
      </c>
    </row>
    <row r="1138" spans="1:11" ht="15" customHeight="1" x14ac:dyDescent="0.2">
      <c r="A1138" s="157">
        <v>1137</v>
      </c>
      <c r="B1138" s="163">
        <v>45928</v>
      </c>
      <c r="C1138" s="157">
        <f t="shared" si="54"/>
        <v>1</v>
      </c>
      <c r="D1138" s="157">
        <v>0</v>
      </c>
      <c r="E1138" s="157">
        <f t="shared" si="55"/>
        <v>1</v>
      </c>
      <c r="F1138" s="157" t="str">
        <f t="shared" si="56"/>
        <v>Sunday</v>
      </c>
      <c r="H1138" s="165">
        <v>1</v>
      </c>
      <c r="I1138" s="157">
        <f t="shared" si="57"/>
        <v>4</v>
      </c>
      <c r="J1138" s="157">
        <f t="shared" si="58"/>
        <v>39</v>
      </c>
      <c r="K1138" t="s">
        <v>1780</v>
      </c>
    </row>
    <row r="1139" spans="1:11" ht="15" customHeight="1" x14ac:dyDescent="0.2">
      <c r="A1139" s="157">
        <v>1138</v>
      </c>
      <c r="B1139" s="163">
        <v>45929</v>
      </c>
      <c r="C1139" s="157">
        <f t="shared" si="54"/>
        <v>0</v>
      </c>
      <c r="D1139" s="157">
        <v>0</v>
      </c>
      <c r="E1139" s="157">
        <f t="shared" si="55"/>
        <v>0</v>
      </c>
      <c r="F1139" s="157" t="str">
        <f t="shared" si="56"/>
        <v>Monday</v>
      </c>
      <c r="H1139" s="165">
        <v>1</v>
      </c>
      <c r="I1139" s="157">
        <f t="shared" si="57"/>
        <v>5</v>
      </c>
      <c r="J1139" s="157">
        <f t="shared" si="58"/>
        <v>40</v>
      </c>
      <c r="K1139" t="s">
        <v>1780</v>
      </c>
    </row>
    <row r="1140" spans="1:11" ht="15" customHeight="1" x14ac:dyDescent="0.2">
      <c r="A1140" s="157">
        <v>1139</v>
      </c>
      <c r="B1140" s="163">
        <v>45930</v>
      </c>
      <c r="C1140" s="157">
        <f t="shared" si="54"/>
        <v>0</v>
      </c>
      <c r="D1140" s="157">
        <v>0</v>
      </c>
      <c r="E1140" s="157">
        <f t="shared" si="55"/>
        <v>0</v>
      </c>
      <c r="F1140" s="157" t="str">
        <f t="shared" si="56"/>
        <v>Tuesday</v>
      </c>
      <c r="H1140" s="165">
        <v>1</v>
      </c>
      <c r="I1140" s="157">
        <f t="shared" si="57"/>
        <v>5</v>
      </c>
      <c r="J1140" s="157">
        <f t="shared" si="58"/>
        <v>40</v>
      </c>
      <c r="K1140" t="s">
        <v>1780</v>
      </c>
    </row>
    <row r="1141" spans="1:11" ht="15" customHeight="1" x14ac:dyDescent="0.2">
      <c r="A1141" s="157">
        <v>1140</v>
      </c>
      <c r="B1141" s="163">
        <v>45931</v>
      </c>
      <c r="C1141" s="157">
        <f t="shared" si="54"/>
        <v>0</v>
      </c>
      <c r="D1141" s="157">
        <v>0</v>
      </c>
      <c r="E1141" s="157">
        <f t="shared" si="55"/>
        <v>0</v>
      </c>
      <c r="F1141" s="157" t="str">
        <f t="shared" si="56"/>
        <v>Wednesday</v>
      </c>
      <c r="H1141" s="165">
        <v>1</v>
      </c>
      <c r="I1141" s="157">
        <f t="shared" si="57"/>
        <v>5</v>
      </c>
      <c r="J1141" s="157">
        <f t="shared" si="58"/>
        <v>40</v>
      </c>
      <c r="K1141" t="s">
        <v>1780</v>
      </c>
    </row>
    <row r="1142" spans="1:11" ht="15" customHeight="1" x14ac:dyDescent="0.2">
      <c r="A1142" s="157">
        <v>1141</v>
      </c>
      <c r="B1142" s="163">
        <v>45932</v>
      </c>
      <c r="C1142" s="157">
        <f t="shared" si="54"/>
        <v>0</v>
      </c>
      <c r="D1142" s="157">
        <v>0</v>
      </c>
      <c r="E1142" s="157">
        <f t="shared" si="55"/>
        <v>0</v>
      </c>
      <c r="F1142" s="157" t="str">
        <f t="shared" si="56"/>
        <v>Thursday</v>
      </c>
      <c r="H1142" s="165">
        <v>1</v>
      </c>
      <c r="I1142" s="157">
        <f t="shared" si="57"/>
        <v>5</v>
      </c>
      <c r="J1142" s="157">
        <f t="shared" si="58"/>
        <v>40</v>
      </c>
      <c r="K1142" t="s">
        <v>1780</v>
      </c>
    </row>
    <row r="1143" spans="1:11" ht="15" customHeight="1" x14ac:dyDescent="0.2">
      <c r="A1143" s="157">
        <v>1142</v>
      </c>
      <c r="B1143" s="163">
        <v>45933</v>
      </c>
      <c r="C1143" s="157">
        <f t="shared" si="54"/>
        <v>0</v>
      </c>
      <c r="D1143" s="157">
        <v>0</v>
      </c>
      <c r="E1143" s="157">
        <f t="shared" si="55"/>
        <v>0</v>
      </c>
      <c r="F1143" s="157" t="str">
        <f t="shared" si="56"/>
        <v>Friday</v>
      </c>
      <c r="H1143" s="165">
        <v>1</v>
      </c>
      <c r="I1143" s="157">
        <f t="shared" si="57"/>
        <v>5</v>
      </c>
      <c r="J1143" s="157">
        <f t="shared" si="58"/>
        <v>40</v>
      </c>
      <c r="K1143" t="s">
        <v>1780</v>
      </c>
    </row>
    <row r="1144" spans="1:11" ht="15" customHeight="1" x14ac:dyDescent="0.2">
      <c r="A1144" s="157">
        <v>1143</v>
      </c>
      <c r="B1144" s="163">
        <v>45934</v>
      </c>
      <c r="C1144" s="157">
        <f t="shared" si="54"/>
        <v>1</v>
      </c>
      <c r="D1144" s="157">
        <v>0</v>
      </c>
      <c r="E1144" s="157">
        <f t="shared" si="55"/>
        <v>1</v>
      </c>
      <c r="F1144" s="157" t="str">
        <f t="shared" si="56"/>
        <v>Saturday</v>
      </c>
      <c r="H1144" s="165">
        <v>1</v>
      </c>
      <c r="I1144" s="157">
        <f t="shared" si="57"/>
        <v>5</v>
      </c>
      <c r="J1144" s="157">
        <f t="shared" si="58"/>
        <v>40</v>
      </c>
      <c r="K1144" t="s">
        <v>1780</v>
      </c>
    </row>
    <row r="1145" spans="1:11" ht="15" customHeight="1" x14ac:dyDescent="0.2">
      <c r="A1145" s="157">
        <v>1144</v>
      </c>
      <c r="B1145" s="163">
        <v>45935</v>
      </c>
      <c r="C1145" s="157">
        <f t="shared" si="54"/>
        <v>1</v>
      </c>
      <c r="D1145" s="157">
        <v>0</v>
      </c>
      <c r="E1145" s="157">
        <f t="shared" si="55"/>
        <v>1</v>
      </c>
      <c r="F1145" s="157" t="str">
        <f t="shared" si="56"/>
        <v>Sunday</v>
      </c>
      <c r="H1145" s="165">
        <v>1</v>
      </c>
      <c r="I1145" s="157">
        <f t="shared" si="57"/>
        <v>5</v>
      </c>
      <c r="J1145" s="157">
        <f t="shared" si="58"/>
        <v>40</v>
      </c>
      <c r="K1145" t="s">
        <v>1780</v>
      </c>
    </row>
    <row r="1146" spans="1:11" ht="15" customHeight="1" x14ac:dyDescent="0.2">
      <c r="A1146" s="157">
        <v>1145</v>
      </c>
      <c r="B1146" s="163">
        <v>45936</v>
      </c>
      <c r="C1146" s="157">
        <f t="shared" si="54"/>
        <v>0</v>
      </c>
      <c r="D1146" s="157">
        <v>0</v>
      </c>
      <c r="E1146" s="157">
        <f t="shared" si="55"/>
        <v>0</v>
      </c>
      <c r="F1146" s="157" t="str">
        <f t="shared" si="56"/>
        <v>Monday</v>
      </c>
      <c r="H1146" s="165">
        <v>1</v>
      </c>
      <c r="I1146" s="157">
        <f t="shared" si="57"/>
        <v>6</v>
      </c>
      <c r="J1146" s="157">
        <f t="shared" si="58"/>
        <v>41</v>
      </c>
      <c r="K1146" t="s">
        <v>1780</v>
      </c>
    </row>
    <row r="1147" spans="1:11" ht="15" customHeight="1" x14ac:dyDescent="0.2">
      <c r="A1147" s="157">
        <v>1146</v>
      </c>
      <c r="B1147" s="163">
        <v>45937</v>
      </c>
      <c r="C1147" s="157">
        <f t="shared" si="54"/>
        <v>0</v>
      </c>
      <c r="D1147" s="157">
        <v>0</v>
      </c>
      <c r="E1147" s="157">
        <f t="shared" si="55"/>
        <v>0</v>
      </c>
      <c r="F1147" s="157" t="str">
        <f t="shared" si="56"/>
        <v>Tuesday</v>
      </c>
      <c r="H1147" s="165">
        <v>1</v>
      </c>
      <c r="I1147" s="157">
        <f t="shared" si="57"/>
        <v>6</v>
      </c>
      <c r="J1147" s="157">
        <f t="shared" si="58"/>
        <v>41</v>
      </c>
      <c r="K1147" t="s">
        <v>1780</v>
      </c>
    </row>
    <row r="1148" spans="1:11" ht="15" customHeight="1" x14ac:dyDescent="0.2">
      <c r="A1148" s="157">
        <v>1147</v>
      </c>
      <c r="B1148" s="163">
        <v>45938</v>
      </c>
      <c r="C1148" s="157">
        <f t="shared" si="54"/>
        <v>0</v>
      </c>
      <c r="D1148" s="157">
        <v>0</v>
      </c>
      <c r="E1148" s="157">
        <f t="shared" si="55"/>
        <v>0</v>
      </c>
      <c r="F1148" s="157" t="str">
        <f t="shared" si="56"/>
        <v>Wednesday</v>
      </c>
      <c r="H1148" s="165">
        <v>1</v>
      </c>
      <c r="I1148" s="157">
        <f t="shared" si="57"/>
        <v>6</v>
      </c>
      <c r="J1148" s="157">
        <f t="shared" si="58"/>
        <v>41</v>
      </c>
      <c r="K1148" t="s">
        <v>1780</v>
      </c>
    </row>
    <row r="1149" spans="1:11" ht="15" customHeight="1" x14ac:dyDescent="0.2">
      <c r="A1149" s="157">
        <v>1148</v>
      </c>
      <c r="B1149" s="163">
        <v>45939</v>
      </c>
      <c r="C1149" s="157">
        <f t="shared" si="54"/>
        <v>0</v>
      </c>
      <c r="D1149" s="157">
        <v>0</v>
      </c>
      <c r="E1149" s="157">
        <f t="shared" si="55"/>
        <v>0</v>
      </c>
      <c r="F1149" s="157" t="str">
        <f t="shared" si="56"/>
        <v>Thursday</v>
      </c>
      <c r="H1149" s="165">
        <v>1</v>
      </c>
      <c r="I1149" s="157">
        <f t="shared" si="57"/>
        <v>6</v>
      </c>
      <c r="J1149" s="157">
        <f t="shared" si="58"/>
        <v>41</v>
      </c>
      <c r="K1149" t="s">
        <v>1780</v>
      </c>
    </row>
    <row r="1150" spans="1:11" ht="15" customHeight="1" x14ac:dyDescent="0.2">
      <c r="A1150" s="157">
        <v>1149</v>
      </c>
      <c r="B1150" s="163">
        <v>45940</v>
      </c>
      <c r="C1150" s="157">
        <f t="shared" si="54"/>
        <v>0</v>
      </c>
      <c r="D1150" s="157">
        <v>0</v>
      </c>
      <c r="E1150" s="157">
        <f t="shared" si="55"/>
        <v>0</v>
      </c>
      <c r="F1150" s="157" t="str">
        <f t="shared" si="56"/>
        <v>Friday</v>
      </c>
      <c r="H1150" s="165">
        <v>1</v>
      </c>
      <c r="I1150" s="157">
        <f t="shared" si="57"/>
        <v>6</v>
      </c>
      <c r="J1150" s="157">
        <f t="shared" si="58"/>
        <v>41</v>
      </c>
      <c r="K1150" t="s">
        <v>1780</v>
      </c>
    </row>
    <row r="1151" spans="1:11" ht="15" customHeight="1" x14ac:dyDescent="0.2">
      <c r="A1151" s="157">
        <v>1150</v>
      </c>
      <c r="B1151" s="163">
        <v>45941</v>
      </c>
      <c r="C1151" s="157">
        <f t="shared" si="54"/>
        <v>1</v>
      </c>
      <c r="D1151" s="157">
        <v>0</v>
      </c>
      <c r="E1151" s="157">
        <f t="shared" si="55"/>
        <v>1</v>
      </c>
      <c r="F1151" s="157" t="str">
        <f t="shared" si="56"/>
        <v>Saturday</v>
      </c>
      <c r="H1151" s="165">
        <v>1</v>
      </c>
      <c r="I1151" s="157">
        <f t="shared" si="57"/>
        <v>6</v>
      </c>
      <c r="J1151" s="157">
        <f t="shared" si="58"/>
        <v>41</v>
      </c>
      <c r="K1151" t="s">
        <v>1780</v>
      </c>
    </row>
    <row r="1152" spans="1:11" ht="15" customHeight="1" x14ac:dyDescent="0.2">
      <c r="A1152" s="157">
        <v>1151</v>
      </c>
      <c r="B1152" s="163">
        <v>45942</v>
      </c>
      <c r="C1152" s="157">
        <f t="shared" si="54"/>
        <v>1</v>
      </c>
      <c r="D1152" s="157">
        <v>0</v>
      </c>
      <c r="E1152" s="157">
        <f t="shared" si="55"/>
        <v>1</v>
      </c>
      <c r="F1152" s="157" t="str">
        <f t="shared" si="56"/>
        <v>Sunday</v>
      </c>
      <c r="H1152" s="165">
        <v>1</v>
      </c>
      <c r="I1152" s="157">
        <f t="shared" si="57"/>
        <v>6</v>
      </c>
      <c r="J1152" s="157">
        <f t="shared" si="58"/>
        <v>41</v>
      </c>
      <c r="K1152" t="s">
        <v>1780</v>
      </c>
    </row>
    <row r="1153" spans="1:11" ht="15" customHeight="1" x14ac:dyDescent="0.2">
      <c r="A1153" s="157">
        <v>1152</v>
      </c>
      <c r="B1153" s="163">
        <v>45943</v>
      </c>
      <c r="C1153" s="157">
        <f t="shared" si="54"/>
        <v>0</v>
      </c>
      <c r="D1153" s="157">
        <v>0</v>
      </c>
      <c r="E1153" s="157">
        <f t="shared" si="55"/>
        <v>0</v>
      </c>
      <c r="F1153" s="157" t="str">
        <f t="shared" si="56"/>
        <v>Monday</v>
      </c>
      <c r="H1153" s="165">
        <v>1</v>
      </c>
      <c r="I1153" s="157">
        <f t="shared" si="57"/>
        <v>7</v>
      </c>
      <c r="J1153" s="157">
        <f t="shared" si="58"/>
        <v>42</v>
      </c>
      <c r="K1153" t="s">
        <v>1780</v>
      </c>
    </row>
    <row r="1154" spans="1:11" ht="15" customHeight="1" x14ac:dyDescent="0.2">
      <c r="A1154" s="157">
        <v>1153</v>
      </c>
      <c r="B1154" s="163">
        <v>45944</v>
      </c>
      <c r="C1154" s="157">
        <f t="shared" si="54"/>
        <v>0</v>
      </c>
      <c r="D1154" s="157">
        <v>0</v>
      </c>
      <c r="E1154" s="157">
        <f t="shared" si="55"/>
        <v>0</v>
      </c>
      <c r="F1154" s="157" t="str">
        <f t="shared" si="56"/>
        <v>Tuesday</v>
      </c>
      <c r="H1154" s="165">
        <v>1</v>
      </c>
      <c r="I1154" s="157">
        <f t="shared" si="57"/>
        <v>7</v>
      </c>
      <c r="J1154" s="157">
        <f t="shared" si="58"/>
        <v>42</v>
      </c>
      <c r="K1154" t="s">
        <v>1780</v>
      </c>
    </row>
    <row r="1155" spans="1:11" ht="15" customHeight="1" x14ac:dyDescent="0.2">
      <c r="A1155" s="157">
        <v>1154</v>
      </c>
      <c r="B1155" s="163">
        <v>45945</v>
      </c>
      <c r="C1155" s="157">
        <f t="shared" si="54"/>
        <v>0</v>
      </c>
      <c r="D1155" s="157">
        <v>0</v>
      </c>
      <c r="E1155" s="157">
        <f t="shared" si="55"/>
        <v>0</v>
      </c>
      <c r="F1155" s="157" t="str">
        <f t="shared" si="56"/>
        <v>Wednesday</v>
      </c>
      <c r="H1155" s="165">
        <v>1</v>
      </c>
      <c r="I1155" s="157">
        <f t="shared" si="57"/>
        <v>7</v>
      </c>
      <c r="J1155" s="157">
        <f t="shared" si="58"/>
        <v>42</v>
      </c>
      <c r="K1155" t="s">
        <v>1780</v>
      </c>
    </row>
    <row r="1156" spans="1:11" ht="15" customHeight="1" x14ac:dyDescent="0.2">
      <c r="A1156" s="157">
        <v>1155</v>
      </c>
      <c r="B1156" s="163">
        <v>45946</v>
      </c>
      <c r="C1156" s="157">
        <f t="shared" si="54"/>
        <v>0</v>
      </c>
      <c r="D1156" s="157">
        <v>0</v>
      </c>
      <c r="E1156" s="157">
        <f t="shared" si="55"/>
        <v>0</v>
      </c>
      <c r="F1156" s="157" t="str">
        <f t="shared" si="56"/>
        <v>Thursday</v>
      </c>
      <c r="H1156" s="165">
        <v>1</v>
      </c>
      <c r="I1156" s="157">
        <f t="shared" si="57"/>
        <v>7</v>
      </c>
      <c r="J1156" s="157">
        <f t="shared" si="58"/>
        <v>42</v>
      </c>
      <c r="K1156" t="s">
        <v>1780</v>
      </c>
    </row>
    <row r="1157" spans="1:11" ht="15" customHeight="1" x14ac:dyDescent="0.2">
      <c r="A1157" s="157">
        <v>1156</v>
      </c>
      <c r="B1157" s="163">
        <v>45947</v>
      </c>
      <c r="C1157" s="157">
        <f t="shared" si="54"/>
        <v>0</v>
      </c>
      <c r="D1157" s="157">
        <v>0</v>
      </c>
      <c r="E1157" s="157">
        <f t="shared" si="55"/>
        <v>0</v>
      </c>
      <c r="F1157" s="157" t="str">
        <f t="shared" si="56"/>
        <v>Friday</v>
      </c>
      <c r="H1157" s="165">
        <v>1</v>
      </c>
      <c r="I1157" s="157">
        <f t="shared" si="57"/>
        <v>7</v>
      </c>
      <c r="J1157" s="157">
        <f t="shared" si="58"/>
        <v>42</v>
      </c>
      <c r="K1157" t="s">
        <v>1780</v>
      </c>
    </row>
    <row r="1158" spans="1:11" ht="15" customHeight="1" x14ac:dyDescent="0.2">
      <c r="A1158" s="157">
        <v>1157</v>
      </c>
      <c r="B1158" s="163">
        <v>45948</v>
      </c>
      <c r="C1158" s="157">
        <f t="shared" si="54"/>
        <v>1</v>
      </c>
      <c r="D1158" s="157">
        <v>0</v>
      </c>
      <c r="E1158" s="157">
        <f t="shared" si="55"/>
        <v>1</v>
      </c>
      <c r="F1158" s="157" t="str">
        <f t="shared" si="56"/>
        <v>Saturday</v>
      </c>
      <c r="H1158" s="165">
        <v>1</v>
      </c>
      <c r="I1158" s="157">
        <f t="shared" si="57"/>
        <v>7</v>
      </c>
      <c r="J1158" s="157">
        <f t="shared" si="58"/>
        <v>42</v>
      </c>
      <c r="K1158" t="s">
        <v>1780</v>
      </c>
    </row>
    <row r="1159" spans="1:11" ht="15" customHeight="1" x14ac:dyDescent="0.2">
      <c r="A1159" s="157">
        <v>1158</v>
      </c>
      <c r="B1159" s="163">
        <v>45949</v>
      </c>
      <c r="C1159" s="157">
        <f t="shared" si="54"/>
        <v>1</v>
      </c>
      <c r="D1159" s="157">
        <v>0</v>
      </c>
      <c r="E1159" s="157">
        <f t="shared" si="55"/>
        <v>1</v>
      </c>
      <c r="F1159" s="157" t="str">
        <f t="shared" si="56"/>
        <v>Sunday</v>
      </c>
      <c r="H1159" s="165">
        <v>1</v>
      </c>
      <c r="I1159" s="157">
        <f t="shared" si="57"/>
        <v>7</v>
      </c>
      <c r="J1159" s="157">
        <f t="shared" si="58"/>
        <v>42</v>
      </c>
      <c r="K1159" t="s">
        <v>1780</v>
      </c>
    </row>
    <row r="1160" spans="1:11" ht="15" customHeight="1" x14ac:dyDescent="0.2">
      <c r="A1160" s="157">
        <v>1159</v>
      </c>
      <c r="B1160" s="163">
        <v>45950</v>
      </c>
      <c r="C1160" s="157">
        <f t="shared" si="54"/>
        <v>0</v>
      </c>
      <c r="D1160" s="157">
        <v>1</v>
      </c>
      <c r="E1160" s="157">
        <f t="shared" si="55"/>
        <v>1</v>
      </c>
      <c r="F1160" s="157" t="str">
        <f t="shared" si="56"/>
        <v>Monday</v>
      </c>
      <c r="H1160" s="165">
        <v>1</v>
      </c>
      <c r="I1160" s="157">
        <f t="shared" si="57"/>
        <v>8</v>
      </c>
      <c r="J1160" s="157">
        <f t="shared" si="58"/>
        <v>43</v>
      </c>
      <c r="K1160" t="s">
        <v>1780</v>
      </c>
    </row>
    <row r="1161" spans="1:11" ht="15" customHeight="1" x14ac:dyDescent="0.2">
      <c r="A1161" s="157">
        <v>1160</v>
      </c>
      <c r="B1161" s="163">
        <v>45951</v>
      </c>
      <c r="C1161" s="157">
        <f t="shared" si="54"/>
        <v>0</v>
      </c>
      <c r="D1161" s="157">
        <v>1</v>
      </c>
      <c r="E1161" s="157">
        <f t="shared" si="55"/>
        <v>1</v>
      </c>
      <c r="F1161" s="157" t="str">
        <f t="shared" si="56"/>
        <v>Tuesday</v>
      </c>
      <c r="H1161" s="165">
        <v>1</v>
      </c>
      <c r="I1161" s="157">
        <f t="shared" si="57"/>
        <v>8</v>
      </c>
      <c r="J1161" s="157">
        <f t="shared" si="58"/>
        <v>43</v>
      </c>
      <c r="K1161" t="s">
        <v>1780</v>
      </c>
    </row>
    <row r="1162" spans="1:11" ht="15" customHeight="1" x14ac:dyDescent="0.2">
      <c r="A1162" s="157">
        <v>1161</v>
      </c>
      <c r="B1162" s="163">
        <v>45952</v>
      </c>
      <c r="C1162" s="157">
        <f t="shared" si="54"/>
        <v>0</v>
      </c>
      <c r="D1162" s="157">
        <v>1</v>
      </c>
      <c r="E1162" s="157">
        <f t="shared" si="55"/>
        <v>1</v>
      </c>
      <c r="F1162" s="157" t="str">
        <f t="shared" si="56"/>
        <v>Wednesday</v>
      </c>
      <c r="H1162" s="165">
        <v>1</v>
      </c>
      <c r="I1162" s="157">
        <f t="shared" si="57"/>
        <v>8</v>
      </c>
      <c r="J1162" s="157">
        <f t="shared" si="58"/>
        <v>43</v>
      </c>
      <c r="K1162" t="s">
        <v>1780</v>
      </c>
    </row>
    <row r="1163" spans="1:11" ht="15" customHeight="1" x14ac:dyDescent="0.2">
      <c r="A1163" s="157">
        <v>1162</v>
      </c>
      <c r="B1163" s="163">
        <v>45953</v>
      </c>
      <c r="C1163" s="157">
        <f t="shared" si="54"/>
        <v>0</v>
      </c>
      <c r="D1163" s="157">
        <v>1</v>
      </c>
      <c r="E1163" s="157">
        <f t="shared" si="55"/>
        <v>1</v>
      </c>
      <c r="F1163" s="157" t="str">
        <f t="shared" si="56"/>
        <v>Thursday</v>
      </c>
      <c r="H1163" s="165">
        <v>1</v>
      </c>
      <c r="I1163" s="157">
        <f t="shared" si="57"/>
        <v>8</v>
      </c>
      <c r="J1163" s="157">
        <f t="shared" si="58"/>
        <v>43</v>
      </c>
      <c r="K1163" t="s">
        <v>1780</v>
      </c>
    </row>
    <row r="1164" spans="1:11" ht="15" customHeight="1" x14ac:dyDescent="0.2">
      <c r="A1164" s="157">
        <v>1163</v>
      </c>
      <c r="B1164" s="163">
        <v>45954</v>
      </c>
      <c r="C1164" s="157">
        <f t="shared" si="54"/>
        <v>0</v>
      </c>
      <c r="D1164" s="157">
        <v>1</v>
      </c>
      <c r="E1164" s="157">
        <f t="shared" si="55"/>
        <v>1</v>
      </c>
      <c r="F1164" s="157" t="str">
        <f t="shared" si="56"/>
        <v>Friday</v>
      </c>
      <c r="H1164" s="165">
        <v>1</v>
      </c>
      <c r="I1164" s="157">
        <f t="shared" si="57"/>
        <v>8</v>
      </c>
      <c r="J1164" s="157">
        <f t="shared" si="58"/>
        <v>43</v>
      </c>
      <c r="K1164" t="s">
        <v>1780</v>
      </c>
    </row>
    <row r="1165" spans="1:11" ht="15" customHeight="1" x14ac:dyDescent="0.2">
      <c r="A1165" s="157">
        <v>1164</v>
      </c>
      <c r="B1165" s="163">
        <v>45955</v>
      </c>
      <c r="C1165" s="157">
        <f t="shared" si="54"/>
        <v>1</v>
      </c>
      <c r="D1165" s="157">
        <v>1</v>
      </c>
      <c r="E1165" s="157">
        <f t="shared" si="55"/>
        <v>1</v>
      </c>
      <c r="F1165" s="157" t="str">
        <f t="shared" si="56"/>
        <v>Saturday</v>
      </c>
      <c r="H1165" s="165">
        <v>1</v>
      </c>
      <c r="I1165" s="157">
        <f t="shared" si="57"/>
        <v>8</v>
      </c>
      <c r="J1165" s="157">
        <f t="shared" si="58"/>
        <v>43</v>
      </c>
      <c r="K1165" t="s">
        <v>1780</v>
      </c>
    </row>
    <row r="1166" spans="1:11" ht="15" customHeight="1" x14ac:dyDescent="0.2">
      <c r="A1166" s="157">
        <v>1165</v>
      </c>
      <c r="B1166" s="163">
        <v>45956</v>
      </c>
      <c r="C1166" s="157">
        <f t="shared" si="54"/>
        <v>1</v>
      </c>
      <c r="D1166" s="157">
        <v>1</v>
      </c>
      <c r="E1166" s="157">
        <f t="shared" si="55"/>
        <v>1</v>
      </c>
      <c r="F1166" s="157" t="str">
        <f t="shared" si="56"/>
        <v>Sunday</v>
      </c>
      <c r="H1166" s="165">
        <v>1</v>
      </c>
      <c r="I1166" s="157">
        <f t="shared" si="57"/>
        <v>8</v>
      </c>
      <c r="J1166" s="157">
        <f t="shared" si="58"/>
        <v>43</v>
      </c>
      <c r="K1166" t="s">
        <v>1780</v>
      </c>
    </row>
    <row r="1167" spans="1:11" ht="15" customHeight="1" x14ac:dyDescent="0.2">
      <c r="A1167" s="157">
        <v>1166</v>
      </c>
      <c r="B1167" s="163">
        <v>45957</v>
      </c>
      <c r="C1167" s="157">
        <f t="shared" si="54"/>
        <v>0</v>
      </c>
      <c r="D1167" s="157">
        <v>1</v>
      </c>
      <c r="E1167" s="157">
        <f t="shared" si="55"/>
        <v>1</v>
      </c>
      <c r="F1167" s="157" t="str">
        <f t="shared" si="56"/>
        <v>Monday</v>
      </c>
      <c r="H1167" s="165">
        <v>2</v>
      </c>
      <c r="I1167" s="157">
        <f t="shared" si="57"/>
        <v>1</v>
      </c>
      <c r="J1167" s="157">
        <f t="shared" si="58"/>
        <v>44</v>
      </c>
      <c r="K1167" t="s">
        <v>1780</v>
      </c>
    </row>
    <row r="1168" spans="1:11" ht="15" customHeight="1" x14ac:dyDescent="0.2">
      <c r="A1168" s="157">
        <v>1167</v>
      </c>
      <c r="B1168" s="163">
        <v>45958</v>
      </c>
      <c r="C1168" s="157">
        <f t="shared" si="54"/>
        <v>0</v>
      </c>
      <c r="D1168" s="157">
        <v>0</v>
      </c>
      <c r="E1168" s="157">
        <f t="shared" si="55"/>
        <v>0</v>
      </c>
      <c r="F1168" s="157" t="str">
        <f t="shared" si="56"/>
        <v>Tuesday</v>
      </c>
      <c r="H1168" s="165">
        <v>2</v>
      </c>
      <c r="I1168" s="157">
        <f t="shared" si="57"/>
        <v>1</v>
      </c>
      <c r="J1168" s="157">
        <f t="shared" si="58"/>
        <v>44</v>
      </c>
      <c r="K1168" t="s">
        <v>1780</v>
      </c>
    </row>
    <row r="1169" spans="1:11" ht="15" customHeight="1" x14ac:dyDescent="0.2">
      <c r="A1169" s="157">
        <v>1168</v>
      </c>
      <c r="B1169" s="163">
        <v>45959</v>
      </c>
      <c r="C1169" s="157">
        <f t="shared" si="54"/>
        <v>0</v>
      </c>
      <c r="D1169" s="157">
        <v>0</v>
      </c>
      <c r="E1169" s="157">
        <f t="shared" si="55"/>
        <v>0</v>
      </c>
      <c r="F1169" s="157" t="str">
        <f t="shared" si="56"/>
        <v>Wednesday</v>
      </c>
      <c r="H1169" s="165">
        <v>2</v>
      </c>
      <c r="I1169" s="157">
        <f t="shared" si="57"/>
        <v>1</v>
      </c>
      <c r="J1169" s="157">
        <f t="shared" si="58"/>
        <v>44</v>
      </c>
      <c r="K1169" t="s">
        <v>1780</v>
      </c>
    </row>
    <row r="1170" spans="1:11" ht="15" customHeight="1" x14ac:dyDescent="0.2">
      <c r="A1170" s="157">
        <v>1169</v>
      </c>
      <c r="B1170" s="163">
        <v>45960</v>
      </c>
      <c r="C1170" s="157">
        <f t="shared" si="54"/>
        <v>0</v>
      </c>
      <c r="D1170" s="157">
        <v>0</v>
      </c>
      <c r="E1170" s="157">
        <f t="shared" si="55"/>
        <v>0</v>
      </c>
      <c r="F1170" s="157" t="str">
        <f t="shared" si="56"/>
        <v>Thursday</v>
      </c>
      <c r="H1170" s="165">
        <v>2</v>
      </c>
      <c r="I1170" s="157">
        <f t="shared" si="57"/>
        <v>1</v>
      </c>
      <c r="J1170" s="157">
        <f t="shared" si="58"/>
        <v>44</v>
      </c>
      <c r="K1170" t="s">
        <v>1780</v>
      </c>
    </row>
    <row r="1171" spans="1:11" ht="15" customHeight="1" x14ac:dyDescent="0.2">
      <c r="A1171" s="157">
        <v>1170</v>
      </c>
      <c r="B1171" s="163">
        <v>45961</v>
      </c>
      <c r="C1171" s="157">
        <f t="shared" si="54"/>
        <v>0</v>
      </c>
      <c r="D1171" s="157">
        <v>0</v>
      </c>
      <c r="E1171" s="157">
        <f t="shared" si="55"/>
        <v>0</v>
      </c>
      <c r="F1171" s="157" t="str">
        <f t="shared" si="56"/>
        <v>Friday</v>
      </c>
      <c r="H1171" s="165">
        <v>2</v>
      </c>
      <c r="I1171" s="157">
        <f t="shared" si="57"/>
        <v>1</v>
      </c>
      <c r="J1171" s="157">
        <f t="shared" si="58"/>
        <v>44</v>
      </c>
      <c r="K1171" t="s">
        <v>1780</v>
      </c>
    </row>
    <row r="1172" spans="1:11" ht="15" customHeight="1" x14ac:dyDescent="0.2">
      <c r="A1172" s="157">
        <v>1171</v>
      </c>
      <c r="B1172" s="163">
        <v>45962</v>
      </c>
      <c r="C1172" s="157">
        <f t="shared" si="54"/>
        <v>1</v>
      </c>
      <c r="D1172" s="157">
        <v>0</v>
      </c>
      <c r="E1172" s="157">
        <f t="shared" si="55"/>
        <v>1</v>
      </c>
      <c r="F1172" s="157" t="str">
        <f t="shared" si="56"/>
        <v>Saturday</v>
      </c>
      <c r="H1172" s="165">
        <v>2</v>
      </c>
      <c r="I1172" s="157">
        <f t="shared" si="57"/>
        <v>1</v>
      </c>
      <c r="J1172" s="157">
        <f t="shared" si="58"/>
        <v>44</v>
      </c>
      <c r="K1172" t="s">
        <v>1780</v>
      </c>
    </row>
    <row r="1173" spans="1:11" ht="15" customHeight="1" x14ac:dyDescent="0.2">
      <c r="A1173" s="157">
        <v>1172</v>
      </c>
      <c r="B1173" s="163">
        <v>45963</v>
      </c>
      <c r="C1173" s="157">
        <f t="shared" si="54"/>
        <v>1</v>
      </c>
      <c r="D1173" s="157">
        <v>0</v>
      </c>
      <c r="E1173" s="157">
        <f t="shared" si="55"/>
        <v>1</v>
      </c>
      <c r="F1173" s="157" t="str">
        <f t="shared" si="56"/>
        <v>Sunday</v>
      </c>
      <c r="H1173" s="165">
        <v>2</v>
      </c>
      <c r="I1173" s="157">
        <f t="shared" si="57"/>
        <v>1</v>
      </c>
      <c r="J1173" s="157">
        <f t="shared" si="58"/>
        <v>44</v>
      </c>
      <c r="K1173" t="s">
        <v>1780</v>
      </c>
    </row>
    <row r="1174" spans="1:11" ht="15" customHeight="1" x14ac:dyDescent="0.2">
      <c r="A1174" s="157">
        <v>1173</v>
      </c>
      <c r="B1174" s="163">
        <v>45964</v>
      </c>
      <c r="C1174" s="157">
        <f t="shared" si="54"/>
        <v>0</v>
      </c>
      <c r="D1174" s="157">
        <v>0</v>
      </c>
      <c r="E1174" s="157">
        <f t="shared" si="55"/>
        <v>0</v>
      </c>
      <c r="F1174" s="157" t="str">
        <f t="shared" si="56"/>
        <v>Monday</v>
      </c>
      <c r="H1174" s="165">
        <v>2</v>
      </c>
      <c r="I1174" s="157">
        <f t="shared" si="57"/>
        <v>2</v>
      </c>
      <c r="J1174" s="157">
        <f t="shared" si="58"/>
        <v>45</v>
      </c>
      <c r="K1174" t="s">
        <v>1780</v>
      </c>
    </row>
    <row r="1175" spans="1:11" ht="15" customHeight="1" x14ac:dyDescent="0.2">
      <c r="A1175" s="157">
        <v>1174</v>
      </c>
      <c r="B1175" s="163">
        <v>45965</v>
      </c>
      <c r="C1175" s="157">
        <f t="shared" si="54"/>
        <v>0</v>
      </c>
      <c r="D1175" s="157">
        <v>0</v>
      </c>
      <c r="E1175" s="157">
        <f t="shared" si="55"/>
        <v>0</v>
      </c>
      <c r="F1175" s="157" t="str">
        <f t="shared" si="56"/>
        <v>Tuesday</v>
      </c>
      <c r="H1175" s="165">
        <v>2</v>
      </c>
      <c r="I1175" s="157">
        <f t="shared" si="57"/>
        <v>2</v>
      </c>
      <c r="J1175" s="157">
        <f t="shared" si="58"/>
        <v>45</v>
      </c>
      <c r="K1175" t="s">
        <v>1780</v>
      </c>
    </row>
    <row r="1176" spans="1:11" ht="15" customHeight="1" x14ac:dyDescent="0.2">
      <c r="A1176" s="157">
        <v>1175</v>
      </c>
      <c r="B1176" s="163">
        <v>45966</v>
      </c>
      <c r="C1176" s="157">
        <f t="shared" si="54"/>
        <v>0</v>
      </c>
      <c r="D1176" s="157">
        <v>0</v>
      </c>
      <c r="E1176" s="157">
        <f t="shared" si="55"/>
        <v>0</v>
      </c>
      <c r="F1176" s="157" t="str">
        <f t="shared" si="56"/>
        <v>Wednesday</v>
      </c>
      <c r="H1176" s="165">
        <v>2</v>
      </c>
      <c r="I1176" s="157">
        <f t="shared" si="57"/>
        <v>2</v>
      </c>
      <c r="J1176" s="157">
        <f t="shared" si="58"/>
        <v>45</v>
      </c>
      <c r="K1176" t="s">
        <v>1780</v>
      </c>
    </row>
    <row r="1177" spans="1:11" ht="15" customHeight="1" x14ac:dyDescent="0.2">
      <c r="A1177" s="157">
        <v>1176</v>
      </c>
      <c r="B1177" s="163">
        <v>45967</v>
      </c>
      <c r="C1177" s="157">
        <f t="shared" si="54"/>
        <v>0</v>
      </c>
      <c r="D1177" s="157">
        <v>0</v>
      </c>
      <c r="E1177" s="157">
        <f t="shared" si="55"/>
        <v>0</v>
      </c>
      <c r="F1177" s="157" t="str">
        <f t="shared" si="56"/>
        <v>Thursday</v>
      </c>
      <c r="H1177" s="165">
        <v>2</v>
      </c>
      <c r="I1177" s="157">
        <f t="shared" si="57"/>
        <v>2</v>
      </c>
      <c r="J1177" s="157">
        <f t="shared" si="58"/>
        <v>45</v>
      </c>
      <c r="K1177" t="s">
        <v>1780</v>
      </c>
    </row>
    <row r="1178" spans="1:11" ht="15" customHeight="1" x14ac:dyDescent="0.2">
      <c r="A1178" s="157">
        <v>1177</v>
      </c>
      <c r="B1178" s="163">
        <v>45968</v>
      </c>
      <c r="C1178" s="157">
        <f t="shared" si="54"/>
        <v>0</v>
      </c>
      <c r="D1178" s="157">
        <v>0</v>
      </c>
      <c r="E1178" s="157">
        <f t="shared" si="55"/>
        <v>0</v>
      </c>
      <c r="F1178" s="157" t="str">
        <f t="shared" si="56"/>
        <v>Friday</v>
      </c>
      <c r="H1178" s="165">
        <v>2</v>
      </c>
      <c r="I1178" s="157">
        <f t="shared" si="57"/>
        <v>2</v>
      </c>
      <c r="J1178" s="157">
        <f t="shared" si="58"/>
        <v>45</v>
      </c>
      <c r="K1178" t="s">
        <v>1780</v>
      </c>
    </row>
    <row r="1179" spans="1:11" ht="15" customHeight="1" x14ac:dyDescent="0.2">
      <c r="A1179" s="157">
        <v>1178</v>
      </c>
      <c r="B1179" s="163">
        <v>45969</v>
      </c>
      <c r="C1179" s="157">
        <f t="shared" si="54"/>
        <v>1</v>
      </c>
      <c r="D1179" s="157">
        <v>0</v>
      </c>
      <c r="E1179" s="157">
        <f t="shared" si="55"/>
        <v>1</v>
      </c>
      <c r="F1179" s="157" t="str">
        <f t="shared" si="56"/>
        <v>Saturday</v>
      </c>
      <c r="H1179" s="165">
        <v>2</v>
      </c>
      <c r="I1179" s="157">
        <f t="shared" si="57"/>
        <v>2</v>
      </c>
      <c r="J1179" s="157">
        <f t="shared" si="58"/>
        <v>45</v>
      </c>
      <c r="K1179" t="s">
        <v>1780</v>
      </c>
    </row>
    <row r="1180" spans="1:11" ht="15" customHeight="1" x14ac:dyDescent="0.2">
      <c r="A1180" s="157">
        <v>1179</v>
      </c>
      <c r="B1180" s="163">
        <v>45970</v>
      </c>
      <c r="C1180" s="157">
        <f t="shared" si="54"/>
        <v>1</v>
      </c>
      <c r="D1180" s="157">
        <v>0</v>
      </c>
      <c r="E1180" s="157">
        <f t="shared" si="55"/>
        <v>1</v>
      </c>
      <c r="F1180" s="157" t="str">
        <f t="shared" si="56"/>
        <v>Sunday</v>
      </c>
      <c r="H1180" s="165">
        <v>2</v>
      </c>
      <c r="I1180" s="157">
        <f t="shared" si="57"/>
        <v>2</v>
      </c>
      <c r="J1180" s="157">
        <f t="shared" si="58"/>
        <v>45</v>
      </c>
      <c r="K1180" t="s">
        <v>1780</v>
      </c>
    </row>
    <row r="1181" spans="1:11" ht="15" customHeight="1" x14ac:dyDescent="0.2">
      <c r="A1181" s="157">
        <v>1180</v>
      </c>
      <c r="B1181" s="163">
        <v>45971</v>
      </c>
      <c r="C1181" s="157">
        <f t="shared" si="54"/>
        <v>0</v>
      </c>
      <c r="D1181" s="157">
        <v>0</v>
      </c>
      <c r="E1181" s="157">
        <f t="shared" si="55"/>
        <v>0</v>
      </c>
      <c r="F1181" s="157" t="str">
        <f t="shared" si="56"/>
        <v>Monday</v>
      </c>
      <c r="H1181" s="165">
        <v>2</v>
      </c>
      <c r="I1181" s="157">
        <f t="shared" si="57"/>
        <v>3</v>
      </c>
      <c r="J1181" s="157">
        <f t="shared" si="58"/>
        <v>46</v>
      </c>
      <c r="K1181" t="s">
        <v>1780</v>
      </c>
    </row>
    <row r="1182" spans="1:11" ht="15" customHeight="1" x14ac:dyDescent="0.2">
      <c r="A1182" s="157">
        <v>1181</v>
      </c>
      <c r="B1182" s="163">
        <v>45972</v>
      </c>
      <c r="C1182" s="157">
        <f t="shared" si="54"/>
        <v>0</v>
      </c>
      <c r="D1182" s="157">
        <v>0</v>
      </c>
      <c r="E1182" s="157">
        <f t="shared" si="55"/>
        <v>0</v>
      </c>
      <c r="F1182" s="157" t="str">
        <f t="shared" si="56"/>
        <v>Tuesday</v>
      </c>
      <c r="H1182" s="165">
        <v>2</v>
      </c>
      <c r="I1182" s="157">
        <f t="shared" si="57"/>
        <v>3</v>
      </c>
      <c r="J1182" s="157">
        <f t="shared" si="58"/>
        <v>46</v>
      </c>
      <c r="K1182" t="s">
        <v>1780</v>
      </c>
    </row>
    <row r="1183" spans="1:11" ht="15" customHeight="1" x14ac:dyDescent="0.2">
      <c r="A1183" s="157">
        <v>1182</v>
      </c>
      <c r="B1183" s="163">
        <v>45973</v>
      </c>
      <c r="C1183" s="157">
        <f t="shared" si="54"/>
        <v>0</v>
      </c>
      <c r="D1183" s="157">
        <v>0</v>
      </c>
      <c r="E1183" s="157">
        <f t="shared" si="55"/>
        <v>0</v>
      </c>
      <c r="F1183" s="157" t="str">
        <f t="shared" si="56"/>
        <v>Wednesday</v>
      </c>
      <c r="H1183" s="165">
        <v>2</v>
      </c>
      <c r="I1183" s="157">
        <f t="shared" si="57"/>
        <v>3</v>
      </c>
      <c r="J1183" s="157">
        <f t="shared" si="58"/>
        <v>46</v>
      </c>
      <c r="K1183" t="s">
        <v>1780</v>
      </c>
    </row>
    <row r="1184" spans="1:11" ht="15" customHeight="1" x14ac:dyDescent="0.2">
      <c r="A1184" s="157">
        <v>1183</v>
      </c>
      <c r="B1184" s="163">
        <v>45974</v>
      </c>
      <c r="C1184" s="157">
        <f t="shared" si="54"/>
        <v>0</v>
      </c>
      <c r="D1184" s="157">
        <v>0</v>
      </c>
      <c r="E1184" s="157">
        <f t="shared" si="55"/>
        <v>0</v>
      </c>
      <c r="F1184" s="157" t="str">
        <f t="shared" si="56"/>
        <v>Thursday</v>
      </c>
      <c r="H1184" s="165">
        <v>2</v>
      </c>
      <c r="I1184" s="157">
        <f t="shared" si="57"/>
        <v>3</v>
      </c>
      <c r="J1184" s="157">
        <f t="shared" si="58"/>
        <v>46</v>
      </c>
      <c r="K1184" t="s">
        <v>1780</v>
      </c>
    </row>
    <row r="1185" spans="1:11" ht="15" customHeight="1" x14ac:dyDescent="0.2">
      <c r="A1185" s="157">
        <v>1184</v>
      </c>
      <c r="B1185" s="163">
        <v>45975</v>
      </c>
      <c r="C1185" s="157">
        <f t="shared" si="54"/>
        <v>0</v>
      </c>
      <c r="D1185" s="157">
        <v>0</v>
      </c>
      <c r="E1185" s="157">
        <f t="shared" si="55"/>
        <v>0</v>
      </c>
      <c r="F1185" s="157" t="str">
        <f t="shared" si="56"/>
        <v>Friday</v>
      </c>
      <c r="H1185" s="165">
        <v>2</v>
      </c>
      <c r="I1185" s="157">
        <f t="shared" si="57"/>
        <v>3</v>
      </c>
      <c r="J1185" s="157">
        <f t="shared" si="58"/>
        <v>46</v>
      </c>
      <c r="K1185" t="s">
        <v>1780</v>
      </c>
    </row>
    <row r="1186" spans="1:11" ht="15" customHeight="1" x14ac:dyDescent="0.2">
      <c r="A1186" s="157">
        <v>1185</v>
      </c>
      <c r="B1186" s="163">
        <v>45976</v>
      </c>
      <c r="C1186" s="157">
        <f t="shared" si="54"/>
        <v>1</v>
      </c>
      <c r="D1186" s="157">
        <v>0</v>
      </c>
      <c r="E1186" s="157">
        <f t="shared" si="55"/>
        <v>1</v>
      </c>
      <c r="F1186" s="157" t="str">
        <f t="shared" si="56"/>
        <v>Saturday</v>
      </c>
      <c r="H1186" s="165">
        <v>2</v>
      </c>
      <c r="I1186" s="157">
        <f t="shared" si="57"/>
        <v>3</v>
      </c>
      <c r="J1186" s="157">
        <f t="shared" si="58"/>
        <v>46</v>
      </c>
      <c r="K1186" t="s">
        <v>1780</v>
      </c>
    </row>
    <row r="1187" spans="1:11" ht="15" customHeight="1" x14ac:dyDescent="0.2">
      <c r="A1187" s="157">
        <v>1186</v>
      </c>
      <c r="B1187" s="163">
        <v>45977</v>
      </c>
      <c r="C1187" s="157">
        <f t="shared" si="54"/>
        <v>1</v>
      </c>
      <c r="D1187" s="157">
        <v>0</v>
      </c>
      <c r="E1187" s="157">
        <f t="shared" si="55"/>
        <v>1</v>
      </c>
      <c r="F1187" s="157" t="str">
        <f t="shared" si="56"/>
        <v>Sunday</v>
      </c>
      <c r="H1187" s="165">
        <v>2</v>
      </c>
      <c r="I1187" s="157">
        <f t="shared" si="57"/>
        <v>3</v>
      </c>
      <c r="J1187" s="157">
        <f t="shared" si="58"/>
        <v>46</v>
      </c>
      <c r="K1187" t="s">
        <v>1780</v>
      </c>
    </row>
    <row r="1188" spans="1:11" ht="15" customHeight="1" x14ac:dyDescent="0.2">
      <c r="A1188" s="157">
        <v>1187</v>
      </c>
      <c r="B1188" s="163">
        <v>45978</v>
      </c>
      <c r="C1188" s="157">
        <f t="shared" si="54"/>
        <v>0</v>
      </c>
      <c r="D1188" s="157">
        <v>0</v>
      </c>
      <c r="E1188" s="157">
        <f t="shared" si="55"/>
        <v>0</v>
      </c>
      <c r="F1188" s="157" t="str">
        <f t="shared" si="56"/>
        <v>Monday</v>
      </c>
      <c r="H1188" s="165">
        <v>2</v>
      </c>
      <c r="I1188" s="157">
        <f t="shared" si="57"/>
        <v>4</v>
      </c>
      <c r="J1188" s="157">
        <f t="shared" si="58"/>
        <v>47</v>
      </c>
      <c r="K1188" t="s">
        <v>1780</v>
      </c>
    </row>
    <row r="1189" spans="1:11" ht="15" customHeight="1" x14ac:dyDescent="0.2">
      <c r="A1189" s="157">
        <v>1188</v>
      </c>
      <c r="B1189" s="163">
        <v>45979</v>
      </c>
      <c r="C1189" s="157">
        <f t="shared" si="54"/>
        <v>0</v>
      </c>
      <c r="D1189" s="157">
        <v>0</v>
      </c>
      <c r="E1189" s="157">
        <f t="shared" si="55"/>
        <v>0</v>
      </c>
      <c r="F1189" s="157" t="str">
        <f t="shared" si="56"/>
        <v>Tuesday</v>
      </c>
      <c r="H1189" s="165">
        <v>2</v>
      </c>
      <c r="I1189" s="157">
        <f t="shared" si="57"/>
        <v>4</v>
      </c>
      <c r="J1189" s="157">
        <f t="shared" si="58"/>
        <v>47</v>
      </c>
      <c r="K1189" t="s">
        <v>1780</v>
      </c>
    </row>
    <row r="1190" spans="1:11" ht="15" customHeight="1" x14ac:dyDescent="0.2">
      <c r="A1190" s="157">
        <v>1189</v>
      </c>
      <c r="B1190" s="163">
        <v>45980</v>
      </c>
      <c r="C1190" s="157">
        <f t="shared" si="54"/>
        <v>0</v>
      </c>
      <c r="D1190" s="157">
        <v>0</v>
      </c>
      <c r="E1190" s="157">
        <f t="shared" si="55"/>
        <v>0</v>
      </c>
      <c r="F1190" s="157" t="str">
        <f t="shared" si="56"/>
        <v>Wednesday</v>
      </c>
      <c r="H1190" s="165">
        <v>2</v>
      </c>
      <c r="I1190" s="157">
        <f t="shared" si="57"/>
        <v>4</v>
      </c>
      <c r="J1190" s="157">
        <f t="shared" si="58"/>
        <v>47</v>
      </c>
      <c r="K1190" t="s">
        <v>1780</v>
      </c>
    </row>
    <row r="1191" spans="1:11" ht="15" customHeight="1" x14ac:dyDescent="0.2">
      <c r="A1191" s="157">
        <v>1190</v>
      </c>
      <c r="B1191" s="163">
        <v>45981</v>
      </c>
      <c r="C1191" s="157">
        <f t="shared" si="54"/>
        <v>0</v>
      </c>
      <c r="D1191" s="157">
        <v>0</v>
      </c>
      <c r="E1191" s="157">
        <f t="shared" si="55"/>
        <v>0</v>
      </c>
      <c r="F1191" s="157" t="str">
        <f t="shared" si="56"/>
        <v>Thursday</v>
      </c>
      <c r="H1191" s="165">
        <v>2</v>
      </c>
      <c r="I1191" s="157">
        <f t="shared" si="57"/>
        <v>4</v>
      </c>
      <c r="J1191" s="157">
        <f t="shared" si="58"/>
        <v>47</v>
      </c>
      <c r="K1191" t="s">
        <v>1780</v>
      </c>
    </row>
    <row r="1192" spans="1:11" ht="15" customHeight="1" x14ac:dyDescent="0.2">
      <c r="A1192" s="157">
        <v>1191</v>
      </c>
      <c r="B1192" s="163">
        <v>45982</v>
      </c>
      <c r="C1192" s="157">
        <f t="shared" si="54"/>
        <v>0</v>
      </c>
      <c r="D1192" s="157">
        <v>0</v>
      </c>
      <c r="E1192" s="157">
        <f t="shared" si="55"/>
        <v>0</v>
      </c>
      <c r="F1192" s="157" t="str">
        <f t="shared" si="56"/>
        <v>Friday</v>
      </c>
      <c r="H1192" s="165">
        <v>2</v>
      </c>
      <c r="I1192" s="157">
        <f t="shared" si="57"/>
        <v>4</v>
      </c>
      <c r="J1192" s="157">
        <f t="shared" si="58"/>
        <v>47</v>
      </c>
      <c r="K1192" t="s">
        <v>1780</v>
      </c>
    </row>
    <row r="1193" spans="1:11" ht="15" customHeight="1" x14ac:dyDescent="0.2">
      <c r="A1193" s="157">
        <v>1192</v>
      </c>
      <c r="B1193" s="163">
        <v>45983</v>
      </c>
      <c r="C1193" s="157">
        <f t="shared" si="54"/>
        <v>1</v>
      </c>
      <c r="D1193" s="157">
        <v>0</v>
      </c>
      <c r="E1193" s="157">
        <f t="shared" si="55"/>
        <v>1</v>
      </c>
      <c r="F1193" s="157" t="str">
        <f t="shared" si="56"/>
        <v>Saturday</v>
      </c>
      <c r="H1193" s="165">
        <v>2</v>
      </c>
      <c r="I1193" s="157">
        <f t="shared" si="57"/>
        <v>4</v>
      </c>
      <c r="J1193" s="157">
        <f t="shared" si="58"/>
        <v>47</v>
      </c>
      <c r="K1193" t="s">
        <v>1780</v>
      </c>
    </row>
    <row r="1194" spans="1:11" ht="15" customHeight="1" x14ac:dyDescent="0.2">
      <c r="A1194" s="157">
        <v>1193</v>
      </c>
      <c r="B1194" s="163">
        <v>45984</v>
      </c>
      <c r="C1194" s="157">
        <f t="shared" ref="C1194:C1257" si="59">IF(OR(WEEKDAY(B1194) = 7, WEEKDAY(B1194) = 1), 1, 0)</f>
        <v>1</v>
      </c>
      <c r="D1194" s="157">
        <v>0</v>
      </c>
      <c r="E1194" s="157">
        <f t="shared" ref="E1194:E1257" si="60">IF((C1194+D1194)&gt;0, 1, 0)</f>
        <v>1</v>
      </c>
      <c r="F1194" s="157" t="str">
        <f t="shared" ref="F1194:F1257" si="61">TEXT(B1194, "dddd")</f>
        <v>Sunday</v>
      </c>
      <c r="H1194" s="165">
        <v>2</v>
      </c>
      <c r="I1194" s="157">
        <f t="shared" ref="I1194:I1257" si="62">IF(J1194&gt;J1193, IF(H1194&lt;&gt;H1193,1, I1193+1),I1193)</f>
        <v>4</v>
      </c>
      <c r="J1194" s="157">
        <f t="shared" ref="J1194:J1257" si="63">_xlfn.ISOWEEKNUM(B1194)</f>
        <v>47</v>
      </c>
      <c r="K1194" t="s">
        <v>1780</v>
      </c>
    </row>
    <row r="1195" spans="1:11" ht="15" customHeight="1" x14ac:dyDescent="0.2">
      <c r="A1195" s="157">
        <v>1194</v>
      </c>
      <c r="B1195" s="163">
        <v>45985</v>
      </c>
      <c r="C1195" s="157">
        <f t="shared" si="59"/>
        <v>0</v>
      </c>
      <c r="D1195" s="157">
        <v>0</v>
      </c>
      <c r="E1195" s="157">
        <f t="shared" si="60"/>
        <v>0</v>
      </c>
      <c r="F1195" s="157" t="str">
        <f t="shared" si="61"/>
        <v>Monday</v>
      </c>
      <c r="H1195" s="165">
        <v>2</v>
      </c>
      <c r="I1195" s="157">
        <f t="shared" si="62"/>
        <v>5</v>
      </c>
      <c r="J1195" s="157">
        <f t="shared" si="63"/>
        <v>48</v>
      </c>
      <c r="K1195" t="s">
        <v>1780</v>
      </c>
    </row>
    <row r="1196" spans="1:11" ht="15" customHeight="1" x14ac:dyDescent="0.2">
      <c r="A1196" s="157">
        <v>1195</v>
      </c>
      <c r="B1196" s="163">
        <v>45986</v>
      </c>
      <c r="C1196" s="157">
        <f t="shared" si="59"/>
        <v>0</v>
      </c>
      <c r="D1196" s="157">
        <v>0</v>
      </c>
      <c r="E1196" s="157">
        <f t="shared" si="60"/>
        <v>0</v>
      </c>
      <c r="F1196" s="157" t="str">
        <f t="shared" si="61"/>
        <v>Tuesday</v>
      </c>
      <c r="H1196" s="165">
        <v>2</v>
      </c>
      <c r="I1196" s="157">
        <f t="shared" si="62"/>
        <v>5</v>
      </c>
      <c r="J1196" s="157">
        <f t="shared" si="63"/>
        <v>48</v>
      </c>
      <c r="K1196" t="s">
        <v>1780</v>
      </c>
    </row>
    <row r="1197" spans="1:11" ht="15" customHeight="1" x14ac:dyDescent="0.2">
      <c r="A1197" s="157">
        <v>1196</v>
      </c>
      <c r="B1197" s="163">
        <v>45987</v>
      </c>
      <c r="C1197" s="157">
        <f t="shared" si="59"/>
        <v>0</v>
      </c>
      <c r="D1197" s="157">
        <v>0</v>
      </c>
      <c r="E1197" s="157">
        <f t="shared" si="60"/>
        <v>0</v>
      </c>
      <c r="F1197" s="157" t="str">
        <f t="shared" si="61"/>
        <v>Wednesday</v>
      </c>
      <c r="H1197" s="165">
        <v>2</v>
      </c>
      <c r="I1197" s="157">
        <f t="shared" si="62"/>
        <v>5</v>
      </c>
      <c r="J1197" s="157">
        <f t="shared" si="63"/>
        <v>48</v>
      </c>
      <c r="K1197" t="s">
        <v>1780</v>
      </c>
    </row>
    <row r="1198" spans="1:11" ht="15" customHeight="1" x14ac:dyDescent="0.2">
      <c r="A1198" s="157">
        <v>1197</v>
      </c>
      <c r="B1198" s="163">
        <v>45988</v>
      </c>
      <c r="C1198" s="157">
        <f t="shared" si="59"/>
        <v>0</v>
      </c>
      <c r="D1198" s="157">
        <v>0</v>
      </c>
      <c r="E1198" s="157">
        <f t="shared" si="60"/>
        <v>0</v>
      </c>
      <c r="F1198" s="157" t="str">
        <f t="shared" si="61"/>
        <v>Thursday</v>
      </c>
      <c r="H1198" s="165">
        <v>2</v>
      </c>
      <c r="I1198" s="157">
        <f t="shared" si="62"/>
        <v>5</v>
      </c>
      <c r="J1198" s="157">
        <f t="shared" si="63"/>
        <v>48</v>
      </c>
      <c r="K1198" t="s">
        <v>1780</v>
      </c>
    </row>
    <row r="1199" spans="1:11" ht="15" customHeight="1" x14ac:dyDescent="0.2">
      <c r="A1199" s="157">
        <v>1198</v>
      </c>
      <c r="B1199" s="163">
        <v>45989</v>
      </c>
      <c r="C1199" s="157">
        <f t="shared" si="59"/>
        <v>0</v>
      </c>
      <c r="D1199" s="157">
        <v>0</v>
      </c>
      <c r="E1199" s="157">
        <f t="shared" si="60"/>
        <v>0</v>
      </c>
      <c r="F1199" s="157" t="str">
        <f t="shared" si="61"/>
        <v>Friday</v>
      </c>
      <c r="H1199" s="165">
        <v>2</v>
      </c>
      <c r="I1199" s="157">
        <f t="shared" si="62"/>
        <v>5</v>
      </c>
      <c r="J1199" s="157">
        <f t="shared" si="63"/>
        <v>48</v>
      </c>
      <c r="K1199" t="s">
        <v>1780</v>
      </c>
    </row>
    <row r="1200" spans="1:11" ht="15" customHeight="1" x14ac:dyDescent="0.2">
      <c r="A1200" s="157">
        <v>1199</v>
      </c>
      <c r="B1200" s="163">
        <v>45990</v>
      </c>
      <c r="C1200" s="157">
        <f t="shared" si="59"/>
        <v>1</v>
      </c>
      <c r="D1200" s="157">
        <v>0</v>
      </c>
      <c r="E1200" s="157">
        <f t="shared" si="60"/>
        <v>1</v>
      </c>
      <c r="F1200" s="157" t="str">
        <f t="shared" si="61"/>
        <v>Saturday</v>
      </c>
      <c r="H1200" s="165">
        <v>2</v>
      </c>
      <c r="I1200" s="157">
        <f t="shared" si="62"/>
        <v>5</v>
      </c>
      <c r="J1200" s="157">
        <f t="shared" si="63"/>
        <v>48</v>
      </c>
      <c r="K1200" t="s">
        <v>1780</v>
      </c>
    </row>
    <row r="1201" spans="1:11" ht="15" customHeight="1" x14ac:dyDescent="0.2">
      <c r="A1201" s="157">
        <v>1200</v>
      </c>
      <c r="B1201" s="163">
        <v>45991</v>
      </c>
      <c r="C1201" s="157">
        <f t="shared" si="59"/>
        <v>1</v>
      </c>
      <c r="D1201" s="157">
        <v>0</v>
      </c>
      <c r="E1201" s="157">
        <f t="shared" si="60"/>
        <v>1</v>
      </c>
      <c r="F1201" s="157" t="str">
        <f t="shared" si="61"/>
        <v>Sunday</v>
      </c>
      <c r="H1201" s="165">
        <v>2</v>
      </c>
      <c r="I1201" s="157">
        <f t="shared" si="62"/>
        <v>5</v>
      </c>
      <c r="J1201" s="157">
        <f t="shared" si="63"/>
        <v>48</v>
      </c>
      <c r="K1201" t="s">
        <v>1780</v>
      </c>
    </row>
    <row r="1202" spans="1:11" ht="15" customHeight="1" x14ac:dyDescent="0.2">
      <c r="A1202" s="157">
        <v>1201</v>
      </c>
      <c r="B1202" s="163">
        <v>45992</v>
      </c>
      <c r="C1202" s="157">
        <f t="shared" si="59"/>
        <v>0</v>
      </c>
      <c r="D1202" s="157">
        <v>0</v>
      </c>
      <c r="E1202" s="157">
        <f t="shared" si="60"/>
        <v>0</v>
      </c>
      <c r="F1202" s="157" t="str">
        <f t="shared" si="61"/>
        <v>Monday</v>
      </c>
      <c r="H1202" s="165">
        <v>2</v>
      </c>
      <c r="I1202" s="157">
        <f t="shared" si="62"/>
        <v>6</v>
      </c>
      <c r="J1202" s="157">
        <f t="shared" si="63"/>
        <v>49</v>
      </c>
      <c r="K1202" t="s">
        <v>1780</v>
      </c>
    </row>
    <row r="1203" spans="1:11" ht="15" customHeight="1" x14ac:dyDescent="0.2">
      <c r="A1203" s="157">
        <v>1202</v>
      </c>
      <c r="B1203" s="163">
        <v>45993</v>
      </c>
      <c r="C1203" s="157">
        <f t="shared" si="59"/>
        <v>0</v>
      </c>
      <c r="D1203" s="157">
        <v>0</v>
      </c>
      <c r="E1203" s="157">
        <f t="shared" si="60"/>
        <v>0</v>
      </c>
      <c r="F1203" s="157" t="str">
        <f t="shared" si="61"/>
        <v>Tuesday</v>
      </c>
      <c r="H1203" s="165">
        <v>2</v>
      </c>
      <c r="I1203" s="157">
        <f t="shared" si="62"/>
        <v>6</v>
      </c>
      <c r="J1203" s="157">
        <f t="shared" si="63"/>
        <v>49</v>
      </c>
      <c r="K1203" t="s">
        <v>1780</v>
      </c>
    </row>
    <row r="1204" spans="1:11" ht="15" customHeight="1" x14ac:dyDescent="0.2">
      <c r="A1204" s="157">
        <v>1203</v>
      </c>
      <c r="B1204" s="163">
        <v>45994</v>
      </c>
      <c r="C1204" s="157">
        <f t="shared" si="59"/>
        <v>0</v>
      </c>
      <c r="D1204" s="157">
        <v>0</v>
      </c>
      <c r="E1204" s="157">
        <f t="shared" si="60"/>
        <v>0</v>
      </c>
      <c r="F1204" s="157" t="str">
        <f t="shared" si="61"/>
        <v>Wednesday</v>
      </c>
      <c r="H1204" s="165">
        <v>2</v>
      </c>
      <c r="I1204" s="157">
        <f t="shared" si="62"/>
        <v>6</v>
      </c>
      <c r="J1204" s="157">
        <f t="shared" si="63"/>
        <v>49</v>
      </c>
      <c r="K1204" t="s">
        <v>1780</v>
      </c>
    </row>
    <row r="1205" spans="1:11" ht="15" customHeight="1" x14ac:dyDescent="0.2">
      <c r="A1205" s="157">
        <v>1204</v>
      </c>
      <c r="B1205" s="163">
        <v>45995</v>
      </c>
      <c r="C1205" s="157">
        <f t="shared" si="59"/>
        <v>0</v>
      </c>
      <c r="D1205" s="157">
        <v>0</v>
      </c>
      <c r="E1205" s="157">
        <f t="shared" si="60"/>
        <v>0</v>
      </c>
      <c r="F1205" s="157" t="str">
        <f t="shared" si="61"/>
        <v>Thursday</v>
      </c>
      <c r="H1205" s="165">
        <v>2</v>
      </c>
      <c r="I1205" s="157">
        <f t="shared" si="62"/>
        <v>6</v>
      </c>
      <c r="J1205" s="157">
        <f t="shared" si="63"/>
        <v>49</v>
      </c>
      <c r="K1205" t="s">
        <v>1780</v>
      </c>
    </row>
    <row r="1206" spans="1:11" ht="15" customHeight="1" x14ac:dyDescent="0.2">
      <c r="A1206" s="157">
        <v>1205</v>
      </c>
      <c r="B1206" s="163">
        <v>45996</v>
      </c>
      <c r="C1206" s="157">
        <f t="shared" si="59"/>
        <v>0</v>
      </c>
      <c r="D1206" s="157">
        <v>0</v>
      </c>
      <c r="E1206" s="157">
        <f t="shared" si="60"/>
        <v>0</v>
      </c>
      <c r="F1206" s="157" t="str">
        <f t="shared" si="61"/>
        <v>Friday</v>
      </c>
      <c r="H1206" s="165">
        <v>2</v>
      </c>
      <c r="I1206" s="157">
        <f t="shared" si="62"/>
        <v>6</v>
      </c>
      <c r="J1206" s="157">
        <f t="shared" si="63"/>
        <v>49</v>
      </c>
      <c r="K1206" t="s">
        <v>1780</v>
      </c>
    </row>
    <row r="1207" spans="1:11" ht="15" customHeight="1" x14ac:dyDescent="0.2">
      <c r="A1207" s="157">
        <v>1206</v>
      </c>
      <c r="B1207" s="163">
        <v>45997</v>
      </c>
      <c r="C1207" s="157">
        <f t="shared" si="59"/>
        <v>1</v>
      </c>
      <c r="D1207" s="157">
        <v>0</v>
      </c>
      <c r="E1207" s="157">
        <f t="shared" si="60"/>
        <v>1</v>
      </c>
      <c r="F1207" s="157" t="str">
        <f t="shared" si="61"/>
        <v>Saturday</v>
      </c>
      <c r="H1207" s="165">
        <v>2</v>
      </c>
      <c r="I1207" s="157">
        <f t="shared" si="62"/>
        <v>6</v>
      </c>
      <c r="J1207" s="157">
        <f t="shared" si="63"/>
        <v>49</v>
      </c>
      <c r="K1207" t="s">
        <v>1780</v>
      </c>
    </row>
    <row r="1208" spans="1:11" ht="15" customHeight="1" x14ac:dyDescent="0.2">
      <c r="A1208" s="157">
        <v>1207</v>
      </c>
      <c r="B1208" s="163">
        <v>45998</v>
      </c>
      <c r="C1208" s="157">
        <f t="shared" si="59"/>
        <v>1</v>
      </c>
      <c r="D1208" s="157">
        <v>0</v>
      </c>
      <c r="E1208" s="157">
        <f t="shared" si="60"/>
        <v>1</v>
      </c>
      <c r="F1208" s="157" t="str">
        <f t="shared" si="61"/>
        <v>Sunday</v>
      </c>
      <c r="H1208" s="165">
        <v>2</v>
      </c>
      <c r="I1208" s="157">
        <f t="shared" si="62"/>
        <v>6</v>
      </c>
      <c r="J1208" s="157">
        <f t="shared" si="63"/>
        <v>49</v>
      </c>
      <c r="K1208" t="s">
        <v>1780</v>
      </c>
    </row>
    <row r="1209" spans="1:11" ht="15" customHeight="1" x14ac:dyDescent="0.2">
      <c r="A1209" s="157">
        <v>1208</v>
      </c>
      <c r="B1209" s="163">
        <v>45999</v>
      </c>
      <c r="C1209" s="157">
        <f t="shared" si="59"/>
        <v>0</v>
      </c>
      <c r="D1209" s="157">
        <v>0</v>
      </c>
      <c r="E1209" s="157">
        <f t="shared" si="60"/>
        <v>0</v>
      </c>
      <c r="F1209" s="157" t="str">
        <f t="shared" si="61"/>
        <v>Monday</v>
      </c>
      <c r="H1209" s="165">
        <v>2</v>
      </c>
      <c r="I1209" s="157">
        <f t="shared" si="62"/>
        <v>7</v>
      </c>
      <c r="J1209" s="157">
        <f t="shared" si="63"/>
        <v>50</v>
      </c>
      <c r="K1209" t="s">
        <v>1780</v>
      </c>
    </row>
    <row r="1210" spans="1:11" ht="15" customHeight="1" x14ac:dyDescent="0.2">
      <c r="A1210" s="157">
        <v>1209</v>
      </c>
      <c r="B1210" s="163">
        <v>46000</v>
      </c>
      <c r="C1210" s="157">
        <f t="shared" si="59"/>
        <v>0</v>
      </c>
      <c r="D1210" s="157">
        <v>0</v>
      </c>
      <c r="E1210" s="157">
        <f t="shared" si="60"/>
        <v>0</v>
      </c>
      <c r="F1210" s="157" t="str">
        <f t="shared" si="61"/>
        <v>Tuesday</v>
      </c>
      <c r="H1210" s="165">
        <v>2</v>
      </c>
      <c r="I1210" s="157">
        <f t="shared" si="62"/>
        <v>7</v>
      </c>
      <c r="J1210" s="157">
        <f t="shared" si="63"/>
        <v>50</v>
      </c>
      <c r="K1210" t="s">
        <v>1780</v>
      </c>
    </row>
    <row r="1211" spans="1:11" ht="15" customHeight="1" x14ac:dyDescent="0.2">
      <c r="A1211" s="157">
        <v>1210</v>
      </c>
      <c r="B1211" s="163">
        <v>46001</v>
      </c>
      <c r="C1211" s="157">
        <f t="shared" si="59"/>
        <v>0</v>
      </c>
      <c r="D1211" s="157">
        <v>0</v>
      </c>
      <c r="E1211" s="157">
        <f t="shared" si="60"/>
        <v>0</v>
      </c>
      <c r="F1211" s="157" t="str">
        <f t="shared" si="61"/>
        <v>Wednesday</v>
      </c>
      <c r="H1211" s="165">
        <v>2</v>
      </c>
      <c r="I1211" s="157">
        <f t="shared" si="62"/>
        <v>7</v>
      </c>
      <c r="J1211" s="157">
        <f t="shared" si="63"/>
        <v>50</v>
      </c>
      <c r="K1211" t="s">
        <v>1780</v>
      </c>
    </row>
    <row r="1212" spans="1:11" ht="15" customHeight="1" x14ac:dyDescent="0.2">
      <c r="A1212" s="157">
        <v>1211</v>
      </c>
      <c r="B1212" s="163">
        <v>46002</v>
      </c>
      <c r="C1212" s="157">
        <f t="shared" si="59"/>
        <v>0</v>
      </c>
      <c r="D1212" s="157">
        <v>0</v>
      </c>
      <c r="E1212" s="157">
        <f t="shared" si="60"/>
        <v>0</v>
      </c>
      <c r="F1212" s="157" t="str">
        <f t="shared" si="61"/>
        <v>Thursday</v>
      </c>
      <c r="H1212" s="165">
        <v>2</v>
      </c>
      <c r="I1212" s="157">
        <f t="shared" si="62"/>
        <v>7</v>
      </c>
      <c r="J1212" s="157">
        <f t="shared" si="63"/>
        <v>50</v>
      </c>
      <c r="K1212" t="s">
        <v>1780</v>
      </c>
    </row>
    <row r="1213" spans="1:11" ht="15" customHeight="1" x14ac:dyDescent="0.2">
      <c r="A1213" s="157">
        <v>1212</v>
      </c>
      <c r="B1213" s="163">
        <v>46003</v>
      </c>
      <c r="C1213" s="157">
        <f t="shared" si="59"/>
        <v>0</v>
      </c>
      <c r="D1213" s="157">
        <v>0</v>
      </c>
      <c r="E1213" s="157">
        <f t="shared" si="60"/>
        <v>0</v>
      </c>
      <c r="F1213" s="157" t="str">
        <f t="shared" si="61"/>
        <v>Friday</v>
      </c>
      <c r="H1213" s="165">
        <v>2</v>
      </c>
      <c r="I1213" s="157">
        <f t="shared" si="62"/>
        <v>7</v>
      </c>
      <c r="J1213" s="157">
        <f t="shared" si="63"/>
        <v>50</v>
      </c>
      <c r="K1213" t="s">
        <v>1780</v>
      </c>
    </row>
    <row r="1214" spans="1:11" ht="15" customHeight="1" x14ac:dyDescent="0.2">
      <c r="A1214" s="157">
        <v>1213</v>
      </c>
      <c r="B1214" s="163">
        <v>46004</v>
      </c>
      <c r="C1214" s="157">
        <f t="shared" si="59"/>
        <v>1</v>
      </c>
      <c r="D1214" s="157">
        <v>0</v>
      </c>
      <c r="E1214" s="157">
        <f t="shared" si="60"/>
        <v>1</v>
      </c>
      <c r="F1214" s="157" t="str">
        <f t="shared" si="61"/>
        <v>Saturday</v>
      </c>
      <c r="H1214" s="165">
        <v>2</v>
      </c>
      <c r="I1214" s="157">
        <f t="shared" si="62"/>
        <v>7</v>
      </c>
      <c r="J1214" s="157">
        <f t="shared" si="63"/>
        <v>50</v>
      </c>
      <c r="K1214" t="s">
        <v>1780</v>
      </c>
    </row>
    <row r="1215" spans="1:11" ht="15" customHeight="1" x14ac:dyDescent="0.2">
      <c r="A1215" s="157">
        <v>1214</v>
      </c>
      <c r="B1215" s="163">
        <v>46005</v>
      </c>
      <c r="C1215" s="157">
        <f t="shared" si="59"/>
        <v>1</v>
      </c>
      <c r="D1215" s="157">
        <v>0</v>
      </c>
      <c r="E1215" s="157">
        <f t="shared" si="60"/>
        <v>1</v>
      </c>
      <c r="F1215" s="157" t="str">
        <f t="shared" si="61"/>
        <v>Sunday</v>
      </c>
      <c r="H1215" s="165">
        <v>2</v>
      </c>
      <c r="I1215" s="157">
        <f t="shared" si="62"/>
        <v>7</v>
      </c>
      <c r="J1215" s="157">
        <f t="shared" si="63"/>
        <v>50</v>
      </c>
      <c r="K1215" t="s">
        <v>1780</v>
      </c>
    </row>
    <row r="1216" spans="1:11" ht="15" customHeight="1" x14ac:dyDescent="0.2">
      <c r="A1216" s="157">
        <v>1215</v>
      </c>
      <c r="B1216" s="163">
        <v>46006</v>
      </c>
      <c r="C1216" s="157">
        <f t="shared" si="59"/>
        <v>0</v>
      </c>
      <c r="D1216" s="157">
        <v>0</v>
      </c>
      <c r="E1216" s="157">
        <f t="shared" si="60"/>
        <v>0</v>
      </c>
      <c r="F1216" s="157" t="str">
        <f t="shared" si="61"/>
        <v>Monday</v>
      </c>
      <c r="H1216" s="165">
        <v>2</v>
      </c>
      <c r="I1216" s="157">
        <f t="shared" si="62"/>
        <v>8</v>
      </c>
      <c r="J1216" s="157">
        <f t="shared" si="63"/>
        <v>51</v>
      </c>
      <c r="K1216" t="s">
        <v>1780</v>
      </c>
    </row>
    <row r="1217" spans="1:11" ht="15" customHeight="1" x14ac:dyDescent="0.2">
      <c r="A1217" s="157">
        <v>1216</v>
      </c>
      <c r="B1217" s="163">
        <v>46007</v>
      </c>
      <c r="C1217" s="157">
        <f t="shared" si="59"/>
        <v>0</v>
      </c>
      <c r="D1217" s="157">
        <v>0</v>
      </c>
      <c r="E1217" s="157">
        <f t="shared" si="60"/>
        <v>0</v>
      </c>
      <c r="F1217" s="157" t="str">
        <f t="shared" si="61"/>
        <v>Tuesday</v>
      </c>
      <c r="H1217" s="165">
        <v>2</v>
      </c>
      <c r="I1217" s="157">
        <f t="shared" si="62"/>
        <v>8</v>
      </c>
      <c r="J1217" s="157">
        <f t="shared" si="63"/>
        <v>51</v>
      </c>
      <c r="K1217" t="s">
        <v>1780</v>
      </c>
    </row>
    <row r="1218" spans="1:11" ht="15" customHeight="1" x14ac:dyDescent="0.2">
      <c r="A1218" s="157">
        <v>1217</v>
      </c>
      <c r="B1218" s="163">
        <v>46008</v>
      </c>
      <c r="C1218" s="157">
        <f t="shared" si="59"/>
        <v>0</v>
      </c>
      <c r="D1218" s="157">
        <v>0</v>
      </c>
      <c r="E1218" s="157">
        <f t="shared" si="60"/>
        <v>0</v>
      </c>
      <c r="F1218" s="157" t="str">
        <f t="shared" si="61"/>
        <v>Wednesday</v>
      </c>
      <c r="H1218" s="165">
        <v>2</v>
      </c>
      <c r="I1218" s="157">
        <f t="shared" si="62"/>
        <v>8</v>
      </c>
      <c r="J1218" s="157">
        <f t="shared" si="63"/>
        <v>51</v>
      </c>
      <c r="K1218" t="s">
        <v>1780</v>
      </c>
    </row>
    <row r="1219" spans="1:11" ht="15" customHeight="1" x14ac:dyDescent="0.2">
      <c r="A1219" s="157">
        <v>1218</v>
      </c>
      <c r="B1219" s="163">
        <v>46009</v>
      </c>
      <c r="C1219" s="157">
        <f t="shared" si="59"/>
        <v>0</v>
      </c>
      <c r="D1219" s="157">
        <v>1</v>
      </c>
      <c r="E1219" s="157">
        <f t="shared" si="60"/>
        <v>1</v>
      </c>
      <c r="F1219" s="157" t="str">
        <f t="shared" si="61"/>
        <v>Thursday</v>
      </c>
      <c r="H1219" s="165">
        <v>2</v>
      </c>
      <c r="I1219" s="157">
        <f t="shared" si="62"/>
        <v>8</v>
      </c>
      <c r="J1219" s="157">
        <f t="shared" si="63"/>
        <v>51</v>
      </c>
      <c r="K1219" t="s">
        <v>1780</v>
      </c>
    </row>
    <row r="1220" spans="1:11" ht="15" customHeight="1" x14ac:dyDescent="0.2">
      <c r="A1220" s="157">
        <v>1219</v>
      </c>
      <c r="B1220" s="163">
        <v>46010</v>
      </c>
      <c r="C1220" s="157">
        <f t="shared" si="59"/>
        <v>0</v>
      </c>
      <c r="D1220" s="157">
        <v>1</v>
      </c>
      <c r="E1220" s="157">
        <f t="shared" si="60"/>
        <v>1</v>
      </c>
      <c r="F1220" s="157" t="str">
        <f t="shared" si="61"/>
        <v>Friday</v>
      </c>
      <c r="H1220" s="165">
        <v>2</v>
      </c>
      <c r="I1220" s="157">
        <f t="shared" si="62"/>
        <v>8</v>
      </c>
      <c r="J1220" s="157">
        <f t="shared" si="63"/>
        <v>51</v>
      </c>
      <c r="K1220" t="s">
        <v>1780</v>
      </c>
    </row>
    <row r="1221" spans="1:11" ht="15" customHeight="1" x14ac:dyDescent="0.2">
      <c r="A1221" s="157">
        <v>1220</v>
      </c>
      <c r="B1221" s="163">
        <v>46011</v>
      </c>
      <c r="C1221" s="157">
        <f t="shared" si="59"/>
        <v>1</v>
      </c>
      <c r="D1221" s="157">
        <v>1</v>
      </c>
      <c r="E1221" s="157">
        <f t="shared" si="60"/>
        <v>1</v>
      </c>
      <c r="F1221" s="157" t="str">
        <f t="shared" si="61"/>
        <v>Saturday</v>
      </c>
      <c r="H1221" s="165">
        <v>2</v>
      </c>
      <c r="I1221" s="157">
        <f t="shared" si="62"/>
        <v>8</v>
      </c>
      <c r="J1221" s="157">
        <f t="shared" si="63"/>
        <v>51</v>
      </c>
      <c r="K1221" t="s">
        <v>1780</v>
      </c>
    </row>
    <row r="1222" spans="1:11" ht="15" customHeight="1" x14ac:dyDescent="0.2">
      <c r="A1222" s="157">
        <v>1221</v>
      </c>
      <c r="B1222" s="163">
        <v>46012</v>
      </c>
      <c r="C1222" s="157">
        <f t="shared" si="59"/>
        <v>1</v>
      </c>
      <c r="D1222" s="157">
        <v>1</v>
      </c>
      <c r="E1222" s="157">
        <f t="shared" si="60"/>
        <v>1</v>
      </c>
      <c r="F1222" s="157" t="str">
        <f t="shared" si="61"/>
        <v>Sunday</v>
      </c>
      <c r="H1222" s="165">
        <v>2</v>
      </c>
      <c r="I1222" s="157">
        <f t="shared" si="62"/>
        <v>8</v>
      </c>
      <c r="J1222" s="157">
        <f t="shared" si="63"/>
        <v>51</v>
      </c>
      <c r="K1222" t="s">
        <v>1780</v>
      </c>
    </row>
    <row r="1223" spans="1:11" ht="15" customHeight="1" x14ac:dyDescent="0.2">
      <c r="A1223" s="157">
        <v>1222</v>
      </c>
      <c r="B1223" s="163">
        <v>46013</v>
      </c>
      <c r="C1223" s="157">
        <f t="shared" si="59"/>
        <v>0</v>
      </c>
      <c r="D1223" s="157">
        <v>1</v>
      </c>
      <c r="E1223" s="157">
        <f t="shared" si="60"/>
        <v>1</v>
      </c>
      <c r="F1223" s="157" t="str">
        <f t="shared" si="61"/>
        <v>Monday</v>
      </c>
      <c r="H1223" s="165">
        <v>2</v>
      </c>
      <c r="I1223" s="157">
        <f t="shared" si="62"/>
        <v>9</v>
      </c>
      <c r="J1223" s="157">
        <f t="shared" si="63"/>
        <v>52</v>
      </c>
      <c r="K1223" t="s">
        <v>1780</v>
      </c>
    </row>
    <row r="1224" spans="1:11" ht="15" customHeight="1" x14ac:dyDescent="0.2">
      <c r="A1224" s="157">
        <v>1223</v>
      </c>
      <c r="B1224" s="163">
        <v>46014</v>
      </c>
      <c r="C1224" s="157">
        <f t="shared" si="59"/>
        <v>0</v>
      </c>
      <c r="D1224" s="157">
        <v>1</v>
      </c>
      <c r="E1224" s="157">
        <f t="shared" si="60"/>
        <v>1</v>
      </c>
      <c r="F1224" s="157" t="str">
        <f t="shared" si="61"/>
        <v>Tuesday</v>
      </c>
      <c r="H1224" s="165">
        <v>2</v>
      </c>
      <c r="I1224" s="157">
        <f t="shared" si="62"/>
        <v>9</v>
      </c>
      <c r="J1224" s="157">
        <f t="shared" si="63"/>
        <v>52</v>
      </c>
      <c r="K1224" t="s">
        <v>1780</v>
      </c>
    </row>
    <row r="1225" spans="1:11" ht="15" customHeight="1" x14ac:dyDescent="0.2">
      <c r="A1225" s="157">
        <v>1224</v>
      </c>
      <c r="B1225" s="163">
        <v>46015</v>
      </c>
      <c r="C1225" s="157">
        <f t="shared" si="59"/>
        <v>0</v>
      </c>
      <c r="D1225" s="157">
        <v>1</v>
      </c>
      <c r="E1225" s="157">
        <f t="shared" si="60"/>
        <v>1</v>
      </c>
      <c r="F1225" s="157" t="str">
        <f t="shared" si="61"/>
        <v>Wednesday</v>
      </c>
      <c r="H1225" s="165">
        <v>2</v>
      </c>
      <c r="I1225" s="157">
        <f t="shared" si="62"/>
        <v>9</v>
      </c>
      <c r="J1225" s="157">
        <f t="shared" si="63"/>
        <v>52</v>
      </c>
      <c r="K1225" t="s">
        <v>1780</v>
      </c>
    </row>
    <row r="1226" spans="1:11" ht="15" customHeight="1" x14ac:dyDescent="0.2">
      <c r="A1226" s="157">
        <v>1225</v>
      </c>
      <c r="B1226" s="163">
        <v>46016</v>
      </c>
      <c r="C1226" s="157">
        <f t="shared" si="59"/>
        <v>0</v>
      </c>
      <c r="D1226" s="157">
        <v>1</v>
      </c>
      <c r="E1226" s="157">
        <f t="shared" si="60"/>
        <v>1</v>
      </c>
      <c r="F1226" s="157" t="str">
        <f t="shared" si="61"/>
        <v>Thursday</v>
      </c>
      <c r="H1226" s="165">
        <v>2</v>
      </c>
      <c r="I1226" s="157">
        <f t="shared" si="62"/>
        <v>9</v>
      </c>
      <c r="J1226" s="157">
        <f t="shared" si="63"/>
        <v>52</v>
      </c>
      <c r="K1226" t="s">
        <v>1780</v>
      </c>
    </row>
    <row r="1227" spans="1:11" ht="15" customHeight="1" x14ac:dyDescent="0.2">
      <c r="A1227" s="157">
        <v>1226</v>
      </c>
      <c r="B1227" s="163">
        <v>46017</v>
      </c>
      <c r="C1227" s="157">
        <f t="shared" si="59"/>
        <v>0</v>
      </c>
      <c r="D1227" s="157">
        <v>1</v>
      </c>
      <c r="E1227" s="157">
        <f t="shared" si="60"/>
        <v>1</v>
      </c>
      <c r="F1227" s="157" t="str">
        <f t="shared" si="61"/>
        <v>Friday</v>
      </c>
      <c r="H1227" s="165">
        <v>2</v>
      </c>
      <c r="I1227" s="157">
        <f t="shared" si="62"/>
        <v>9</v>
      </c>
      <c r="J1227" s="157">
        <f t="shared" si="63"/>
        <v>52</v>
      </c>
      <c r="K1227" t="s">
        <v>1780</v>
      </c>
    </row>
    <row r="1228" spans="1:11" ht="15" customHeight="1" x14ac:dyDescent="0.2">
      <c r="A1228" s="157">
        <v>1227</v>
      </c>
      <c r="B1228" s="163">
        <v>46018</v>
      </c>
      <c r="C1228" s="157">
        <f t="shared" si="59"/>
        <v>1</v>
      </c>
      <c r="D1228" s="157">
        <v>1</v>
      </c>
      <c r="E1228" s="157">
        <f t="shared" si="60"/>
        <v>1</v>
      </c>
      <c r="F1228" s="157" t="str">
        <f t="shared" si="61"/>
        <v>Saturday</v>
      </c>
      <c r="H1228" s="165">
        <v>2</v>
      </c>
      <c r="I1228" s="157">
        <f t="shared" si="62"/>
        <v>9</v>
      </c>
      <c r="J1228" s="157">
        <f t="shared" si="63"/>
        <v>52</v>
      </c>
      <c r="K1228" t="s">
        <v>1780</v>
      </c>
    </row>
    <row r="1229" spans="1:11" ht="15" customHeight="1" x14ac:dyDescent="0.2">
      <c r="A1229" s="157">
        <v>1228</v>
      </c>
      <c r="B1229" s="163">
        <v>46019</v>
      </c>
      <c r="C1229" s="157">
        <f t="shared" si="59"/>
        <v>1</v>
      </c>
      <c r="D1229" s="157">
        <v>1</v>
      </c>
      <c r="E1229" s="157">
        <f t="shared" si="60"/>
        <v>1</v>
      </c>
      <c r="F1229" s="157" t="str">
        <f t="shared" si="61"/>
        <v>Sunday</v>
      </c>
      <c r="H1229" s="165">
        <v>2</v>
      </c>
      <c r="I1229" s="157">
        <f t="shared" si="62"/>
        <v>9</v>
      </c>
      <c r="J1229" s="157">
        <f t="shared" si="63"/>
        <v>52</v>
      </c>
      <c r="K1229" t="s">
        <v>1780</v>
      </c>
    </row>
    <row r="1230" spans="1:11" ht="15" customHeight="1" x14ac:dyDescent="0.2">
      <c r="A1230" s="157">
        <v>1229</v>
      </c>
      <c r="B1230" s="163">
        <v>46020</v>
      </c>
      <c r="C1230" s="157">
        <f t="shared" si="59"/>
        <v>0</v>
      </c>
      <c r="D1230" s="157">
        <v>1</v>
      </c>
      <c r="E1230" s="157">
        <f t="shared" si="60"/>
        <v>1</v>
      </c>
      <c r="F1230" s="157" t="str">
        <f t="shared" si="61"/>
        <v>Monday</v>
      </c>
      <c r="H1230" s="165">
        <v>2</v>
      </c>
      <c r="I1230" s="157">
        <f t="shared" si="62"/>
        <v>9</v>
      </c>
      <c r="J1230" s="157">
        <f t="shared" si="63"/>
        <v>1</v>
      </c>
      <c r="K1230" t="s">
        <v>1780</v>
      </c>
    </row>
    <row r="1231" spans="1:11" ht="15" customHeight="1" x14ac:dyDescent="0.2">
      <c r="A1231" s="157">
        <v>1230</v>
      </c>
      <c r="B1231" s="163">
        <v>46021</v>
      </c>
      <c r="C1231" s="157">
        <f t="shared" si="59"/>
        <v>0</v>
      </c>
      <c r="D1231" s="157">
        <v>1</v>
      </c>
      <c r="E1231" s="157">
        <f t="shared" si="60"/>
        <v>1</v>
      </c>
      <c r="F1231" s="157" t="str">
        <f t="shared" si="61"/>
        <v>Tuesday</v>
      </c>
      <c r="H1231" s="165">
        <v>2</v>
      </c>
      <c r="I1231" s="157">
        <f t="shared" si="62"/>
        <v>9</v>
      </c>
      <c r="J1231" s="157">
        <f t="shared" si="63"/>
        <v>1</v>
      </c>
      <c r="K1231" t="s">
        <v>1780</v>
      </c>
    </row>
    <row r="1232" spans="1:11" ht="15" customHeight="1" x14ac:dyDescent="0.2">
      <c r="A1232" s="157">
        <v>1231</v>
      </c>
      <c r="B1232" s="163">
        <v>46022</v>
      </c>
      <c r="C1232" s="157">
        <f t="shared" si="59"/>
        <v>0</v>
      </c>
      <c r="D1232" s="157">
        <v>1</v>
      </c>
      <c r="E1232" s="157">
        <f t="shared" si="60"/>
        <v>1</v>
      </c>
      <c r="F1232" s="157" t="str">
        <f t="shared" si="61"/>
        <v>Wednesday</v>
      </c>
      <c r="H1232" s="165">
        <v>2</v>
      </c>
      <c r="I1232" s="157">
        <f t="shared" si="62"/>
        <v>9</v>
      </c>
      <c r="J1232" s="157">
        <f t="shared" si="63"/>
        <v>1</v>
      </c>
      <c r="K1232" t="s">
        <v>1780</v>
      </c>
    </row>
    <row r="1233" spans="1:11" ht="15" customHeight="1" x14ac:dyDescent="0.2">
      <c r="A1233" s="157">
        <v>1232</v>
      </c>
      <c r="B1233" s="163">
        <v>46023</v>
      </c>
      <c r="C1233" s="157">
        <f t="shared" si="59"/>
        <v>0</v>
      </c>
      <c r="D1233" s="157">
        <v>1</v>
      </c>
      <c r="E1233" s="157">
        <f t="shared" si="60"/>
        <v>1</v>
      </c>
      <c r="F1233" s="157" t="str">
        <f t="shared" si="61"/>
        <v>Thursday</v>
      </c>
      <c r="H1233" s="165">
        <v>2</v>
      </c>
      <c r="I1233" s="157">
        <f t="shared" si="62"/>
        <v>9</v>
      </c>
      <c r="J1233" s="157">
        <f t="shared" si="63"/>
        <v>1</v>
      </c>
      <c r="K1233" t="s">
        <v>1780</v>
      </c>
    </row>
    <row r="1234" spans="1:11" ht="15" customHeight="1" x14ac:dyDescent="0.2">
      <c r="A1234" s="157">
        <v>1233</v>
      </c>
      <c r="B1234" s="163">
        <v>46024</v>
      </c>
      <c r="C1234" s="157">
        <f t="shared" si="59"/>
        <v>0</v>
      </c>
      <c r="D1234" s="157">
        <v>1</v>
      </c>
      <c r="E1234" s="157">
        <f t="shared" si="60"/>
        <v>1</v>
      </c>
      <c r="F1234" s="157" t="str">
        <f t="shared" si="61"/>
        <v>Friday</v>
      </c>
      <c r="H1234" s="165">
        <v>2</v>
      </c>
      <c r="I1234" s="157">
        <f t="shared" si="62"/>
        <v>9</v>
      </c>
      <c r="J1234" s="157">
        <f t="shared" si="63"/>
        <v>1</v>
      </c>
      <c r="K1234" t="s">
        <v>1780</v>
      </c>
    </row>
    <row r="1235" spans="1:11" ht="15" customHeight="1" x14ac:dyDescent="0.2">
      <c r="A1235" s="157">
        <v>1234</v>
      </c>
      <c r="B1235" s="163">
        <v>46025</v>
      </c>
      <c r="C1235" s="157">
        <f t="shared" si="59"/>
        <v>1</v>
      </c>
      <c r="D1235" s="157">
        <v>1</v>
      </c>
      <c r="E1235" s="157">
        <f t="shared" si="60"/>
        <v>1</v>
      </c>
      <c r="F1235" s="157" t="str">
        <f t="shared" si="61"/>
        <v>Saturday</v>
      </c>
      <c r="H1235" s="165">
        <v>2</v>
      </c>
      <c r="I1235" s="157">
        <f t="shared" si="62"/>
        <v>9</v>
      </c>
      <c r="J1235" s="157">
        <f t="shared" si="63"/>
        <v>1</v>
      </c>
      <c r="K1235" t="s">
        <v>1780</v>
      </c>
    </row>
    <row r="1236" spans="1:11" ht="15" customHeight="1" x14ac:dyDescent="0.2">
      <c r="A1236" s="157">
        <v>1235</v>
      </c>
      <c r="B1236" s="163">
        <v>46026</v>
      </c>
      <c r="C1236" s="157">
        <f t="shared" si="59"/>
        <v>1</v>
      </c>
      <c r="D1236" s="157">
        <v>1</v>
      </c>
      <c r="E1236" s="157">
        <f t="shared" si="60"/>
        <v>1</v>
      </c>
      <c r="F1236" s="157" t="str">
        <f t="shared" si="61"/>
        <v>Sunday</v>
      </c>
      <c r="H1236" s="165">
        <v>2</v>
      </c>
      <c r="I1236" s="157">
        <f t="shared" si="62"/>
        <v>9</v>
      </c>
      <c r="J1236" s="157">
        <f t="shared" si="63"/>
        <v>1</v>
      </c>
      <c r="K1236" t="s">
        <v>1780</v>
      </c>
    </row>
    <row r="1237" spans="1:11" ht="15" customHeight="1" x14ac:dyDescent="0.2">
      <c r="A1237" s="157">
        <v>1236</v>
      </c>
      <c r="B1237" s="163">
        <v>46027</v>
      </c>
      <c r="C1237" s="157">
        <f t="shared" si="59"/>
        <v>0</v>
      </c>
      <c r="D1237" s="157">
        <v>1</v>
      </c>
      <c r="E1237" s="157">
        <f t="shared" si="60"/>
        <v>1</v>
      </c>
      <c r="F1237" s="157" t="str">
        <f t="shared" si="61"/>
        <v>Monday</v>
      </c>
      <c r="H1237" s="165">
        <v>3</v>
      </c>
      <c r="I1237" s="157">
        <f t="shared" si="62"/>
        <v>1</v>
      </c>
      <c r="J1237" s="157">
        <f t="shared" si="63"/>
        <v>2</v>
      </c>
      <c r="K1237" t="s">
        <v>1780</v>
      </c>
    </row>
    <row r="1238" spans="1:11" ht="15" customHeight="1" x14ac:dyDescent="0.2">
      <c r="A1238" s="157">
        <v>1237</v>
      </c>
      <c r="B1238" s="163">
        <v>46028</v>
      </c>
      <c r="C1238" s="157">
        <f t="shared" si="59"/>
        <v>0</v>
      </c>
      <c r="D1238" s="157">
        <v>0</v>
      </c>
      <c r="E1238" s="157">
        <f t="shared" si="60"/>
        <v>0</v>
      </c>
      <c r="F1238" s="157" t="str">
        <f t="shared" si="61"/>
        <v>Tuesday</v>
      </c>
      <c r="H1238" s="165">
        <v>3</v>
      </c>
      <c r="I1238" s="157">
        <f t="shared" si="62"/>
        <v>1</v>
      </c>
      <c r="J1238" s="157">
        <f t="shared" si="63"/>
        <v>2</v>
      </c>
      <c r="K1238" t="s">
        <v>1780</v>
      </c>
    </row>
    <row r="1239" spans="1:11" ht="15" customHeight="1" x14ac:dyDescent="0.2">
      <c r="A1239" s="157">
        <v>1238</v>
      </c>
      <c r="B1239" s="163">
        <v>46029</v>
      </c>
      <c r="C1239" s="157">
        <f t="shared" si="59"/>
        <v>0</v>
      </c>
      <c r="D1239" s="157">
        <v>0</v>
      </c>
      <c r="E1239" s="157">
        <f t="shared" si="60"/>
        <v>0</v>
      </c>
      <c r="F1239" s="157" t="str">
        <f t="shared" si="61"/>
        <v>Wednesday</v>
      </c>
      <c r="H1239" s="165">
        <v>3</v>
      </c>
      <c r="I1239" s="157">
        <f t="shared" si="62"/>
        <v>1</v>
      </c>
      <c r="J1239" s="157">
        <f t="shared" si="63"/>
        <v>2</v>
      </c>
      <c r="K1239" t="s">
        <v>1780</v>
      </c>
    </row>
    <row r="1240" spans="1:11" ht="15" customHeight="1" x14ac:dyDescent="0.2">
      <c r="A1240" s="157">
        <v>1239</v>
      </c>
      <c r="B1240" s="163">
        <v>46030</v>
      </c>
      <c r="C1240" s="157">
        <f t="shared" si="59"/>
        <v>0</v>
      </c>
      <c r="D1240" s="157">
        <v>0</v>
      </c>
      <c r="E1240" s="157">
        <f t="shared" si="60"/>
        <v>0</v>
      </c>
      <c r="F1240" s="157" t="str">
        <f t="shared" si="61"/>
        <v>Thursday</v>
      </c>
      <c r="H1240" s="165">
        <v>3</v>
      </c>
      <c r="I1240" s="157">
        <f t="shared" si="62"/>
        <v>1</v>
      </c>
      <c r="J1240" s="157">
        <f t="shared" si="63"/>
        <v>2</v>
      </c>
      <c r="K1240" t="s">
        <v>1780</v>
      </c>
    </row>
    <row r="1241" spans="1:11" ht="15" customHeight="1" x14ac:dyDescent="0.2">
      <c r="A1241" s="157">
        <v>1240</v>
      </c>
      <c r="B1241" s="163">
        <v>46031</v>
      </c>
      <c r="C1241" s="157">
        <f t="shared" si="59"/>
        <v>0</v>
      </c>
      <c r="D1241" s="157">
        <v>0</v>
      </c>
      <c r="E1241" s="157">
        <f t="shared" si="60"/>
        <v>0</v>
      </c>
      <c r="F1241" s="157" t="str">
        <f t="shared" si="61"/>
        <v>Friday</v>
      </c>
      <c r="H1241" s="165">
        <v>3</v>
      </c>
      <c r="I1241" s="157">
        <f t="shared" si="62"/>
        <v>1</v>
      </c>
      <c r="J1241" s="157">
        <f t="shared" si="63"/>
        <v>2</v>
      </c>
      <c r="K1241" t="s">
        <v>1780</v>
      </c>
    </row>
    <row r="1242" spans="1:11" ht="15" customHeight="1" x14ac:dyDescent="0.2">
      <c r="A1242" s="157">
        <v>1241</v>
      </c>
      <c r="B1242" s="163">
        <v>46032</v>
      </c>
      <c r="C1242" s="157">
        <f t="shared" si="59"/>
        <v>1</v>
      </c>
      <c r="D1242" s="157">
        <v>0</v>
      </c>
      <c r="E1242" s="157">
        <f t="shared" si="60"/>
        <v>1</v>
      </c>
      <c r="F1242" s="157" t="str">
        <f t="shared" si="61"/>
        <v>Saturday</v>
      </c>
      <c r="H1242" s="165">
        <v>3</v>
      </c>
      <c r="I1242" s="157">
        <f t="shared" si="62"/>
        <v>1</v>
      </c>
      <c r="J1242" s="157">
        <f t="shared" si="63"/>
        <v>2</v>
      </c>
      <c r="K1242" t="s">
        <v>1780</v>
      </c>
    </row>
    <row r="1243" spans="1:11" ht="15" customHeight="1" x14ac:dyDescent="0.2">
      <c r="A1243" s="157">
        <v>1242</v>
      </c>
      <c r="B1243" s="163">
        <v>46033</v>
      </c>
      <c r="C1243" s="157">
        <f t="shared" si="59"/>
        <v>1</v>
      </c>
      <c r="D1243" s="157">
        <v>0</v>
      </c>
      <c r="E1243" s="157">
        <f t="shared" si="60"/>
        <v>1</v>
      </c>
      <c r="F1243" s="157" t="str">
        <f t="shared" si="61"/>
        <v>Sunday</v>
      </c>
      <c r="H1243" s="165">
        <v>3</v>
      </c>
      <c r="I1243" s="157">
        <f t="shared" si="62"/>
        <v>1</v>
      </c>
      <c r="J1243" s="157">
        <f t="shared" si="63"/>
        <v>2</v>
      </c>
      <c r="K1243" t="s">
        <v>1780</v>
      </c>
    </row>
    <row r="1244" spans="1:11" ht="15" customHeight="1" x14ac:dyDescent="0.2">
      <c r="A1244" s="157">
        <v>1243</v>
      </c>
      <c r="B1244" s="163">
        <v>46034</v>
      </c>
      <c r="C1244" s="157">
        <f t="shared" si="59"/>
        <v>0</v>
      </c>
      <c r="D1244" s="157">
        <v>0</v>
      </c>
      <c r="E1244" s="157">
        <f t="shared" si="60"/>
        <v>0</v>
      </c>
      <c r="F1244" s="157" t="str">
        <f t="shared" si="61"/>
        <v>Monday</v>
      </c>
      <c r="H1244" s="165">
        <v>3</v>
      </c>
      <c r="I1244" s="157">
        <f t="shared" si="62"/>
        <v>2</v>
      </c>
      <c r="J1244" s="157">
        <f t="shared" si="63"/>
        <v>3</v>
      </c>
      <c r="K1244" t="s">
        <v>1780</v>
      </c>
    </row>
    <row r="1245" spans="1:11" ht="15" customHeight="1" x14ac:dyDescent="0.2">
      <c r="A1245" s="157">
        <v>1244</v>
      </c>
      <c r="B1245" s="163">
        <v>46035</v>
      </c>
      <c r="C1245" s="157">
        <f t="shared" si="59"/>
        <v>0</v>
      </c>
      <c r="D1245" s="157">
        <v>0</v>
      </c>
      <c r="E1245" s="157">
        <f t="shared" si="60"/>
        <v>0</v>
      </c>
      <c r="F1245" s="157" t="str">
        <f t="shared" si="61"/>
        <v>Tuesday</v>
      </c>
      <c r="H1245" s="165">
        <v>3</v>
      </c>
      <c r="I1245" s="157">
        <f t="shared" si="62"/>
        <v>2</v>
      </c>
      <c r="J1245" s="157">
        <f t="shared" si="63"/>
        <v>3</v>
      </c>
      <c r="K1245" t="s">
        <v>1780</v>
      </c>
    </row>
    <row r="1246" spans="1:11" ht="15" customHeight="1" x14ac:dyDescent="0.2">
      <c r="A1246" s="157">
        <v>1245</v>
      </c>
      <c r="B1246" s="163">
        <v>46036</v>
      </c>
      <c r="C1246" s="157">
        <f t="shared" si="59"/>
        <v>0</v>
      </c>
      <c r="D1246" s="157">
        <v>0</v>
      </c>
      <c r="E1246" s="157">
        <f t="shared" si="60"/>
        <v>0</v>
      </c>
      <c r="F1246" s="157" t="str">
        <f t="shared" si="61"/>
        <v>Wednesday</v>
      </c>
      <c r="H1246" s="165">
        <v>3</v>
      </c>
      <c r="I1246" s="157">
        <f t="shared" si="62"/>
        <v>2</v>
      </c>
      <c r="J1246" s="157">
        <f t="shared" si="63"/>
        <v>3</v>
      </c>
      <c r="K1246" t="s">
        <v>1780</v>
      </c>
    </row>
    <row r="1247" spans="1:11" ht="15" customHeight="1" x14ac:dyDescent="0.2">
      <c r="A1247" s="157">
        <v>1246</v>
      </c>
      <c r="B1247" s="163">
        <v>46037</v>
      </c>
      <c r="C1247" s="157">
        <f t="shared" si="59"/>
        <v>0</v>
      </c>
      <c r="D1247" s="157">
        <v>0</v>
      </c>
      <c r="E1247" s="157">
        <f t="shared" si="60"/>
        <v>0</v>
      </c>
      <c r="F1247" s="157" t="str">
        <f t="shared" si="61"/>
        <v>Thursday</v>
      </c>
      <c r="H1247" s="165">
        <v>3</v>
      </c>
      <c r="I1247" s="157">
        <f t="shared" si="62"/>
        <v>2</v>
      </c>
      <c r="J1247" s="157">
        <f t="shared" si="63"/>
        <v>3</v>
      </c>
      <c r="K1247" t="s">
        <v>1780</v>
      </c>
    </row>
    <row r="1248" spans="1:11" ht="15" customHeight="1" x14ac:dyDescent="0.2">
      <c r="A1248" s="157">
        <v>1247</v>
      </c>
      <c r="B1248" s="163">
        <v>46038</v>
      </c>
      <c r="C1248" s="157">
        <f t="shared" si="59"/>
        <v>0</v>
      </c>
      <c r="D1248" s="157">
        <v>0</v>
      </c>
      <c r="E1248" s="157">
        <f t="shared" si="60"/>
        <v>0</v>
      </c>
      <c r="F1248" s="157" t="str">
        <f t="shared" si="61"/>
        <v>Friday</v>
      </c>
      <c r="H1248" s="165">
        <v>3</v>
      </c>
      <c r="I1248" s="157">
        <f t="shared" si="62"/>
        <v>2</v>
      </c>
      <c r="J1248" s="157">
        <f t="shared" si="63"/>
        <v>3</v>
      </c>
      <c r="K1248" t="s">
        <v>1780</v>
      </c>
    </row>
    <row r="1249" spans="1:11" ht="15" customHeight="1" x14ac:dyDescent="0.2">
      <c r="A1249" s="157">
        <v>1248</v>
      </c>
      <c r="B1249" s="163">
        <v>46039</v>
      </c>
      <c r="C1249" s="157">
        <f t="shared" si="59"/>
        <v>1</v>
      </c>
      <c r="D1249" s="157">
        <v>0</v>
      </c>
      <c r="E1249" s="157">
        <f t="shared" si="60"/>
        <v>1</v>
      </c>
      <c r="F1249" s="157" t="str">
        <f t="shared" si="61"/>
        <v>Saturday</v>
      </c>
      <c r="H1249" s="165">
        <v>3</v>
      </c>
      <c r="I1249" s="157">
        <f t="shared" si="62"/>
        <v>2</v>
      </c>
      <c r="J1249" s="157">
        <f t="shared" si="63"/>
        <v>3</v>
      </c>
      <c r="K1249" t="s">
        <v>1780</v>
      </c>
    </row>
    <row r="1250" spans="1:11" ht="15" customHeight="1" x14ac:dyDescent="0.2">
      <c r="A1250" s="157">
        <v>1249</v>
      </c>
      <c r="B1250" s="163">
        <v>46040</v>
      </c>
      <c r="C1250" s="157">
        <f t="shared" si="59"/>
        <v>1</v>
      </c>
      <c r="D1250" s="157">
        <v>0</v>
      </c>
      <c r="E1250" s="157">
        <f t="shared" si="60"/>
        <v>1</v>
      </c>
      <c r="F1250" s="157" t="str">
        <f t="shared" si="61"/>
        <v>Sunday</v>
      </c>
      <c r="H1250" s="165">
        <v>3</v>
      </c>
      <c r="I1250" s="157">
        <f t="shared" si="62"/>
        <v>2</v>
      </c>
      <c r="J1250" s="157">
        <f t="shared" si="63"/>
        <v>3</v>
      </c>
      <c r="K1250" t="s">
        <v>1780</v>
      </c>
    </row>
    <row r="1251" spans="1:11" ht="15" customHeight="1" x14ac:dyDescent="0.2">
      <c r="A1251" s="157">
        <v>1250</v>
      </c>
      <c r="B1251" s="163">
        <v>46041</v>
      </c>
      <c r="C1251" s="157">
        <f t="shared" si="59"/>
        <v>0</v>
      </c>
      <c r="D1251" s="157">
        <v>0</v>
      </c>
      <c r="E1251" s="157">
        <f t="shared" si="60"/>
        <v>0</v>
      </c>
      <c r="F1251" s="157" t="str">
        <f t="shared" si="61"/>
        <v>Monday</v>
      </c>
      <c r="H1251" s="165">
        <v>3</v>
      </c>
      <c r="I1251" s="157">
        <f t="shared" si="62"/>
        <v>3</v>
      </c>
      <c r="J1251" s="157">
        <f t="shared" si="63"/>
        <v>4</v>
      </c>
      <c r="K1251" t="s">
        <v>1780</v>
      </c>
    </row>
    <row r="1252" spans="1:11" ht="15" customHeight="1" x14ac:dyDescent="0.2">
      <c r="A1252" s="157">
        <v>1251</v>
      </c>
      <c r="B1252" s="163">
        <v>46042</v>
      </c>
      <c r="C1252" s="157">
        <f t="shared" si="59"/>
        <v>0</v>
      </c>
      <c r="D1252" s="157">
        <v>0</v>
      </c>
      <c r="E1252" s="157">
        <f t="shared" si="60"/>
        <v>0</v>
      </c>
      <c r="F1252" s="157" t="str">
        <f t="shared" si="61"/>
        <v>Tuesday</v>
      </c>
      <c r="H1252" s="165">
        <v>3</v>
      </c>
      <c r="I1252" s="157">
        <f t="shared" si="62"/>
        <v>3</v>
      </c>
      <c r="J1252" s="157">
        <f t="shared" si="63"/>
        <v>4</v>
      </c>
      <c r="K1252" t="s">
        <v>1780</v>
      </c>
    </row>
    <row r="1253" spans="1:11" ht="15" customHeight="1" x14ac:dyDescent="0.2">
      <c r="A1253" s="157">
        <v>1252</v>
      </c>
      <c r="B1253" s="163">
        <v>46043</v>
      </c>
      <c r="C1253" s="157">
        <f t="shared" si="59"/>
        <v>0</v>
      </c>
      <c r="D1253" s="157">
        <v>0</v>
      </c>
      <c r="E1253" s="157">
        <f t="shared" si="60"/>
        <v>0</v>
      </c>
      <c r="F1253" s="157" t="str">
        <f t="shared" si="61"/>
        <v>Wednesday</v>
      </c>
      <c r="H1253" s="165">
        <v>3</v>
      </c>
      <c r="I1253" s="157">
        <f t="shared" si="62"/>
        <v>3</v>
      </c>
      <c r="J1253" s="157">
        <f t="shared" si="63"/>
        <v>4</v>
      </c>
      <c r="K1253" t="s">
        <v>1780</v>
      </c>
    </row>
    <row r="1254" spans="1:11" ht="15" customHeight="1" x14ac:dyDescent="0.2">
      <c r="A1254" s="157">
        <v>1253</v>
      </c>
      <c r="B1254" s="163">
        <v>46044</v>
      </c>
      <c r="C1254" s="157">
        <f t="shared" si="59"/>
        <v>0</v>
      </c>
      <c r="D1254" s="157">
        <v>0</v>
      </c>
      <c r="E1254" s="157">
        <f t="shared" si="60"/>
        <v>0</v>
      </c>
      <c r="F1254" s="157" t="str">
        <f t="shared" si="61"/>
        <v>Thursday</v>
      </c>
      <c r="H1254" s="165">
        <v>3</v>
      </c>
      <c r="I1254" s="157">
        <f t="shared" si="62"/>
        <v>3</v>
      </c>
      <c r="J1254" s="157">
        <f t="shared" si="63"/>
        <v>4</v>
      </c>
      <c r="K1254" t="s">
        <v>1780</v>
      </c>
    </row>
    <row r="1255" spans="1:11" ht="15" customHeight="1" x14ac:dyDescent="0.2">
      <c r="A1255" s="157">
        <v>1254</v>
      </c>
      <c r="B1255" s="163">
        <v>46045</v>
      </c>
      <c r="C1255" s="157">
        <f t="shared" si="59"/>
        <v>0</v>
      </c>
      <c r="D1255" s="157">
        <v>0</v>
      </c>
      <c r="E1255" s="157">
        <f t="shared" si="60"/>
        <v>0</v>
      </c>
      <c r="F1255" s="157" t="str">
        <f t="shared" si="61"/>
        <v>Friday</v>
      </c>
      <c r="H1255" s="165">
        <v>3</v>
      </c>
      <c r="I1255" s="157">
        <f t="shared" si="62"/>
        <v>3</v>
      </c>
      <c r="J1255" s="157">
        <f t="shared" si="63"/>
        <v>4</v>
      </c>
      <c r="K1255" t="s">
        <v>1780</v>
      </c>
    </row>
    <row r="1256" spans="1:11" ht="15" customHeight="1" x14ac:dyDescent="0.2">
      <c r="A1256" s="157">
        <v>1255</v>
      </c>
      <c r="B1256" s="163">
        <v>46046</v>
      </c>
      <c r="C1256" s="157">
        <f t="shared" si="59"/>
        <v>1</v>
      </c>
      <c r="D1256" s="157">
        <v>0</v>
      </c>
      <c r="E1256" s="157">
        <f t="shared" si="60"/>
        <v>1</v>
      </c>
      <c r="F1256" s="157" t="str">
        <f t="shared" si="61"/>
        <v>Saturday</v>
      </c>
      <c r="H1256" s="165">
        <v>3</v>
      </c>
      <c r="I1256" s="157">
        <f t="shared" si="62"/>
        <v>3</v>
      </c>
      <c r="J1256" s="157">
        <f t="shared" si="63"/>
        <v>4</v>
      </c>
      <c r="K1256" t="s">
        <v>1780</v>
      </c>
    </row>
    <row r="1257" spans="1:11" ht="15" customHeight="1" x14ac:dyDescent="0.2">
      <c r="A1257" s="157">
        <v>1256</v>
      </c>
      <c r="B1257" s="163">
        <v>46047</v>
      </c>
      <c r="C1257" s="157">
        <f t="shared" si="59"/>
        <v>1</v>
      </c>
      <c r="D1257" s="157">
        <v>0</v>
      </c>
      <c r="E1257" s="157">
        <f t="shared" si="60"/>
        <v>1</v>
      </c>
      <c r="F1257" s="157" t="str">
        <f t="shared" si="61"/>
        <v>Sunday</v>
      </c>
      <c r="H1257" s="165">
        <v>3</v>
      </c>
      <c r="I1257" s="157">
        <f t="shared" si="62"/>
        <v>3</v>
      </c>
      <c r="J1257" s="157">
        <f t="shared" si="63"/>
        <v>4</v>
      </c>
      <c r="K1257" t="s">
        <v>1780</v>
      </c>
    </row>
    <row r="1258" spans="1:11" ht="15" customHeight="1" x14ac:dyDescent="0.2">
      <c r="A1258" s="157">
        <v>1257</v>
      </c>
      <c r="B1258" s="163">
        <v>46048</v>
      </c>
      <c r="C1258" s="157">
        <f t="shared" ref="C1258:C1321" si="64">IF(OR(WEEKDAY(B1258) = 7, WEEKDAY(B1258) = 1), 1, 0)</f>
        <v>0</v>
      </c>
      <c r="D1258" s="157">
        <v>0</v>
      </c>
      <c r="E1258" s="157">
        <f t="shared" ref="E1258:E1321" si="65">IF((C1258+D1258)&gt;0, 1, 0)</f>
        <v>0</v>
      </c>
      <c r="F1258" s="157" t="str">
        <f t="shared" ref="F1258:F1321" si="66">TEXT(B1258, "dddd")</f>
        <v>Monday</v>
      </c>
      <c r="H1258" s="165">
        <v>3</v>
      </c>
      <c r="I1258" s="157">
        <f t="shared" ref="I1258:I1321" si="67">IF(J1258&gt;J1257, IF(H1258&lt;&gt;H1257,1, I1257+1),I1257)</f>
        <v>4</v>
      </c>
      <c r="J1258" s="157">
        <f t="shared" ref="J1258:J1321" si="68">_xlfn.ISOWEEKNUM(B1258)</f>
        <v>5</v>
      </c>
      <c r="K1258" t="s">
        <v>1780</v>
      </c>
    </row>
    <row r="1259" spans="1:11" ht="15" customHeight="1" x14ac:dyDescent="0.2">
      <c r="A1259" s="157">
        <v>1258</v>
      </c>
      <c r="B1259" s="163">
        <v>46049</v>
      </c>
      <c r="C1259" s="157">
        <f t="shared" si="64"/>
        <v>0</v>
      </c>
      <c r="D1259" s="157">
        <v>0</v>
      </c>
      <c r="E1259" s="157">
        <f t="shared" si="65"/>
        <v>0</v>
      </c>
      <c r="F1259" s="157" t="str">
        <f t="shared" si="66"/>
        <v>Tuesday</v>
      </c>
      <c r="H1259" s="165">
        <v>3</v>
      </c>
      <c r="I1259" s="157">
        <f t="shared" si="67"/>
        <v>4</v>
      </c>
      <c r="J1259" s="157">
        <f t="shared" si="68"/>
        <v>5</v>
      </c>
      <c r="K1259" t="s">
        <v>1780</v>
      </c>
    </row>
    <row r="1260" spans="1:11" ht="15" customHeight="1" x14ac:dyDescent="0.2">
      <c r="A1260" s="157">
        <v>1259</v>
      </c>
      <c r="B1260" s="163">
        <v>46050</v>
      </c>
      <c r="C1260" s="157">
        <f t="shared" si="64"/>
        <v>0</v>
      </c>
      <c r="D1260" s="157">
        <v>0</v>
      </c>
      <c r="E1260" s="157">
        <f t="shared" si="65"/>
        <v>0</v>
      </c>
      <c r="F1260" s="157" t="str">
        <f t="shared" si="66"/>
        <v>Wednesday</v>
      </c>
      <c r="H1260" s="165">
        <v>3</v>
      </c>
      <c r="I1260" s="157">
        <f t="shared" si="67"/>
        <v>4</v>
      </c>
      <c r="J1260" s="157">
        <f t="shared" si="68"/>
        <v>5</v>
      </c>
      <c r="K1260" t="s">
        <v>1780</v>
      </c>
    </row>
    <row r="1261" spans="1:11" ht="15" customHeight="1" x14ac:dyDescent="0.2">
      <c r="A1261" s="157">
        <v>1260</v>
      </c>
      <c r="B1261" s="163">
        <v>46051</v>
      </c>
      <c r="C1261" s="157">
        <f t="shared" si="64"/>
        <v>0</v>
      </c>
      <c r="D1261" s="157">
        <v>0</v>
      </c>
      <c r="E1261" s="157">
        <f t="shared" si="65"/>
        <v>0</v>
      </c>
      <c r="F1261" s="157" t="str">
        <f t="shared" si="66"/>
        <v>Thursday</v>
      </c>
      <c r="H1261" s="165">
        <v>3</v>
      </c>
      <c r="I1261" s="157">
        <f t="shared" si="67"/>
        <v>4</v>
      </c>
      <c r="J1261" s="157">
        <f t="shared" si="68"/>
        <v>5</v>
      </c>
      <c r="K1261" t="s">
        <v>1780</v>
      </c>
    </row>
    <row r="1262" spans="1:11" ht="15" customHeight="1" x14ac:dyDescent="0.2">
      <c r="A1262" s="157">
        <v>1261</v>
      </c>
      <c r="B1262" s="163">
        <v>46052</v>
      </c>
      <c r="C1262" s="157">
        <f t="shared" si="64"/>
        <v>0</v>
      </c>
      <c r="D1262" s="157">
        <v>0</v>
      </c>
      <c r="E1262" s="157">
        <f t="shared" si="65"/>
        <v>0</v>
      </c>
      <c r="F1262" s="157" t="str">
        <f t="shared" si="66"/>
        <v>Friday</v>
      </c>
      <c r="H1262" s="165">
        <v>3</v>
      </c>
      <c r="I1262" s="157">
        <f t="shared" si="67"/>
        <v>4</v>
      </c>
      <c r="J1262" s="157">
        <f t="shared" si="68"/>
        <v>5</v>
      </c>
      <c r="K1262" t="s">
        <v>1780</v>
      </c>
    </row>
    <row r="1263" spans="1:11" ht="15" customHeight="1" x14ac:dyDescent="0.2">
      <c r="A1263" s="157">
        <v>1262</v>
      </c>
      <c r="B1263" s="163">
        <v>46053</v>
      </c>
      <c r="C1263" s="157">
        <f t="shared" si="64"/>
        <v>1</v>
      </c>
      <c r="D1263" s="157">
        <v>0</v>
      </c>
      <c r="E1263" s="157">
        <f t="shared" si="65"/>
        <v>1</v>
      </c>
      <c r="F1263" s="157" t="str">
        <f t="shared" si="66"/>
        <v>Saturday</v>
      </c>
      <c r="H1263" s="165">
        <v>3</v>
      </c>
      <c r="I1263" s="157">
        <f t="shared" si="67"/>
        <v>4</v>
      </c>
      <c r="J1263" s="157">
        <f t="shared" si="68"/>
        <v>5</v>
      </c>
      <c r="K1263" t="s">
        <v>1780</v>
      </c>
    </row>
    <row r="1264" spans="1:11" ht="15" customHeight="1" x14ac:dyDescent="0.2">
      <c r="A1264" s="157">
        <v>1263</v>
      </c>
      <c r="B1264" s="163">
        <v>46054</v>
      </c>
      <c r="C1264" s="157">
        <f t="shared" si="64"/>
        <v>1</v>
      </c>
      <c r="D1264" s="157">
        <v>0</v>
      </c>
      <c r="E1264" s="157">
        <f t="shared" si="65"/>
        <v>1</v>
      </c>
      <c r="F1264" s="157" t="str">
        <f t="shared" si="66"/>
        <v>Sunday</v>
      </c>
      <c r="H1264" s="165">
        <v>3</v>
      </c>
      <c r="I1264" s="157">
        <f t="shared" si="67"/>
        <v>4</v>
      </c>
      <c r="J1264" s="157">
        <f t="shared" si="68"/>
        <v>5</v>
      </c>
      <c r="K1264" t="s">
        <v>1780</v>
      </c>
    </row>
    <row r="1265" spans="1:11" ht="15" customHeight="1" x14ac:dyDescent="0.2">
      <c r="A1265" s="157">
        <v>1264</v>
      </c>
      <c r="B1265" s="163">
        <v>46055</v>
      </c>
      <c r="C1265" s="157">
        <f t="shared" si="64"/>
        <v>0</v>
      </c>
      <c r="D1265" s="157">
        <v>0</v>
      </c>
      <c r="E1265" s="157">
        <f t="shared" si="65"/>
        <v>0</v>
      </c>
      <c r="F1265" s="157" t="str">
        <f t="shared" si="66"/>
        <v>Monday</v>
      </c>
      <c r="H1265" s="165">
        <v>3</v>
      </c>
      <c r="I1265" s="157">
        <f t="shared" si="67"/>
        <v>5</v>
      </c>
      <c r="J1265" s="157">
        <f t="shared" si="68"/>
        <v>6</v>
      </c>
      <c r="K1265" t="s">
        <v>1780</v>
      </c>
    </row>
    <row r="1266" spans="1:11" ht="15" customHeight="1" x14ac:dyDescent="0.2">
      <c r="A1266" s="157">
        <v>1265</v>
      </c>
      <c r="B1266" s="163">
        <v>46056</v>
      </c>
      <c r="C1266" s="157">
        <f t="shared" si="64"/>
        <v>0</v>
      </c>
      <c r="D1266" s="157">
        <v>0</v>
      </c>
      <c r="E1266" s="157">
        <f t="shared" si="65"/>
        <v>0</v>
      </c>
      <c r="F1266" s="157" t="str">
        <f t="shared" si="66"/>
        <v>Tuesday</v>
      </c>
      <c r="H1266" s="165">
        <v>3</v>
      </c>
      <c r="I1266" s="157">
        <f t="shared" si="67"/>
        <v>5</v>
      </c>
      <c r="J1266" s="157">
        <f t="shared" si="68"/>
        <v>6</v>
      </c>
      <c r="K1266" t="s">
        <v>1780</v>
      </c>
    </row>
    <row r="1267" spans="1:11" ht="15" customHeight="1" x14ac:dyDescent="0.2">
      <c r="A1267" s="157">
        <v>1266</v>
      </c>
      <c r="B1267" s="163">
        <v>46057</v>
      </c>
      <c r="C1267" s="157">
        <f t="shared" si="64"/>
        <v>0</v>
      </c>
      <c r="D1267" s="157">
        <v>0</v>
      </c>
      <c r="E1267" s="157">
        <f t="shared" si="65"/>
        <v>0</v>
      </c>
      <c r="F1267" s="157" t="str">
        <f t="shared" si="66"/>
        <v>Wednesday</v>
      </c>
      <c r="H1267" s="165">
        <v>3</v>
      </c>
      <c r="I1267" s="157">
        <f t="shared" si="67"/>
        <v>5</v>
      </c>
      <c r="J1267" s="157">
        <f t="shared" si="68"/>
        <v>6</v>
      </c>
      <c r="K1267" t="s">
        <v>1780</v>
      </c>
    </row>
    <row r="1268" spans="1:11" ht="15" customHeight="1" x14ac:dyDescent="0.2">
      <c r="A1268" s="157">
        <v>1267</v>
      </c>
      <c r="B1268" s="163">
        <v>46058</v>
      </c>
      <c r="C1268" s="157">
        <f t="shared" si="64"/>
        <v>0</v>
      </c>
      <c r="D1268" s="157">
        <v>0</v>
      </c>
      <c r="E1268" s="157">
        <f t="shared" si="65"/>
        <v>0</v>
      </c>
      <c r="F1268" s="157" t="str">
        <f t="shared" si="66"/>
        <v>Thursday</v>
      </c>
      <c r="H1268" s="165">
        <v>3</v>
      </c>
      <c r="I1268" s="157">
        <f t="shared" si="67"/>
        <v>5</v>
      </c>
      <c r="J1268" s="157">
        <f t="shared" si="68"/>
        <v>6</v>
      </c>
      <c r="K1268" t="s">
        <v>1780</v>
      </c>
    </row>
    <row r="1269" spans="1:11" ht="15" customHeight="1" x14ac:dyDescent="0.2">
      <c r="A1269" s="157">
        <v>1268</v>
      </c>
      <c r="B1269" s="163">
        <v>46059</v>
      </c>
      <c r="C1269" s="157">
        <f t="shared" si="64"/>
        <v>0</v>
      </c>
      <c r="D1269" s="157">
        <v>0</v>
      </c>
      <c r="E1269" s="157">
        <f t="shared" si="65"/>
        <v>0</v>
      </c>
      <c r="F1269" s="157" t="str">
        <f t="shared" si="66"/>
        <v>Friday</v>
      </c>
      <c r="H1269" s="165">
        <v>3</v>
      </c>
      <c r="I1269" s="157">
        <f t="shared" si="67"/>
        <v>5</v>
      </c>
      <c r="J1269" s="157">
        <f t="shared" si="68"/>
        <v>6</v>
      </c>
      <c r="K1269" t="s">
        <v>1780</v>
      </c>
    </row>
    <row r="1270" spans="1:11" ht="15" customHeight="1" x14ac:dyDescent="0.2">
      <c r="A1270" s="157">
        <v>1269</v>
      </c>
      <c r="B1270" s="163">
        <v>46060</v>
      </c>
      <c r="C1270" s="157">
        <f t="shared" si="64"/>
        <v>1</v>
      </c>
      <c r="D1270" s="157">
        <v>0</v>
      </c>
      <c r="E1270" s="157">
        <f t="shared" si="65"/>
        <v>1</v>
      </c>
      <c r="F1270" s="157" t="str">
        <f t="shared" si="66"/>
        <v>Saturday</v>
      </c>
      <c r="H1270" s="165">
        <v>3</v>
      </c>
      <c r="I1270" s="157">
        <f t="shared" si="67"/>
        <v>5</v>
      </c>
      <c r="J1270" s="157">
        <f t="shared" si="68"/>
        <v>6</v>
      </c>
      <c r="K1270" t="s">
        <v>1780</v>
      </c>
    </row>
    <row r="1271" spans="1:11" ht="15" customHeight="1" x14ac:dyDescent="0.2">
      <c r="A1271" s="157">
        <v>1270</v>
      </c>
      <c r="B1271" s="163">
        <v>46061</v>
      </c>
      <c r="C1271" s="157">
        <f t="shared" si="64"/>
        <v>1</v>
      </c>
      <c r="D1271" s="157">
        <v>0</v>
      </c>
      <c r="E1271" s="157">
        <f t="shared" si="65"/>
        <v>1</v>
      </c>
      <c r="F1271" s="157" t="str">
        <f t="shared" si="66"/>
        <v>Sunday</v>
      </c>
      <c r="H1271" s="165">
        <v>3</v>
      </c>
      <c r="I1271" s="157">
        <f t="shared" si="67"/>
        <v>5</v>
      </c>
      <c r="J1271" s="157">
        <f t="shared" si="68"/>
        <v>6</v>
      </c>
      <c r="K1271" t="s">
        <v>1780</v>
      </c>
    </row>
    <row r="1272" spans="1:11" ht="15" customHeight="1" x14ac:dyDescent="0.2">
      <c r="A1272" s="157">
        <v>1271</v>
      </c>
      <c r="B1272" s="163">
        <v>46062</v>
      </c>
      <c r="C1272" s="157">
        <f t="shared" si="64"/>
        <v>0</v>
      </c>
      <c r="D1272" s="157">
        <v>0</v>
      </c>
      <c r="E1272" s="157">
        <f t="shared" si="65"/>
        <v>0</v>
      </c>
      <c r="F1272" s="157" t="str">
        <f t="shared" si="66"/>
        <v>Monday</v>
      </c>
      <c r="H1272" s="165">
        <v>3</v>
      </c>
      <c r="I1272" s="157">
        <f t="shared" si="67"/>
        <v>6</v>
      </c>
      <c r="J1272" s="157">
        <f t="shared" si="68"/>
        <v>7</v>
      </c>
      <c r="K1272" t="s">
        <v>1780</v>
      </c>
    </row>
    <row r="1273" spans="1:11" ht="15" customHeight="1" x14ac:dyDescent="0.2">
      <c r="A1273" s="157">
        <v>1272</v>
      </c>
      <c r="B1273" s="163">
        <v>46063</v>
      </c>
      <c r="C1273" s="157">
        <f t="shared" si="64"/>
        <v>0</v>
      </c>
      <c r="D1273" s="157">
        <v>0</v>
      </c>
      <c r="E1273" s="157">
        <f t="shared" si="65"/>
        <v>0</v>
      </c>
      <c r="F1273" s="157" t="str">
        <f t="shared" si="66"/>
        <v>Tuesday</v>
      </c>
      <c r="H1273" s="165">
        <v>3</v>
      </c>
      <c r="I1273" s="157">
        <f t="shared" si="67"/>
        <v>6</v>
      </c>
      <c r="J1273" s="157">
        <f t="shared" si="68"/>
        <v>7</v>
      </c>
      <c r="K1273" t="s">
        <v>1780</v>
      </c>
    </row>
    <row r="1274" spans="1:11" ht="15" customHeight="1" x14ac:dyDescent="0.2">
      <c r="A1274" s="157">
        <v>1273</v>
      </c>
      <c r="B1274" s="163">
        <v>46064</v>
      </c>
      <c r="C1274" s="157">
        <f t="shared" si="64"/>
        <v>0</v>
      </c>
      <c r="D1274" s="157">
        <v>0</v>
      </c>
      <c r="E1274" s="157">
        <f t="shared" si="65"/>
        <v>0</v>
      </c>
      <c r="F1274" s="157" t="str">
        <f t="shared" si="66"/>
        <v>Wednesday</v>
      </c>
      <c r="H1274" s="165">
        <v>3</v>
      </c>
      <c r="I1274" s="157">
        <f t="shared" si="67"/>
        <v>6</v>
      </c>
      <c r="J1274" s="157">
        <f t="shared" si="68"/>
        <v>7</v>
      </c>
      <c r="K1274" t="s">
        <v>1780</v>
      </c>
    </row>
    <row r="1275" spans="1:11" ht="15" customHeight="1" x14ac:dyDescent="0.2">
      <c r="A1275" s="157">
        <v>1274</v>
      </c>
      <c r="B1275" s="163">
        <v>46065</v>
      </c>
      <c r="C1275" s="157">
        <f t="shared" si="64"/>
        <v>0</v>
      </c>
      <c r="D1275" s="157">
        <v>0</v>
      </c>
      <c r="E1275" s="157">
        <f t="shared" si="65"/>
        <v>0</v>
      </c>
      <c r="F1275" s="157" t="str">
        <f t="shared" si="66"/>
        <v>Thursday</v>
      </c>
      <c r="H1275" s="165">
        <v>3</v>
      </c>
      <c r="I1275" s="157">
        <f t="shared" si="67"/>
        <v>6</v>
      </c>
      <c r="J1275" s="157">
        <f t="shared" si="68"/>
        <v>7</v>
      </c>
      <c r="K1275" t="s">
        <v>1780</v>
      </c>
    </row>
    <row r="1276" spans="1:11" ht="15" customHeight="1" x14ac:dyDescent="0.2">
      <c r="A1276" s="157">
        <v>1275</v>
      </c>
      <c r="B1276" s="163">
        <v>46066</v>
      </c>
      <c r="C1276" s="157">
        <f t="shared" si="64"/>
        <v>0</v>
      </c>
      <c r="D1276" s="157">
        <v>0</v>
      </c>
      <c r="E1276" s="157">
        <f t="shared" si="65"/>
        <v>0</v>
      </c>
      <c r="F1276" s="157" t="str">
        <f t="shared" si="66"/>
        <v>Friday</v>
      </c>
      <c r="H1276" s="165">
        <v>3</v>
      </c>
      <c r="I1276" s="157">
        <f t="shared" si="67"/>
        <v>6</v>
      </c>
      <c r="J1276" s="157">
        <f t="shared" si="68"/>
        <v>7</v>
      </c>
      <c r="K1276" t="s">
        <v>1780</v>
      </c>
    </row>
    <row r="1277" spans="1:11" ht="15" customHeight="1" x14ac:dyDescent="0.2">
      <c r="A1277" s="157">
        <v>1276</v>
      </c>
      <c r="B1277" s="163">
        <v>46067</v>
      </c>
      <c r="C1277" s="157">
        <f t="shared" si="64"/>
        <v>1</v>
      </c>
      <c r="D1277" s="157">
        <v>0</v>
      </c>
      <c r="E1277" s="157">
        <f t="shared" si="65"/>
        <v>1</v>
      </c>
      <c r="F1277" s="157" t="str">
        <f t="shared" si="66"/>
        <v>Saturday</v>
      </c>
      <c r="H1277" s="165">
        <v>3</v>
      </c>
      <c r="I1277" s="157">
        <f t="shared" si="67"/>
        <v>6</v>
      </c>
      <c r="J1277" s="157">
        <f t="shared" si="68"/>
        <v>7</v>
      </c>
      <c r="K1277" t="s">
        <v>1780</v>
      </c>
    </row>
    <row r="1278" spans="1:11" ht="15" customHeight="1" x14ac:dyDescent="0.2">
      <c r="A1278" s="157">
        <v>1277</v>
      </c>
      <c r="B1278" s="163">
        <v>46068</v>
      </c>
      <c r="C1278" s="157">
        <f t="shared" si="64"/>
        <v>1</v>
      </c>
      <c r="D1278" s="157">
        <v>0</v>
      </c>
      <c r="E1278" s="157">
        <f t="shared" si="65"/>
        <v>1</v>
      </c>
      <c r="F1278" s="157" t="str">
        <f t="shared" si="66"/>
        <v>Sunday</v>
      </c>
      <c r="H1278" s="165">
        <v>3</v>
      </c>
      <c r="I1278" s="157">
        <f t="shared" si="67"/>
        <v>6</v>
      </c>
      <c r="J1278" s="157">
        <f t="shared" si="68"/>
        <v>7</v>
      </c>
      <c r="K1278" t="s">
        <v>1780</v>
      </c>
    </row>
    <row r="1279" spans="1:11" ht="15" customHeight="1" x14ac:dyDescent="0.2">
      <c r="A1279" s="157">
        <v>1278</v>
      </c>
      <c r="B1279" s="163">
        <v>46069</v>
      </c>
      <c r="C1279" s="157">
        <f t="shared" si="64"/>
        <v>0</v>
      </c>
      <c r="D1279" s="157">
        <v>0</v>
      </c>
      <c r="E1279" s="157">
        <f t="shared" si="65"/>
        <v>0</v>
      </c>
      <c r="F1279" s="157" t="str">
        <f t="shared" si="66"/>
        <v>Monday</v>
      </c>
      <c r="H1279" s="165">
        <v>3</v>
      </c>
      <c r="I1279" s="157">
        <f t="shared" si="67"/>
        <v>7</v>
      </c>
      <c r="J1279" s="157">
        <f t="shared" si="68"/>
        <v>8</v>
      </c>
      <c r="K1279" t="s">
        <v>1780</v>
      </c>
    </row>
    <row r="1280" spans="1:11" ht="15" customHeight="1" x14ac:dyDescent="0.2">
      <c r="A1280" s="157">
        <v>1279</v>
      </c>
      <c r="B1280" s="163">
        <v>46070</v>
      </c>
      <c r="C1280" s="157">
        <f t="shared" si="64"/>
        <v>0</v>
      </c>
      <c r="D1280" s="157">
        <v>0</v>
      </c>
      <c r="E1280" s="157">
        <f t="shared" si="65"/>
        <v>0</v>
      </c>
      <c r="F1280" s="157" t="str">
        <f t="shared" si="66"/>
        <v>Tuesday</v>
      </c>
      <c r="H1280" s="165">
        <v>3</v>
      </c>
      <c r="I1280" s="157">
        <f t="shared" si="67"/>
        <v>7</v>
      </c>
      <c r="J1280" s="157">
        <f t="shared" si="68"/>
        <v>8</v>
      </c>
      <c r="K1280" t="s">
        <v>1780</v>
      </c>
    </row>
    <row r="1281" spans="1:11" ht="15" customHeight="1" x14ac:dyDescent="0.2">
      <c r="A1281" s="157">
        <v>1280</v>
      </c>
      <c r="B1281" s="163">
        <v>46071</v>
      </c>
      <c r="C1281" s="157">
        <f t="shared" si="64"/>
        <v>0</v>
      </c>
      <c r="D1281" s="157">
        <v>0</v>
      </c>
      <c r="E1281" s="157">
        <f t="shared" si="65"/>
        <v>0</v>
      </c>
      <c r="F1281" s="157" t="str">
        <f t="shared" si="66"/>
        <v>Wednesday</v>
      </c>
      <c r="H1281" s="165">
        <v>3</v>
      </c>
      <c r="I1281" s="157">
        <f t="shared" si="67"/>
        <v>7</v>
      </c>
      <c r="J1281" s="157">
        <f t="shared" si="68"/>
        <v>8</v>
      </c>
      <c r="K1281" t="s">
        <v>1780</v>
      </c>
    </row>
    <row r="1282" spans="1:11" ht="15" customHeight="1" x14ac:dyDescent="0.2">
      <c r="A1282" s="157">
        <v>1281</v>
      </c>
      <c r="B1282" s="163">
        <v>46072</v>
      </c>
      <c r="C1282" s="157">
        <f t="shared" si="64"/>
        <v>0</v>
      </c>
      <c r="D1282" s="157">
        <v>0</v>
      </c>
      <c r="E1282" s="157">
        <f t="shared" si="65"/>
        <v>0</v>
      </c>
      <c r="F1282" s="157" t="str">
        <f t="shared" si="66"/>
        <v>Thursday</v>
      </c>
      <c r="H1282" s="165">
        <v>3</v>
      </c>
      <c r="I1282" s="157">
        <f t="shared" si="67"/>
        <v>7</v>
      </c>
      <c r="J1282" s="157">
        <f t="shared" si="68"/>
        <v>8</v>
      </c>
      <c r="K1282" t="s">
        <v>1780</v>
      </c>
    </row>
    <row r="1283" spans="1:11" ht="15" customHeight="1" x14ac:dyDescent="0.2">
      <c r="A1283" s="157">
        <v>1282</v>
      </c>
      <c r="B1283" s="163">
        <v>46073</v>
      </c>
      <c r="C1283" s="157">
        <f t="shared" si="64"/>
        <v>0</v>
      </c>
      <c r="D1283" s="157">
        <v>0</v>
      </c>
      <c r="E1283" s="157">
        <f t="shared" si="65"/>
        <v>0</v>
      </c>
      <c r="F1283" s="157" t="str">
        <f t="shared" si="66"/>
        <v>Friday</v>
      </c>
      <c r="H1283" s="165">
        <v>3</v>
      </c>
      <c r="I1283" s="157">
        <f t="shared" si="67"/>
        <v>7</v>
      </c>
      <c r="J1283" s="157">
        <f t="shared" si="68"/>
        <v>8</v>
      </c>
      <c r="K1283" t="s">
        <v>1780</v>
      </c>
    </row>
    <row r="1284" spans="1:11" ht="15" customHeight="1" x14ac:dyDescent="0.2">
      <c r="A1284" s="157">
        <v>1283</v>
      </c>
      <c r="B1284" s="163">
        <v>46074</v>
      </c>
      <c r="C1284" s="157">
        <f t="shared" si="64"/>
        <v>1</v>
      </c>
      <c r="D1284" s="157">
        <v>0</v>
      </c>
      <c r="E1284" s="157">
        <f t="shared" si="65"/>
        <v>1</v>
      </c>
      <c r="F1284" s="157" t="str">
        <f t="shared" si="66"/>
        <v>Saturday</v>
      </c>
      <c r="H1284" s="165">
        <v>3</v>
      </c>
      <c r="I1284" s="157">
        <f t="shared" si="67"/>
        <v>7</v>
      </c>
      <c r="J1284" s="157">
        <f t="shared" si="68"/>
        <v>8</v>
      </c>
      <c r="K1284" t="s">
        <v>1780</v>
      </c>
    </row>
    <row r="1285" spans="1:11" ht="15" customHeight="1" x14ac:dyDescent="0.2">
      <c r="A1285" s="157">
        <v>1284</v>
      </c>
      <c r="B1285" s="163">
        <v>46075</v>
      </c>
      <c r="C1285" s="157">
        <f t="shared" si="64"/>
        <v>1</v>
      </c>
      <c r="D1285" s="157">
        <v>0</v>
      </c>
      <c r="E1285" s="157">
        <f t="shared" si="65"/>
        <v>1</v>
      </c>
      <c r="F1285" s="157" t="str">
        <f t="shared" si="66"/>
        <v>Sunday</v>
      </c>
      <c r="H1285" s="165">
        <v>3</v>
      </c>
      <c r="I1285" s="157">
        <f t="shared" si="67"/>
        <v>7</v>
      </c>
      <c r="J1285" s="157">
        <f t="shared" si="68"/>
        <v>8</v>
      </c>
      <c r="K1285" t="s">
        <v>1780</v>
      </c>
    </row>
    <row r="1286" spans="1:11" ht="15" customHeight="1" x14ac:dyDescent="0.2">
      <c r="A1286" s="157">
        <v>1285</v>
      </c>
      <c r="B1286" s="163">
        <v>46076</v>
      </c>
      <c r="C1286" s="157">
        <f t="shared" si="64"/>
        <v>0</v>
      </c>
      <c r="D1286" s="157">
        <v>0</v>
      </c>
      <c r="E1286" s="157">
        <f t="shared" si="65"/>
        <v>0</v>
      </c>
      <c r="F1286" s="157" t="str">
        <f t="shared" si="66"/>
        <v>Monday</v>
      </c>
      <c r="H1286" s="165">
        <v>3</v>
      </c>
      <c r="I1286" s="157">
        <f t="shared" si="67"/>
        <v>8</v>
      </c>
      <c r="J1286" s="157">
        <f t="shared" si="68"/>
        <v>9</v>
      </c>
      <c r="K1286" t="s">
        <v>1780</v>
      </c>
    </row>
    <row r="1287" spans="1:11" ht="15" customHeight="1" x14ac:dyDescent="0.2">
      <c r="A1287" s="157">
        <v>1286</v>
      </c>
      <c r="B1287" s="163">
        <v>46077</v>
      </c>
      <c r="C1287" s="157">
        <f t="shared" si="64"/>
        <v>0</v>
      </c>
      <c r="D1287" s="157">
        <v>0</v>
      </c>
      <c r="E1287" s="157">
        <f t="shared" si="65"/>
        <v>0</v>
      </c>
      <c r="F1287" s="157" t="str">
        <f t="shared" si="66"/>
        <v>Tuesday</v>
      </c>
      <c r="H1287" s="165">
        <v>3</v>
      </c>
      <c r="I1287" s="157">
        <f t="shared" si="67"/>
        <v>8</v>
      </c>
      <c r="J1287" s="157">
        <f t="shared" si="68"/>
        <v>9</v>
      </c>
      <c r="K1287" t="s">
        <v>1780</v>
      </c>
    </row>
    <row r="1288" spans="1:11" ht="15" customHeight="1" x14ac:dyDescent="0.2">
      <c r="A1288" s="157">
        <v>1287</v>
      </c>
      <c r="B1288" s="163">
        <v>46078</v>
      </c>
      <c r="C1288" s="157">
        <f t="shared" si="64"/>
        <v>0</v>
      </c>
      <c r="D1288" s="157">
        <v>0</v>
      </c>
      <c r="E1288" s="157">
        <f t="shared" si="65"/>
        <v>0</v>
      </c>
      <c r="F1288" s="157" t="str">
        <f t="shared" si="66"/>
        <v>Wednesday</v>
      </c>
      <c r="H1288" s="165">
        <v>3</v>
      </c>
      <c r="I1288" s="157">
        <f t="shared" si="67"/>
        <v>8</v>
      </c>
      <c r="J1288" s="157">
        <f t="shared" si="68"/>
        <v>9</v>
      </c>
      <c r="K1288" t="s">
        <v>1780</v>
      </c>
    </row>
    <row r="1289" spans="1:11" ht="15" customHeight="1" x14ac:dyDescent="0.2">
      <c r="A1289" s="157">
        <v>1288</v>
      </c>
      <c r="B1289" s="163">
        <v>46079</v>
      </c>
      <c r="C1289" s="157">
        <f t="shared" si="64"/>
        <v>0</v>
      </c>
      <c r="D1289" s="157">
        <v>0</v>
      </c>
      <c r="E1289" s="157">
        <f t="shared" si="65"/>
        <v>0</v>
      </c>
      <c r="F1289" s="157" t="str">
        <f t="shared" si="66"/>
        <v>Thursday</v>
      </c>
      <c r="H1289" s="165">
        <v>3</v>
      </c>
      <c r="I1289" s="157">
        <f t="shared" si="67"/>
        <v>8</v>
      </c>
      <c r="J1289" s="157">
        <f t="shared" si="68"/>
        <v>9</v>
      </c>
      <c r="K1289" t="s">
        <v>1780</v>
      </c>
    </row>
    <row r="1290" spans="1:11" ht="15" customHeight="1" x14ac:dyDescent="0.2">
      <c r="A1290" s="157">
        <v>1289</v>
      </c>
      <c r="B1290" s="163">
        <v>46080</v>
      </c>
      <c r="C1290" s="157">
        <f t="shared" si="64"/>
        <v>0</v>
      </c>
      <c r="D1290" s="157">
        <v>0</v>
      </c>
      <c r="E1290" s="157">
        <f t="shared" si="65"/>
        <v>0</v>
      </c>
      <c r="F1290" s="157" t="str">
        <f t="shared" si="66"/>
        <v>Friday</v>
      </c>
      <c r="H1290" s="165">
        <v>3</v>
      </c>
      <c r="I1290" s="157">
        <f t="shared" si="67"/>
        <v>8</v>
      </c>
      <c r="J1290" s="157">
        <f t="shared" si="68"/>
        <v>9</v>
      </c>
      <c r="K1290" t="s">
        <v>1780</v>
      </c>
    </row>
    <row r="1291" spans="1:11" ht="15" customHeight="1" x14ac:dyDescent="0.2">
      <c r="A1291" s="157">
        <v>1290</v>
      </c>
      <c r="B1291" s="163">
        <v>46081</v>
      </c>
      <c r="C1291" s="157">
        <f t="shared" si="64"/>
        <v>1</v>
      </c>
      <c r="D1291" s="157">
        <v>0</v>
      </c>
      <c r="E1291" s="157">
        <f t="shared" si="65"/>
        <v>1</v>
      </c>
      <c r="F1291" s="157" t="str">
        <f t="shared" si="66"/>
        <v>Saturday</v>
      </c>
      <c r="H1291" s="165">
        <v>3</v>
      </c>
      <c r="I1291" s="157">
        <f t="shared" si="67"/>
        <v>8</v>
      </c>
      <c r="J1291" s="157">
        <f t="shared" si="68"/>
        <v>9</v>
      </c>
      <c r="K1291" t="s">
        <v>1780</v>
      </c>
    </row>
    <row r="1292" spans="1:11" ht="15" customHeight="1" x14ac:dyDescent="0.2">
      <c r="A1292" s="157">
        <v>1291</v>
      </c>
      <c r="B1292" s="163">
        <v>46082</v>
      </c>
      <c r="C1292" s="157">
        <f t="shared" si="64"/>
        <v>1</v>
      </c>
      <c r="D1292" s="157">
        <v>0</v>
      </c>
      <c r="E1292" s="157">
        <f t="shared" si="65"/>
        <v>1</v>
      </c>
      <c r="F1292" s="157" t="str">
        <f t="shared" si="66"/>
        <v>Sunday</v>
      </c>
      <c r="H1292" s="165">
        <v>3</v>
      </c>
      <c r="I1292" s="157">
        <f t="shared" si="67"/>
        <v>8</v>
      </c>
      <c r="J1292" s="157">
        <f t="shared" si="68"/>
        <v>9</v>
      </c>
      <c r="K1292" t="s">
        <v>1780</v>
      </c>
    </row>
    <row r="1293" spans="1:11" ht="15" customHeight="1" x14ac:dyDescent="0.2">
      <c r="A1293" s="157">
        <v>1292</v>
      </c>
      <c r="B1293" s="163">
        <v>46083</v>
      </c>
      <c r="C1293" s="157">
        <f t="shared" si="64"/>
        <v>0</v>
      </c>
      <c r="D1293" s="157">
        <v>1</v>
      </c>
      <c r="E1293" s="157">
        <f t="shared" si="65"/>
        <v>1</v>
      </c>
      <c r="F1293" s="157" t="str">
        <f t="shared" si="66"/>
        <v>Monday</v>
      </c>
      <c r="H1293" s="165">
        <v>4</v>
      </c>
      <c r="I1293" s="157">
        <f t="shared" si="67"/>
        <v>1</v>
      </c>
      <c r="J1293" s="157">
        <f t="shared" si="68"/>
        <v>10</v>
      </c>
      <c r="K1293" t="s">
        <v>1780</v>
      </c>
    </row>
    <row r="1294" spans="1:11" ht="15" customHeight="1" x14ac:dyDescent="0.2">
      <c r="A1294" s="157">
        <v>1293</v>
      </c>
      <c r="B1294" s="163">
        <v>46084</v>
      </c>
      <c r="C1294" s="157">
        <f t="shared" si="64"/>
        <v>0</v>
      </c>
      <c r="D1294" s="157">
        <v>0</v>
      </c>
      <c r="E1294" s="157">
        <f t="shared" si="65"/>
        <v>0</v>
      </c>
      <c r="F1294" s="157" t="str">
        <f t="shared" si="66"/>
        <v>Tuesday</v>
      </c>
      <c r="H1294" s="165">
        <v>4</v>
      </c>
      <c r="I1294" s="157">
        <f t="shared" si="67"/>
        <v>1</v>
      </c>
      <c r="J1294" s="157">
        <f t="shared" si="68"/>
        <v>10</v>
      </c>
      <c r="K1294" t="s">
        <v>1780</v>
      </c>
    </row>
    <row r="1295" spans="1:11" ht="15" customHeight="1" x14ac:dyDescent="0.2">
      <c r="A1295" s="157">
        <v>1294</v>
      </c>
      <c r="B1295" s="163">
        <v>46085</v>
      </c>
      <c r="C1295" s="157">
        <f t="shared" si="64"/>
        <v>0</v>
      </c>
      <c r="D1295" s="157">
        <v>0</v>
      </c>
      <c r="E1295" s="157">
        <f t="shared" si="65"/>
        <v>0</v>
      </c>
      <c r="F1295" s="157" t="str">
        <f t="shared" si="66"/>
        <v>Wednesday</v>
      </c>
      <c r="H1295" s="165">
        <v>4</v>
      </c>
      <c r="I1295" s="157">
        <f t="shared" si="67"/>
        <v>1</v>
      </c>
      <c r="J1295" s="157">
        <f t="shared" si="68"/>
        <v>10</v>
      </c>
      <c r="K1295" t="s">
        <v>1780</v>
      </c>
    </row>
    <row r="1296" spans="1:11" ht="15" customHeight="1" x14ac:dyDescent="0.2">
      <c r="A1296" s="157">
        <v>1295</v>
      </c>
      <c r="B1296" s="163">
        <v>46086</v>
      </c>
      <c r="C1296" s="157">
        <f t="shared" si="64"/>
        <v>0</v>
      </c>
      <c r="D1296" s="157">
        <v>0</v>
      </c>
      <c r="E1296" s="157">
        <f t="shared" si="65"/>
        <v>0</v>
      </c>
      <c r="F1296" s="157" t="str">
        <f t="shared" si="66"/>
        <v>Thursday</v>
      </c>
      <c r="H1296" s="165">
        <v>4</v>
      </c>
      <c r="I1296" s="157">
        <f t="shared" si="67"/>
        <v>1</v>
      </c>
      <c r="J1296" s="157">
        <f t="shared" si="68"/>
        <v>10</v>
      </c>
      <c r="K1296" t="s">
        <v>1780</v>
      </c>
    </row>
    <row r="1297" spans="1:11" ht="15" customHeight="1" x14ac:dyDescent="0.2">
      <c r="A1297" s="157">
        <v>1296</v>
      </c>
      <c r="B1297" s="163">
        <v>46087</v>
      </c>
      <c r="C1297" s="157">
        <f t="shared" si="64"/>
        <v>0</v>
      </c>
      <c r="D1297" s="157">
        <v>0</v>
      </c>
      <c r="E1297" s="157">
        <f t="shared" si="65"/>
        <v>0</v>
      </c>
      <c r="F1297" s="157" t="str">
        <f t="shared" si="66"/>
        <v>Friday</v>
      </c>
      <c r="H1297" s="165">
        <v>4</v>
      </c>
      <c r="I1297" s="157">
        <f t="shared" si="67"/>
        <v>1</v>
      </c>
      <c r="J1297" s="157">
        <f t="shared" si="68"/>
        <v>10</v>
      </c>
      <c r="K1297" t="s">
        <v>1780</v>
      </c>
    </row>
    <row r="1298" spans="1:11" ht="15" customHeight="1" x14ac:dyDescent="0.2">
      <c r="A1298" s="157">
        <v>1297</v>
      </c>
      <c r="B1298" s="163">
        <v>46088</v>
      </c>
      <c r="C1298" s="157">
        <f t="shared" si="64"/>
        <v>1</v>
      </c>
      <c r="D1298" s="157">
        <v>0</v>
      </c>
      <c r="E1298" s="157">
        <f t="shared" si="65"/>
        <v>1</v>
      </c>
      <c r="F1298" s="157" t="str">
        <f t="shared" si="66"/>
        <v>Saturday</v>
      </c>
      <c r="H1298" s="165">
        <v>4</v>
      </c>
      <c r="I1298" s="157">
        <f t="shared" si="67"/>
        <v>1</v>
      </c>
      <c r="J1298" s="157">
        <f t="shared" si="68"/>
        <v>10</v>
      </c>
      <c r="K1298" t="s">
        <v>1780</v>
      </c>
    </row>
    <row r="1299" spans="1:11" ht="15" customHeight="1" x14ac:dyDescent="0.2">
      <c r="A1299" s="157">
        <v>1298</v>
      </c>
      <c r="B1299" s="163">
        <v>46089</v>
      </c>
      <c r="C1299" s="157">
        <f t="shared" si="64"/>
        <v>1</v>
      </c>
      <c r="D1299" s="157">
        <v>0</v>
      </c>
      <c r="E1299" s="157">
        <f t="shared" si="65"/>
        <v>1</v>
      </c>
      <c r="F1299" s="157" t="str">
        <f t="shared" si="66"/>
        <v>Sunday</v>
      </c>
      <c r="H1299" s="165">
        <v>4</v>
      </c>
      <c r="I1299" s="157">
        <f t="shared" si="67"/>
        <v>1</v>
      </c>
      <c r="J1299" s="157">
        <f t="shared" si="68"/>
        <v>10</v>
      </c>
      <c r="K1299" t="s">
        <v>1780</v>
      </c>
    </row>
    <row r="1300" spans="1:11" ht="15" customHeight="1" x14ac:dyDescent="0.2">
      <c r="A1300" s="157">
        <v>1299</v>
      </c>
      <c r="B1300" s="163">
        <v>46090</v>
      </c>
      <c r="C1300" s="157">
        <f t="shared" si="64"/>
        <v>0</v>
      </c>
      <c r="D1300" s="157">
        <v>0</v>
      </c>
      <c r="E1300" s="157">
        <f t="shared" si="65"/>
        <v>0</v>
      </c>
      <c r="F1300" s="157" t="str">
        <f t="shared" si="66"/>
        <v>Monday</v>
      </c>
      <c r="H1300" s="165">
        <v>4</v>
      </c>
      <c r="I1300" s="157">
        <f t="shared" si="67"/>
        <v>2</v>
      </c>
      <c r="J1300" s="157">
        <f t="shared" si="68"/>
        <v>11</v>
      </c>
      <c r="K1300" t="s">
        <v>1780</v>
      </c>
    </row>
    <row r="1301" spans="1:11" ht="15" customHeight="1" x14ac:dyDescent="0.2">
      <c r="A1301" s="157">
        <v>1300</v>
      </c>
      <c r="B1301" s="163">
        <v>46091</v>
      </c>
      <c r="C1301" s="157">
        <f t="shared" si="64"/>
        <v>0</v>
      </c>
      <c r="D1301" s="157">
        <v>0</v>
      </c>
      <c r="E1301" s="157">
        <f t="shared" si="65"/>
        <v>0</v>
      </c>
      <c r="F1301" s="157" t="str">
        <f t="shared" si="66"/>
        <v>Tuesday</v>
      </c>
      <c r="H1301" s="165">
        <v>4</v>
      </c>
      <c r="I1301" s="157">
        <f t="shared" si="67"/>
        <v>2</v>
      </c>
      <c r="J1301" s="157">
        <f t="shared" si="68"/>
        <v>11</v>
      </c>
      <c r="K1301" t="s">
        <v>1780</v>
      </c>
    </row>
    <row r="1302" spans="1:11" ht="15" customHeight="1" x14ac:dyDescent="0.2">
      <c r="A1302" s="157">
        <v>1301</v>
      </c>
      <c r="B1302" s="163">
        <v>46092</v>
      </c>
      <c r="C1302" s="157">
        <f t="shared" si="64"/>
        <v>0</v>
      </c>
      <c r="D1302" s="157">
        <v>0</v>
      </c>
      <c r="E1302" s="157">
        <f t="shared" si="65"/>
        <v>0</v>
      </c>
      <c r="F1302" s="157" t="str">
        <f t="shared" si="66"/>
        <v>Wednesday</v>
      </c>
      <c r="H1302" s="165">
        <v>4</v>
      </c>
      <c r="I1302" s="157">
        <f t="shared" si="67"/>
        <v>2</v>
      </c>
      <c r="J1302" s="157">
        <f t="shared" si="68"/>
        <v>11</v>
      </c>
      <c r="K1302" t="s">
        <v>1780</v>
      </c>
    </row>
    <row r="1303" spans="1:11" ht="15" customHeight="1" x14ac:dyDescent="0.2">
      <c r="A1303" s="157">
        <v>1302</v>
      </c>
      <c r="B1303" s="163">
        <v>46093</v>
      </c>
      <c r="C1303" s="157">
        <f t="shared" si="64"/>
        <v>0</v>
      </c>
      <c r="D1303" s="157">
        <v>0</v>
      </c>
      <c r="E1303" s="157">
        <f t="shared" si="65"/>
        <v>0</v>
      </c>
      <c r="F1303" s="157" t="str">
        <f t="shared" si="66"/>
        <v>Thursday</v>
      </c>
      <c r="H1303" s="165">
        <v>4</v>
      </c>
      <c r="I1303" s="157">
        <f t="shared" si="67"/>
        <v>2</v>
      </c>
      <c r="J1303" s="157">
        <f t="shared" si="68"/>
        <v>11</v>
      </c>
      <c r="K1303" t="s">
        <v>1780</v>
      </c>
    </row>
    <row r="1304" spans="1:11" ht="15" customHeight="1" x14ac:dyDescent="0.2">
      <c r="A1304" s="157">
        <v>1303</v>
      </c>
      <c r="B1304" s="163">
        <v>46094</v>
      </c>
      <c r="C1304" s="157">
        <f t="shared" si="64"/>
        <v>0</v>
      </c>
      <c r="D1304" s="157">
        <v>0</v>
      </c>
      <c r="E1304" s="157">
        <f t="shared" si="65"/>
        <v>0</v>
      </c>
      <c r="F1304" s="157" t="str">
        <f t="shared" si="66"/>
        <v>Friday</v>
      </c>
      <c r="H1304" s="165">
        <v>4</v>
      </c>
      <c r="I1304" s="157">
        <f t="shared" si="67"/>
        <v>2</v>
      </c>
      <c r="J1304" s="157">
        <f t="shared" si="68"/>
        <v>11</v>
      </c>
      <c r="K1304" t="s">
        <v>1780</v>
      </c>
    </row>
    <row r="1305" spans="1:11" ht="15" customHeight="1" x14ac:dyDescent="0.2">
      <c r="A1305" s="157">
        <v>1304</v>
      </c>
      <c r="B1305" s="163">
        <v>46095</v>
      </c>
      <c r="C1305" s="157">
        <f t="shared" si="64"/>
        <v>1</v>
      </c>
      <c r="D1305" s="157">
        <v>0</v>
      </c>
      <c r="E1305" s="157">
        <f t="shared" si="65"/>
        <v>1</v>
      </c>
      <c r="F1305" s="157" t="str">
        <f t="shared" si="66"/>
        <v>Saturday</v>
      </c>
      <c r="H1305" s="165">
        <v>4</v>
      </c>
      <c r="I1305" s="157">
        <f t="shared" si="67"/>
        <v>2</v>
      </c>
      <c r="J1305" s="157">
        <f t="shared" si="68"/>
        <v>11</v>
      </c>
      <c r="K1305" t="s">
        <v>1780</v>
      </c>
    </row>
    <row r="1306" spans="1:11" ht="15" customHeight="1" x14ac:dyDescent="0.2">
      <c r="A1306" s="157">
        <v>1305</v>
      </c>
      <c r="B1306" s="163">
        <v>46096</v>
      </c>
      <c r="C1306" s="157">
        <f t="shared" si="64"/>
        <v>1</v>
      </c>
      <c r="D1306" s="157">
        <v>0</v>
      </c>
      <c r="E1306" s="157">
        <f t="shared" si="65"/>
        <v>1</v>
      </c>
      <c r="F1306" s="157" t="str">
        <f t="shared" si="66"/>
        <v>Sunday</v>
      </c>
      <c r="H1306" s="165">
        <v>4</v>
      </c>
      <c r="I1306" s="157">
        <f t="shared" si="67"/>
        <v>2</v>
      </c>
      <c r="J1306" s="157">
        <f t="shared" si="68"/>
        <v>11</v>
      </c>
      <c r="K1306" t="s">
        <v>1780</v>
      </c>
    </row>
    <row r="1307" spans="1:11" ht="15" customHeight="1" x14ac:dyDescent="0.2">
      <c r="A1307" s="157">
        <v>1306</v>
      </c>
      <c r="B1307" s="163">
        <v>46097</v>
      </c>
      <c r="C1307" s="157">
        <f t="shared" si="64"/>
        <v>0</v>
      </c>
      <c r="D1307" s="157">
        <v>0</v>
      </c>
      <c r="E1307" s="157">
        <f t="shared" si="65"/>
        <v>0</v>
      </c>
      <c r="F1307" s="157" t="str">
        <f t="shared" si="66"/>
        <v>Monday</v>
      </c>
      <c r="H1307" s="165">
        <v>4</v>
      </c>
      <c r="I1307" s="157">
        <f t="shared" si="67"/>
        <v>3</v>
      </c>
      <c r="J1307" s="157">
        <f t="shared" si="68"/>
        <v>12</v>
      </c>
      <c r="K1307" t="s">
        <v>1780</v>
      </c>
    </row>
    <row r="1308" spans="1:11" ht="15" customHeight="1" x14ac:dyDescent="0.2">
      <c r="A1308" s="157">
        <v>1307</v>
      </c>
      <c r="B1308" s="163">
        <v>46098</v>
      </c>
      <c r="C1308" s="157">
        <f t="shared" si="64"/>
        <v>0</v>
      </c>
      <c r="D1308" s="157">
        <v>0</v>
      </c>
      <c r="E1308" s="157">
        <f t="shared" si="65"/>
        <v>0</v>
      </c>
      <c r="F1308" s="157" t="str">
        <f t="shared" si="66"/>
        <v>Tuesday</v>
      </c>
      <c r="H1308" s="165">
        <v>4</v>
      </c>
      <c r="I1308" s="157">
        <f t="shared" si="67"/>
        <v>3</v>
      </c>
      <c r="J1308" s="157">
        <f t="shared" si="68"/>
        <v>12</v>
      </c>
      <c r="K1308" t="s">
        <v>1780</v>
      </c>
    </row>
    <row r="1309" spans="1:11" ht="15" customHeight="1" x14ac:dyDescent="0.2">
      <c r="A1309" s="157">
        <v>1308</v>
      </c>
      <c r="B1309" s="163">
        <v>46099</v>
      </c>
      <c r="C1309" s="157">
        <f t="shared" si="64"/>
        <v>0</v>
      </c>
      <c r="D1309" s="157">
        <v>0</v>
      </c>
      <c r="E1309" s="157">
        <f t="shared" si="65"/>
        <v>0</v>
      </c>
      <c r="F1309" s="157" t="str">
        <f t="shared" si="66"/>
        <v>Wednesday</v>
      </c>
      <c r="H1309" s="165">
        <v>4</v>
      </c>
      <c r="I1309" s="157">
        <f t="shared" si="67"/>
        <v>3</v>
      </c>
      <c r="J1309" s="157">
        <f t="shared" si="68"/>
        <v>12</v>
      </c>
      <c r="K1309" t="s">
        <v>1780</v>
      </c>
    </row>
    <row r="1310" spans="1:11" ht="15" customHeight="1" x14ac:dyDescent="0.2">
      <c r="A1310" s="157">
        <v>1309</v>
      </c>
      <c r="B1310" s="163">
        <v>46100</v>
      </c>
      <c r="C1310" s="157">
        <f t="shared" si="64"/>
        <v>0</v>
      </c>
      <c r="D1310" s="157">
        <v>0</v>
      </c>
      <c r="E1310" s="157">
        <f t="shared" si="65"/>
        <v>0</v>
      </c>
      <c r="F1310" s="157" t="str">
        <f t="shared" si="66"/>
        <v>Thursday</v>
      </c>
      <c r="H1310" s="165">
        <v>4</v>
      </c>
      <c r="I1310" s="157">
        <f t="shared" si="67"/>
        <v>3</v>
      </c>
      <c r="J1310" s="157">
        <f t="shared" si="68"/>
        <v>12</v>
      </c>
      <c r="K1310" t="s">
        <v>1780</v>
      </c>
    </row>
    <row r="1311" spans="1:11" ht="15" customHeight="1" x14ac:dyDescent="0.2">
      <c r="A1311" s="157">
        <v>1310</v>
      </c>
      <c r="B1311" s="163">
        <v>46101</v>
      </c>
      <c r="C1311" s="157">
        <f t="shared" si="64"/>
        <v>0</v>
      </c>
      <c r="D1311" s="157">
        <v>0</v>
      </c>
      <c r="E1311" s="157">
        <f t="shared" si="65"/>
        <v>0</v>
      </c>
      <c r="F1311" s="157" t="str">
        <f t="shared" si="66"/>
        <v>Friday</v>
      </c>
      <c r="H1311" s="165">
        <v>4</v>
      </c>
      <c r="I1311" s="157">
        <f t="shared" si="67"/>
        <v>3</v>
      </c>
      <c r="J1311" s="157">
        <f t="shared" si="68"/>
        <v>12</v>
      </c>
      <c r="K1311" t="s">
        <v>1780</v>
      </c>
    </row>
    <row r="1312" spans="1:11" ht="15" customHeight="1" x14ac:dyDescent="0.2">
      <c r="A1312" s="157">
        <v>1311</v>
      </c>
      <c r="B1312" s="163">
        <v>46102</v>
      </c>
      <c r="C1312" s="157">
        <f t="shared" si="64"/>
        <v>1</v>
      </c>
      <c r="D1312" s="157">
        <v>0</v>
      </c>
      <c r="E1312" s="157">
        <f t="shared" si="65"/>
        <v>1</v>
      </c>
      <c r="F1312" s="157" t="str">
        <f t="shared" si="66"/>
        <v>Saturday</v>
      </c>
      <c r="H1312" s="165">
        <v>4</v>
      </c>
      <c r="I1312" s="157">
        <f t="shared" si="67"/>
        <v>3</v>
      </c>
      <c r="J1312" s="157">
        <f t="shared" si="68"/>
        <v>12</v>
      </c>
      <c r="K1312" t="s">
        <v>1780</v>
      </c>
    </row>
    <row r="1313" spans="1:11" ht="15" customHeight="1" x14ac:dyDescent="0.2">
      <c r="A1313" s="157">
        <v>1312</v>
      </c>
      <c r="B1313" s="163">
        <v>46103</v>
      </c>
      <c r="C1313" s="157">
        <f t="shared" si="64"/>
        <v>1</v>
      </c>
      <c r="D1313" s="157">
        <v>0</v>
      </c>
      <c r="E1313" s="157">
        <f t="shared" si="65"/>
        <v>1</v>
      </c>
      <c r="F1313" s="157" t="str">
        <f t="shared" si="66"/>
        <v>Sunday</v>
      </c>
      <c r="H1313" s="165">
        <v>4</v>
      </c>
      <c r="I1313" s="157">
        <f t="shared" si="67"/>
        <v>3</v>
      </c>
      <c r="J1313" s="157">
        <f t="shared" si="68"/>
        <v>12</v>
      </c>
      <c r="K1313" t="s">
        <v>1780</v>
      </c>
    </row>
    <row r="1314" spans="1:11" ht="15" customHeight="1" x14ac:dyDescent="0.2">
      <c r="A1314" s="157">
        <v>1313</v>
      </c>
      <c r="B1314" s="163">
        <v>46104</v>
      </c>
      <c r="C1314" s="157">
        <f t="shared" si="64"/>
        <v>0</v>
      </c>
      <c r="D1314" s="157">
        <v>0</v>
      </c>
      <c r="E1314" s="157">
        <f t="shared" si="65"/>
        <v>0</v>
      </c>
      <c r="F1314" s="157" t="str">
        <f t="shared" si="66"/>
        <v>Monday</v>
      </c>
      <c r="H1314" s="165">
        <v>4</v>
      </c>
      <c r="I1314" s="157">
        <f t="shared" si="67"/>
        <v>4</v>
      </c>
      <c r="J1314" s="157">
        <f t="shared" si="68"/>
        <v>13</v>
      </c>
      <c r="K1314" t="s">
        <v>1780</v>
      </c>
    </row>
    <row r="1315" spans="1:11" ht="15" customHeight="1" x14ac:dyDescent="0.2">
      <c r="A1315" s="157">
        <v>1314</v>
      </c>
      <c r="B1315" s="163">
        <v>46105</v>
      </c>
      <c r="C1315" s="157">
        <f t="shared" si="64"/>
        <v>0</v>
      </c>
      <c r="D1315" s="157">
        <v>0</v>
      </c>
      <c r="E1315" s="157">
        <f t="shared" si="65"/>
        <v>0</v>
      </c>
      <c r="F1315" s="157" t="str">
        <f t="shared" si="66"/>
        <v>Tuesday</v>
      </c>
      <c r="H1315" s="165">
        <v>4</v>
      </c>
      <c r="I1315" s="157">
        <f t="shared" si="67"/>
        <v>4</v>
      </c>
      <c r="J1315" s="157">
        <f t="shared" si="68"/>
        <v>13</v>
      </c>
      <c r="K1315" t="s">
        <v>1780</v>
      </c>
    </row>
    <row r="1316" spans="1:11" ht="15" customHeight="1" x14ac:dyDescent="0.2">
      <c r="A1316" s="157">
        <v>1315</v>
      </c>
      <c r="B1316" s="163">
        <v>46106</v>
      </c>
      <c r="C1316" s="157">
        <f t="shared" si="64"/>
        <v>0</v>
      </c>
      <c r="D1316" s="157">
        <v>0</v>
      </c>
      <c r="E1316" s="157">
        <f t="shared" si="65"/>
        <v>0</v>
      </c>
      <c r="F1316" s="157" t="str">
        <f t="shared" si="66"/>
        <v>Wednesday</v>
      </c>
      <c r="H1316" s="165">
        <v>4</v>
      </c>
      <c r="I1316" s="157">
        <f t="shared" si="67"/>
        <v>4</v>
      </c>
      <c r="J1316" s="157">
        <f t="shared" si="68"/>
        <v>13</v>
      </c>
      <c r="K1316" t="s">
        <v>1780</v>
      </c>
    </row>
    <row r="1317" spans="1:11" ht="15" customHeight="1" x14ac:dyDescent="0.2">
      <c r="A1317" s="157">
        <v>1316</v>
      </c>
      <c r="B1317" s="163">
        <v>46107</v>
      </c>
      <c r="C1317" s="157">
        <f t="shared" si="64"/>
        <v>0</v>
      </c>
      <c r="D1317" s="157">
        <v>0</v>
      </c>
      <c r="E1317" s="157">
        <f t="shared" si="65"/>
        <v>0</v>
      </c>
      <c r="F1317" s="157" t="str">
        <f t="shared" si="66"/>
        <v>Thursday</v>
      </c>
      <c r="H1317" s="165">
        <v>4</v>
      </c>
      <c r="I1317" s="157">
        <f t="shared" si="67"/>
        <v>4</v>
      </c>
      <c r="J1317" s="157">
        <f t="shared" si="68"/>
        <v>13</v>
      </c>
      <c r="K1317" t="s">
        <v>1780</v>
      </c>
    </row>
    <row r="1318" spans="1:11" ht="15" customHeight="1" x14ac:dyDescent="0.2">
      <c r="A1318" s="157">
        <v>1317</v>
      </c>
      <c r="B1318" s="163">
        <v>46108</v>
      </c>
      <c r="C1318" s="157">
        <f t="shared" si="64"/>
        <v>0</v>
      </c>
      <c r="D1318" s="157">
        <v>0</v>
      </c>
      <c r="E1318" s="157">
        <f t="shared" si="65"/>
        <v>0</v>
      </c>
      <c r="F1318" s="157" t="str">
        <f t="shared" si="66"/>
        <v>Friday</v>
      </c>
      <c r="H1318" s="165">
        <v>4</v>
      </c>
      <c r="I1318" s="157">
        <f t="shared" si="67"/>
        <v>4</v>
      </c>
      <c r="J1318" s="157">
        <f t="shared" si="68"/>
        <v>13</v>
      </c>
      <c r="K1318" t="s">
        <v>1780</v>
      </c>
    </row>
    <row r="1319" spans="1:11" ht="15" customHeight="1" x14ac:dyDescent="0.2">
      <c r="A1319" s="157">
        <v>1318</v>
      </c>
      <c r="B1319" s="163">
        <v>46109</v>
      </c>
      <c r="C1319" s="157">
        <f t="shared" si="64"/>
        <v>1</v>
      </c>
      <c r="D1319" s="157">
        <v>0</v>
      </c>
      <c r="E1319" s="157">
        <f t="shared" si="65"/>
        <v>1</v>
      </c>
      <c r="F1319" s="157" t="str">
        <f t="shared" si="66"/>
        <v>Saturday</v>
      </c>
      <c r="H1319" s="165">
        <v>4</v>
      </c>
      <c r="I1319" s="157">
        <f t="shared" si="67"/>
        <v>4</v>
      </c>
      <c r="J1319" s="157">
        <f t="shared" si="68"/>
        <v>13</v>
      </c>
      <c r="K1319" t="s">
        <v>1780</v>
      </c>
    </row>
    <row r="1320" spans="1:11" ht="15" customHeight="1" x14ac:dyDescent="0.2">
      <c r="A1320" s="157">
        <v>1319</v>
      </c>
      <c r="B1320" s="163">
        <v>46110</v>
      </c>
      <c r="C1320" s="157">
        <f t="shared" si="64"/>
        <v>1</v>
      </c>
      <c r="D1320" s="157">
        <v>0</v>
      </c>
      <c r="E1320" s="157">
        <f t="shared" si="65"/>
        <v>1</v>
      </c>
      <c r="F1320" s="157" t="str">
        <f t="shared" si="66"/>
        <v>Sunday</v>
      </c>
      <c r="H1320" s="165">
        <v>4</v>
      </c>
      <c r="I1320" s="157">
        <f t="shared" si="67"/>
        <v>4</v>
      </c>
      <c r="J1320" s="157">
        <f t="shared" si="68"/>
        <v>13</v>
      </c>
      <c r="K1320" t="s">
        <v>1780</v>
      </c>
    </row>
    <row r="1321" spans="1:11" ht="15" customHeight="1" x14ac:dyDescent="0.2">
      <c r="A1321" s="157">
        <v>1320</v>
      </c>
      <c r="B1321" s="163">
        <v>46111</v>
      </c>
      <c r="C1321" s="157">
        <f t="shared" si="64"/>
        <v>0</v>
      </c>
      <c r="D1321" s="157">
        <v>0</v>
      </c>
      <c r="E1321" s="157">
        <f t="shared" si="65"/>
        <v>0</v>
      </c>
      <c r="F1321" s="157" t="str">
        <f t="shared" si="66"/>
        <v>Monday</v>
      </c>
      <c r="H1321" s="165">
        <v>4</v>
      </c>
      <c r="I1321" s="157">
        <f t="shared" si="67"/>
        <v>5</v>
      </c>
      <c r="J1321" s="157">
        <f t="shared" si="68"/>
        <v>14</v>
      </c>
      <c r="K1321" t="s">
        <v>1780</v>
      </c>
    </row>
    <row r="1322" spans="1:11" ht="15" customHeight="1" x14ac:dyDescent="0.2">
      <c r="A1322" s="157">
        <v>1321</v>
      </c>
      <c r="B1322" s="163">
        <v>46112</v>
      </c>
      <c r="C1322" s="157">
        <f t="shared" ref="C1322:C1385" si="69">IF(OR(WEEKDAY(B1322) = 7, WEEKDAY(B1322) = 1), 1, 0)</f>
        <v>0</v>
      </c>
      <c r="D1322" s="157">
        <v>0</v>
      </c>
      <c r="E1322" s="157">
        <f t="shared" ref="E1322:E1385" si="70">IF((C1322+D1322)&gt;0, 1, 0)</f>
        <v>0</v>
      </c>
      <c r="F1322" s="157" t="str">
        <f t="shared" ref="F1322:F1385" si="71">TEXT(B1322, "dddd")</f>
        <v>Tuesday</v>
      </c>
      <c r="H1322" s="165">
        <v>4</v>
      </c>
      <c r="I1322" s="157">
        <f t="shared" ref="I1322:I1385" si="72">IF(J1322&gt;J1321, IF(H1322&lt;&gt;H1321,1, I1321+1),I1321)</f>
        <v>5</v>
      </c>
      <c r="J1322" s="157">
        <f t="shared" ref="J1322:J1385" si="73">_xlfn.ISOWEEKNUM(B1322)</f>
        <v>14</v>
      </c>
      <c r="K1322" t="s">
        <v>1780</v>
      </c>
    </row>
    <row r="1323" spans="1:11" ht="15" customHeight="1" x14ac:dyDescent="0.2">
      <c r="A1323" s="157">
        <v>1322</v>
      </c>
      <c r="B1323" s="163">
        <v>46113</v>
      </c>
      <c r="C1323" s="157">
        <f t="shared" si="69"/>
        <v>0</v>
      </c>
      <c r="D1323" s="157">
        <v>0</v>
      </c>
      <c r="E1323" s="157">
        <f t="shared" si="70"/>
        <v>0</v>
      </c>
      <c r="F1323" s="157" t="str">
        <f t="shared" si="71"/>
        <v>Wednesday</v>
      </c>
      <c r="H1323" s="165">
        <v>4</v>
      </c>
      <c r="I1323" s="157">
        <f t="shared" si="72"/>
        <v>5</v>
      </c>
      <c r="J1323" s="157">
        <f t="shared" si="73"/>
        <v>14</v>
      </c>
      <c r="K1323" t="s">
        <v>1780</v>
      </c>
    </row>
    <row r="1324" spans="1:11" ht="15" customHeight="1" x14ac:dyDescent="0.2">
      <c r="A1324" s="157">
        <v>1323</v>
      </c>
      <c r="B1324" s="163">
        <v>46114</v>
      </c>
      <c r="C1324" s="157">
        <f t="shared" si="69"/>
        <v>0</v>
      </c>
      <c r="D1324" s="157">
        <v>0</v>
      </c>
      <c r="E1324" s="157">
        <f t="shared" si="70"/>
        <v>0</v>
      </c>
      <c r="F1324" s="157" t="str">
        <f t="shared" si="71"/>
        <v>Thursday</v>
      </c>
      <c r="H1324" s="165">
        <v>4</v>
      </c>
      <c r="I1324" s="157">
        <f t="shared" si="72"/>
        <v>5</v>
      </c>
      <c r="J1324" s="157">
        <f t="shared" si="73"/>
        <v>14</v>
      </c>
      <c r="K1324" t="s">
        <v>1780</v>
      </c>
    </row>
    <row r="1325" spans="1:11" ht="15" customHeight="1" x14ac:dyDescent="0.2">
      <c r="A1325" s="157">
        <v>1324</v>
      </c>
      <c r="B1325" s="163">
        <v>46115</v>
      </c>
      <c r="C1325" s="157">
        <f t="shared" si="69"/>
        <v>0</v>
      </c>
      <c r="D1325" s="157">
        <v>1</v>
      </c>
      <c r="E1325" s="157">
        <f t="shared" si="70"/>
        <v>1</v>
      </c>
      <c r="F1325" s="157" t="str">
        <f t="shared" si="71"/>
        <v>Friday</v>
      </c>
      <c r="H1325" s="165">
        <v>4</v>
      </c>
      <c r="I1325" s="157">
        <f t="shared" si="72"/>
        <v>5</v>
      </c>
      <c r="J1325" s="157">
        <f t="shared" si="73"/>
        <v>14</v>
      </c>
      <c r="K1325" t="s">
        <v>1780</v>
      </c>
    </row>
    <row r="1326" spans="1:11" ht="15" customHeight="1" x14ac:dyDescent="0.2">
      <c r="A1326" s="157">
        <v>1325</v>
      </c>
      <c r="B1326" s="163">
        <v>46116</v>
      </c>
      <c r="C1326" s="157">
        <f t="shared" si="69"/>
        <v>1</v>
      </c>
      <c r="D1326" s="157">
        <v>0</v>
      </c>
      <c r="E1326" s="157">
        <f t="shared" si="70"/>
        <v>1</v>
      </c>
      <c r="F1326" s="157" t="str">
        <f t="shared" si="71"/>
        <v>Saturday</v>
      </c>
      <c r="H1326" s="165">
        <v>4</v>
      </c>
      <c r="I1326" s="157">
        <f t="shared" si="72"/>
        <v>5</v>
      </c>
      <c r="J1326" s="157">
        <f t="shared" si="73"/>
        <v>14</v>
      </c>
      <c r="K1326" t="s">
        <v>1780</v>
      </c>
    </row>
    <row r="1327" spans="1:11" ht="15" customHeight="1" x14ac:dyDescent="0.2">
      <c r="A1327" s="157">
        <v>1326</v>
      </c>
      <c r="B1327" s="163">
        <v>46117</v>
      </c>
      <c r="C1327" s="157">
        <f t="shared" si="69"/>
        <v>1</v>
      </c>
      <c r="D1327" s="157">
        <v>0</v>
      </c>
      <c r="E1327" s="157">
        <f t="shared" si="70"/>
        <v>1</v>
      </c>
      <c r="F1327" s="157" t="str">
        <f t="shared" si="71"/>
        <v>Sunday</v>
      </c>
      <c r="H1327" s="165">
        <v>4</v>
      </c>
      <c r="I1327" s="157">
        <f t="shared" si="72"/>
        <v>5</v>
      </c>
      <c r="J1327" s="157">
        <f t="shared" si="73"/>
        <v>14</v>
      </c>
      <c r="K1327" t="s">
        <v>1780</v>
      </c>
    </row>
    <row r="1328" spans="1:11" ht="15" customHeight="1" x14ac:dyDescent="0.2">
      <c r="A1328" s="157">
        <v>1327</v>
      </c>
      <c r="B1328" s="163">
        <v>46118</v>
      </c>
      <c r="C1328" s="157">
        <f t="shared" si="69"/>
        <v>0</v>
      </c>
      <c r="D1328" s="157">
        <v>1</v>
      </c>
      <c r="E1328" s="157">
        <f t="shared" si="70"/>
        <v>1</v>
      </c>
      <c r="F1328" s="157" t="str">
        <f t="shared" si="71"/>
        <v>Monday</v>
      </c>
      <c r="H1328" s="165">
        <v>4</v>
      </c>
      <c r="I1328" s="157">
        <f t="shared" si="72"/>
        <v>6</v>
      </c>
      <c r="J1328" s="157">
        <f t="shared" si="73"/>
        <v>15</v>
      </c>
      <c r="K1328" t="s">
        <v>1780</v>
      </c>
    </row>
    <row r="1329" spans="1:11" ht="15" customHeight="1" x14ac:dyDescent="0.2">
      <c r="A1329" s="157">
        <v>1328</v>
      </c>
      <c r="B1329" s="163">
        <v>46119</v>
      </c>
      <c r="C1329" s="157">
        <f t="shared" si="69"/>
        <v>0</v>
      </c>
      <c r="D1329" s="157">
        <v>0</v>
      </c>
      <c r="E1329" s="157">
        <f t="shared" si="70"/>
        <v>0</v>
      </c>
      <c r="F1329" s="157" t="str">
        <f t="shared" si="71"/>
        <v>Tuesday</v>
      </c>
      <c r="H1329" s="165">
        <v>4</v>
      </c>
      <c r="I1329" s="157">
        <f t="shared" si="72"/>
        <v>6</v>
      </c>
      <c r="J1329" s="157">
        <f t="shared" si="73"/>
        <v>15</v>
      </c>
      <c r="K1329" t="s">
        <v>1780</v>
      </c>
    </row>
    <row r="1330" spans="1:11" ht="15" customHeight="1" x14ac:dyDescent="0.2">
      <c r="A1330" s="157">
        <v>1329</v>
      </c>
      <c r="B1330" s="163">
        <v>46120</v>
      </c>
      <c r="C1330" s="157">
        <f t="shared" si="69"/>
        <v>0</v>
      </c>
      <c r="D1330" s="157">
        <v>0</v>
      </c>
      <c r="E1330" s="157">
        <f t="shared" si="70"/>
        <v>0</v>
      </c>
      <c r="F1330" s="157" t="str">
        <f t="shared" si="71"/>
        <v>Wednesday</v>
      </c>
      <c r="H1330" s="165">
        <v>4</v>
      </c>
      <c r="I1330" s="157">
        <f t="shared" si="72"/>
        <v>6</v>
      </c>
      <c r="J1330" s="157">
        <f t="shared" si="73"/>
        <v>15</v>
      </c>
      <c r="K1330" t="s">
        <v>1780</v>
      </c>
    </row>
    <row r="1331" spans="1:11" ht="15" customHeight="1" x14ac:dyDescent="0.2">
      <c r="A1331" s="157">
        <v>1330</v>
      </c>
      <c r="B1331" s="163">
        <v>46121</v>
      </c>
      <c r="C1331" s="157">
        <f t="shared" si="69"/>
        <v>0</v>
      </c>
      <c r="D1331" s="157">
        <v>0</v>
      </c>
      <c r="E1331" s="157">
        <f t="shared" si="70"/>
        <v>0</v>
      </c>
      <c r="F1331" s="157" t="str">
        <f t="shared" si="71"/>
        <v>Thursday</v>
      </c>
      <c r="H1331" s="165">
        <v>4</v>
      </c>
      <c r="I1331" s="157">
        <f t="shared" si="72"/>
        <v>6</v>
      </c>
      <c r="J1331" s="157">
        <f t="shared" si="73"/>
        <v>15</v>
      </c>
      <c r="K1331" t="s">
        <v>1780</v>
      </c>
    </row>
    <row r="1332" spans="1:11" ht="15" customHeight="1" x14ac:dyDescent="0.2">
      <c r="A1332" s="157">
        <v>1331</v>
      </c>
      <c r="B1332" s="163">
        <v>46122</v>
      </c>
      <c r="C1332" s="157">
        <f t="shared" si="69"/>
        <v>0</v>
      </c>
      <c r="D1332" s="157">
        <v>0</v>
      </c>
      <c r="E1332" s="157">
        <f t="shared" si="70"/>
        <v>0</v>
      </c>
      <c r="F1332" s="157" t="str">
        <f t="shared" si="71"/>
        <v>Friday</v>
      </c>
      <c r="H1332" s="165">
        <v>4</v>
      </c>
      <c r="I1332" s="157">
        <f t="shared" si="72"/>
        <v>6</v>
      </c>
      <c r="J1332" s="157">
        <f t="shared" si="73"/>
        <v>15</v>
      </c>
      <c r="K1332" t="s">
        <v>1780</v>
      </c>
    </row>
    <row r="1333" spans="1:11" ht="15" customHeight="1" x14ac:dyDescent="0.2">
      <c r="A1333" s="157">
        <v>1332</v>
      </c>
      <c r="B1333" s="163">
        <v>46123</v>
      </c>
      <c r="C1333" s="157">
        <f t="shared" si="69"/>
        <v>1</v>
      </c>
      <c r="D1333" s="157">
        <v>0</v>
      </c>
      <c r="E1333" s="157">
        <f t="shared" si="70"/>
        <v>1</v>
      </c>
      <c r="F1333" s="157" t="str">
        <f t="shared" si="71"/>
        <v>Saturday</v>
      </c>
      <c r="H1333" s="165">
        <v>4</v>
      </c>
      <c r="I1333" s="157">
        <f t="shared" si="72"/>
        <v>6</v>
      </c>
      <c r="J1333" s="157">
        <f t="shared" si="73"/>
        <v>15</v>
      </c>
      <c r="K1333" t="s">
        <v>1780</v>
      </c>
    </row>
    <row r="1334" spans="1:11" ht="15" customHeight="1" x14ac:dyDescent="0.2">
      <c r="A1334" s="157">
        <v>1333</v>
      </c>
      <c r="B1334" s="163">
        <v>46124</v>
      </c>
      <c r="C1334" s="157">
        <f t="shared" si="69"/>
        <v>1</v>
      </c>
      <c r="D1334" s="157">
        <v>0</v>
      </c>
      <c r="E1334" s="157">
        <f t="shared" si="70"/>
        <v>1</v>
      </c>
      <c r="F1334" s="157" t="str">
        <f t="shared" si="71"/>
        <v>Sunday</v>
      </c>
      <c r="H1334" s="165">
        <v>4</v>
      </c>
      <c r="I1334" s="157">
        <f t="shared" si="72"/>
        <v>6</v>
      </c>
      <c r="J1334" s="157">
        <f t="shared" si="73"/>
        <v>15</v>
      </c>
      <c r="K1334" t="s">
        <v>1780</v>
      </c>
    </row>
    <row r="1335" spans="1:11" ht="15" customHeight="1" x14ac:dyDescent="0.2">
      <c r="A1335" s="157">
        <v>1334</v>
      </c>
      <c r="B1335" s="163">
        <v>46125</v>
      </c>
      <c r="C1335" s="157">
        <f t="shared" si="69"/>
        <v>0</v>
      </c>
      <c r="D1335" s="157">
        <v>0</v>
      </c>
      <c r="E1335" s="157">
        <f t="shared" si="70"/>
        <v>0</v>
      </c>
      <c r="F1335" s="157" t="str">
        <f t="shared" si="71"/>
        <v>Monday</v>
      </c>
      <c r="H1335" s="165">
        <v>4</v>
      </c>
      <c r="I1335" s="157">
        <f t="shared" si="72"/>
        <v>7</v>
      </c>
      <c r="J1335" s="157">
        <f t="shared" si="73"/>
        <v>16</v>
      </c>
      <c r="K1335" t="s">
        <v>1780</v>
      </c>
    </row>
    <row r="1336" spans="1:11" ht="15" customHeight="1" x14ac:dyDescent="0.2">
      <c r="A1336" s="157">
        <v>1335</v>
      </c>
      <c r="B1336" s="163">
        <v>46126</v>
      </c>
      <c r="C1336" s="157">
        <f t="shared" si="69"/>
        <v>0</v>
      </c>
      <c r="D1336" s="157">
        <v>0</v>
      </c>
      <c r="E1336" s="157">
        <f t="shared" si="70"/>
        <v>0</v>
      </c>
      <c r="F1336" s="157" t="str">
        <f t="shared" si="71"/>
        <v>Tuesday</v>
      </c>
      <c r="H1336" s="165">
        <v>4</v>
      </c>
      <c r="I1336" s="157">
        <f t="shared" si="72"/>
        <v>7</v>
      </c>
      <c r="J1336" s="157">
        <f t="shared" si="73"/>
        <v>16</v>
      </c>
      <c r="K1336" t="s">
        <v>1780</v>
      </c>
    </row>
    <row r="1337" spans="1:11" ht="15" customHeight="1" x14ac:dyDescent="0.2">
      <c r="A1337" s="157">
        <v>1336</v>
      </c>
      <c r="B1337" s="163">
        <v>46127</v>
      </c>
      <c r="C1337" s="157">
        <f t="shared" si="69"/>
        <v>0</v>
      </c>
      <c r="D1337" s="157">
        <v>0</v>
      </c>
      <c r="E1337" s="157">
        <f t="shared" si="70"/>
        <v>0</v>
      </c>
      <c r="F1337" s="157" t="str">
        <f t="shared" si="71"/>
        <v>Wednesday</v>
      </c>
      <c r="H1337" s="165">
        <v>4</v>
      </c>
      <c r="I1337" s="157">
        <f t="shared" si="72"/>
        <v>7</v>
      </c>
      <c r="J1337" s="157">
        <f t="shared" si="73"/>
        <v>16</v>
      </c>
      <c r="K1337" t="s">
        <v>1780</v>
      </c>
    </row>
    <row r="1338" spans="1:11" ht="15" customHeight="1" x14ac:dyDescent="0.2">
      <c r="A1338" s="157">
        <v>1337</v>
      </c>
      <c r="B1338" s="163">
        <v>46128</v>
      </c>
      <c r="C1338" s="157">
        <f t="shared" si="69"/>
        <v>0</v>
      </c>
      <c r="D1338" s="157">
        <v>0</v>
      </c>
      <c r="E1338" s="157">
        <f t="shared" si="70"/>
        <v>0</v>
      </c>
      <c r="F1338" s="157" t="str">
        <f t="shared" si="71"/>
        <v>Thursday</v>
      </c>
      <c r="H1338" s="165">
        <v>4</v>
      </c>
      <c r="I1338" s="157">
        <f t="shared" si="72"/>
        <v>7</v>
      </c>
      <c r="J1338" s="157">
        <f t="shared" si="73"/>
        <v>16</v>
      </c>
      <c r="K1338" t="s">
        <v>1780</v>
      </c>
    </row>
    <row r="1339" spans="1:11" ht="15" customHeight="1" x14ac:dyDescent="0.2">
      <c r="A1339" s="157">
        <v>1338</v>
      </c>
      <c r="B1339" s="163">
        <v>46129</v>
      </c>
      <c r="C1339" s="157">
        <f t="shared" si="69"/>
        <v>0</v>
      </c>
      <c r="D1339" s="157">
        <v>0</v>
      </c>
      <c r="E1339" s="157">
        <f t="shared" si="70"/>
        <v>0</v>
      </c>
      <c r="F1339" s="157" t="str">
        <f t="shared" si="71"/>
        <v>Friday</v>
      </c>
      <c r="H1339" s="165">
        <v>4</v>
      </c>
      <c r="I1339" s="157">
        <f t="shared" si="72"/>
        <v>7</v>
      </c>
      <c r="J1339" s="157">
        <f t="shared" si="73"/>
        <v>16</v>
      </c>
      <c r="K1339" t="s">
        <v>1780</v>
      </c>
    </row>
    <row r="1340" spans="1:11" ht="15" customHeight="1" x14ac:dyDescent="0.2">
      <c r="A1340" s="157">
        <v>1339</v>
      </c>
      <c r="B1340" s="163">
        <v>46130</v>
      </c>
      <c r="C1340" s="157">
        <f t="shared" si="69"/>
        <v>1</v>
      </c>
      <c r="D1340" s="157">
        <v>0</v>
      </c>
      <c r="E1340" s="157">
        <f t="shared" si="70"/>
        <v>1</v>
      </c>
      <c r="F1340" s="157" t="str">
        <f t="shared" si="71"/>
        <v>Saturday</v>
      </c>
      <c r="H1340" s="165">
        <v>4</v>
      </c>
      <c r="I1340" s="157">
        <f t="shared" si="72"/>
        <v>7</v>
      </c>
      <c r="J1340" s="157">
        <f t="shared" si="73"/>
        <v>16</v>
      </c>
      <c r="K1340" t="s">
        <v>1780</v>
      </c>
    </row>
    <row r="1341" spans="1:11" ht="15" customHeight="1" x14ac:dyDescent="0.2">
      <c r="A1341" s="157">
        <v>1340</v>
      </c>
      <c r="B1341" s="163">
        <v>46131</v>
      </c>
      <c r="C1341" s="157">
        <f t="shared" si="69"/>
        <v>1</v>
      </c>
      <c r="D1341" s="157">
        <v>0</v>
      </c>
      <c r="E1341" s="157">
        <f t="shared" si="70"/>
        <v>1</v>
      </c>
      <c r="F1341" s="157" t="str">
        <f t="shared" si="71"/>
        <v>Sunday</v>
      </c>
      <c r="H1341" s="165">
        <v>4</v>
      </c>
      <c r="I1341" s="157">
        <f t="shared" si="72"/>
        <v>7</v>
      </c>
      <c r="J1341" s="157">
        <f t="shared" si="73"/>
        <v>16</v>
      </c>
      <c r="K1341" t="s">
        <v>1780</v>
      </c>
    </row>
    <row r="1342" spans="1:11" ht="15" customHeight="1" x14ac:dyDescent="0.2">
      <c r="A1342" s="157">
        <v>1341</v>
      </c>
      <c r="B1342" s="163">
        <v>46132</v>
      </c>
      <c r="C1342" s="157">
        <f t="shared" si="69"/>
        <v>0</v>
      </c>
      <c r="D1342" s="157">
        <v>1</v>
      </c>
      <c r="E1342" s="157">
        <f t="shared" si="70"/>
        <v>1</v>
      </c>
      <c r="F1342" s="157" t="str">
        <f t="shared" si="71"/>
        <v>Monday</v>
      </c>
      <c r="H1342" s="165">
        <v>4</v>
      </c>
      <c r="I1342" s="157">
        <f t="shared" si="72"/>
        <v>8</v>
      </c>
      <c r="J1342" s="157">
        <f t="shared" si="73"/>
        <v>17</v>
      </c>
      <c r="K1342" t="s">
        <v>1780</v>
      </c>
    </row>
    <row r="1343" spans="1:11" ht="15" customHeight="1" x14ac:dyDescent="0.2">
      <c r="A1343" s="157">
        <v>1342</v>
      </c>
      <c r="B1343" s="163">
        <v>46133</v>
      </c>
      <c r="C1343" s="157">
        <f t="shared" si="69"/>
        <v>0</v>
      </c>
      <c r="D1343" s="157">
        <v>1</v>
      </c>
      <c r="E1343" s="157">
        <f t="shared" si="70"/>
        <v>1</v>
      </c>
      <c r="F1343" s="157" t="str">
        <f t="shared" si="71"/>
        <v>Tuesday</v>
      </c>
      <c r="H1343" s="165">
        <v>4</v>
      </c>
      <c r="I1343" s="157">
        <f t="shared" si="72"/>
        <v>8</v>
      </c>
      <c r="J1343" s="157">
        <f t="shared" si="73"/>
        <v>17</v>
      </c>
      <c r="K1343" t="s">
        <v>1780</v>
      </c>
    </row>
    <row r="1344" spans="1:11" ht="15" customHeight="1" x14ac:dyDescent="0.2">
      <c r="A1344" s="157">
        <v>1343</v>
      </c>
      <c r="B1344" s="163">
        <v>46134</v>
      </c>
      <c r="C1344" s="157">
        <f t="shared" si="69"/>
        <v>0</v>
      </c>
      <c r="D1344" s="157">
        <v>1</v>
      </c>
      <c r="E1344" s="157">
        <f t="shared" si="70"/>
        <v>1</v>
      </c>
      <c r="F1344" s="157" t="str">
        <f t="shared" si="71"/>
        <v>Wednesday</v>
      </c>
      <c r="H1344" s="165">
        <v>4</v>
      </c>
      <c r="I1344" s="157">
        <f t="shared" si="72"/>
        <v>8</v>
      </c>
      <c r="J1344" s="157">
        <f t="shared" si="73"/>
        <v>17</v>
      </c>
      <c r="K1344" t="s">
        <v>1780</v>
      </c>
    </row>
    <row r="1345" spans="1:11" ht="15" customHeight="1" x14ac:dyDescent="0.2">
      <c r="A1345" s="157">
        <v>1344</v>
      </c>
      <c r="B1345" s="163">
        <v>46135</v>
      </c>
      <c r="C1345" s="157">
        <f t="shared" si="69"/>
        <v>0</v>
      </c>
      <c r="D1345" s="157">
        <v>1</v>
      </c>
      <c r="E1345" s="157">
        <f t="shared" si="70"/>
        <v>1</v>
      </c>
      <c r="F1345" s="157" t="str">
        <f t="shared" si="71"/>
        <v>Thursday</v>
      </c>
      <c r="H1345" s="165">
        <v>4</v>
      </c>
      <c r="I1345" s="157">
        <f t="shared" si="72"/>
        <v>8</v>
      </c>
      <c r="J1345" s="157">
        <f t="shared" si="73"/>
        <v>17</v>
      </c>
      <c r="K1345" t="s">
        <v>1780</v>
      </c>
    </row>
    <row r="1346" spans="1:11" ht="15" customHeight="1" x14ac:dyDescent="0.2">
      <c r="A1346" s="157">
        <v>1345</v>
      </c>
      <c r="B1346" s="163">
        <v>46136</v>
      </c>
      <c r="C1346" s="157">
        <f t="shared" si="69"/>
        <v>0</v>
      </c>
      <c r="D1346" s="157">
        <v>1</v>
      </c>
      <c r="E1346" s="157">
        <f t="shared" si="70"/>
        <v>1</v>
      </c>
      <c r="F1346" s="157" t="str">
        <f t="shared" si="71"/>
        <v>Friday</v>
      </c>
      <c r="H1346" s="165">
        <v>4</v>
      </c>
      <c r="I1346" s="157">
        <f t="shared" si="72"/>
        <v>8</v>
      </c>
      <c r="J1346" s="157">
        <f t="shared" si="73"/>
        <v>17</v>
      </c>
      <c r="K1346" t="s">
        <v>1780</v>
      </c>
    </row>
    <row r="1347" spans="1:11" ht="15" customHeight="1" x14ac:dyDescent="0.2">
      <c r="A1347" s="157">
        <v>1346</v>
      </c>
      <c r="B1347" s="163">
        <v>46137</v>
      </c>
      <c r="C1347" s="157">
        <f t="shared" si="69"/>
        <v>1</v>
      </c>
      <c r="D1347" s="157">
        <v>1</v>
      </c>
      <c r="E1347" s="157">
        <f t="shared" si="70"/>
        <v>1</v>
      </c>
      <c r="F1347" s="157" t="str">
        <f t="shared" si="71"/>
        <v>Saturday</v>
      </c>
      <c r="H1347" s="165">
        <v>4</v>
      </c>
      <c r="I1347" s="157">
        <f t="shared" si="72"/>
        <v>8</v>
      </c>
      <c r="J1347" s="157">
        <f t="shared" si="73"/>
        <v>17</v>
      </c>
      <c r="K1347" t="s">
        <v>1780</v>
      </c>
    </row>
    <row r="1348" spans="1:11" ht="15" customHeight="1" x14ac:dyDescent="0.2">
      <c r="A1348" s="157">
        <v>1347</v>
      </c>
      <c r="B1348" s="163">
        <v>46138</v>
      </c>
      <c r="C1348" s="157">
        <f t="shared" si="69"/>
        <v>1</v>
      </c>
      <c r="D1348" s="157">
        <v>1</v>
      </c>
      <c r="E1348" s="157">
        <f t="shared" si="70"/>
        <v>1</v>
      </c>
      <c r="F1348" s="157" t="str">
        <f t="shared" si="71"/>
        <v>Sunday</v>
      </c>
      <c r="H1348" s="165">
        <v>4</v>
      </c>
      <c r="I1348" s="157">
        <f t="shared" si="72"/>
        <v>8</v>
      </c>
      <c r="J1348" s="157">
        <f t="shared" si="73"/>
        <v>17</v>
      </c>
      <c r="K1348" t="s">
        <v>1780</v>
      </c>
    </row>
    <row r="1349" spans="1:11" ht="15" customHeight="1" x14ac:dyDescent="0.2">
      <c r="A1349" s="157">
        <v>1348</v>
      </c>
      <c r="B1349" s="163">
        <v>46139</v>
      </c>
      <c r="C1349" s="157">
        <f t="shared" si="69"/>
        <v>0</v>
      </c>
      <c r="D1349" s="157">
        <v>1</v>
      </c>
      <c r="E1349" s="157">
        <f t="shared" si="70"/>
        <v>1</v>
      </c>
      <c r="F1349" s="157" t="str">
        <f t="shared" si="71"/>
        <v>Monday</v>
      </c>
      <c r="H1349" s="165">
        <v>4</v>
      </c>
      <c r="I1349" s="157">
        <f t="shared" si="72"/>
        <v>9</v>
      </c>
      <c r="J1349" s="157">
        <f t="shared" si="73"/>
        <v>18</v>
      </c>
      <c r="K1349" t="s">
        <v>1780</v>
      </c>
    </row>
    <row r="1350" spans="1:11" ht="15" customHeight="1" x14ac:dyDescent="0.2">
      <c r="A1350" s="157">
        <v>1349</v>
      </c>
      <c r="B1350" s="163">
        <v>46140</v>
      </c>
      <c r="C1350" s="157">
        <f t="shared" si="69"/>
        <v>0</v>
      </c>
      <c r="D1350" s="157">
        <v>1</v>
      </c>
      <c r="E1350" s="157">
        <f t="shared" si="70"/>
        <v>1</v>
      </c>
      <c r="F1350" s="157" t="str">
        <f t="shared" si="71"/>
        <v>Tuesday</v>
      </c>
      <c r="H1350" s="165">
        <v>4</v>
      </c>
      <c r="I1350" s="157">
        <f t="shared" si="72"/>
        <v>9</v>
      </c>
      <c r="J1350" s="157">
        <f t="shared" si="73"/>
        <v>18</v>
      </c>
      <c r="K1350" t="s">
        <v>1780</v>
      </c>
    </row>
    <row r="1351" spans="1:11" ht="15" customHeight="1" x14ac:dyDescent="0.2">
      <c r="A1351" s="157">
        <v>1350</v>
      </c>
      <c r="B1351" s="163">
        <v>46141</v>
      </c>
      <c r="C1351" s="157">
        <f t="shared" si="69"/>
        <v>0</v>
      </c>
      <c r="D1351" s="157">
        <v>1</v>
      </c>
      <c r="E1351" s="157">
        <f t="shared" si="70"/>
        <v>1</v>
      </c>
      <c r="F1351" s="157" t="str">
        <f t="shared" si="71"/>
        <v>Wednesday</v>
      </c>
      <c r="H1351" s="165">
        <v>4</v>
      </c>
      <c r="I1351" s="157">
        <f t="shared" si="72"/>
        <v>9</v>
      </c>
      <c r="J1351" s="157">
        <f t="shared" si="73"/>
        <v>18</v>
      </c>
      <c r="K1351" t="s">
        <v>1780</v>
      </c>
    </row>
    <row r="1352" spans="1:11" ht="15" customHeight="1" x14ac:dyDescent="0.2">
      <c r="A1352" s="157">
        <v>1351</v>
      </c>
      <c r="B1352" s="163">
        <v>46142</v>
      </c>
      <c r="C1352" s="157">
        <f t="shared" si="69"/>
        <v>0</v>
      </c>
      <c r="D1352" s="157">
        <v>1</v>
      </c>
      <c r="E1352" s="157">
        <f t="shared" si="70"/>
        <v>1</v>
      </c>
      <c r="F1352" s="157" t="str">
        <f t="shared" si="71"/>
        <v>Thursday</v>
      </c>
      <c r="H1352" s="165">
        <v>4</v>
      </c>
      <c r="I1352" s="157">
        <f t="shared" si="72"/>
        <v>9</v>
      </c>
      <c r="J1352" s="157">
        <f t="shared" si="73"/>
        <v>18</v>
      </c>
      <c r="K1352" t="s">
        <v>1780</v>
      </c>
    </row>
    <row r="1353" spans="1:11" ht="15" customHeight="1" x14ac:dyDescent="0.2">
      <c r="A1353" s="157">
        <v>1352</v>
      </c>
      <c r="B1353" s="163">
        <v>46143</v>
      </c>
      <c r="C1353" s="157">
        <f t="shared" si="69"/>
        <v>0</v>
      </c>
      <c r="D1353" s="157">
        <v>1</v>
      </c>
      <c r="E1353" s="157">
        <f t="shared" si="70"/>
        <v>1</v>
      </c>
      <c r="F1353" s="157" t="str">
        <f t="shared" si="71"/>
        <v>Friday</v>
      </c>
      <c r="H1353" s="165">
        <v>4</v>
      </c>
      <c r="I1353" s="157">
        <f t="shared" si="72"/>
        <v>9</v>
      </c>
      <c r="J1353" s="157">
        <f t="shared" si="73"/>
        <v>18</v>
      </c>
      <c r="K1353" t="s">
        <v>1780</v>
      </c>
    </row>
    <row r="1354" spans="1:11" ht="15" customHeight="1" x14ac:dyDescent="0.2">
      <c r="A1354" s="157">
        <v>1353</v>
      </c>
      <c r="B1354" s="163">
        <v>46144</v>
      </c>
      <c r="C1354" s="157">
        <f t="shared" si="69"/>
        <v>1</v>
      </c>
      <c r="D1354" s="157">
        <v>1</v>
      </c>
      <c r="E1354" s="157">
        <f t="shared" si="70"/>
        <v>1</v>
      </c>
      <c r="F1354" s="157" t="str">
        <f t="shared" si="71"/>
        <v>Saturday</v>
      </c>
      <c r="H1354" s="165">
        <v>4</v>
      </c>
      <c r="I1354" s="157">
        <f t="shared" si="72"/>
        <v>9</v>
      </c>
      <c r="J1354" s="157">
        <f t="shared" si="73"/>
        <v>18</v>
      </c>
      <c r="K1354" t="s">
        <v>1780</v>
      </c>
    </row>
    <row r="1355" spans="1:11" ht="15" customHeight="1" x14ac:dyDescent="0.2">
      <c r="A1355" s="157">
        <v>1354</v>
      </c>
      <c r="B1355" s="163">
        <v>46145</v>
      </c>
      <c r="C1355" s="157">
        <f t="shared" si="69"/>
        <v>1</v>
      </c>
      <c r="D1355" s="157">
        <v>1</v>
      </c>
      <c r="E1355" s="157">
        <f t="shared" si="70"/>
        <v>1</v>
      </c>
      <c r="F1355" s="157" t="str">
        <f t="shared" si="71"/>
        <v>Sunday</v>
      </c>
      <c r="H1355" s="165">
        <v>4</v>
      </c>
      <c r="I1355" s="157">
        <f t="shared" si="72"/>
        <v>9</v>
      </c>
      <c r="J1355" s="157">
        <f t="shared" si="73"/>
        <v>18</v>
      </c>
      <c r="K1355" t="s">
        <v>1780</v>
      </c>
    </row>
    <row r="1356" spans="1:11" ht="15" customHeight="1" x14ac:dyDescent="0.2">
      <c r="A1356" s="157">
        <v>1355</v>
      </c>
      <c r="B1356" s="163">
        <v>46146</v>
      </c>
      <c r="C1356" s="157">
        <f t="shared" si="69"/>
        <v>0</v>
      </c>
      <c r="D1356" s="157">
        <v>1</v>
      </c>
      <c r="E1356" s="157">
        <f t="shared" si="70"/>
        <v>1</v>
      </c>
      <c r="F1356" s="157" t="str">
        <f t="shared" si="71"/>
        <v>Monday</v>
      </c>
      <c r="H1356" s="165">
        <v>5</v>
      </c>
      <c r="I1356" s="157">
        <f t="shared" si="72"/>
        <v>1</v>
      </c>
      <c r="J1356" s="157">
        <f t="shared" si="73"/>
        <v>19</v>
      </c>
      <c r="K1356" t="s">
        <v>1780</v>
      </c>
    </row>
    <row r="1357" spans="1:11" ht="15" customHeight="1" x14ac:dyDescent="0.2">
      <c r="A1357" s="157">
        <v>1356</v>
      </c>
      <c r="B1357" s="163">
        <v>46147</v>
      </c>
      <c r="C1357" s="157">
        <f t="shared" si="69"/>
        <v>0</v>
      </c>
      <c r="D1357" s="157">
        <v>1</v>
      </c>
      <c r="E1357" s="157">
        <f t="shared" si="70"/>
        <v>1</v>
      </c>
      <c r="F1357" s="157" t="str">
        <f t="shared" si="71"/>
        <v>Tuesday</v>
      </c>
      <c r="H1357" s="165">
        <v>5</v>
      </c>
      <c r="I1357" s="157">
        <f t="shared" si="72"/>
        <v>1</v>
      </c>
      <c r="J1357" s="157">
        <f t="shared" si="73"/>
        <v>19</v>
      </c>
      <c r="K1357" t="s">
        <v>1780</v>
      </c>
    </row>
    <row r="1358" spans="1:11" ht="15" customHeight="1" x14ac:dyDescent="0.2">
      <c r="A1358" s="157">
        <v>1357</v>
      </c>
      <c r="B1358" s="163">
        <v>46148</v>
      </c>
      <c r="C1358" s="157">
        <f t="shared" si="69"/>
        <v>0</v>
      </c>
      <c r="D1358" s="157">
        <v>0</v>
      </c>
      <c r="E1358" s="157">
        <f t="shared" si="70"/>
        <v>0</v>
      </c>
      <c r="F1358" s="157" t="str">
        <f t="shared" si="71"/>
        <v>Wednesday</v>
      </c>
      <c r="H1358" s="165">
        <v>5</v>
      </c>
      <c r="I1358" s="157">
        <f t="shared" si="72"/>
        <v>1</v>
      </c>
      <c r="J1358" s="157">
        <f t="shared" si="73"/>
        <v>19</v>
      </c>
      <c r="K1358" t="s">
        <v>1780</v>
      </c>
    </row>
    <row r="1359" spans="1:11" ht="15" customHeight="1" x14ac:dyDescent="0.2">
      <c r="A1359" s="157">
        <v>1358</v>
      </c>
      <c r="B1359" s="163">
        <v>46149</v>
      </c>
      <c r="C1359" s="157">
        <f t="shared" si="69"/>
        <v>0</v>
      </c>
      <c r="D1359" s="157">
        <v>0</v>
      </c>
      <c r="E1359" s="157">
        <f t="shared" si="70"/>
        <v>0</v>
      </c>
      <c r="F1359" s="157" t="str">
        <f t="shared" si="71"/>
        <v>Thursday</v>
      </c>
      <c r="H1359" s="165">
        <v>5</v>
      </c>
      <c r="I1359" s="157">
        <f t="shared" si="72"/>
        <v>1</v>
      </c>
      <c r="J1359" s="157">
        <f t="shared" si="73"/>
        <v>19</v>
      </c>
      <c r="K1359" t="s">
        <v>1780</v>
      </c>
    </row>
    <row r="1360" spans="1:11" ht="15" customHeight="1" x14ac:dyDescent="0.2">
      <c r="A1360" s="157">
        <v>1359</v>
      </c>
      <c r="B1360" s="163">
        <v>46150</v>
      </c>
      <c r="C1360" s="157">
        <f t="shared" si="69"/>
        <v>0</v>
      </c>
      <c r="D1360" s="157">
        <v>0</v>
      </c>
      <c r="E1360" s="157">
        <f t="shared" si="70"/>
        <v>0</v>
      </c>
      <c r="F1360" s="157" t="str">
        <f t="shared" si="71"/>
        <v>Friday</v>
      </c>
      <c r="H1360" s="165">
        <v>5</v>
      </c>
      <c r="I1360" s="157">
        <f t="shared" si="72"/>
        <v>1</v>
      </c>
      <c r="J1360" s="157">
        <f t="shared" si="73"/>
        <v>19</v>
      </c>
      <c r="K1360" t="s">
        <v>1780</v>
      </c>
    </row>
    <row r="1361" spans="1:11" ht="15" customHeight="1" x14ac:dyDescent="0.2">
      <c r="A1361" s="157">
        <v>1360</v>
      </c>
      <c r="B1361" s="163">
        <v>46151</v>
      </c>
      <c r="C1361" s="157">
        <f t="shared" si="69"/>
        <v>1</v>
      </c>
      <c r="D1361" s="157">
        <v>0</v>
      </c>
      <c r="E1361" s="157">
        <f t="shared" si="70"/>
        <v>1</v>
      </c>
      <c r="F1361" s="157" t="str">
        <f t="shared" si="71"/>
        <v>Saturday</v>
      </c>
      <c r="H1361" s="165">
        <v>5</v>
      </c>
      <c r="I1361" s="157">
        <f t="shared" si="72"/>
        <v>1</v>
      </c>
      <c r="J1361" s="157">
        <f t="shared" si="73"/>
        <v>19</v>
      </c>
      <c r="K1361" t="s">
        <v>1780</v>
      </c>
    </row>
    <row r="1362" spans="1:11" ht="15" customHeight="1" x14ac:dyDescent="0.2">
      <c r="A1362" s="157">
        <v>1361</v>
      </c>
      <c r="B1362" s="163">
        <v>46152</v>
      </c>
      <c r="C1362" s="157">
        <f t="shared" si="69"/>
        <v>1</v>
      </c>
      <c r="D1362" s="157">
        <v>0</v>
      </c>
      <c r="E1362" s="157">
        <f t="shared" si="70"/>
        <v>1</v>
      </c>
      <c r="F1362" s="157" t="str">
        <f t="shared" si="71"/>
        <v>Sunday</v>
      </c>
      <c r="H1362" s="165">
        <v>5</v>
      </c>
      <c r="I1362" s="157">
        <f t="shared" si="72"/>
        <v>1</v>
      </c>
      <c r="J1362" s="157">
        <f t="shared" si="73"/>
        <v>19</v>
      </c>
      <c r="K1362" t="s">
        <v>1780</v>
      </c>
    </row>
    <row r="1363" spans="1:11" ht="15" customHeight="1" x14ac:dyDescent="0.2">
      <c r="A1363" s="157">
        <v>1362</v>
      </c>
      <c r="B1363" s="163">
        <v>46153</v>
      </c>
      <c r="C1363" s="157">
        <f t="shared" si="69"/>
        <v>0</v>
      </c>
      <c r="D1363" s="157">
        <v>0</v>
      </c>
      <c r="E1363" s="157">
        <f t="shared" si="70"/>
        <v>0</v>
      </c>
      <c r="F1363" s="157" t="str">
        <f t="shared" si="71"/>
        <v>Monday</v>
      </c>
      <c r="H1363" s="165">
        <v>5</v>
      </c>
      <c r="I1363" s="157">
        <f t="shared" si="72"/>
        <v>2</v>
      </c>
      <c r="J1363" s="157">
        <f t="shared" si="73"/>
        <v>20</v>
      </c>
      <c r="K1363" t="s">
        <v>1780</v>
      </c>
    </row>
    <row r="1364" spans="1:11" ht="15" customHeight="1" x14ac:dyDescent="0.2">
      <c r="A1364" s="157">
        <v>1363</v>
      </c>
      <c r="B1364" s="163">
        <v>46154</v>
      </c>
      <c r="C1364" s="157">
        <f t="shared" si="69"/>
        <v>0</v>
      </c>
      <c r="D1364" s="157">
        <v>0</v>
      </c>
      <c r="E1364" s="157">
        <f t="shared" si="70"/>
        <v>0</v>
      </c>
      <c r="F1364" s="157" t="str">
        <f t="shared" si="71"/>
        <v>Tuesday</v>
      </c>
      <c r="H1364" s="165">
        <v>5</v>
      </c>
      <c r="I1364" s="157">
        <f t="shared" si="72"/>
        <v>2</v>
      </c>
      <c r="J1364" s="157">
        <f t="shared" si="73"/>
        <v>20</v>
      </c>
      <c r="K1364" t="s">
        <v>1780</v>
      </c>
    </row>
    <row r="1365" spans="1:11" ht="15" customHeight="1" x14ac:dyDescent="0.2">
      <c r="A1365" s="157">
        <v>1364</v>
      </c>
      <c r="B1365" s="163">
        <v>46155</v>
      </c>
      <c r="C1365" s="157">
        <f t="shared" si="69"/>
        <v>0</v>
      </c>
      <c r="D1365" s="157">
        <v>0</v>
      </c>
      <c r="E1365" s="157">
        <f t="shared" si="70"/>
        <v>0</v>
      </c>
      <c r="F1365" s="157" t="str">
        <f t="shared" si="71"/>
        <v>Wednesday</v>
      </c>
      <c r="H1365" s="165">
        <v>5</v>
      </c>
      <c r="I1365" s="157">
        <f t="shared" si="72"/>
        <v>2</v>
      </c>
      <c r="J1365" s="157">
        <f t="shared" si="73"/>
        <v>20</v>
      </c>
      <c r="K1365" t="s">
        <v>1780</v>
      </c>
    </row>
    <row r="1366" spans="1:11" ht="15" customHeight="1" x14ac:dyDescent="0.2">
      <c r="A1366" s="157">
        <v>1365</v>
      </c>
      <c r="B1366" s="163">
        <v>46156</v>
      </c>
      <c r="C1366" s="157">
        <f t="shared" si="69"/>
        <v>0</v>
      </c>
      <c r="D1366" s="157">
        <v>0</v>
      </c>
      <c r="E1366" s="157">
        <f t="shared" si="70"/>
        <v>0</v>
      </c>
      <c r="F1366" s="157" t="str">
        <f t="shared" si="71"/>
        <v>Thursday</v>
      </c>
      <c r="H1366" s="165">
        <v>5</v>
      </c>
      <c r="I1366" s="157">
        <f t="shared" si="72"/>
        <v>2</v>
      </c>
      <c r="J1366" s="157">
        <f t="shared" si="73"/>
        <v>20</v>
      </c>
      <c r="K1366" t="s">
        <v>1780</v>
      </c>
    </row>
    <row r="1367" spans="1:11" ht="15" customHeight="1" x14ac:dyDescent="0.2">
      <c r="A1367" s="157">
        <v>1366</v>
      </c>
      <c r="B1367" s="163">
        <v>46157</v>
      </c>
      <c r="C1367" s="157">
        <f t="shared" si="69"/>
        <v>0</v>
      </c>
      <c r="D1367" s="157">
        <v>0</v>
      </c>
      <c r="E1367" s="157">
        <f t="shared" si="70"/>
        <v>0</v>
      </c>
      <c r="F1367" s="157" t="str">
        <f t="shared" si="71"/>
        <v>Friday</v>
      </c>
      <c r="H1367" s="165">
        <v>5</v>
      </c>
      <c r="I1367" s="157">
        <f t="shared" si="72"/>
        <v>2</v>
      </c>
      <c r="J1367" s="157">
        <f t="shared" si="73"/>
        <v>20</v>
      </c>
      <c r="K1367" t="s">
        <v>1780</v>
      </c>
    </row>
    <row r="1368" spans="1:11" ht="15" customHeight="1" x14ac:dyDescent="0.2">
      <c r="A1368" s="157">
        <v>1367</v>
      </c>
      <c r="B1368" s="163">
        <v>46158</v>
      </c>
      <c r="C1368" s="157">
        <f t="shared" si="69"/>
        <v>1</v>
      </c>
      <c r="D1368" s="157">
        <v>0</v>
      </c>
      <c r="E1368" s="157">
        <f t="shared" si="70"/>
        <v>1</v>
      </c>
      <c r="F1368" s="157" t="str">
        <f t="shared" si="71"/>
        <v>Saturday</v>
      </c>
      <c r="H1368" s="165">
        <v>5</v>
      </c>
      <c r="I1368" s="157">
        <f t="shared" si="72"/>
        <v>2</v>
      </c>
      <c r="J1368" s="157">
        <f t="shared" si="73"/>
        <v>20</v>
      </c>
      <c r="K1368" t="s">
        <v>1780</v>
      </c>
    </row>
    <row r="1369" spans="1:11" ht="15" customHeight="1" x14ac:dyDescent="0.2">
      <c r="A1369" s="157">
        <v>1368</v>
      </c>
      <c r="B1369" s="163">
        <v>46159</v>
      </c>
      <c r="C1369" s="157">
        <f t="shared" si="69"/>
        <v>1</v>
      </c>
      <c r="D1369" s="157">
        <v>0</v>
      </c>
      <c r="E1369" s="157">
        <f t="shared" si="70"/>
        <v>1</v>
      </c>
      <c r="F1369" s="157" t="str">
        <f t="shared" si="71"/>
        <v>Sunday</v>
      </c>
      <c r="H1369" s="165">
        <v>5</v>
      </c>
      <c r="I1369" s="157">
        <f t="shared" si="72"/>
        <v>2</v>
      </c>
      <c r="J1369" s="157">
        <f t="shared" si="73"/>
        <v>20</v>
      </c>
      <c r="K1369" t="s">
        <v>1780</v>
      </c>
    </row>
    <row r="1370" spans="1:11" ht="15" customHeight="1" x14ac:dyDescent="0.2">
      <c r="A1370" s="157">
        <v>1369</v>
      </c>
      <c r="B1370" s="163">
        <v>46160</v>
      </c>
      <c r="C1370" s="157">
        <f t="shared" si="69"/>
        <v>0</v>
      </c>
      <c r="D1370" s="157">
        <v>0</v>
      </c>
      <c r="E1370" s="157">
        <f t="shared" si="70"/>
        <v>0</v>
      </c>
      <c r="F1370" s="157" t="str">
        <f t="shared" si="71"/>
        <v>Monday</v>
      </c>
      <c r="H1370" s="165">
        <v>5</v>
      </c>
      <c r="I1370" s="157">
        <f t="shared" si="72"/>
        <v>3</v>
      </c>
      <c r="J1370" s="157">
        <f t="shared" si="73"/>
        <v>21</v>
      </c>
      <c r="K1370" t="s">
        <v>1780</v>
      </c>
    </row>
    <row r="1371" spans="1:11" ht="15" customHeight="1" x14ac:dyDescent="0.2">
      <c r="A1371" s="157">
        <v>1370</v>
      </c>
      <c r="B1371" s="163">
        <v>46161</v>
      </c>
      <c r="C1371" s="157">
        <f t="shared" si="69"/>
        <v>0</v>
      </c>
      <c r="D1371" s="157">
        <v>0</v>
      </c>
      <c r="E1371" s="157">
        <f t="shared" si="70"/>
        <v>0</v>
      </c>
      <c r="F1371" s="157" t="str">
        <f t="shared" si="71"/>
        <v>Tuesday</v>
      </c>
      <c r="H1371" s="165">
        <v>5</v>
      </c>
      <c r="I1371" s="157">
        <f t="shared" si="72"/>
        <v>3</v>
      </c>
      <c r="J1371" s="157">
        <f t="shared" si="73"/>
        <v>21</v>
      </c>
      <c r="K1371" t="s">
        <v>1780</v>
      </c>
    </row>
    <row r="1372" spans="1:11" ht="15" customHeight="1" x14ac:dyDescent="0.2">
      <c r="A1372" s="157">
        <v>1371</v>
      </c>
      <c r="B1372" s="163">
        <v>46162</v>
      </c>
      <c r="C1372" s="157">
        <f t="shared" si="69"/>
        <v>0</v>
      </c>
      <c r="D1372" s="157">
        <v>0</v>
      </c>
      <c r="E1372" s="157">
        <f t="shared" si="70"/>
        <v>0</v>
      </c>
      <c r="F1372" s="157" t="str">
        <f t="shared" si="71"/>
        <v>Wednesday</v>
      </c>
      <c r="H1372" s="165">
        <v>5</v>
      </c>
      <c r="I1372" s="157">
        <f t="shared" si="72"/>
        <v>3</v>
      </c>
      <c r="J1372" s="157">
        <f t="shared" si="73"/>
        <v>21</v>
      </c>
      <c r="K1372" t="s">
        <v>1780</v>
      </c>
    </row>
    <row r="1373" spans="1:11" ht="15" customHeight="1" x14ac:dyDescent="0.2">
      <c r="A1373" s="157">
        <v>1372</v>
      </c>
      <c r="B1373" s="163">
        <v>46163</v>
      </c>
      <c r="C1373" s="157">
        <f t="shared" si="69"/>
        <v>0</v>
      </c>
      <c r="D1373" s="157">
        <v>0</v>
      </c>
      <c r="E1373" s="157">
        <f t="shared" si="70"/>
        <v>0</v>
      </c>
      <c r="F1373" s="157" t="str">
        <f t="shared" si="71"/>
        <v>Thursday</v>
      </c>
      <c r="H1373" s="165">
        <v>5</v>
      </c>
      <c r="I1373" s="157">
        <f t="shared" si="72"/>
        <v>3</v>
      </c>
      <c r="J1373" s="157">
        <f t="shared" si="73"/>
        <v>21</v>
      </c>
      <c r="K1373" t="s">
        <v>1780</v>
      </c>
    </row>
    <row r="1374" spans="1:11" ht="15" customHeight="1" x14ac:dyDescent="0.2">
      <c r="A1374" s="157">
        <v>1373</v>
      </c>
      <c r="B1374" s="163">
        <v>46164</v>
      </c>
      <c r="C1374" s="157">
        <f t="shared" si="69"/>
        <v>0</v>
      </c>
      <c r="D1374" s="157">
        <v>0</v>
      </c>
      <c r="E1374" s="157">
        <f t="shared" si="70"/>
        <v>0</v>
      </c>
      <c r="F1374" s="157" t="str">
        <f t="shared" si="71"/>
        <v>Friday</v>
      </c>
      <c r="H1374" s="165">
        <v>5</v>
      </c>
      <c r="I1374" s="157">
        <f t="shared" si="72"/>
        <v>3</v>
      </c>
      <c r="J1374" s="157">
        <f t="shared" si="73"/>
        <v>21</v>
      </c>
      <c r="K1374" t="s">
        <v>1780</v>
      </c>
    </row>
    <row r="1375" spans="1:11" ht="15" customHeight="1" x14ac:dyDescent="0.2">
      <c r="A1375" s="157">
        <v>1374</v>
      </c>
      <c r="B1375" s="163">
        <v>46165</v>
      </c>
      <c r="C1375" s="157">
        <f t="shared" si="69"/>
        <v>1</v>
      </c>
      <c r="D1375" s="157">
        <v>0</v>
      </c>
      <c r="E1375" s="157">
        <f t="shared" si="70"/>
        <v>1</v>
      </c>
      <c r="F1375" s="157" t="str">
        <f t="shared" si="71"/>
        <v>Saturday</v>
      </c>
      <c r="H1375" s="165">
        <v>5</v>
      </c>
      <c r="I1375" s="157">
        <f t="shared" si="72"/>
        <v>3</v>
      </c>
      <c r="J1375" s="157">
        <f t="shared" si="73"/>
        <v>21</v>
      </c>
      <c r="K1375" t="s">
        <v>1780</v>
      </c>
    </row>
    <row r="1376" spans="1:11" ht="15" customHeight="1" x14ac:dyDescent="0.2">
      <c r="A1376" s="157">
        <v>1375</v>
      </c>
      <c r="B1376" s="163">
        <v>46166</v>
      </c>
      <c r="C1376" s="157">
        <f t="shared" si="69"/>
        <v>1</v>
      </c>
      <c r="D1376" s="157">
        <v>0</v>
      </c>
      <c r="E1376" s="157">
        <f t="shared" si="70"/>
        <v>1</v>
      </c>
      <c r="F1376" s="157" t="str">
        <f t="shared" si="71"/>
        <v>Sunday</v>
      </c>
      <c r="H1376" s="165">
        <v>5</v>
      </c>
      <c r="I1376" s="157">
        <f t="shared" si="72"/>
        <v>3</v>
      </c>
      <c r="J1376" s="157">
        <f t="shared" si="73"/>
        <v>21</v>
      </c>
      <c r="K1376" t="s">
        <v>1780</v>
      </c>
    </row>
    <row r="1377" spans="1:11" ht="15" customHeight="1" x14ac:dyDescent="0.2">
      <c r="A1377" s="157">
        <v>1376</v>
      </c>
      <c r="B1377" s="163">
        <v>46167</v>
      </c>
      <c r="C1377" s="157">
        <f t="shared" si="69"/>
        <v>0</v>
      </c>
      <c r="D1377" s="157">
        <v>1</v>
      </c>
      <c r="E1377" s="157">
        <f t="shared" si="70"/>
        <v>1</v>
      </c>
      <c r="F1377" s="157" t="str">
        <f t="shared" si="71"/>
        <v>Monday</v>
      </c>
      <c r="H1377" s="165">
        <v>5</v>
      </c>
      <c r="I1377" s="157">
        <f t="shared" si="72"/>
        <v>4</v>
      </c>
      <c r="J1377" s="157">
        <f t="shared" si="73"/>
        <v>22</v>
      </c>
      <c r="K1377" t="s">
        <v>1780</v>
      </c>
    </row>
    <row r="1378" spans="1:11" ht="15" customHeight="1" x14ac:dyDescent="0.2">
      <c r="A1378" s="157">
        <v>1377</v>
      </c>
      <c r="B1378" s="163">
        <v>46168</v>
      </c>
      <c r="C1378" s="157">
        <f t="shared" si="69"/>
        <v>0</v>
      </c>
      <c r="D1378" s="157">
        <v>0</v>
      </c>
      <c r="E1378" s="157">
        <f t="shared" si="70"/>
        <v>0</v>
      </c>
      <c r="F1378" s="157" t="str">
        <f t="shared" si="71"/>
        <v>Tuesday</v>
      </c>
      <c r="H1378" s="165">
        <v>5</v>
      </c>
      <c r="I1378" s="157">
        <f t="shared" si="72"/>
        <v>4</v>
      </c>
      <c r="J1378" s="157">
        <f t="shared" si="73"/>
        <v>22</v>
      </c>
      <c r="K1378" t="s">
        <v>1780</v>
      </c>
    </row>
    <row r="1379" spans="1:11" ht="15" customHeight="1" x14ac:dyDescent="0.2">
      <c r="A1379" s="157">
        <v>1378</v>
      </c>
      <c r="B1379" s="163">
        <v>46169</v>
      </c>
      <c r="C1379" s="157">
        <f t="shared" si="69"/>
        <v>0</v>
      </c>
      <c r="D1379" s="157">
        <v>0</v>
      </c>
      <c r="E1379" s="157">
        <f t="shared" si="70"/>
        <v>0</v>
      </c>
      <c r="F1379" s="157" t="str">
        <f t="shared" si="71"/>
        <v>Wednesday</v>
      </c>
      <c r="H1379" s="165">
        <v>5</v>
      </c>
      <c r="I1379" s="157">
        <f t="shared" si="72"/>
        <v>4</v>
      </c>
      <c r="J1379" s="157">
        <f t="shared" si="73"/>
        <v>22</v>
      </c>
      <c r="K1379" t="s">
        <v>1780</v>
      </c>
    </row>
    <row r="1380" spans="1:11" ht="15" customHeight="1" x14ac:dyDescent="0.2">
      <c r="A1380" s="157">
        <v>1379</v>
      </c>
      <c r="B1380" s="163">
        <v>46170</v>
      </c>
      <c r="C1380" s="157">
        <f t="shared" si="69"/>
        <v>0</v>
      </c>
      <c r="D1380" s="157">
        <v>0</v>
      </c>
      <c r="E1380" s="157">
        <f t="shared" si="70"/>
        <v>0</v>
      </c>
      <c r="F1380" s="157" t="str">
        <f t="shared" si="71"/>
        <v>Thursday</v>
      </c>
      <c r="H1380" s="165">
        <v>5</v>
      </c>
      <c r="I1380" s="157">
        <f t="shared" si="72"/>
        <v>4</v>
      </c>
      <c r="J1380" s="157">
        <f t="shared" si="73"/>
        <v>22</v>
      </c>
      <c r="K1380" t="s">
        <v>1780</v>
      </c>
    </row>
    <row r="1381" spans="1:11" ht="15" customHeight="1" x14ac:dyDescent="0.2">
      <c r="A1381" s="157">
        <v>1380</v>
      </c>
      <c r="B1381" s="163">
        <v>46171</v>
      </c>
      <c r="C1381" s="157">
        <f t="shared" si="69"/>
        <v>0</v>
      </c>
      <c r="D1381" s="157">
        <v>0</v>
      </c>
      <c r="E1381" s="157">
        <f t="shared" si="70"/>
        <v>0</v>
      </c>
      <c r="F1381" s="157" t="str">
        <f t="shared" si="71"/>
        <v>Friday</v>
      </c>
      <c r="H1381" s="165">
        <v>5</v>
      </c>
      <c r="I1381" s="157">
        <f t="shared" si="72"/>
        <v>4</v>
      </c>
      <c r="J1381" s="157">
        <f t="shared" si="73"/>
        <v>22</v>
      </c>
      <c r="K1381" t="s">
        <v>1780</v>
      </c>
    </row>
    <row r="1382" spans="1:11" ht="15" customHeight="1" x14ac:dyDescent="0.2">
      <c r="A1382" s="157">
        <v>1381</v>
      </c>
      <c r="B1382" s="163">
        <v>46172</v>
      </c>
      <c r="C1382" s="157">
        <f t="shared" si="69"/>
        <v>1</v>
      </c>
      <c r="D1382" s="157">
        <v>0</v>
      </c>
      <c r="E1382" s="157">
        <f t="shared" si="70"/>
        <v>1</v>
      </c>
      <c r="F1382" s="157" t="str">
        <f t="shared" si="71"/>
        <v>Saturday</v>
      </c>
      <c r="H1382" s="165">
        <v>5</v>
      </c>
      <c r="I1382" s="157">
        <f t="shared" si="72"/>
        <v>4</v>
      </c>
      <c r="J1382" s="157">
        <f t="shared" si="73"/>
        <v>22</v>
      </c>
      <c r="K1382" t="s">
        <v>1780</v>
      </c>
    </row>
    <row r="1383" spans="1:11" ht="15" customHeight="1" x14ac:dyDescent="0.2">
      <c r="A1383" s="157">
        <v>1382</v>
      </c>
      <c r="B1383" s="163">
        <v>46173</v>
      </c>
      <c r="C1383" s="157">
        <f t="shared" si="69"/>
        <v>1</v>
      </c>
      <c r="D1383" s="157">
        <v>0</v>
      </c>
      <c r="E1383" s="157">
        <f t="shared" si="70"/>
        <v>1</v>
      </c>
      <c r="F1383" s="157" t="str">
        <f t="shared" si="71"/>
        <v>Sunday</v>
      </c>
      <c r="H1383" s="165">
        <v>5</v>
      </c>
      <c r="I1383" s="157">
        <f t="shared" si="72"/>
        <v>4</v>
      </c>
      <c r="J1383" s="157">
        <f t="shared" si="73"/>
        <v>22</v>
      </c>
      <c r="K1383" t="s">
        <v>1780</v>
      </c>
    </row>
    <row r="1384" spans="1:11" ht="15" customHeight="1" x14ac:dyDescent="0.2">
      <c r="A1384" s="157">
        <v>1383</v>
      </c>
      <c r="B1384" s="163">
        <v>46174</v>
      </c>
      <c r="C1384" s="157">
        <f t="shared" si="69"/>
        <v>0</v>
      </c>
      <c r="D1384" s="157">
        <v>0</v>
      </c>
      <c r="E1384" s="157">
        <f t="shared" si="70"/>
        <v>0</v>
      </c>
      <c r="F1384" s="157" t="str">
        <f t="shared" si="71"/>
        <v>Monday</v>
      </c>
      <c r="H1384" s="165">
        <v>5</v>
      </c>
      <c r="I1384" s="157">
        <f t="shared" si="72"/>
        <v>5</v>
      </c>
      <c r="J1384" s="157">
        <f t="shared" si="73"/>
        <v>23</v>
      </c>
      <c r="K1384" t="s">
        <v>1780</v>
      </c>
    </row>
    <row r="1385" spans="1:11" ht="15" customHeight="1" x14ac:dyDescent="0.2">
      <c r="A1385" s="157">
        <v>1384</v>
      </c>
      <c r="B1385" s="163">
        <v>46175</v>
      </c>
      <c r="C1385" s="157">
        <f t="shared" si="69"/>
        <v>0</v>
      </c>
      <c r="D1385" s="157">
        <v>0</v>
      </c>
      <c r="E1385" s="157">
        <f t="shared" si="70"/>
        <v>0</v>
      </c>
      <c r="F1385" s="157" t="str">
        <f t="shared" si="71"/>
        <v>Tuesday</v>
      </c>
      <c r="H1385" s="165">
        <v>5</v>
      </c>
      <c r="I1385" s="157">
        <f t="shared" si="72"/>
        <v>5</v>
      </c>
      <c r="J1385" s="157">
        <f t="shared" si="73"/>
        <v>23</v>
      </c>
      <c r="K1385" t="s">
        <v>1780</v>
      </c>
    </row>
    <row r="1386" spans="1:11" ht="15" customHeight="1" x14ac:dyDescent="0.2">
      <c r="A1386" s="157">
        <v>1385</v>
      </c>
      <c r="B1386" s="163">
        <v>46176</v>
      </c>
      <c r="C1386" s="157">
        <f t="shared" ref="C1386:C1449" si="74">IF(OR(WEEKDAY(B1386) = 7, WEEKDAY(B1386) = 1), 1, 0)</f>
        <v>0</v>
      </c>
      <c r="D1386" s="157">
        <v>0</v>
      </c>
      <c r="E1386" s="157">
        <f t="shared" ref="E1386:E1449" si="75">IF((C1386+D1386)&gt;0, 1, 0)</f>
        <v>0</v>
      </c>
      <c r="F1386" s="157" t="str">
        <f t="shared" ref="F1386:F1449" si="76">TEXT(B1386, "dddd")</f>
        <v>Wednesday</v>
      </c>
      <c r="H1386" s="165">
        <v>5</v>
      </c>
      <c r="I1386" s="157">
        <f t="shared" ref="I1386:I1449" si="77">IF(J1386&gt;J1385, IF(H1386&lt;&gt;H1385,1, I1385+1),I1385)</f>
        <v>5</v>
      </c>
      <c r="J1386" s="157">
        <f t="shared" ref="J1386:J1449" si="78">_xlfn.ISOWEEKNUM(B1386)</f>
        <v>23</v>
      </c>
      <c r="K1386" t="s">
        <v>1780</v>
      </c>
    </row>
    <row r="1387" spans="1:11" ht="15" customHeight="1" x14ac:dyDescent="0.2">
      <c r="A1387" s="157">
        <v>1386</v>
      </c>
      <c r="B1387" s="163">
        <v>46177</v>
      </c>
      <c r="C1387" s="157">
        <f t="shared" si="74"/>
        <v>0</v>
      </c>
      <c r="D1387" s="157">
        <v>0</v>
      </c>
      <c r="E1387" s="157">
        <f t="shared" si="75"/>
        <v>0</v>
      </c>
      <c r="F1387" s="157" t="str">
        <f t="shared" si="76"/>
        <v>Thursday</v>
      </c>
      <c r="H1387" s="165">
        <v>5</v>
      </c>
      <c r="I1387" s="157">
        <f t="shared" si="77"/>
        <v>5</v>
      </c>
      <c r="J1387" s="157">
        <f t="shared" si="78"/>
        <v>23</v>
      </c>
      <c r="K1387" t="s">
        <v>1780</v>
      </c>
    </row>
    <row r="1388" spans="1:11" ht="15" customHeight="1" x14ac:dyDescent="0.2">
      <c r="A1388" s="157">
        <v>1387</v>
      </c>
      <c r="B1388" s="163">
        <v>46178</v>
      </c>
      <c r="C1388" s="157">
        <f t="shared" si="74"/>
        <v>0</v>
      </c>
      <c r="D1388" s="157">
        <v>0</v>
      </c>
      <c r="E1388" s="157">
        <f t="shared" si="75"/>
        <v>0</v>
      </c>
      <c r="F1388" s="157" t="str">
        <f t="shared" si="76"/>
        <v>Friday</v>
      </c>
      <c r="H1388" s="165">
        <v>5</v>
      </c>
      <c r="I1388" s="157">
        <f t="shared" si="77"/>
        <v>5</v>
      </c>
      <c r="J1388" s="157">
        <f t="shared" si="78"/>
        <v>23</v>
      </c>
      <c r="K1388" t="s">
        <v>1780</v>
      </c>
    </row>
    <row r="1389" spans="1:11" ht="15" customHeight="1" x14ac:dyDescent="0.2">
      <c r="A1389" s="157">
        <v>1388</v>
      </c>
      <c r="B1389" s="163">
        <v>46179</v>
      </c>
      <c r="C1389" s="157">
        <f t="shared" si="74"/>
        <v>1</v>
      </c>
      <c r="D1389" s="157">
        <v>0</v>
      </c>
      <c r="E1389" s="157">
        <f t="shared" si="75"/>
        <v>1</v>
      </c>
      <c r="F1389" s="157" t="str">
        <f t="shared" si="76"/>
        <v>Saturday</v>
      </c>
      <c r="H1389" s="165">
        <v>5</v>
      </c>
      <c r="I1389" s="157">
        <f t="shared" si="77"/>
        <v>5</v>
      </c>
      <c r="J1389" s="157">
        <f t="shared" si="78"/>
        <v>23</v>
      </c>
      <c r="K1389" t="s">
        <v>1780</v>
      </c>
    </row>
    <row r="1390" spans="1:11" ht="15" customHeight="1" x14ac:dyDescent="0.2">
      <c r="A1390" s="157">
        <v>1389</v>
      </c>
      <c r="B1390" s="163">
        <v>46180</v>
      </c>
      <c r="C1390" s="157">
        <f t="shared" si="74"/>
        <v>1</v>
      </c>
      <c r="D1390" s="157">
        <v>0</v>
      </c>
      <c r="E1390" s="157">
        <f t="shared" si="75"/>
        <v>1</v>
      </c>
      <c r="F1390" s="157" t="str">
        <f t="shared" si="76"/>
        <v>Sunday</v>
      </c>
      <c r="H1390" s="165">
        <v>5</v>
      </c>
      <c r="I1390" s="157">
        <f t="shared" si="77"/>
        <v>5</v>
      </c>
      <c r="J1390" s="157">
        <f t="shared" si="78"/>
        <v>23</v>
      </c>
      <c r="K1390" t="s">
        <v>1780</v>
      </c>
    </row>
    <row r="1391" spans="1:11" ht="15" customHeight="1" x14ac:dyDescent="0.2">
      <c r="A1391" s="157">
        <v>1390</v>
      </c>
      <c r="B1391" s="163">
        <v>46181</v>
      </c>
      <c r="C1391" s="157">
        <f t="shared" si="74"/>
        <v>0</v>
      </c>
      <c r="D1391" s="157">
        <v>0</v>
      </c>
      <c r="E1391" s="157">
        <f t="shared" si="75"/>
        <v>0</v>
      </c>
      <c r="F1391" s="157" t="str">
        <f t="shared" si="76"/>
        <v>Monday</v>
      </c>
      <c r="H1391" s="165">
        <v>5</v>
      </c>
      <c r="I1391" s="157">
        <f t="shared" si="77"/>
        <v>6</v>
      </c>
      <c r="J1391" s="157">
        <f t="shared" si="78"/>
        <v>24</v>
      </c>
      <c r="K1391" t="s">
        <v>1780</v>
      </c>
    </row>
    <row r="1392" spans="1:11" ht="15" customHeight="1" x14ac:dyDescent="0.2">
      <c r="A1392" s="157">
        <v>1391</v>
      </c>
      <c r="B1392" s="163">
        <v>46182</v>
      </c>
      <c r="C1392" s="157">
        <f t="shared" si="74"/>
        <v>0</v>
      </c>
      <c r="D1392" s="157">
        <v>0</v>
      </c>
      <c r="E1392" s="157">
        <f t="shared" si="75"/>
        <v>0</v>
      </c>
      <c r="F1392" s="157" t="str">
        <f t="shared" si="76"/>
        <v>Tuesday</v>
      </c>
      <c r="H1392" s="165">
        <v>5</v>
      </c>
      <c r="I1392" s="157">
        <f t="shared" si="77"/>
        <v>6</v>
      </c>
      <c r="J1392" s="157">
        <f t="shared" si="78"/>
        <v>24</v>
      </c>
      <c r="K1392" t="s">
        <v>1780</v>
      </c>
    </row>
    <row r="1393" spans="1:11" ht="15" customHeight="1" x14ac:dyDescent="0.2">
      <c r="A1393" s="157">
        <v>1392</v>
      </c>
      <c r="B1393" s="163">
        <v>46183</v>
      </c>
      <c r="C1393" s="157">
        <f t="shared" si="74"/>
        <v>0</v>
      </c>
      <c r="D1393" s="157">
        <v>0</v>
      </c>
      <c r="E1393" s="157">
        <f t="shared" si="75"/>
        <v>0</v>
      </c>
      <c r="F1393" s="157" t="str">
        <f t="shared" si="76"/>
        <v>Wednesday</v>
      </c>
      <c r="H1393" s="165">
        <v>5</v>
      </c>
      <c r="I1393" s="157">
        <f t="shared" si="77"/>
        <v>6</v>
      </c>
      <c r="J1393" s="157">
        <f t="shared" si="78"/>
        <v>24</v>
      </c>
      <c r="K1393" t="s">
        <v>1780</v>
      </c>
    </row>
    <row r="1394" spans="1:11" ht="15" customHeight="1" x14ac:dyDescent="0.2">
      <c r="A1394" s="157">
        <v>1393</v>
      </c>
      <c r="B1394" s="163">
        <v>46184</v>
      </c>
      <c r="C1394" s="157">
        <f t="shared" si="74"/>
        <v>0</v>
      </c>
      <c r="D1394" s="157">
        <v>0</v>
      </c>
      <c r="E1394" s="157">
        <f t="shared" si="75"/>
        <v>0</v>
      </c>
      <c r="F1394" s="157" t="str">
        <f t="shared" si="76"/>
        <v>Thursday</v>
      </c>
      <c r="H1394" s="165">
        <v>5</v>
      </c>
      <c r="I1394" s="157">
        <f t="shared" si="77"/>
        <v>6</v>
      </c>
      <c r="J1394" s="157">
        <f t="shared" si="78"/>
        <v>24</v>
      </c>
      <c r="K1394" t="s">
        <v>1780</v>
      </c>
    </row>
    <row r="1395" spans="1:11" ht="15" customHeight="1" x14ac:dyDescent="0.2">
      <c r="A1395" s="157">
        <v>1394</v>
      </c>
      <c r="B1395" s="163">
        <v>46185</v>
      </c>
      <c r="C1395" s="157">
        <f t="shared" si="74"/>
        <v>0</v>
      </c>
      <c r="D1395" s="157">
        <v>0</v>
      </c>
      <c r="E1395" s="157">
        <f t="shared" si="75"/>
        <v>0</v>
      </c>
      <c r="F1395" s="157" t="str">
        <f t="shared" si="76"/>
        <v>Friday</v>
      </c>
      <c r="H1395" s="165">
        <v>5</v>
      </c>
      <c r="I1395" s="157">
        <f t="shared" si="77"/>
        <v>6</v>
      </c>
      <c r="J1395" s="157">
        <f t="shared" si="78"/>
        <v>24</v>
      </c>
      <c r="K1395" t="s">
        <v>1780</v>
      </c>
    </row>
    <row r="1396" spans="1:11" ht="15" customHeight="1" x14ac:dyDescent="0.2">
      <c r="A1396" s="157">
        <v>1395</v>
      </c>
      <c r="B1396" s="163">
        <v>46186</v>
      </c>
      <c r="C1396" s="157">
        <f t="shared" si="74"/>
        <v>1</v>
      </c>
      <c r="D1396" s="157">
        <v>0</v>
      </c>
      <c r="E1396" s="157">
        <f t="shared" si="75"/>
        <v>1</v>
      </c>
      <c r="F1396" s="157" t="str">
        <f t="shared" si="76"/>
        <v>Saturday</v>
      </c>
      <c r="H1396" s="165">
        <v>5</v>
      </c>
      <c r="I1396" s="157">
        <f t="shared" si="77"/>
        <v>6</v>
      </c>
      <c r="J1396" s="157">
        <f t="shared" si="78"/>
        <v>24</v>
      </c>
      <c r="K1396" t="s">
        <v>1780</v>
      </c>
    </row>
    <row r="1397" spans="1:11" ht="15" customHeight="1" x14ac:dyDescent="0.2">
      <c r="A1397" s="157">
        <v>1396</v>
      </c>
      <c r="B1397" s="163">
        <v>46187</v>
      </c>
      <c r="C1397" s="157">
        <f t="shared" si="74"/>
        <v>1</v>
      </c>
      <c r="D1397" s="157">
        <v>0</v>
      </c>
      <c r="E1397" s="157">
        <f t="shared" si="75"/>
        <v>1</v>
      </c>
      <c r="F1397" s="157" t="str">
        <f t="shared" si="76"/>
        <v>Sunday</v>
      </c>
      <c r="H1397" s="165">
        <v>5</v>
      </c>
      <c r="I1397" s="157">
        <f t="shared" si="77"/>
        <v>6</v>
      </c>
      <c r="J1397" s="157">
        <f t="shared" si="78"/>
        <v>24</v>
      </c>
      <c r="K1397" t="s">
        <v>1780</v>
      </c>
    </row>
    <row r="1398" spans="1:11" ht="15" customHeight="1" x14ac:dyDescent="0.2">
      <c r="A1398" s="157">
        <v>1397</v>
      </c>
      <c r="B1398" s="163">
        <v>46188</v>
      </c>
      <c r="C1398" s="157">
        <f t="shared" si="74"/>
        <v>0</v>
      </c>
      <c r="D1398" s="157">
        <v>0</v>
      </c>
      <c r="E1398" s="157">
        <f t="shared" si="75"/>
        <v>0</v>
      </c>
      <c r="F1398" s="157" t="str">
        <f t="shared" si="76"/>
        <v>Monday</v>
      </c>
      <c r="H1398" s="165">
        <v>5</v>
      </c>
      <c r="I1398" s="157">
        <f t="shared" si="77"/>
        <v>7</v>
      </c>
      <c r="J1398" s="157">
        <f t="shared" si="78"/>
        <v>25</v>
      </c>
      <c r="K1398" t="s">
        <v>1780</v>
      </c>
    </row>
    <row r="1399" spans="1:11" ht="15" customHeight="1" x14ac:dyDescent="0.2">
      <c r="A1399" s="157">
        <v>1398</v>
      </c>
      <c r="B1399" s="163">
        <v>46189</v>
      </c>
      <c r="C1399" s="157">
        <f t="shared" si="74"/>
        <v>0</v>
      </c>
      <c r="D1399" s="157">
        <v>0</v>
      </c>
      <c r="E1399" s="157">
        <f t="shared" si="75"/>
        <v>0</v>
      </c>
      <c r="F1399" s="157" t="str">
        <f t="shared" si="76"/>
        <v>Tuesday</v>
      </c>
      <c r="H1399" s="165">
        <v>5</v>
      </c>
      <c r="I1399" s="157">
        <f t="shared" si="77"/>
        <v>7</v>
      </c>
      <c r="J1399" s="157">
        <f t="shared" si="78"/>
        <v>25</v>
      </c>
      <c r="K1399" t="s">
        <v>1780</v>
      </c>
    </row>
    <row r="1400" spans="1:11" ht="15" customHeight="1" x14ac:dyDescent="0.2">
      <c r="A1400" s="157">
        <v>1399</v>
      </c>
      <c r="B1400" s="163">
        <v>46190</v>
      </c>
      <c r="C1400" s="157">
        <f t="shared" si="74"/>
        <v>0</v>
      </c>
      <c r="D1400" s="157">
        <v>0</v>
      </c>
      <c r="E1400" s="157">
        <f t="shared" si="75"/>
        <v>0</v>
      </c>
      <c r="F1400" s="157" t="str">
        <f t="shared" si="76"/>
        <v>Wednesday</v>
      </c>
      <c r="H1400" s="165">
        <v>5</v>
      </c>
      <c r="I1400" s="157">
        <f t="shared" si="77"/>
        <v>7</v>
      </c>
      <c r="J1400" s="157">
        <f t="shared" si="78"/>
        <v>25</v>
      </c>
      <c r="K1400" t="s">
        <v>1780</v>
      </c>
    </row>
    <row r="1401" spans="1:11" ht="15" customHeight="1" x14ac:dyDescent="0.2">
      <c r="A1401" s="157">
        <v>1400</v>
      </c>
      <c r="B1401" s="163">
        <v>46191</v>
      </c>
      <c r="C1401" s="157">
        <f t="shared" si="74"/>
        <v>0</v>
      </c>
      <c r="D1401" s="157">
        <v>0</v>
      </c>
      <c r="E1401" s="157">
        <f t="shared" si="75"/>
        <v>0</v>
      </c>
      <c r="F1401" s="157" t="str">
        <f t="shared" si="76"/>
        <v>Thursday</v>
      </c>
      <c r="H1401" s="165">
        <v>5</v>
      </c>
      <c r="I1401" s="157">
        <f t="shared" si="77"/>
        <v>7</v>
      </c>
      <c r="J1401" s="157">
        <f t="shared" si="78"/>
        <v>25</v>
      </c>
      <c r="K1401" t="s">
        <v>1780</v>
      </c>
    </row>
    <row r="1402" spans="1:11" ht="15" customHeight="1" x14ac:dyDescent="0.2">
      <c r="A1402" s="157">
        <v>1401</v>
      </c>
      <c r="B1402" s="163">
        <v>46192</v>
      </c>
      <c r="C1402" s="157">
        <f t="shared" si="74"/>
        <v>0</v>
      </c>
      <c r="D1402" s="157">
        <v>0</v>
      </c>
      <c r="E1402" s="157">
        <f t="shared" si="75"/>
        <v>0</v>
      </c>
      <c r="F1402" s="157" t="str">
        <f t="shared" si="76"/>
        <v>Friday</v>
      </c>
      <c r="H1402" s="165">
        <v>5</v>
      </c>
      <c r="I1402" s="157">
        <f t="shared" si="77"/>
        <v>7</v>
      </c>
      <c r="J1402" s="157">
        <f t="shared" si="78"/>
        <v>25</v>
      </c>
      <c r="K1402" t="s">
        <v>1780</v>
      </c>
    </row>
    <row r="1403" spans="1:11" ht="15" customHeight="1" x14ac:dyDescent="0.2">
      <c r="A1403" s="157">
        <v>1402</v>
      </c>
      <c r="B1403" s="163">
        <v>46193</v>
      </c>
      <c r="C1403" s="157">
        <f t="shared" si="74"/>
        <v>1</v>
      </c>
      <c r="D1403" s="157">
        <v>0</v>
      </c>
      <c r="E1403" s="157">
        <f t="shared" si="75"/>
        <v>1</v>
      </c>
      <c r="F1403" s="157" t="str">
        <f t="shared" si="76"/>
        <v>Saturday</v>
      </c>
      <c r="H1403" s="165">
        <v>5</v>
      </c>
      <c r="I1403" s="157">
        <f t="shared" si="77"/>
        <v>7</v>
      </c>
      <c r="J1403" s="157">
        <f t="shared" si="78"/>
        <v>25</v>
      </c>
      <c r="K1403" t="s">
        <v>1780</v>
      </c>
    </row>
    <row r="1404" spans="1:11" ht="15" customHeight="1" x14ac:dyDescent="0.2">
      <c r="A1404" s="157">
        <v>1403</v>
      </c>
      <c r="B1404" s="163">
        <v>46194</v>
      </c>
      <c r="C1404" s="157">
        <f t="shared" si="74"/>
        <v>1</v>
      </c>
      <c r="D1404" s="157">
        <v>0</v>
      </c>
      <c r="E1404" s="157">
        <f t="shared" si="75"/>
        <v>1</v>
      </c>
      <c r="F1404" s="157" t="str">
        <f t="shared" si="76"/>
        <v>Sunday</v>
      </c>
      <c r="H1404" s="165">
        <v>5</v>
      </c>
      <c r="I1404" s="157">
        <f t="shared" si="77"/>
        <v>7</v>
      </c>
      <c r="J1404" s="157">
        <f t="shared" si="78"/>
        <v>25</v>
      </c>
      <c r="K1404" t="s">
        <v>1780</v>
      </c>
    </row>
    <row r="1405" spans="1:11" ht="15" customHeight="1" x14ac:dyDescent="0.2">
      <c r="A1405" s="157">
        <v>1404</v>
      </c>
      <c r="B1405" s="163">
        <v>46195</v>
      </c>
      <c r="C1405" s="157">
        <f t="shared" si="74"/>
        <v>0</v>
      </c>
      <c r="D1405" s="157">
        <v>0</v>
      </c>
      <c r="E1405" s="157">
        <f t="shared" si="75"/>
        <v>0</v>
      </c>
      <c r="F1405" s="157" t="str">
        <f t="shared" si="76"/>
        <v>Monday</v>
      </c>
      <c r="H1405" s="165">
        <v>5</v>
      </c>
      <c r="I1405" s="157">
        <f t="shared" si="77"/>
        <v>8</v>
      </c>
      <c r="J1405" s="157">
        <f t="shared" si="78"/>
        <v>26</v>
      </c>
      <c r="K1405" t="s">
        <v>1780</v>
      </c>
    </row>
    <row r="1406" spans="1:11" ht="15" customHeight="1" x14ac:dyDescent="0.2">
      <c r="A1406" s="157">
        <v>1405</v>
      </c>
      <c r="B1406" s="163">
        <v>46196</v>
      </c>
      <c r="C1406" s="157">
        <f t="shared" si="74"/>
        <v>0</v>
      </c>
      <c r="D1406" s="157">
        <v>0</v>
      </c>
      <c r="E1406" s="157">
        <f t="shared" si="75"/>
        <v>0</v>
      </c>
      <c r="F1406" s="157" t="str">
        <f t="shared" si="76"/>
        <v>Tuesday</v>
      </c>
      <c r="H1406" s="165">
        <v>5</v>
      </c>
      <c r="I1406" s="157">
        <f t="shared" si="77"/>
        <v>8</v>
      </c>
      <c r="J1406" s="157">
        <f t="shared" si="78"/>
        <v>26</v>
      </c>
      <c r="K1406" t="s">
        <v>1780</v>
      </c>
    </row>
    <row r="1407" spans="1:11" ht="15" customHeight="1" x14ac:dyDescent="0.2">
      <c r="A1407" s="157">
        <v>1406</v>
      </c>
      <c r="B1407" s="163">
        <v>46197</v>
      </c>
      <c r="C1407" s="157">
        <f t="shared" si="74"/>
        <v>0</v>
      </c>
      <c r="D1407" s="157">
        <v>0</v>
      </c>
      <c r="E1407" s="157">
        <f t="shared" si="75"/>
        <v>0</v>
      </c>
      <c r="F1407" s="157" t="str">
        <f t="shared" si="76"/>
        <v>Wednesday</v>
      </c>
      <c r="H1407" s="165">
        <v>5</v>
      </c>
      <c r="I1407" s="157">
        <f t="shared" si="77"/>
        <v>8</v>
      </c>
      <c r="J1407" s="157">
        <f t="shared" si="78"/>
        <v>26</v>
      </c>
      <c r="K1407" t="s">
        <v>1780</v>
      </c>
    </row>
    <row r="1408" spans="1:11" ht="15" customHeight="1" x14ac:dyDescent="0.2">
      <c r="A1408" s="157">
        <v>1407</v>
      </c>
      <c r="B1408" s="163">
        <v>46198</v>
      </c>
      <c r="C1408" s="157">
        <f t="shared" si="74"/>
        <v>0</v>
      </c>
      <c r="D1408" s="157">
        <v>0</v>
      </c>
      <c r="E1408" s="157">
        <f t="shared" si="75"/>
        <v>0</v>
      </c>
      <c r="F1408" s="157" t="str">
        <f t="shared" si="76"/>
        <v>Thursday</v>
      </c>
      <c r="H1408" s="165">
        <v>5</v>
      </c>
      <c r="I1408" s="157">
        <f t="shared" si="77"/>
        <v>8</v>
      </c>
      <c r="J1408" s="157">
        <f t="shared" si="78"/>
        <v>26</v>
      </c>
      <c r="K1408" t="s">
        <v>1780</v>
      </c>
    </row>
    <row r="1409" spans="1:11" ht="15" customHeight="1" x14ac:dyDescent="0.2">
      <c r="A1409" s="157">
        <v>1408</v>
      </c>
      <c r="B1409" s="163">
        <v>46199</v>
      </c>
      <c r="C1409" s="157">
        <f t="shared" si="74"/>
        <v>0</v>
      </c>
      <c r="D1409" s="157">
        <v>0</v>
      </c>
      <c r="E1409" s="157">
        <f t="shared" si="75"/>
        <v>0</v>
      </c>
      <c r="F1409" s="157" t="str">
        <f t="shared" si="76"/>
        <v>Friday</v>
      </c>
      <c r="H1409" s="165">
        <v>5</v>
      </c>
      <c r="I1409" s="157">
        <f t="shared" si="77"/>
        <v>8</v>
      </c>
      <c r="J1409" s="157">
        <f t="shared" si="78"/>
        <v>26</v>
      </c>
      <c r="K1409" t="s">
        <v>1780</v>
      </c>
    </row>
    <row r="1410" spans="1:11" ht="15" customHeight="1" x14ac:dyDescent="0.2">
      <c r="A1410" s="157">
        <v>1409</v>
      </c>
      <c r="B1410" s="163">
        <v>46200</v>
      </c>
      <c r="C1410" s="157">
        <f t="shared" si="74"/>
        <v>1</v>
      </c>
      <c r="D1410" s="157">
        <v>0</v>
      </c>
      <c r="E1410" s="157">
        <f t="shared" si="75"/>
        <v>1</v>
      </c>
      <c r="F1410" s="157" t="str">
        <f t="shared" si="76"/>
        <v>Saturday</v>
      </c>
      <c r="H1410" s="165">
        <v>5</v>
      </c>
      <c r="I1410" s="157">
        <f t="shared" si="77"/>
        <v>8</v>
      </c>
      <c r="J1410" s="157">
        <f t="shared" si="78"/>
        <v>26</v>
      </c>
      <c r="K1410" t="s">
        <v>1780</v>
      </c>
    </row>
    <row r="1411" spans="1:11" ht="15" customHeight="1" x14ac:dyDescent="0.2">
      <c r="A1411" s="157">
        <v>1410</v>
      </c>
      <c r="B1411" s="163">
        <v>46201</v>
      </c>
      <c r="C1411" s="157">
        <f t="shared" si="74"/>
        <v>1</v>
      </c>
      <c r="D1411" s="157">
        <v>0</v>
      </c>
      <c r="E1411" s="157">
        <f t="shared" si="75"/>
        <v>1</v>
      </c>
      <c r="F1411" s="157" t="str">
        <f t="shared" si="76"/>
        <v>Sunday</v>
      </c>
      <c r="H1411" s="165">
        <v>5</v>
      </c>
      <c r="I1411" s="157">
        <f t="shared" si="77"/>
        <v>8</v>
      </c>
      <c r="J1411" s="157">
        <f t="shared" si="78"/>
        <v>26</v>
      </c>
      <c r="K1411" t="s">
        <v>1780</v>
      </c>
    </row>
    <row r="1412" spans="1:11" ht="15" customHeight="1" x14ac:dyDescent="0.2">
      <c r="A1412" s="157">
        <v>1411</v>
      </c>
      <c r="B1412" s="163">
        <v>46202</v>
      </c>
      <c r="C1412" s="157">
        <f t="shared" si="74"/>
        <v>0</v>
      </c>
      <c r="D1412" s="157">
        <v>0</v>
      </c>
      <c r="E1412" s="157">
        <f t="shared" si="75"/>
        <v>0</v>
      </c>
      <c r="F1412" s="157" t="str">
        <f t="shared" si="76"/>
        <v>Monday</v>
      </c>
      <c r="H1412" s="165">
        <v>5</v>
      </c>
      <c r="I1412" s="157">
        <f t="shared" si="77"/>
        <v>9</v>
      </c>
      <c r="J1412" s="157">
        <f t="shared" si="78"/>
        <v>27</v>
      </c>
      <c r="K1412" t="s">
        <v>1780</v>
      </c>
    </row>
    <row r="1413" spans="1:11" ht="15" customHeight="1" x14ac:dyDescent="0.2">
      <c r="A1413" s="157">
        <v>1412</v>
      </c>
      <c r="B1413" s="163">
        <v>46203</v>
      </c>
      <c r="C1413" s="157">
        <f t="shared" si="74"/>
        <v>0</v>
      </c>
      <c r="D1413" s="157">
        <v>0</v>
      </c>
      <c r="E1413" s="157">
        <f t="shared" si="75"/>
        <v>0</v>
      </c>
      <c r="F1413" s="157" t="str">
        <f t="shared" si="76"/>
        <v>Tuesday</v>
      </c>
      <c r="H1413" s="165">
        <v>5</v>
      </c>
      <c r="I1413" s="157">
        <f t="shared" si="77"/>
        <v>9</v>
      </c>
      <c r="J1413" s="157">
        <f t="shared" si="78"/>
        <v>27</v>
      </c>
      <c r="K1413" t="s">
        <v>1780</v>
      </c>
    </row>
    <row r="1414" spans="1:11" ht="15" customHeight="1" x14ac:dyDescent="0.2">
      <c r="A1414" s="157">
        <v>1413</v>
      </c>
      <c r="B1414" s="163">
        <v>46204</v>
      </c>
      <c r="C1414" s="157">
        <f t="shared" si="74"/>
        <v>0</v>
      </c>
      <c r="D1414" s="157">
        <v>0</v>
      </c>
      <c r="E1414" s="157">
        <f t="shared" si="75"/>
        <v>0</v>
      </c>
      <c r="F1414" s="157" t="str">
        <f t="shared" si="76"/>
        <v>Wednesday</v>
      </c>
      <c r="H1414" s="165">
        <v>5</v>
      </c>
      <c r="I1414" s="157">
        <f t="shared" si="77"/>
        <v>9</v>
      </c>
      <c r="J1414" s="157">
        <f t="shared" si="78"/>
        <v>27</v>
      </c>
      <c r="K1414" t="s">
        <v>1780</v>
      </c>
    </row>
    <row r="1415" spans="1:11" ht="15" customHeight="1" x14ac:dyDescent="0.2">
      <c r="A1415" s="157">
        <v>1414</v>
      </c>
      <c r="B1415" s="163">
        <v>46205</v>
      </c>
      <c r="C1415" s="157">
        <f t="shared" si="74"/>
        <v>0</v>
      </c>
      <c r="D1415" s="157">
        <v>0</v>
      </c>
      <c r="E1415" s="157">
        <f t="shared" si="75"/>
        <v>0</v>
      </c>
      <c r="F1415" s="157" t="str">
        <f t="shared" si="76"/>
        <v>Thursday</v>
      </c>
      <c r="H1415" s="165">
        <v>5</v>
      </c>
      <c r="I1415" s="157">
        <f t="shared" si="77"/>
        <v>9</v>
      </c>
      <c r="J1415" s="157">
        <f t="shared" si="78"/>
        <v>27</v>
      </c>
      <c r="K1415" t="s">
        <v>1780</v>
      </c>
    </row>
    <row r="1416" spans="1:11" ht="15" customHeight="1" x14ac:dyDescent="0.2">
      <c r="A1416" s="157">
        <v>1415</v>
      </c>
      <c r="B1416" s="163">
        <v>46206</v>
      </c>
      <c r="C1416" s="157">
        <f t="shared" si="74"/>
        <v>0</v>
      </c>
      <c r="D1416" s="157">
        <v>0</v>
      </c>
      <c r="E1416" s="157">
        <f t="shared" si="75"/>
        <v>0</v>
      </c>
      <c r="F1416" s="157" t="str">
        <f t="shared" si="76"/>
        <v>Friday</v>
      </c>
      <c r="H1416" s="165">
        <v>5</v>
      </c>
      <c r="I1416" s="157">
        <f t="shared" si="77"/>
        <v>9</v>
      </c>
      <c r="J1416" s="157">
        <f t="shared" si="78"/>
        <v>27</v>
      </c>
      <c r="K1416" t="s">
        <v>1780</v>
      </c>
    </row>
    <row r="1417" spans="1:11" ht="15" customHeight="1" x14ac:dyDescent="0.2">
      <c r="A1417" s="157">
        <v>1416</v>
      </c>
      <c r="B1417" s="163">
        <v>46207</v>
      </c>
      <c r="C1417" s="157">
        <f t="shared" si="74"/>
        <v>1</v>
      </c>
      <c r="D1417" s="157">
        <v>0</v>
      </c>
      <c r="E1417" s="157">
        <f t="shared" si="75"/>
        <v>1</v>
      </c>
      <c r="F1417" s="157" t="str">
        <f t="shared" si="76"/>
        <v>Saturday</v>
      </c>
      <c r="H1417" s="165">
        <v>5</v>
      </c>
      <c r="I1417" s="157">
        <f t="shared" si="77"/>
        <v>9</v>
      </c>
      <c r="J1417" s="157">
        <f t="shared" si="78"/>
        <v>27</v>
      </c>
      <c r="K1417" t="s">
        <v>1780</v>
      </c>
    </row>
    <row r="1418" spans="1:11" ht="15" customHeight="1" x14ac:dyDescent="0.2">
      <c r="A1418" s="157">
        <v>1417</v>
      </c>
      <c r="B1418" s="163">
        <v>46208</v>
      </c>
      <c r="C1418" s="157">
        <f t="shared" si="74"/>
        <v>1</v>
      </c>
      <c r="D1418" s="157">
        <v>0</v>
      </c>
      <c r="E1418" s="157">
        <f t="shared" si="75"/>
        <v>1</v>
      </c>
      <c r="F1418" s="157" t="str">
        <f t="shared" si="76"/>
        <v>Sunday</v>
      </c>
      <c r="H1418" s="165">
        <v>5</v>
      </c>
      <c r="I1418" s="157">
        <f t="shared" si="77"/>
        <v>9</v>
      </c>
      <c r="J1418" s="157">
        <f t="shared" si="78"/>
        <v>27</v>
      </c>
      <c r="K1418" t="s">
        <v>1780</v>
      </c>
    </row>
    <row r="1419" spans="1:11" ht="15" customHeight="1" x14ac:dyDescent="0.2">
      <c r="A1419" s="157">
        <v>1418</v>
      </c>
      <c r="B1419" s="163">
        <v>46209</v>
      </c>
      <c r="C1419" s="157">
        <f t="shared" si="74"/>
        <v>0</v>
      </c>
      <c r="D1419" s="157">
        <v>0</v>
      </c>
      <c r="E1419" s="157">
        <f t="shared" si="75"/>
        <v>0</v>
      </c>
      <c r="F1419" s="157" t="str">
        <f t="shared" si="76"/>
        <v>Monday</v>
      </c>
      <c r="H1419" s="165">
        <v>5</v>
      </c>
      <c r="I1419" s="157">
        <f t="shared" si="77"/>
        <v>10</v>
      </c>
      <c r="J1419" s="157">
        <f t="shared" si="78"/>
        <v>28</v>
      </c>
      <c r="K1419" t="s">
        <v>1780</v>
      </c>
    </row>
    <row r="1420" spans="1:11" ht="15" customHeight="1" x14ac:dyDescent="0.2">
      <c r="A1420" s="157">
        <v>1419</v>
      </c>
      <c r="B1420" s="163">
        <v>46210</v>
      </c>
      <c r="C1420" s="157">
        <f t="shared" si="74"/>
        <v>0</v>
      </c>
      <c r="D1420" s="157">
        <v>0</v>
      </c>
      <c r="E1420" s="157">
        <f t="shared" si="75"/>
        <v>0</v>
      </c>
      <c r="F1420" s="157" t="str">
        <f t="shared" si="76"/>
        <v>Tuesday</v>
      </c>
      <c r="H1420" s="165">
        <v>5</v>
      </c>
      <c r="I1420" s="157">
        <f t="shared" si="77"/>
        <v>10</v>
      </c>
      <c r="J1420" s="157">
        <f t="shared" si="78"/>
        <v>28</v>
      </c>
      <c r="K1420" t="s">
        <v>1780</v>
      </c>
    </row>
    <row r="1421" spans="1:11" ht="15" customHeight="1" x14ac:dyDescent="0.2">
      <c r="A1421" s="157">
        <v>1420</v>
      </c>
      <c r="B1421" s="163">
        <v>46211</v>
      </c>
      <c r="C1421" s="157">
        <f t="shared" si="74"/>
        <v>0</v>
      </c>
      <c r="D1421" s="157">
        <v>0</v>
      </c>
      <c r="E1421" s="157">
        <f t="shared" si="75"/>
        <v>0</v>
      </c>
      <c r="F1421" s="157" t="str">
        <f t="shared" si="76"/>
        <v>Wednesday</v>
      </c>
      <c r="H1421" s="165">
        <v>5</v>
      </c>
      <c r="I1421" s="157">
        <f t="shared" si="77"/>
        <v>10</v>
      </c>
      <c r="J1421" s="157">
        <f t="shared" si="78"/>
        <v>28</v>
      </c>
      <c r="K1421" t="s">
        <v>1780</v>
      </c>
    </row>
    <row r="1422" spans="1:11" ht="15" customHeight="1" x14ac:dyDescent="0.2">
      <c r="A1422" s="157">
        <v>1421</v>
      </c>
      <c r="B1422" s="163">
        <v>46212</v>
      </c>
      <c r="C1422" s="157">
        <f t="shared" si="74"/>
        <v>0</v>
      </c>
      <c r="D1422" s="157">
        <v>0</v>
      </c>
      <c r="E1422" s="157">
        <f t="shared" si="75"/>
        <v>0</v>
      </c>
      <c r="F1422" s="157" t="str">
        <f t="shared" si="76"/>
        <v>Thursday</v>
      </c>
      <c r="H1422" s="165">
        <v>5</v>
      </c>
      <c r="I1422" s="157">
        <f t="shared" si="77"/>
        <v>10</v>
      </c>
      <c r="J1422" s="157">
        <f t="shared" si="78"/>
        <v>28</v>
      </c>
      <c r="K1422" t="s">
        <v>1780</v>
      </c>
    </row>
    <row r="1423" spans="1:11" ht="15" customHeight="1" x14ac:dyDescent="0.2">
      <c r="A1423" s="157">
        <v>1422</v>
      </c>
      <c r="B1423" s="163">
        <v>46213</v>
      </c>
      <c r="C1423" s="157">
        <f t="shared" si="74"/>
        <v>0</v>
      </c>
      <c r="D1423" s="157">
        <v>0</v>
      </c>
      <c r="E1423" s="157">
        <f t="shared" si="75"/>
        <v>0</v>
      </c>
      <c r="F1423" s="157" t="str">
        <f t="shared" si="76"/>
        <v>Friday</v>
      </c>
      <c r="H1423" s="165">
        <v>5</v>
      </c>
      <c r="I1423" s="157">
        <f t="shared" si="77"/>
        <v>10</v>
      </c>
      <c r="J1423" s="157">
        <f t="shared" si="78"/>
        <v>28</v>
      </c>
      <c r="K1423" t="s">
        <v>1780</v>
      </c>
    </row>
    <row r="1424" spans="1:11" ht="15" customHeight="1" x14ac:dyDescent="0.2">
      <c r="A1424" s="157">
        <v>1423</v>
      </c>
      <c r="B1424" s="163">
        <v>46214</v>
      </c>
      <c r="C1424" s="157">
        <f t="shared" si="74"/>
        <v>1</v>
      </c>
      <c r="D1424" s="157">
        <v>0</v>
      </c>
      <c r="E1424" s="157">
        <f t="shared" si="75"/>
        <v>1</v>
      </c>
      <c r="F1424" s="157" t="str">
        <f t="shared" si="76"/>
        <v>Saturday</v>
      </c>
      <c r="H1424" s="165">
        <v>5</v>
      </c>
      <c r="I1424" s="157">
        <f t="shared" si="77"/>
        <v>10</v>
      </c>
      <c r="J1424" s="157">
        <f t="shared" si="78"/>
        <v>28</v>
      </c>
      <c r="K1424" t="s">
        <v>1780</v>
      </c>
    </row>
    <row r="1425" spans="1:11" ht="15" customHeight="1" x14ac:dyDescent="0.2">
      <c r="A1425" s="157">
        <v>1424</v>
      </c>
      <c r="B1425" s="163">
        <v>46215</v>
      </c>
      <c r="C1425" s="157">
        <f t="shared" si="74"/>
        <v>1</v>
      </c>
      <c r="D1425" s="157">
        <v>0</v>
      </c>
      <c r="E1425" s="157">
        <f t="shared" si="75"/>
        <v>1</v>
      </c>
      <c r="F1425" s="157" t="str">
        <f t="shared" si="76"/>
        <v>Sunday</v>
      </c>
      <c r="H1425" s="165">
        <v>5</v>
      </c>
      <c r="I1425" s="157">
        <f t="shared" si="77"/>
        <v>10</v>
      </c>
      <c r="J1425" s="157">
        <f t="shared" si="78"/>
        <v>28</v>
      </c>
      <c r="K1425" t="s">
        <v>1780</v>
      </c>
    </row>
    <row r="1426" spans="1:11" ht="15" customHeight="1" x14ac:dyDescent="0.2">
      <c r="A1426" s="157">
        <v>1425</v>
      </c>
      <c r="B1426" s="163">
        <v>46216</v>
      </c>
      <c r="C1426" s="157">
        <f t="shared" si="74"/>
        <v>0</v>
      </c>
      <c r="D1426" s="157">
        <v>1</v>
      </c>
      <c r="E1426" s="157">
        <f t="shared" si="75"/>
        <v>1</v>
      </c>
      <c r="F1426" s="157" t="str">
        <f t="shared" si="76"/>
        <v>Monday</v>
      </c>
      <c r="H1426" s="165">
        <v>5</v>
      </c>
      <c r="I1426" s="157">
        <f t="shared" si="77"/>
        <v>11</v>
      </c>
      <c r="J1426" s="157">
        <f t="shared" si="78"/>
        <v>29</v>
      </c>
      <c r="K1426" t="s">
        <v>1780</v>
      </c>
    </row>
    <row r="1427" spans="1:11" ht="15" customHeight="1" x14ac:dyDescent="0.2">
      <c r="A1427" s="157">
        <v>1426</v>
      </c>
      <c r="B1427" s="163">
        <v>46217</v>
      </c>
      <c r="C1427" s="157">
        <f t="shared" si="74"/>
        <v>0</v>
      </c>
      <c r="D1427" s="157">
        <v>0</v>
      </c>
      <c r="E1427" s="157">
        <f t="shared" si="75"/>
        <v>0</v>
      </c>
      <c r="F1427" s="157" t="str">
        <f t="shared" si="76"/>
        <v>Tuesday</v>
      </c>
      <c r="H1427" s="165">
        <v>5</v>
      </c>
      <c r="I1427" s="157">
        <f t="shared" si="77"/>
        <v>11</v>
      </c>
      <c r="J1427" s="157">
        <f t="shared" si="78"/>
        <v>29</v>
      </c>
      <c r="K1427" t="s">
        <v>1780</v>
      </c>
    </row>
    <row r="1428" spans="1:11" ht="15" customHeight="1" x14ac:dyDescent="0.2">
      <c r="A1428" s="157">
        <v>1427</v>
      </c>
      <c r="B1428" s="163">
        <v>46218</v>
      </c>
      <c r="C1428" s="157">
        <f t="shared" si="74"/>
        <v>0</v>
      </c>
      <c r="D1428" s="157">
        <v>0</v>
      </c>
      <c r="E1428" s="157">
        <f t="shared" si="75"/>
        <v>0</v>
      </c>
      <c r="F1428" s="157" t="str">
        <f t="shared" si="76"/>
        <v>Wednesday</v>
      </c>
      <c r="H1428" s="165">
        <v>5</v>
      </c>
      <c r="I1428" s="157">
        <f t="shared" si="77"/>
        <v>11</v>
      </c>
      <c r="J1428" s="157">
        <f t="shared" si="78"/>
        <v>29</v>
      </c>
      <c r="K1428" t="s">
        <v>1780</v>
      </c>
    </row>
    <row r="1429" spans="1:11" ht="15" customHeight="1" x14ac:dyDescent="0.2">
      <c r="A1429" s="157">
        <v>1428</v>
      </c>
      <c r="B1429" s="163">
        <v>46219</v>
      </c>
      <c r="C1429" s="157">
        <f t="shared" si="74"/>
        <v>0</v>
      </c>
      <c r="D1429" s="157">
        <v>0</v>
      </c>
      <c r="E1429" s="157">
        <f t="shared" si="75"/>
        <v>0</v>
      </c>
      <c r="F1429" s="157" t="str">
        <f t="shared" si="76"/>
        <v>Thursday</v>
      </c>
      <c r="H1429" s="165">
        <v>5</v>
      </c>
      <c r="I1429" s="157">
        <f t="shared" si="77"/>
        <v>11</v>
      </c>
      <c r="J1429" s="157">
        <f t="shared" si="78"/>
        <v>29</v>
      </c>
      <c r="K1429" t="s">
        <v>1780</v>
      </c>
    </row>
    <row r="1430" spans="1:11" ht="15" customHeight="1" x14ac:dyDescent="0.2">
      <c r="A1430" s="157">
        <v>1429</v>
      </c>
      <c r="B1430" s="163">
        <v>46220</v>
      </c>
      <c r="C1430" s="157">
        <f t="shared" si="74"/>
        <v>0</v>
      </c>
      <c r="D1430" s="157">
        <v>0</v>
      </c>
      <c r="E1430" s="157">
        <f t="shared" si="75"/>
        <v>0</v>
      </c>
      <c r="F1430" s="157" t="str">
        <f t="shared" si="76"/>
        <v>Friday</v>
      </c>
      <c r="H1430" s="165">
        <v>5</v>
      </c>
      <c r="I1430" s="157">
        <f t="shared" si="77"/>
        <v>11</v>
      </c>
      <c r="J1430" s="157">
        <f t="shared" si="78"/>
        <v>29</v>
      </c>
      <c r="K1430" t="s">
        <v>1780</v>
      </c>
    </row>
    <row r="1431" spans="1:11" ht="15" customHeight="1" x14ac:dyDescent="0.2">
      <c r="A1431" s="157">
        <v>1430</v>
      </c>
      <c r="B1431" s="163">
        <v>46221</v>
      </c>
      <c r="C1431" s="157">
        <f t="shared" si="74"/>
        <v>1</v>
      </c>
      <c r="D1431" s="157">
        <v>0</v>
      </c>
      <c r="E1431" s="157">
        <f t="shared" si="75"/>
        <v>1</v>
      </c>
      <c r="F1431" s="157" t="str">
        <f t="shared" si="76"/>
        <v>Saturday</v>
      </c>
      <c r="H1431" s="165">
        <v>5</v>
      </c>
      <c r="I1431" s="157">
        <f t="shared" si="77"/>
        <v>11</v>
      </c>
      <c r="J1431" s="157">
        <f t="shared" si="78"/>
        <v>29</v>
      </c>
      <c r="K1431" t="s">
        <v>1780</v>
      </c>
    </row>
    <row r="1432" spans="1:11" ht="15" customHeight="1" x14ac:dyDescent="0.2">
      <c r="A1432" s="157">
        <v>1431</v>
      </c>
      <c r="B1432" s="163">
        <v>46222</v>
      </c>
      <c r="C1432" s="157">
        <f t="shared" si="74"/>
        <v>1</v>
      </c>
      <c r="D1432" s="157">
        <v>0</v>
      </c>
      <c r="E1432" s="157">
        <f t="shared" si="75"/>
        <v>1</v>
      </c>
      <c r="F1432" s="157" t="str">
        <f t="shared" si="76"/>
        <v>Sunday</v>
      </c>
      <c r="H1432" s="165">
        <v>5</v>
      </c>
      <c r="I1432" s="157">
        <f t="shared" si="77"/>
        <v>11</v>
      </c>
      <c r="J1432" s="157">
        <f t="shared" si="78"/>
        <v>29</v>
      </c>
      <c r="K1432" t="s">
        <v>1780</v>
      </c>
    </row>
    <row r="1433" spans="1:11" ht="15" customHeight="1" x14ac:dyDescent="0.2">
      <c r="A1433" s="157">
        <v>1432</v>
      </c>
      <c r="B1433" s="163">
        <v>46223</v>
      </c>
      <c r="C1433" s="157">
        <f t="shared" si="74"/>
        <v>0</v>
      </c>
      <c r="D1433" s="157">
        <v>0</v>
      </c>
      <c r="E1433" s="157">
        <f t="shared" si="75"/>
        <v>0</v>
      </c>
      <c r="F1433" s="157" t="str">
        <f t="shared" si="76"/>
        <v>Monday</v>
      </c>
      <c r="H1433" s="165">
        <v>5</v>
      </c>
      <c r="I1433" s="157">
        <f t="shared" si="77"/>
        <v>12</v>
      </c>
      <c r="J1433" s="157">
        <f t="shared" si="78"/>
        <v>30</v>
      </c>
      <c r="K1433" t="s">
        <v>1780</v>
      </c>
    </row>
    <row r="1434" spans="1:11" ht="15" customHeight="1" x14ac:dyDescent="0.2">
      <c r="A1434" s="157">
        <v>1433</v>
      </c>
      <c r="B1434" s="163">
        <v>46224</v>
      </c>
      <c r="C1434" s="157">
        <f t="shared" si="74"/>
        <v>0</v>
      </c>
      <c r="D1434" s="157">
        <v>0</v>
      </c>
      <c r="E1434" s="157">
        <f t="shared" si="75"/>
        <v>0</v>
      </c>
      <c r="F1434" s="157" t="str">
        <f t="shared" si="76"/>
        <v>Tuesday</v>
      </c>
      <c r="H1434" s="165">
        <v>5</v>
      </c>
      <c r="I1434" s="157">
        <f t="shared" si="77"/>
        <v>12</v>
      </c>
      <c r="J1434" s="157">
        <f t="shared" si="78"/>
        <v>30</v>
      </c>
      <c r="K1434" t="s">
        <v>1780</v>
      </c>
    </row>
    <row r="1435" spans="1:11" ht="15" customHeight="1" x14ac:dyDescent="0.2">
      <c r="A1435" s="157">
        <v>1434</v>
      </c>
      <c r="B1435" s="163">
        <v>46225</v>
      </c>
      <c r="C1435" s="157">
        <f t="shared" si="74"/>
        <v>0</v>
      </c>
      <c r="D1435" s="157">
        <v>0</v>
      </c>
      <c r="E1435" s="157">
        <f t="shared" si="75"/>
        <v>0</v>
      </c>
      <c r="F1435" s="157" t="str">
        <f t="shared" si="76"/>
        <v>Wednesday</v>
      </c>
      <c r="H1435" s="165">
        <v>5</v>
      </c>
      <c r="I1435" s="157">
        <f t="shared" si="77"/>
        <v>12</v>
      </c>
      <c r="J1435" s="157">
        <f t="shared" si="78"/>
        <v>30</v>
      </c>
      <c r="K1435" t="s">
        <v>1780</v>
      </c>
    </row>
    <row r="1436" spans="1:11" ht="15" customHeight="1" x14ac:dyDescent="0.2">
      <c r="A1436" s="157">
        <v>1435</v>
      </c>
      <c r="B1436" s="163">
        <v>46226</v>
      </c>
      <c r="C1436" s="157">
        <f t="shared" si="74"/>
        <v>0</v>
      </c>
      <c r="D1436" s="157">
        <v>0</v>
      </c>
      <c r="E1436" s="157">
        <f t="shared" si="75"/>
        <v>0</v>
      </c>
      <c r="F1436" s="157" t="str">
        <f t="shared" si="76"/>
        <v>Thursday</v>
      </c>
      <c r="H1436" s="165">
        <v>5</v>
      </c>
      <c r="I1436" s="157">
        <f t="shared" si="77"/>
        <v>12</v>
      </c>
      <c r="J1436" s="157">
        <f t="shared" si="78"/>
        <v>30</v>
      </c>
      <c r="K1436" t="s">
        <v>1780</v>
      </c>
    </row>
    <row r="1437" spans="1:11" ht="15" customHeight="1" x14ac:dyDescent="0.2">
      <c r="A1437" s="157">
        <v>1436</v>
      </c>
      <c r="B1437" s="163">
        <v>46227</v>
      </c>
      <c r="C1437" s="157">
        <f t="shared" si="74"/>
        <v>0</v>
      </c>
      <c r="D1437" s="157">
        <v>0</v>
      </c>
      <c r="E1437" s="157">
        <f t="shared" si="75"/>
        <v>0</v>
      </c>
      <c r="F1437" s="157" t="str">
        <f t="shared" si="76"/>
        <v>Friday</v>
      </c>
      <c r="H1437" s="165">
        <v>5</v>
      </c>
      <c r="I1437" s="157">
        <f t="shared" si="77"/>
        <v>12</v>
      </c>
      <c r="J1437" s="157">
        <f t="shared" si="78"/>
        <v>30</v>
      </c>
      <c r="K1437" t="s">
        <v>1780</v>
      </c>
    </row>
    <row r="1438" spans="1:11" ht="15" customHeight="1" x14ac:dyDescent="0.2">
      <c r="A1438" s="157">
        <v>1437</v>
      </c>
      <c r="B1438" s="163">
        <v>46228</v>
      </c>
      <c r="C1438" s="157">
        <f t="shared" si="74"/>
        <v>1</v>
      </c>
      <c r="D1438" s="157">
        <v>0</v>
      </c>
      <c r="E1438" s="157">
        <f t="shared" si="75"/>
        <v>1</v>
      </c>
      <c r="F1438" s="157" t="str">
        <f t="shared" si="76"/>
        <v>Saturday</v>
      </c>
      <c r="H1438" s="165">
        <v>5</v>
      </c>
      <c r="I1438" s="157">
        <f t="shared" si="77"/>
        <v>12</v>
      </c>
      <c r="J1438" s="157">
        <f t="shared" si="78"/>
        <v>30</v>
      </c>
      <c r="K1438" t="s">
        <v>1780</v>
      </c>
    </row>
    <row r="1439" spans="1:11" ht="15" customHeight="1" x14ac:dyDescent="0.2">
      <c r="A1439" s="157">
        <v>1438</v>
      </c>
      <c r="B1439" s="163">
        <v>46229</v>
      </c>
      <c r="C1439" s="157">
        <f t="shared" si="74"/>
        <v>1</v>
      </c>
      <c r="D1439" s="157">
        <v>0</v>
      </c>
      <c r="E1439" s="157">
        <f t="shared" si="75"/>
        <v>1</v>
      </c>
      <c r="F1439" s="157" t="str">
        <f t="shared" si="76"/>
        <v>Sunday</v>
      </c>
      <c r="H1439" s="165">
        <v>5</v>
      </c>
      <c r="I1439" s="157">
        <f t="shared" si="77"/>
        <v>12</v>
      </c>
      <c r="J1439" s="157">
        <f t="shared" si="78"/>
        <v>30</v>
      </c>
      <c r="K1439" t="s">
        <v>1780</v>
      </c>
    </row>
    <row r="1440" spans="1:11" ht="15" customHeight="1" x14ac:dyDescent="0.2">
      <c r="A1440" s="157">
        <v>1439</v>
      </c>
      <c r="B1440" s="163">
        <v>46230</v>
      </c>
      <c r="C1440" s="157">
        <f t="shared" si="74"/>
        <v>0</v>
      </c>
      <c r="D1440" s="157">
        <v>0</v>
      </c>
      <c r="E1440" s="157">
        <f t="shared" si="75"/>
        <v>0</v>
      </c>
      <c r="F1440" s="157" t="str">
        <f t="shared" si="76"/>
        <v>Monday</v>
      </c>
      <c r="H1440" s="165">
        <v>5</v>
      </c>
      <c r="I1440" s="157">
        <f t="shared" si="77"/>
        <v>13</v>
      </c>
      <c r="J1440" s="157">
        <f t="shared" si="78"/>
        <v>31</v>
      </c>
      <c r="K1440" t="s">
        <v>1780</v>
      </c>
    </row>
    <row r="1441" spans="1:11" ht="15" customHeight="1" x14ac:dyDescent="0.2">
      <c r="A1441" s="157">
        <v>1440</v>
      </c>
      <c r="B1441" s="163">
        <v>46231</v>
      </c>
      <c r="C1441" s="157">
        <f t="shared" si="74"/>
        <v>0</v>
      </c>
      <c r="D1441" s="157">
        <v>0</v>
      </c>
      <c r="E1441" s="157">
        <f t="shared" si="75"/>
        <v>0</v>
      </c>
      <c r="F1441" s="157" t="str">
        <f t="shared" si="76"/>
        <v>Tuesday</v>
      </c>
      <c r="H1441" s="165">
        <v>5</v>
      </c>
      <c r="I1441" s="157">
        <f t="shared" si="77"/>
        <v>13</v>
      </c>
      <c r="J1441" s="157">
        <f t="shared" si="78"/>
        <v>31</v>
      </c>
      <c r="K1441" t="s">
        <v>1780</v>
      </c>
    </row>
    <row r="1442" spans="1:11" ht="15" customHeight="1" x14ac:dyDescent="0.2">
      <c r="A1442" s="157">
        <v>1441</v>
      </c>
      <c r="B1442" s="163">
        <v>46232</v>
      </c>
      <c r="C1442" s="157">
        <f t="shared" si="74"/>
        <v>0</v>
      </c>
      <c r="D1442" s="157">
        <v>0</v>
      </c>
      <c r="E1442" s="157">
        <f t="shared" si="75"/>
        <v>0</v>
      </c>
      <c r="F1442" s="157" t="str">
        <f t="shared" si="76"/>
        <v>Wednesday</v>
      </c>
      <c r="H1442" s="165">
        <v>5</v>
      </c>
      <c r="I1442" s="157">
        <f t="shared" si="77"/>
        <v>13</v>
      </c>
      <c r="J1442" s="157">
        <f t="shared" si="78"/>
        <v>31</v>
      </c>
      <c r="K1442" t="s">
        <v>1780</v>
      </c>
    </row>
    <row r="1443" spans="1:11" ht="15" customHeight="1" x14ac:dyDescent="0.2">
      <c r="A1443" s="157">
        <v>1442</v>
      </c>
      <c r="B1443" s="163">
        <v>46233</v>
      </c>
      <c r="C1443" s="157">
        <f t="shared" si="74"/>
        <v>0</v>
      </c>
      <c r="D1443" s="157">
        <v>0</v>
      </c>
      <c r="E1443" s="157">
        <f t="shared" si="75"/>
        <v>0</v>
      </c>
      <c r="F1443" s="157" t="str">
        <f t="shared" si="76"/>
        <v>Thursday</v>
      </c>
      <c r="H1443" s="165">
        <v>5</v>
      </c>
      <c r="I1443" s="157">
        <f t="shared" si="77"/>
        <v>13</v>
      </c>
      <c r="J1443" s="157">
        <f t="shared" si="78"/>
        <v>31</v>
      </c>
      <c r="K1443" t="s">
        <v>1780</v>
      </c>
    </row>
    <row r="1444" spans="1:11" ht="15" customHeight="1" x14ac:dyDescent="0.2">
      <c r="A1444" s="157">
        <v>1443</v>
      </c>
      <c r="B1444" s="163">
        <v>46234</v>
      </c>
      <c r="C1444" s="157">
        <f t="shared" si="74"/>
        <v>0</v>
      </c>
      <c r="D1444" s="157">
        <v>0</v>
      </c>
      <c r="E1444" s="157">
        <f t="shared" si="75"/>
        <v>0</v>
      </c>
      <c r="F1444" s="157" t="str">
        <f t="shared" si="76"/>
        <v>Friday</v>
      </c>
      <c r="H1444" s="165">
        <v>5</v>
      </c>
      <c r="I1444" s="157">
        <f t="shared" si="77"/>
        <v>13</v>
      </c>
      <c r="J1444" s="157">
        <f t="shared" si="78"/>
        <v>31</v>
      </c>
      <c r="K1444" t="s">
        <v>1780</v>
      </c>
    </row>
    <row r="1445" spans="1:11" ht="15" customHeight="1" x14ac:dyDescent="0.2">
      <c r="A1445" s="157">
        <v>1444</v>
      </c>
      <c r="B1445" s="163">
        <v>46235</v>
      </c>
      <c r="C1445" s="157">
        <f t="shared" si="74"/>
        <v>1</v>
      </c>
      <c r="D1445" s="157">
        <v>0</v>
      </c>
      <c r="E1445" s="157">
        <f t="shared" si="75"/>
        <v>1</v>
      </c>
      <c r="F1445" s="157" t="str">
        <f t="shared" si="76"/>
        <v>Saturday</v>
      </c>
      <c r="H1445" s="165">
        <v>5</v>
      </c>
      <c r="I1445" s="157">
        <f t="shared" si="77"/>
        <v>13</v>
      </c>
      <c r="J1445" s="157">
        <f t="shared" si="78"/>
        <v>31</v>
      </c>
      <c r="K1445" t="s">
        <v>1780</v>
      </c>
    </row>
    <row r="1446" spans="1:11" ht="15" customHeight="1" x14ac:dyDescent="0.2">
      <c r="A1446" s="157">
        <v>1445</v>
      </c>
      <c r="B1446" s="163">
        <v>46236</v>
      </c>
      <c r="C1446" s="157">
        <f t="shared" si="74"/>
        <v>1</v>
      </c>
      <c r="D1446" s="157">
        <v>0</v>
      </c>
      <c r="E1446" s="157">
        <f t="shared" si="75"/>
        <v>1</v>
      </c>
      <c r="F1446" s="157" t="str">
        <f t="shared" si="76"/>
        <v>Sunday</v>
      </c>
      <c r="H1446" s="165">
        <v>5</v>
      </c>
      <c r="I1446" s="157">
        <f t="shared" si="77"/>
        <v>13</v>
      </c>
      <c r="J1446" s="157">
        <f t="shared" si="78"/>
        <v>31</v>
      </c>
      <c r="K1446" t="s">
        <v>1780</v>
      </c>
    </row>
    <row r="1447" spans="1:11" ht="15" customHeight="1" x14ac:dyDescent="0.2">
      <c r="A1447" s="157">
        <v>1446</v>
      </c>
      <c r="B1447" s="163">
        <v>46237</v>
      </c>
      <c r="C1447" s="157">
        <f t="shared" si="74"/>
        <v>0</v>
      </c>
      <c r="D1447" s="157">
        <v>0</v>
      </c>
      <c r="E1447" s="157">
        <f t="shared" si="75"/>
        <v>0</v>
      </c>
      <c r="F1447" s="157" t="str">
        <f t="shared" si="76"/>
        <v>Monday</v>
      </c>
      <c r="H1447" s="165">
        <v>5</v>
      </c>
      <c r="I1447" s="157">
        <f t="shared" si="77"/>
        <v>14</v>
      </c>
      <c r="J1447" s="157">
        <f t="shared" si="78"/>
        <v>32</v>
      </c>
      <c r="K1447" t="s">
        <v>1780</v>
      </c>
    </row>
    <row r="1448" spans="1:11" ht="15" customHeight="1" x14ac:dyDescent="0.2">
      <c r="A1448" s="157">
        <v>1447</v>
      </c>
      <c r="B1448" s="163">
        <v>46238</v>
      </c>
      <c r="C1448" s="157">
        <f t="shared" si="74"/>
        <v>0</v>
      </c>
      <c r="D1448" s="157">
        <v>0</v>
      </c>
      <c r="E1448" s="157">
        <f t="shared" si="75"/>
        <v>0</v>
      </c>
      <c r="F1448" s="157" t="str">
        <f t="shared" si="76"/>
        <v>Tuesday</v>
      </c>
      <c r="H1448" s="165">
        <v>5</v>
      </c>
      <c r="I1448" s="157">
        <f t="shared" si="77"/>
        <v>14</v>
      </c>
      <c r="J1448" s="157">
        <f t="shared" si="78"/>
        <v>32</v>
      </c>
      <c r="K1448" t="s">
        <v>1780</v>
      </c>
    </row>
    <row r="1449" spans="1:11" ht="15" customHeight="1" x14ac:dyDescent="0.2">
      <c r="A1449" s="157">
        <v>1448</v>
      </c>
      <c r="B1449" s="163">
        <v>46239</v>
      </c>
      <c r="C1449" s="157">
        <f t="shared" si="74"/>
        <v>0</v>
      </c>
      <c r="D1449" s="157">
        <v>0</v>
      </c>
      <c r="E1449" s="157">
        <f t="shared" si="75"/>
        <v>0</v>
      </c>
      <c r="F1449" s="157" t="str">
        <f t="shared" si="76"/>
        <v>Wednesday</v>
      </c>
      <c r="H1449" s="165">
        <v>5</v>
      </c>
      <c r="I1449" s="157">
        <f t="shared" si="77"/>
        <v>14</v>
      </c>
      <c r="J1449" s="157">
        <f t="shared" si="78"/>
        <v>32</v>
      </c>
      <c r="K1449" t="s">
        <v>1780</v>
      </c>
    </row>
    <row r="1450" spans="1:11" ht="15" customHeight="1" x14ac:dyDescent="0.2">
      <c r="A1450" s="157">
        <v>1449</v>
      </c>
      <c r="B1450" s="163">
        <v>46240</v>
      </c>
      <c r="C1450" s="157">
        <f t="shared" ref="C1450:C1513" si="79">IF(OR(WEEKDAY(B1450) = 7, WEEKDAY(B1450) = 1), 1, 0)</f>
        <v>0</v>
      </c>
      <c r="D1450" s="157">
        <v>0</v>
      </c>
      <c r="E1450" s="157">
        <f t="shared" ref="E1450:E1513" si="80">IF((C1450+D1450)&gt;0, 1, 0)</f>
        <v>0</v>
      </c>
      <c r="F1450" s="157" t="str">
        <f t="shared" ref="F1450:F1513" si="81">TEXT(B1450, "dddd")</f>
        <v>Thursday</v>
      </c>
      <c r="H1450" s="165">
        <v>5</v>
      </c>
      <c r="I1450" s="157">
        <f t="shared" ref="I1450:I1513" si="82">IF(J1450&gt;J1449, IF(H1450&lt;&gt;H1449,1, I1449+1),I1449)</f>
        <v>14</v>
      </c>
      <c r="J1450" s="157">
        <f t="shared" ref="J1450:J1513" si="83">_xlfn.ISOWEEKNUM(B1450)</f>
        <v>32</v>
      </c>
      <c r="K1450" t="s">
        <v>1780</v>
      </c>
    </row>
    <row r="1451" spans="1:11" ht="15" customHeight="1" x14ac:dyDescent="0.2">
      <c r="A1451" s="157">
        <v>1450</v>
      </c>
      <c r="B1451" s="163">
        <v>46241</v>
      </c>
      <c r="C1451" s="157">
        <f t="shared" si="79"/>
        <v>0</v>
      </c>
      <c r="D1451" s="157">
        <v>0</v>
      </c>
      <c r="E1451" s="157">
        <f t="shared" si="80"/>
        <v>0</v>
      </c>
      <c r="F1451" s="157" t="str">
        <f t="shared" si="81"/>
        <v>Friday</v>
      </c>
      <c r="H1451" s="165">
        <v>5</v>
      </c>
      <c r="I1451" s="157">
        <f t="shared" si="82"/>
        <v>14</v>
      </c>
      <c r="J1451" s="157">
        <f t="shared" si="83"/>
        <v>32</v>
      </c>
      <c r="K1451" t="s">
        <v>1780</v>
      </c>
    </row>
    <row r="1452" spans="1:11" ht="15" customHeight="1" x14ac:dyDescent="0.2">
      <c r="A1452" s="157">
        <v>1451</v>
      </c>
      <c r="B1452" s="163">
        <v>46242</v>
      </c>
      <c r="C1452" s="157">
        <f t="shared" si="79"/>
        <v>1</v>
      </c>
      <c r="D1452" s="157">
        <v>0</v>
      </c>
      <c r="E1452" s="157">
        <f t="shared" si="80"/>
        <v>1</v>
      </c>
      <c r="F1452" s="157" t="str">
        <f t="shared" si="81"/>
        <v>Saturday</v>
      </c>
      <c r="H1452" s="165">
        <v>5</v>
      </c>
      <c r="I1452" s="157">
        <f t="shared" si="82"/>
        <v>14</v>
      </c>
      <c r="J1452" s="157">
        <f t="shared" si="83"/>
        <v>32</v>
      </c>
      <c r="K1452" t="s">
        <v>1780</v>
      </c>
    </row>
    <row r="1453" spans="1:11" ht="15" customHeight="1" x14ac:dyDescent="0.2">
      <c r="A1453" s="157">
        <v>1452</v>
      </c>
      <c r="B1453" s="163">
        <v>46243</v>
      </c>
      <c r="C1453" s="157">
        <f t="shared" si="79"/>
        <v>1</v>
      </c>
      <c r="D1453" s="157">
        <v>0</v>
      </c>
      <c r="E1453" s="157">
        <f t="shared" si="80"/>
        <v>1</v>
      </c>
      <c r="F1453" s="157" t="str">
        <f t="shared" si="81"/>
        <v>Sunday</v>
      </c>
      <c r="H1453" s="165">
        <v>5</v>
      </c>
      <c r="I1453" s="157">
        <f t="shared" si="82"/>
        <v>14</v>
      </c>
      <c r="J1453" s="157">
        <f t="shared" si="83"/>
        <v>32</v>
      </c>
      <c r="K1453" t="s">
        <v>1780</v>
      </c>
    </row>
    <row r="1454" spans="1:11" ht="15" customHeight="1" x14ac:dyDescent="0.2">
      <c r="A1454" s="157">
        <v>1453</v>
      </c>
      <c r="B1454" s="163">
        <v>46244</v>
      </c>
      <c r="C1454" s="157">
        <f t="shared" si="79"/>
        <v>0</v>
      </c>
      <c r="D1454" s="157">
        <v>0</v>
      </c>
      <c r="E1454" s="157">
        <f t="shared" si="80"/>
        <v>0</v>
      </c>
      <c r="F1454" s="157" t="str">
        <f t="shared" si="81"/>
        <v>Monday</v>
      </c>
      <c r="H1454" s="165">
        <v>5</v>
      </c>
      <c r="I1454" s="157">
        <f t="shared" si="82"/>
        <v>15</v>
      </c>
      <c r="J1454" s="157">
        <f t="shared" si="83"/>
        <v>33</v>
      </c>
      <c r="K1454" t="s">
        <v>1780</v>
      </c>
    </row>
    <row r="1455" spans="1:11" ht="15" customHeight="1" x14ac:dyDescent="0.2">
      <c r="A1455" s="157">
        <v>1454</v>
      </c>
      <c r="B1455" s="163">
        <v>46245</v>
      </c>
      <c r="C1455" s="157">
        <f t="shared" si="79"/>
        <v>0</v>
      </c>
      <c r="D1455" s="157">
        <v>0</v>
      </c>
      <c r="E1455" s="157">
        <f t="shared" si="80"/>
        <v>0</v>
      </c>
      <c r="F1455" s="157" t="str">
        <f t="shared" si="81"/>
        <v>Tuesday</v>
      </c>
      <c r="H1455" s="165">
        <v>5</v>
      </c>
      <c r="I1455" s="157">
        <f t="shared" si="82"/>
        <v>15</v>
      </c>
      <c r="J1455" s="157">
        <f t="shared" si="83"/>
        <v>33</v>
      </c>
      <c r="K1455" t="s">
        <v>1780</v>
      </c>
    </row>
    <row r="1456" spans="1:11" ht="15" customHeight="1" x14ac:dyDescent="0.2">
      <c r="A1456" s="157">
        <v>1455</v>
      </c>
      <c r="B1456" s="163">
        <v>46246</v>
      </c>
      <c r="C1456" s="157">
        <f t="shared" si="79"/>
        <v>0</v>
      </c>
      <c r="D1456" s="157">
        <v>0</v>
      </c>
      <c r="E1456" s="157">
        <f t="shared" si="80"/>
        <v>0</v>
      </c>
      <c r="F1456" s="157" t="str">
        <f t="shared" si="81"/>
        <v>Wednesday</v>
      </c>
      <c r="H1456" s="165">
        <v>5</v>
      </c>
      <c r="I1456" s="157">
        <f t="shared" si="82"/>
        <v>15</v>
      </c>
      <c r="J1456" s="157">
        <f t="shared" si="83"/>
        <v>33</v>
      </c>
      <c r="K1456" t="s">
        <v>1780</v>
      </c>
    </row>
    <row r="1457" spans="1:11" ht="15" customHeight="1" x14ac:dyDescent="0.2">
      <c r="A1457" s="157">
        <v>1456</v>
      </c>
      <c r="B1457" s="163">
        <v>46247</v>
      </c>
      <c r="C1457" s="157">
        <f t="shared" si="79"/>
        <v>0</v>
      </c>
      <c r="D1457" s="157">
        <v>0</v>
      </c>
      <c r="E1457" s="157">
        <f t="shared" si="80"/>
        <v>0</v>
      </c>
      <c r="F1457" s="157" t="str">
        <f t="shared" si="81"/>
        <v>Thursday</v>
      </c>
      <c r="H1457" s="165">
        <v>5</v>
      </c>
      <c r="I1457" s="157">
        <f t="shared" si="82"/>
        <v>15</v>
      </c>
      <c r="J1457" s="157">
        <f t="shared" si="83"/>
        <v>33</v>
      </c>
      <c r="K1457" t="s">
        <v>1780</v>
      </c>
    </row>
    <row r="1458" spans="1:11" ht="15" customHeight="1" x14ac:dyDescent="0.2">
      <c r="A1458" s="157">
        <v>1457</v>
      </c>
      <c r="B1458" s="163">
        <v>46248</v>
      </c>
      <c r="C1458" s="157">
        <f t="shared" si="79"/>
        <v>0</v>
      </c>
      <c r="D1458" s="157">
        <v>0</v>
      </c>
      <c r="E1458" s="157">
        <f t="shared" si="80"/>
        <v>0</v>
      </c>
      <c r="F1458" s="157" t="str">
        <f t="shared" si="81"/>
        <v>Friday</v>
      </c>
      <c r="H1458" s="165">
        <v>5</v>
      </c>
      <c r="I1458" s="157">
        <f t="shared" si="82"/>
        <v>15</v>
      </c>
      <c r="J1458" s="157">
        <f t="shared" si="83"/>
        <v>33</v>
      </c>
      <c r="K1458" t="s">
        <v>1780</v>
      </c>
    </row>
    <row r="1459" spans="1:11" ht="15" customHeight="1" x14ac:dyDescent="0.2">
      <c r="A1459" s="157">
        <v>1458</v>
      </c>
      <c r="B1459" s="163">
        <v>46249</v>
      </c>
      <c r="C1459" s="157">
        <f t="shared" si="79"/>
        <v>1</v>
      </c>
      <c r="D1459" s="157">
        <v>0</v>
      </c>
      <c r="E1459" s="157">
        <f t="shared" si="80"/>
        <v>1</v>
      </c>
      <c r="F1459" s="157" t="str">
        <f t="shared" si="81"/>
        <v>Saturday</v>
      </c>
      <c r="H1459" s="165">
        <v>5</v>
      </c>
      <c r="I1459" s="157">
        <f t="shared" si="82"/>
        <v>15</v>
      </c>
      <c r="J1459" s="157">
        <f t="shared" si="83"/>
        <v>33</v>
      </c>
      <c r="K1459" t="s">
        <v>1780</v>
      </c>
    </row>
    <row r="1460" spans="1:11" ht="15" customHeight="1" x14ac:dyDescent="0.2">
      <c r="A1460" s="157">
        <v>1459</v>
      </c>
      <c r="B1460" s="163">
        <v>46250</v>
      </c>
      <c r="C1460" s="157">
        <f t="shared" si="79"/>
        <v>1</v>
      </c>
      <c r="D1460" s="157">
        <v>0</v>
      </c>
      <c r="E1460" s="157">
        <f t="shared" si="80"/>
        <v>1</v>
      </c>
      <c r="F1460" s="157" t="str">
        <f t="shared" si="81"/>
        <v>Sunday</v>
      </c>
      <c r="H1460" s="165">
        <v>5</v>
      </c>
      <c r="I1460" s="157">
        <f t="shared" si="82"/>
        <v>15</v>
      </c>
      <c r="J1460" s="157">
        <f t="shared" si="83"/>
        <v>33</v>
      </c>
      <c r="K1460" t="s">
        <v>1780</v>
      </c>
    </row>
    <row r="1461" spans="1:11" ht="15" customHeight="1" x14ac:dyDescent="0.2">
      <c r="A1461" s="157">
        <v>1460</v>
      </c>
      <c r="B1461" s="163">
        <v>46251</v>
      </c>
      <c r="C1461" s="157">
        <f t="shared" si="79"/>
        <v>0</v>
      </c>
      <c r="D1461" s="157">
        <v>0</v>
      </c>
      <c r="E1461" s="157">
        <f t="shared" si="80"/>
        <v>0</v>
      </c>
      <c r="F1461" s="157" t="str">
        <f t="shared" si="81"/>
        <v>Monday</v>
      </c>
      <c r="H1461" s="165">
        <v>5</v>
      </c>
      <c r="I1461" s="157">
        <f t="shared" si="82"/>
        <v>16</v>
      </c>
      <c r="J1461" s="157">
        <f t="shared" si="83"/>
        <v>34</v>
      </c>
      <c r="K1461" t="s">
        <v>1780</v>
      </c>
    </row>
    <row r="1462" spans="1:11" ht="15" customHeight="1" x14ac:dyDescent="0.2">
      <c r="A1462" s="157">
        <v>1461</v>
      </c>
      <c r="B1462" s="163">
        <v>46252</v>
      </c>
      <c r="C1462" s="157">
        <f t="shared" si="79"/>
        <v>0</v>
      </c>
      <c r="D1462" s="157">
        <v>0</v>
      </c>
      <c r="E1462" s="157">
        <f t="shared" si="80"/>
        <v>0</v>
      </c>
      <c r="F1462" s="157" t="str">
        <f t="shared" si="81"/>
        <v>Tuesday</v>
      </c>
      <c r="H1462" s="165">
        <v>5</v>
      </c>
      <c r="I1462" s="157">
        <f t="shared" si="82"/>
        <v>16</v>
      </c>
      <c r="J1462" s="157">
        <f t="shared" si="83"/>
        <v>34</v>
      </c>
      <c r="K1462" t="s">
        <v>1780</v>
      </c>
    </row>
    <row r="1463" spans="1:11" ht="15" customHeight="1" x14ac:dyDescent="0.2">
      <c r="A1463" s="157">
        <v>1462</v>
      </c>
      <c r="B1463" s="163">
        <v>46253</v>
      </c>
      <c r="C1463" s="157">
        <f t="shared" si="79"/>
        <v>0</v>
      </c>
      <c r="D1463" s="157">
        <v>0</v>
      </c>
      <c r="E1463" s="157">
        <f t="shared" si="80"/>
        <v>0</v>
      </c>
      <c r="F1463" s="157" t="str">
        <f t="shared" si="81"/>
        <v>Wednesday</v>
      </c>
      <c r="H1463" s="165">
        <v>5</v>
      </c>
      <c r="I1463" s="157">
        <f t="shared" si="82"/>
        <v>16</v>
      </c>
      <c r="J1463" s="157">
        <f t="shared" si="83"/>
        <v>34</v>
      </c>
      <c r="K1463" t="s">
        <v>1780</v>
      </c>
    </row>
    <row r="1464" spans="1:11" ht="15" customHeight="1" x14ac:dyDescent="0.2">
      <c r="A1464" s="157">
        <v>1463</v>
      </c>
      <c r="B1464" s="163">
        <v>46254</v>
      </c>
      <c r="C1464" s="157">
        <f t="shared" si="79"/>
        <v>0</v>
      </c>
      <c r="D1464" s="157">
        <v>0</v>
      </c>
      <c r="E1464" s="157">
        <f t="shared" si="80"/>
        <v>0</v>
      </c>
      <c r="F1464" s="157" t="str">
        <f t="shared" si="81"/>
        <v>Thursday</v>
      </c>
      <c r="H1464" s="165">
        <v>5</v>
      </c>
      <c r="I1464" s="157">
        <f t="shared" si="82"/>
        <v>16</v>
      </c>
      <c r="J1464" s="157">
        <f t="shared" si="83"/>
        <v>34</v>
      </c>
      <c r="K1464" t="s">
        <v>1780</v>
      </c>
    </row>
    <row r="1465" spans="1:11" ht="15" customHeight="1" x14ac:dyDescent="0.2">
      <c r="A1465" s="157">
        <v>1464</v>
      </c>
      <c r="B1465" s="163">
        <v>46255</v>
      </c>
      <c r="C1465" s="157">
        <f t="shared" si="79"/>
        <v>0</v>
      </c>
      <c r="D1465" s="157">
        <v>0</v>
      </c>
      <c r="E1465" s="157">
        <f t="shared" si="80"/>
        <v>0</v>
      </c>
      <c r="F1465" s="157" t="str">
        <f t="shared" si="81"/>
        <v>Friday</v>
      </c>
      <c r="H1465" s="165">
        <v>5</v>
      </c>
      <c r="I1465" s="157">
        <f t="shared" si="82"/>
        <v>16</v>
      </c>
      <c r="J1465" s="157">
        <f t="shared" si="83"/>
        <v>34</v>
      </c>
      <c r="K1465" t="s">
        <v>1780</v>
      </c>
    </row>
    <row r="1466" spans="1:11" ht="15" customHeight="1" x14ac:dyDescent="0.2">
      <c r="A1466" s="157">
        <v>1465</v>
      </c>
      <c r="B1466" s="163">
        <v>46256</v>
      </c>
      <c r="C1466" s="157">
        <f t="shared" si="79"/>
        <v>1</v>
      </c>
      <c r="D1466" s="157">
        <v>0</v>
      </c>
      <c r="E1466" s="157">
        <f t="shared" si="80"/>
        <v>1</v>
      </c>
      <c r="F1466" s="157" t="str">
        <f t="shared" si="81"/>
        <v>Saturday</v>
      </c>
      <c r="H1466" s="165">
        <v>5</v>
      </c>
      <c r="I1466" s="157">
        <f t="shared" si="82"/>
        <v>16</v>
      </c>
      <c r="J1466" s="157">
        <f t="shared" si="83"/>
        <v>34</v>
      </c>
      <c r="K1466" t="s">
        <v>1780</v>
      </c>
    </row>
    <row r="1467" spans="1:11" ht="15" customHeight="1" x14ac:dyDescent="0.2">
      <c r="A1467" s="157">
        <v>1466</v>
      </c>
      <c r="B1467" s="163">
        <v>46257</v>
      </c>
      <c r="C1467" s="157">
        <f t="shared" si="79"/>
        <v>1</v>
      </c>
      <c r="D1467" s="157">
        <v>0</v>
      </c>
      <c r="E1467" s="157">
        <f t="shared" si="80"/>
        <v>1</v>
      </c>
      <c r="F1467" s="157" t="str">
        <f t="shared" si="81"/>
        <v>Sunday</v>
      </c>
      <c r="H1467" s="165">
        <v>5</v>
      </c>
      <c r="I1467" s="157">
        <f t="shared" si="82"/>
        <v>16</v>
      </c>
      <c r="J1467" s="157">
        <f t="shared" si="83"/>
        <v>34</v>
      </c>
      <c r="K1467" t="s">
        <v>1780</v>
      </c>
    </row>
    <row r="1468" spans="1:11" ht="15" customHeight="1" x14ac:dyDescent="0.2">
      <c r="A1468" s="157">
        <v>1467</v>
      </c>
      <c r="B1468" s="163">
        <v>46258</v>
      </c>
      <c r="C1468" s="157">
        <f t="shared" si="79"/>
        <v>0</v>
      </c>
      <c r="D1468" s="157">
        <v>0</v>
      </c>
      <c r="E1468" s="157">
        <f t="shared" si="80"/>
        <v>0</v>
      </c>
      <c r="F1468" s="157" t="str">
        <f t="shared" si="81"/>
        <v>Monday</v>
      </c>
      <c r="H1468" s="165">
        <v>5</v>
      </c>
      <c r="I1468" s="157">
        <f t="shared" si="82"/>
        <v>17</v>
      </c>
      <c r="J1468" s="157">
        <f t="shared" si="83"/>
        <v>35</v>
      </c>
      <c r="K1468" t="s">
        <v>1780</v>
      </c>
    </row>
    <row r="1469" spans="1:11" ht="15" customHeight="1" x14ac:dyDescent="0.2">
      <c r="A1469" s="157">
        <v>1468</v>
      </c>
      <c r="B1469" s="163">
        <v>46259</v>
      </c>
      <c r="C1469" s="157">
        <f t="shared" si="79"/>
        <v>0</v>
      </c>
      <c r="D1469" s="157">
        <v>0</v>
      </c>
      <c r="E1469" s="157">
        <f t="shared" si="80"/>
        <v>0</v>
      </c>
      <c r="F1469" s="157" t="str">
        <f t="shared" si="81"/>
        <v>Tuesday</v>
      </c>
      <c r="H1469" s="165">
        <v>5</v>
      </c>
      <c r="I1469" s="157">
        <f t="shared" si="82"/>
        <v>17</v>
      </c>
      <c r="J1469" s="157">
        <f t="shared" si="83"/>
        <v>35</v>
      </c>
      <c r="K1469" t="s">
        <v>1780</v>
      </c>
    </row>
    <row r="1470" spans="1:11" ht="15" customHeight="1" x14ac:dyDescent="0.2">
      <c r="A1470" s="157">
        <v>1469</v>
      </c>
      <c r="B1470" s="163">
        <v>46260</v>
      </c>
      <c r="C1470" s="157">
        <f t="shared" si="79"/>
        <v>0</v>
      </c>
      <c r="D1470" s="157">
        <v>0</v>
      </c>
      <c r="E1470" s="157">
        <f t="shared" si="80"/>
        <v>0</v>
      </c>
      <c r="F1470" s="157" t="str">
        <f t="shared" si="81"/>
        <v>Wednesday</v>
      </c>
      <c r="H1470" s="165">
        <v>5</v>
      </c>
      <c r="I1470" s="157">
        <f t="shared" si="82"/>
        <v>17</v>
      </c>
      <c r="J1470" s="157">
        <f t="shared" si="83"/>
        <v>35</v>
      </c>
      <c r="K1470" t="s">
        <v>1780</v>
      </c>
    </row>
    <row r="1471" spans="1:11" ht="15" customHeight="1" x14ac:dyDescent="0.2">
      <c r="A1471" s="157">
        <v>1470</v>
      </c>
      <c r="B1471" s="163">
        <v>46261</v>
      </c>
      <c r="C1471" s="157">
        <f t="shared" si="79"/>
        <v>0</v>
      </c>
      <c r="D1471" s="157">
        <v>0</v>
      </c>
      <c r="E1471" s="157">
        <f t="shared" si="80"/>
        <v>0</v>
      </c>
      <c r="F1471" s="157" t="str">
        <f t="shared" si="81"/>
        <v>Thursday</v>
      </c>
      <c r="H1471" s="165">
        <v>5</v>
      </c>
      <c r="I1471" s="157">
        <f t="shared" si="82"/>
        <v>17</v>
      </c>
      <c r="J1471" s="157">
        <f t="shared" si="83"/>
        <v>35</v>
      </c>
      <c r="K1471" t="s">
        <v>1780</v>
      </c>
    </row>
    <row r="1472" spans="1:11" ht="15" customHeight="1" x14ac:dyDescent="0.2">
      <c r="A1472" s="157">
        <v>1471</v>
      </c>
      <c r="B1472" s="163">
        <v>46262</v>
      </c>
      <c r="C1472" s="157">
        <f t="shared" si="79"/>
        <v>0</v>
      </c>
      <c r="D1472" s="157">
        <v>0</v>
      </c>
      <c r="E1472" s="157">
        <f t="shared" si="80"/>
        <v>0</v>
      </c>
      <c r="F1472" s="157" t="str">
        <f t="shared" si="81"/>
        <v>Friday</v>
      </c>
      <c r="H1472" s="165">
        <v>5</v>
      </c>
      <c r="I1472" s="157">
        <f t="shared" si="82"/>
        <v>17</v>
      </c>
      <c r="J1472" s="157">
        <f t="shared" si="83"/>
        <v>35</v>
      </c>
      <c r="K1472" t="s">
        <v>1780</v>
      </c>
    </row>
    <row r="1473" spans="1:11" ht="15" customHeight="1" x14ac:dyDescent="0.2">
      <c r="A1473" s="157">
        <v>1472</v>
      </c>
      <c r="B1473" s="163">
        <v>46263</v>
      </c>
      <c r="C1473" s="157">
        <f t="shared" si="79"/>
        <v>1</v>
      </c>
      <c r="D1473" s="157">
        <v>0</v>
      </c>
      <c r="E1473" s="157">
        <f t="shared" si="80"/>
        <v>1</v>
      </c>
      <c r="F1473" s="157" t="str">
        <f t="shared" si="81"/>
        <v>Saturday</v>
      </c>
      <c r="H1473" s="165">
        <v>5</v>
      </c>
      <c r="I1473" s="157">
        <f t="shared" si="82"/>
        <v>17</v>
      </c>
      <c r="J1473" s="157">
        <f t="shared" si="83"/>
        <v>35</v>
      </c>
      <c r="K1473" t="s">
        <v>1780</v>
      </c>
    </row>
    <row r="1474" spans="1:11" ht="15" customHeight="1" x14ac:dyDescent="0.2">
      <c r="A1474" s="157">
        <v>1473</v>
      </c>
      <c r="B1474" s="163">
        <v>46264</v>
      </c>
      <c r="C1474" s="157">
        <f t="shared" si="79"/>
        <v>1</v>
      </c>
      <c r="D1474" s="157">
        <v>0</v>
      </c>
      <c r="E1474" s="157">
        <f t="shared" si="80"/>
        <v>1</v>
      </c>
      <c r="F1474" s="157" t="str">
        <f t="shared" si="81"/>
        <v>Sunday</v>
      </c>
      <c r="H1474" s="165">
        <v>5</v>
      </c>
      <c r="I1474" s="157">
        <f t="shared" si="82"/>
        <v>17</v>
      </c>
      <c r="J1474" s="157">
        <f t="shared" si="83"/>
        <v>35</v>
      </c>
      <c r="K1474" t="s">
        <v>1780</v>
      </c>
    </row>
    <row r="1475" spans="1:11" ht="15" customHeight="1" x14ac:dyDescent="0.2">
      <c r="A1475" s="157">
        <v>1474</v>
      </c>
      <c r="B1475" s="163">
        <v>46265</v>
      </c>
      <c r="C1475" s="157">
        <f t="shared" si="79"/>
        <v>0</v>
      </c>
      <c r="D1475" s="157">
        <v>0</v>
      </c>
      <c r="E1475" s="157">
        <f t="shared" si="80"/>
        <v>0</v>
      </c>
      <c r="F1475" s="157" t="str">
        <f t="shared" si="81"/>
        <v>Monday</v>
      </c>
      <c r="H1475" s="165">
        <v>1</v>
      </c>
      <c r="I1475" s="157">
        <f t="shared" si="82"/>
        <v>1</v>
      </c>
      <c r="J1475" s="157">
        <f t="shared" si="83"/>
        <v>36</v>
      </c>
      <c r="K1475" t="s">
        <v>1780</v>
      </c>
    </row>
    <row r="1476" spans="1:11" ht="15" customHeight="1" x14ac:dyDescent="0.2">
      <c r="A1476" s="157">
        <v>1475</v>
      </c>
      <c r="B1476" s="163">
        <v>46266</v>
      </c>
      <c r="C1476" s="157">
        <f t="shared" si="79"/>
        <v>0</v>
      </c>
      <c r="D1476" s="157">
        <v>0</v>
      </c>
      <c r="E1476" s="157">
        <f t="shared" si="80"/>
        <v>0</v>
      </c>
      <c r="F1476" s="157" t="str">
        <f t="shared" si="81"/>
        <v>Tuesday</v>
      </c>
      <c r="H1476" s="165">
        <v>1</v>
      </c>
      <c r="I1476" s="157">
        <f t="shared" si="82"/>
        <v>1</v>
      </c>
      <c r="J1476" s="157">
        <f t="shared" si="83"/>
        <v>36</v>
      </c>
      <c r="K1476" t="s">
        <v>1780</v>
      </c>
    </row>
    <row r="1477" spans="1:11" ht="15" customHeight="1" x14ac:dyDescent="0.2">
      <c r="A1477" s="157">
        <v>1476</v>
      </c>
      <c r="B1477" s="163">
        <v>46267</v>
      </c>
      <c r="C1477" s="157">
        <f t="shared" si="79"/>
        <v>0</v>
      </c>
      <c r="D1477" s="157">
        <v>0</v>
      </c>
      <c r="E1477" s="157">
        <f t="shared" si="80"/>
        <v>0</v>
      </c>
      <c r="F1477" s="157" t="str">
        <f t="shared" si="81"/>
        <v>Wednesday</v>
      </c>
      <c r="H1477" s="165">
        <v>1</v>
      </c>
      <c r="I1477" s="157">
        <f t="shared" si="82"/>
        <v>1</v>
      </c>
      <c r="J1477" s="157">
        <f t="shared" si="83"/>
        <v>36</v>
      </c>
      <c r="K1477" t="s">
        <v>1780</v>
      </c>
    </row>
    <row r="1478" spans="1:11" ht="15" customHeight="1" x14ac:dyDescent="0.2">
      <c r="A1478" s="157">
        <v>1477</v>
      </c>
      <c r="B1478" s="163">
        <v>46268</v>
      </c>
      <c r="C1478" s="157">
        <f t="shared" si="79"/>
        <v>0</v>
      </c>
      <c r="D1478" s="157">
        <v>0</v>
      </c>
      <c r="E1478" s="157">
        <f t="shared" si="80"/>
        <v>0</v>
      </c>
      <c r="F1478" s="157" t="str">
        <f t="shared" si="81"/>
        <v>Thursday</v>
      </c>
      <c r="H1478" s="165">
        <v>1</v>
      </c>
      <c r="I1478" s="157">
        <f t="shared" si="82"/>
        <v>1</v>
      </c>
      <c r="J1478" s="157">
        <f t="shared" si="83"/>
        <v>36</v>
      </c>
      <c r="K1478" t="s">
        <v>1780</v>
      </c>
    </row>
    <row r="1479" spans="1:11" ht="15" customHeight="1" x14ac:dyDescent="0.2">
      <c r="A1479" s="157">
        <v>1478</v>
      </c>
      <c r="B1479" s="163">
        <v>46269</v>
      </c>
      <c r="C1479" s="157">
        <f t="shared" si="79"/>
        <v>0</v>
      </c>
      <c r="D1479" s="157">
        <v>0</v>
      </c>
      <c r="E1479" s="157">
        <f t="shared" si="80"/>
        <v>0</v>
      </c>
      <c r="F1479" s="157" t="str">
        <f t="shared" si="81"/>
        <v>Friday</v>
      </c>
      <c r="H1479" s="165">
        <v>1</v>
      </c>
      <c r="I1479" s="157">
        <f t="shared" si="82"/>
        <v>1</v>
      </c>
      <c r="J1479" s="157">
        <f t="shared" si="83"/>
        <v>36</v>
      </c>
      <c r="K1479" t="s">
        <v>1780</v>
      </c>
    </row>
    <row r="1480" spans="1:11" ht="15" customHeight="1" x14ac:dyDescent="0.2">
      <c r="A1480" s="157">
        <v>1479</v>
      </c>
      <c r="B1480" s="163">
        <v>46270</v>
      </c>
      <c r="C1480" s="157">
        <f t="shared" si="79"/>
        <v>1</v>
      </c>
      <c r="D1480" s="157">
        <v>0</v>
      </c>
      <c r="E1480" s="157">
        <f t="shared" si="80"/>
        <v>1</v>
      </c>
      <c r="F1480" s="157" t="str">
        <f t="shared" si="81"/>
        <v>Saturday</v>
      </c>
      <c r="H1480" s="165">
        <v>1</v>
      </c>
      <c r="I1480" s="157">
        <f t="shared" si="82"/>
        <v>1</v>
      </c>
      <c r="J1480" s="157">
        <f t="shared" si="83"/>
        <v>36</v>
      </c>
      <c r="K1480" t="s">
        <v>1780</v>
      </c>
    </row>
    <row r="1481" spans="1:11" ht="15" customHeight="1" x14ac:dyDescent="0.2">
      <c r="A1481" s="157">
        <v>1480</v>
      </c>
      <c r="B1481" s="163">
        <v>46271</v>
      </c>
      <c r="C1481" s="157">
        <f t="shared" si="79"/>
        <v>1</v>
      </c>
      <c r="D1481" s="157">
        <v>0</v>
      </c>
      <c r="E1481" s="157">
        <f t="shared" si="80"/>
        <v>1</v>
      </c>
      <c r="F1481" s="157" t="str">
        <f t="shared" si="81"/>
        <v>Sunday</v>
      </c>
      <c r="H1481" s="165">
        <v>1</v>
      </c>
      <c r="I1481" s="157">
        <f t="shared" si="82"/>
        <v>1</v>
      </c>
      <c r="J1481" s="157">
        <f t="shared" si="83"/>
        <v>36</v>
      </c>
      <c r="K1481" t="s">
        <v>1780</v>
      </c>
    </row>
    <row r="1482" spans="1:11" ht="15" customHeight="1" x14ac:dyDescent="0.2">
      <c r="A1482" s="157">
        <v>1481</v>
      </c>
      <c r="B1482" s="163">
        <v>46272</v>
      </c>
      <c r="C1482" s="157">
        <f t="shared" si="79"/>
        <v>0</v>
      </c>
      <c r="D1482" s="157">
        <v>0</v>
      </c>
      <c r="E1482" s="157">
        <f t="shared" si="80"/>
        <v>0</v>
      </c>
      <c r="F1482" s="157" t="str">
        <f t="shared" si="81"/>
        <v>Monday</v>
      </c>
      <c r="H1482" s="165">
        <v>1</v>
      </c>
      <c r="I1482" s="157">
        <f t="shared" si="82"/>
        <v>2</v>
      </c>
      <c r="J1482" s="157">
        <f t="shared" si="83"/>
        <v>37</v>
      </c>
      <c r="K1482" t="s">
        <v>1780</v>
      </c>
    </row>
    <row r="1483" spans="1:11" ht="15" customHeight="1" x14ac:dyDescent="0.2">
      <c r="A1483" s="157">
        <v>1482</v>
      </c>
      <c r="B1483" s="163">
        <v>46273</v>
      </c>
      <c r="C1483" s="157">
        <f t="shared" si="79"/>
        <v>0</v>
      </c>
      <c r="D1483" s="157">
        <v>0</v>
      </c>
      <c r="E1483" s="157">
        <f t="shared" si="80"/>
        <v>0</v>
      </c>
      <c r="F1483" s="157" t="str">
        <f t="shared" si="81"/>
        <v>Tuesday</v>
      </c>
      <c r="H1483" s="165">
        <v>1</v>
      </c>
      <c r="I1483" s="157">
        <f t="shared" si="82"/>
        <v>2</v>
      </c>
      <c r="J1483" s="157">
        <f t="shared" si="83"/>
        <v>37</v>
      </c>
      <c r="K1483" t="s">
        <v>1780</v>
      </c>
    </row>
    <row r="1484" spans="1:11" ht="15" customHeight="1" x14ac:dyDescent="0.2">
      <c r="A1484" s="157">
        <v>1483</v>
      </c>
      <c r="B1484" s="163">
        <v>46274</v>
      </c>
      <c r="C1484" s="157">
        <f t="shared" si="79"/>
        <v>0</v>
      </c>
      <c r="D1484" s="157">
        <v>0</v>
      </c>
      <c r="E1484" s="157">
        <f t="shared" si="80"/>
        <v>0</v>
      </c>
      <c r="F1484" s="157" t="str">
        <f t="shared" si="81"/>
        <v>Wednesday</v>
      </c>
      <c r="H1484" s="165">
        <v>1</v>
      </c>
      <c r="I1484" s="157">
        <f t="shared" si="82"/>
        <v>2</v>
      </c>
      <c r="J1484" s="157">
        <f t="shared" si="83"/>
        <v>37</v>
      </c>
      <c r="K1484" t="s">
        <v>1780</v>
      </c>
    </row>
    <row r="1485" spans="1:11" ht="15" customHeight="1" x14ac:dyDescent="0.2">
      <c r="A1485" s="157">
        <v>1484</v>
      </c>
      <c r="B1485" s="163">
        <v>46275</v>
      </c>
      <c r="C1485" s="157">
        <f t="shared" si="79"/>
        <v>0</v>
      </c>
      <c r="D1485" s="157">
        <v>0</v>
      </c>
      <c r="E1485" s="157">
        <f t="shared" si="80"/>
        <v>0</v>
      </c>
      <c r="F1485" s="157" t="str">
        <f t="shared" si="81"/>
        <v>Thursday</v>
      </c>
      <c r="H1485" s="165">
        <v>1</v>
      </c>
      <c r="I1485" s="157">
        <f t="shared" si="82"/>
        <v>2</v>
      </c>
      <c r="J1485" s="157">
        <f t="shared" si="83"/>
        <v>37</v>
      </c>
      <c r="K1485" t="s">
        <v>1780</v>
      </c>
    </row>
    <row r="1486" spans="1:11" ht="15" customHeight="1" x14ac:dyDescent="0.2">
      <c r="A1486" s="157">
        <v>1485</v>
      </c>
      <c r="B1486" s="163">
        <v>46276</v>
      </c>
      <c r="C1486" s="157">
        <f t="shared" si="79"/>
        <v>0</v>
      </c>
      <c r="D1486" s="157">
        <v>0</v>
      </c>
      <c r="E1486" s="157">
        <f t="shared" si="80"/>
        <v>0</v>
      </c>
      <c r="F1486" s="157" t="str">
        <f t="shared" si="81"/>
        <v>Friday</v>
      </c>
      <c r="H1486" s="165">
        <v>1</v>
      </c>
      <c r="I1486" s="157">
        <f t="shared" si="82"/>
        <v>2</v>
      </c>
      <c r="J1486" s="157">
        <f t="shared" si="83"/>
        <v>37</v>
      </c>
      <c r="K1486" t="s">
        <v>1780</v>
      </c>
    </row>
    <row r="1487" spans="1:11" ht="15" customHeight="1" x14ac:dyDescent="0.2">
      <c r="A1487" s="157">
        <v>1486</v>
      </c>
      <c r="B1487" s="163">
        <v>46277</v>
      </c>
      <c r="C1487" s="157">
        <f t="shared" si="79"/>
        <v>1</v>
      </c>
      <c r="D1487" s="157">
        <v>0</v>
      </c>
      <c r="E1487" s="157">
        <f t="shared" si="80"/>
        <v>1</v>
      </c>
      <c r="F1487" s="157" t="str">
        <f t="shared" si="81"/>
        <v>Saturday</v>
      </c>
      <c r="H1487" s="165">
        <v>1</v>
      </c>
      <c r="I1487" s="157">
        <f t="shared" si="82"/>
        <v>2</v>
      </c>
      <c r="J1487" s="157">
        <f t="shared" si="83"/>
        <v>37</v>
      </c>
      <c r="K1487" t="s">
        <v>1780</v>
      </c>
    </row>
    <row r="1488" spans="1:11" ht="15" customHeight="1" x14ac:dyDescent="0.2">
      <c r="A1488" s="157">
        <v>1487</v>
      </c>
      <c r="B1488" s="163">
        <v>46278</v>
      </c>
      <c r="C1488" s="157">
        <f t="shared" si="79"/>
        <v>1</v>
      </c>
      <c r="D1488" s="157">
        <v>0</v>
      </c>
      <c r="E1488" s="157">
        <f t="shared" si="80"/>
        <v>1</v>
      </c>
      <c r="F1488" s="157" t="str">
        <f t="shared" si="81"/>
        <v>Sunday</v>
      </c>
      <c r="H1488" s="165">
        <v>1</v>
      </c>
      <c r="I1488" s="157">
        <f t="shared" si="82"/>
        <v>2</v>
      </c>
      <c r="J1488" s="157">
        <f t="shared" si="83"/>
        <v>37</v>
      </c>
      <c r="K1488" t="s">
        <v>1780</v>
      </c>
    </row>
    <row r="1489" spans="1:11" ht="15" customHeight="1" x14ac:dyDescent="0.2">
      <c r="A1489" s="157">
        <v>1488</v>
      </c>
      <c r="B1489" s="163">
        <v>46279</v>
      </c>
      <c r="C1489" s="157">
        <f t="shared" si="79"/>
        <v>0</v>
      </c>
      <c r="D1489" s="157">
        <v>0</v>
      </c>
      <c r="E1489" s="157">
        <f t="shared" si="80"/>
        <v>0</v>
      </c>
      <c r="F1489" s="157" t="str">
        <f t="shared" si="81"/>
        <v>Monday</v>
      </c>
      <c r="H1489" s="165">
        <v>1</v>
      </c>
      <c r="I1489" s="157">
        <f t="shared" si="82"/>
        <v>3</v>
      </c>
      <c r="J1489" s="157">
        <f t="shared" si="83"/>
        <v>38</v>
      </c>
      <c r="K1489" t="s">
        <v>1780</v>
      </c>
    </row>
    <row r="1490" spans="1:11" ht="15" customHeight="1" x14ac:dyDescent="0.2">
      <c r="A1490" s="157">
        <v>1489</v>
      </c>
      <c r="B1490" s="163">
        <v>46280</v>
      </c>
      <c r="C1490" s="157">
        <f t="shared" si="79"/>
        <v>0</v>
      </c>
      <c r="D1490" s="157">
        <v>0</v>
      </c>
      <c r="E1490" s="157">
        <f t="shared" si="80"/>
        <v>0</v>
      </c>
      <c r="F1490" s="157" t="str">
        <f t="shared" si="81"/>
        <v>Tuesday</v>
      </c>
      <c r="H1490" s="165">
        <v>1</v>
      </c>
      <c r="I1490" s="157">
        <f t="shared" si="82"/>
        <v>3</v>
      </c>
      <c r="J1490" s="157">
        <f t="shared" si="83"/>
        <v>38</v>
      </c>
      <c r="K1490" t="s">
        <v>1780</v>
      </c>
    </row>
    <row r="1491" spans="1:11" ht="15" customHeight="1" x14ac:dyDescent="0.2">
      <c r="A1491" s="157">
        <v>1490</v>
      </c>
      <c r="B1491" s="163">
        <v>46281</v>
      </c>
      <c r="C1491" s="157">
        <f t="shared" si="79"/>
        <v>0</v>
      </c>
      <c r="D1491" s="157">
        <v>0</v>
      </c>
      <c r="E1491" s="157">
        <f t="shared" si="80"/>
        <v>0</v>
      </c>
      <c r="F1491" s="157" t="str">
        <f t="shared" si="81"/>
        <v>Wednesday</v>
      </c>
      <c r="H1491" s="165">
        <v>1</v>
      </c>
      <c r="I1491" s="157">
        <f t="shared" si="82"/>
        <v>3</v>
      </c>
      <c r="J1491" s="157">
        <f t="shared" si="83"/>
        <v>38</v>
      </c>
      <c r="K1491" t="s">
        <v>1780</v>
      </c>
    </row>
    <row r="1492" spans="1:11" ht="15" customHeight="1" x14ac:dyDescent="0.2">
      <c r="A1492" s="157">
        <v>1491</v>
      </c>
      <c r="B1492" s="163">
        <v>46282</v>
      </c>
      <c r="C1492" s="157">
        <f t="shared" si="79"/>
        <v>0</v>
      </c>
      <c r="D1492" s="157">
        <v>0</v>
      </c>
      <c r="E1492" s="157">
        <f t="shared" si="80"/>
        <v>0</v>
      </c>
      <c r="F1492" s="157" t="str">
        <f t="shared" si="81"/>
        <v>Thursday</v>
      </c>
      <c r="H1492" s="165">
        <v>1</v>
      </c>
      <c r="I1492" s="157">
        <f t="shared" si="82"/>
        <v>3</v>
      </c>
      <c r="J1492" s="157">
        <f t="shared" si="83"/>
        <v>38</v>
      </c>
      <c r="K1492" t="s">
        <v>1780</v>
      </c>
    </row>
    <row r="1493" spans="1:11" ht="15" customHeight="1" x14ac:dyDescent="0.2">
      <c r="A1493" s="157">
        <v>1492</v>
      </c>
      <c r="B1493" s="163">
        <v>46283</v>
      </c>
      <c r="C1493" s="157">
        <f t="shared" si="79"/>
        <v>0</v>
      </c>
      <c r="D1493" s="157">
        <v>0</v>
      </c>
      <c r="E1493" s="157">
        <f t="shared" si="80"/>
        <v>0</v>
      </c>
      <c r="F1493" s="157" t="str">
        <f t="shared" si="81"/>
        <v>Friday</v>
      </c>
      <c r="H1493" s="165">
        <v>1</v>
      </c>
      <c r="I1493" s="157">
        <f t="shared" si="82"/>
        <v>3</v>
      </c>
      <c r="J1493" s="157">
        <f t="shared" si="83"/>
        <v>38</v>
      </c>
      <c r="K1493" t="s">
        <v>1780</v>
      </c>
    </row>
    <row r="1494" spans="1:11" ht="15" customHeight="1" x14ac:dyDescent="0.2">
      <c r="A1494" s="157">
        <v>1493</v>
      </c>
      <c r="B1494" s="163">
        <v>46284</v>
      </c>
      <c r="C1494" s="157">
        <f t="shared" si="79"/>
        <v>1</v>
      </c>
      <c r="D1494" s="157">
        <v>0</v>
      </c>
      <c r="E1494" s="157">
        <f t="shared" si="80"/>
        <v>1</v>
      </c>
      <c r="F1494" s="157" t="str">
        <f t="shared" si="81"/>
        <v>Saturday</v>
      </c>
      <c r="H1494" s="165">
        <v>1</v>
      </c>
      <c r="I1494" s="157">
        <f t="shared" si="82"/>
        <v>3</v>
      </c>
      <c r="J1494" s="157">
        <f t="shared" si="83"/>
        <v>38</v>
      </c>
      <c r="K1494" t="s">
        <v>1780</v>
      </c>
    </row>
    <row r="1495" spans="1:11" ht="15" customHeight="1" x14ac:dyDescent="0.2">
      <c r="A1495" s="157">
        <v>1494</v>
      </c>
      <c r="B1495" s="163">
        <v>46285</v>
      </c>
      <c r="C1495" s="157">
        <f t="shared" si="79"/>
        <v>1</v>
      </c>
      <c r="D1495" s="157">
        <v>0</v>
      </c>
      <c r="E1495" s="157">
        <f t="shared" si="80"/>
        <v>1</v>
      </c>
      <c r="F1495" s="157" t="str">
        <f t="shared" si="81"/>
        <v>Sunday</v>
      </c>
      <c r="H1495" s="165">
        <v>1</v>
      </c>
      <c r="I1495" s="157">
        <f t="shared" si="82"/>
        <v>3</v>
      </c>
      <c r="J1495" s="157">
        <f t="shared" si="83"/>
        <v>38</v>
      </c>
      <c r="K1495" t="s">
        <v>1780</v>
      </c>
    </row>
    <row r="1496" spans="1:11" ht="15" customHeight="1" x14ac:dyDescent="0.2">
      <c r="A1496" s="157">
        <v>1495</v>
      </c>
      <c r="B1496" s="163">
        <v>46286</v>
      </c>
      <c r="C1496" s="157">
        <f t="shared" si="79"/>
        <v>0</v>
      </c>
      <c r="D1496" s="157">
        <v>0</v>
      </c>
      <c r="E1496" s="157">
        <f t="shared" si="80"/>
        <v>0</v>
      </c>
      <c r="F1496" s="157" t="str">
        <f t="shared" si="81"/>
        <v>Monday</v>
      </c>
      <c r="H1496" s="165">
        <v>1</v>
      </c>
      <c r="I1496" s="157">
        <f t="shared" si="82"/>
        <v>4</v>
      </c>
      <c r="J1496" s="157">
        <f t="shared" si="83"/>
        <v>39</v>
      </c>
      <c r="K1496" t="s">
        <v>1780</v>
      </c>
    </row>
    <row r="1497" spans="1:11" ht="15" customHeight="1" x14ac:dyDescent="0.2">
      <c r="A1497" s="157">
        <v>1496</v>
      </c>
      <c r="B1497" s="163">
        <v>46287</v>
      </c>
      <c r="C1497" s="157">
        <f t="shared" si="79"/>
        <v>0</v>
      </c>
      <c r="D1497" s="157">
        <v>0</v>
      </c>
      <c r="E1497" s="157">
        <f t="shared" si="80"/>
        <v>0</v>
      </c>
      <c r="F1497" s="157" t="str">
        <f t="shared" si="81"/>
        <v>Tuesday</v>
      </c>
      <c r="H1497" s="165">
        <v>1</v>
      </c>
      <c r="I1497" s="157">
        <f t="shared" si="82"/>
        <v>4</v>
      </c>
      <c r="J1497" s="157">
        <f t="shared" si="83"/>
        <v>39</v>
      </c>
      <c r="K1497" t="s">
        <v>1780</v>
      </c>
    </row>
    <row r="1498" spans="1:11" ht="15" customHeight="1" x14ac:dyDescent="0.2">
      <c r="A1498" s="157">
        <v>1497</v>
      </c>
      <c r="B1498" s="163">
        <v>46288</v>
      </c>
      <c r="C1498" s="157">
        <f t="shared" si="79"/>
        <v>0</v>
      </c>
      <c r="D1498" s="157">
        <v>0</v>
      </c>
      <c r="E1498" s="157">
        <f t="shared" si="80"/>
        <v>0</v>
      </c>
      <c r="F1498" s="157" t="str">
        <f t="shared" si="81"/>
        <v>Wednesday</v>
      </c>
      <c r="H1498" s="165">
        <v>1</v>
      </c>
      <c r="I1498" s="157">
        <f t="shared" si="82"/>
        <v>4</v>
      </c>
      <c r="J1498" s="157">
        <f t="shared" si="83"/>
        <v>39</v>
      </c>
      <c r="K1498" t="s">
        <v>1780</v>
      </c>
    </row>
    <row r="1499" spans="1:11" ht="15" customHeight="1" x14ac:dyDescent="0.2">
      <c r="A1499" s="157">
        <v>1498</v>
      </c>
      <c r="B1499" s="163">
        <v>46289</v>
      </c>
      <c r="C1499" s="157">
        <f t="shared" si="79"/>
        <v>0</v>
      </c>
      <c r="D1499" s="157">
        <v>0</v>
      </c>
      <c r="E1499" s="157">
        <f t="shared" si="80"/>
        <v>0</v>
      </c>
      <c r="F1499" s="157" t="str">
        <f t="shared" si="81"/>
        <v>Thursday</v>
      </c>
      <c r="H1499" s="165">
        <v>1</v>
      </c>
      <c r="I1499" s="157">
        <f t="shared" si="82"/>
        <v>4</v>
      </c>
      <c r="J1499" s="157">
        <f t="shared" si="83"/>
        <v>39</v>
      </c>
      <c r="K1499" t="s">
        <v>1780</v>
      </c>
    </row>
    <row r="1500" spans="1:11" ht="15" customHeight="1" x14ac:dyDescent="0.2">
      <c r="A1500" s="157">
        <v>1499</v>
      </c>
      <c r="B1500" s="163">
        <v>46290</v>
      </c>
      <c r="C1500" s="157">
        <f t="shared" si="79"/>
        <v>0</v>
      </c>
      <c r="D1500" s="157">
        <v>0</v>
      </c>
      <c r="E1500" s="157">
        <f t="shared" si="80"/>
        <v>0</v>
      </c>
      <c r="F1500" s="157" t="str">
        <f t="shared" si="81"/>
        <v>Friday</v>
      </c>
      <c r="H1500" s="165">
        <v>1</v>
      </c>
      <c r="I1500" s="157">
        <f t="shared" si="82"/>
        <v>4</v>
      </c>
      <c r="J1500" s="157">
        <f t="shared" si="83"/>
        <v>39</v>
      </c>
      <c r="K1500" t="s">
        <v>1780</v>
      </c>
    </row>
    <row r="1501" spans="1:11" ht="15" customHeight="1" x14ac:dyDescent="0.2">
      <c r="A1501" s="157">
        <v>1500</v>
      </c>
      <c r="B1501" s="163">
        <v>46291</v>
      </c>
      <c r="C1501" s="157">
        <f t="shared" si="79"/>
        <v>1</v>
      </c>
      <c r="D1501" s="157">
        <v>0</v>
      </c>
      <c r="E1501" s="157">
        <f t="shared" si="80"/>
        <v>1</v>
      </c>
      <c r="F1501" s="157" t="str">
        <f t="shared" si="81"/>
        <v>Saturday</v>
      </c>
      <c r="H1501" s="165">
        <v>1</v>
      </c>
      <c r="I1501" s="157">
        <f t="shared" si="82"/>
        <v>4</v>
      </c>
      <c r="J1501" s="157">
        <f t="shared" si="83"/>
        <v>39</v>
      </c>
      <c r="K1501" t="s">
        <v>1780</v>
      </c>
    </row>
    <row r="1502" spans="1:11" ht="15" customHeight="1" x14ac:dyDescent="0.2">
      <c r="A1502" s="157">
        <v>1501</v>
      </c>
      <c r="B1502" s="163">
        <v>46292</v>
      </c>
      <c r="C1502" s="157">
        <f t="shared" si="79"/>
        <v>1</v>
      </c>
      <c r="D1502" s="157">
        <v>0</v>
      </c>
      <c r="E1502" s="157">
        <f t="shared" si="80"/>
        <v>1</v>
      </c>
      <c r="F1502" s="157" t="str">
        <f t="shared" si="81"/>
        <v>Sunday</v>
      </c>
      <c r="H1502" s="165">
        <v>1</v>
      </c>
      <c r="I1502" s="157">
        <f t="shared" si="82"/>
        <v>4</v>
      </c>
      <c r="J1502" s="157">
        <f t="shared" si="83"/>
        <v>39</v>
      </c>
      <c r="K1502" t="s">
        <v>1780</v>
      </c>
    </row>
    <row r="1503" spans="1:11" ht="15" customHeight="1" x14ac:dyDescent="0.2">
      <c r="A1503" s="157">
        <v>1502</v>
      </c>
      <c r="B1503" s="163">
        <v>46293</v>
      </c>
      <c r="C1503" s="157">
        <f t="shared" si="79"/>
        <v>0</v>
      </c>
      <c r="D1503" s="157">
        <v>0</v>
      </c>
      <c r="E1503" s="157">
        <f t="shared" si="80"/>
        <v>0</v>
      </c>
      <c r="F1503" s="157" t="str">
        <f t="shared" si="81"/>
        <v>Monday</v>
      </c>
      <c r="H1503" s="165">
        <v>1</v>
      </c>
      <c r="I1503" s="157">
        <f t="shared" si="82"/>
        <v>5</v>
      </c>
      <c r="J1503" s="157">
        <f t="shared" si="83"/>
        <v>40</v>
      </c>
      <c r="K1503" t="s">
        <v>1780</v>
      </c>
    </row>
    <row r="1504" spans="1:11" ht="15" customHeight="1" x14ac:dyDescent="0.2">
      <c r="A1504" s="157">
        <v>1503</v>
      </c>
      <c r="B1504" s="163">
        <v>46294</v>
      </c>
      <c r="C1504" s="157">
        <f t="shared" si="79"/>
        <v>0</v>
      </c>
      <c r="D1504" s="157">
        <v>0</v>
      </c>
      <c r="E1504" s="157">
        <f t="shared" si="80"/>
        <v>0</v>
      </c>
      <c r="F1504" s="157" t="str">
        <f t="shared" si="81"/>
        <v>Tuesday</v>
      </c>
      <c r="H1504" s="165">
        <v>1</v>
      </c>
      <c r="I1504" s="157">
        <f t="shared" si="82"/>
        <v>5</v>
      </c>
      <c r="J1504" s="157">
        <f t="shared" si="83"/>
        <v>40</v>
      </c>
      <c r="K1504" t="s">
        <v>1780</v>
      </c>
    </row>
    <row r="1505" spans="1:11" ht="15" customHeight="1" x14ac:dyDescent="0.2">
      <c r="A1505" s="157">
        <v>1504</v>
      </c>
      <c r="B1505" s="163">
        <v>46295</v>
      </c>
      <c r="C1505" s="157">
        <f t="shared" si="79"/>
        <v>0</v>
      </c>
      <c r="D1505" s="157">
        <v>0</v>
      </c>
      <c r="E1505" s="157">
        <f t="shared" si="80"/>
        <v>0</v>
      </c>
      <c r="F1505" s="157" t="str">
        <f t="shared" si="81"/>
        <v>Wednesday</v>
      </c>
      <c r="H1505" s="165">
        <v>1</v>
      </c>
      <c r="I1505" s="157">
        <f t="shared" si="82"/>
        <v>5</v>
      </c>
      <c r="J1505" s="157">
        <f t="shared" si="83"/>
        <v>40</v>
      </c>
      <c r="K1505" t="s">
        <v>1780</v>
      </c>
    </row>
    <row r="1506" spans="1:11" ht="15" customHeight="1" x14ac:dyDescent="0.2">
      <c r="A1506" s="157">
        <v>1505</v>
      </c>
      <c r="B1506" s="163">
        <v>46296</v>
      </c>
      <c r="C1506" s="157">
        <f t="shared" si="79"/>
        <v>0</v>
      </c>
      <c r="D1506" s="157">
        <v>0</v>
      </c>
      <c r="E1506" s="157">
        <f t="shared" si="80"/>
        <v>0</v>
      </c>
      <c r="F1506" s="157" t="str">
        <f t="shared" si="81"/>
        <v>Thursday</v>
      </c>
      <c r="H1506" s="165">
        <v>1</v>
      </c>
      <c r="I1506" s="157">
        <f t="shared" si="82"/>
        <v>5</v>
      </c>
      <c r="J1506" s="157">
        <f t="shared" si="83"/>
        <v>40</v>
      </c>
      <c r="K1506" t="s">
        <v>1780</v>
      </c>
    </row>
    <row r="1507" spans="1:11" ht="15" customHeight="1" x14ac:dyDescent="0.2">
      <c r="A1507" s="157">
        <v>1506</v>
      </c>
      <c r="B1507" s="163">
        <v>46297</v>
      </c>
      <c r="C1507" s="157">
        <f t="shared" si="79"/>
        <v>0</v>
      </c>
      <c r="D1507" s="157">
        <v>0</v>
      </c>
      <c r="E1507" s="157">
        <f t="shared" si="80"/>
        <v>0</v>
      </c>
      <c r="F1507" s="157" t="str">
        <f t="shared" si="81"/>
        <v>Friday</v>
      </c>
      <c r="H1507" s="165">
        <v>1</v>
      </c>
      <c r="I1507" s="157">
        <f t="shared" si="82"/>
        <v>5</v>
      </c>
      <c r="J1507" s="157">
        <f t="shared" si="83"/>
        <v>40</v>
      </c>
      <c r="K1507" t="s">
        <v>1780</v>
      </c>
    </row>
    <row r="1508" spans="1:11" ht="15" customHeight="1" x14ac:dyDescent="0.2">
      <c r="A1508" s="157">
        <v>1507</v>
      </c>
      <c r="B1508" s="163">
        <v>46298</v>
      </c>
      <c r="C1508" s="157">
        <f t="shared" si="79"/>
        <v>1</v>
      </c>
      <c r="D1508" s="157">
        <v>0</v>
      </c>
      <c r="E1508" s="157">
        <f t="shared" si="80"/>
        <v>1</v>
      </c>
      <c r="F1508" s="157" t="str">
        <f t="shared" si="81"/>
        <v>Saturday</v>
      </c>
      <c r="H1508" s="165">
        <v>1</v>
      </c>
      <c r="I1508" s="157">
        <f t="shared" si="82"/>
        <v>5</v>
      </c>
      <c r="J1508" s="157">
        <f t="shared" si="83"/>
        <v>40</v>
      </c>
      <c r="K1508" t="s">
        <v>1780</v>
      </c>
    </row>
    <row r="1509" spans="1:11" ht="15" customHeight="1" x14ac:dyDescent="0.2">
      <c r="A1509" s="157">
        <v>1508</v>
      </c>
      <c r="B1509" s="163">
        <v>46299</v>
      </c>
      <c r="C1509" s="157">
        <f t="shared" si="79"/>
        <v>1</v>
      </c>
      <c r="D1509" s="157">
        <v>0</v>
      </c>
      <c r="E1509" s="157">
        <f t="shared" si="80"/>
        <v>1</v>
      </c>
      <c r="F1509" s="157" t="str">
        <f t="shared" si="81"/>
        <v>Sunday</v>
      </c>
      <c r="H1509" s="165">
        <v>1</v>
      </c>
      <c r="I1509" s="157">
        <f t="shared" si="82"/>
        <v>5</v>
      </c>
      <c r="J1509" s="157">
        <f t="shared" si="83"/>
        <v>40</v>
      </c>
      <c r="K1509" t="s">
        <v>1780</v>
      </c>
    </row>
    <row r="1510" spans="1:11" ht="15" customHeight="1" x14ac:dyDescent="0.2">
      <c r="A1510" s="157">
        <v>1509</v>
      </c>
      <c r="B1510" s="163">
        <v>46300</v>
      </c>
      <c r="C1510" s="157">
        <f t="shared" si="79"/>
        <v>0</v>
      </c>
      <c r="D1510" s="157">
        <v>0</v>
      </c>
      <c r="E1510" s="157">
        <f t="shared" si="80"/>
        <v>0</v>
      </c>
      <c r="F1510" s="157" t="str">
        <f t="shared" si="81"/>
        <v>Monday</v>
      </c>
      <c r="H1510" s="165">
        <v>1</v>
      </c>
      <c r="I1510" s="157">
        <f t="shared" si="82"/>
        <v>6</v>
      </c>
      <c r="J1510" s="157">
        <f t="shared" si="83"/>
        <v>41</v>
      </c>
      <c r="K1510" t="s">
        <v>1780</v>
      </c>
    </row>
    <row r="1511" spans="1:11" ht="15" customHeight="1" x14ac:dyDescent="0.2">
      <c r="A1511" s="157">
        <v>1510</v>
      </c>
      <c r="B1511" s="163">
        <v>46301</v>
      </c>
      <c r="C1511" s="157">
        <f t="shared" si="79"/>
        <v>0</v>
      </c>
      <c r="D1511" s="157">
        <v>0</v>
      </c>
      <c r="E1511" s="157">
        <f t="shared" si="80"/>
        <v>0</v>
      </c>
      <c r="F1511" s="157" t="str">
        <f t="shared" si="81"/>
        <v>Tuesday</v>
      </c>
      <c r="H1511" s="165">
        <v>1</v>
      </c>
      <c r="I1511" s="157">
        <f t="shared" si="82"/>
        <v>6</v>
      </c>
      <c r="J1511" s="157">
        <f t="shared" si="83"/>
        <v>41</v>
      </c>
      <c r="K1511" t="s">
        <v>1780</v>
      </c>
    </row>
    <row r="1512" spans="1:11" ht="15" customHeight="1" x14ac:dyDescent="0.2">
      <c r="A1512" s="157">
        <v>1511</v>
      </c>
      <c r="B1512" s="163">
        <v>46302</v>
      </c>
      <c r="C1512" s="157">
        <f t="shared" si="79"/>
        <v>0</v>
      </c>
      <c r="D1512" s="157">
        <v>0</v>
      </c>
      <c r="E1512" s="157">
        <f t="shared" si="80"/>
        <v>0</v>
      </c>
      <c r="F1512" s="157" t="str">
        <f t="shared" si="81"/>
        <v>Wednesday</v>
      </c>
      <c r="H1512" s="165">
        <v>1</v>
      </c>
      <c r="I1512" s="157">
        <f t="shared" si="82"/>
        <v>6</v>
      </c>
      <c r="J1512" s="157">
        <f t="shared" si="83"/>
        <v>41</v>
      </c>
      <c r="K1512" t="s">
        <v>1780</v>
      </c>
    </row>
    <row r="1513" spans="1:11" ht="15" customHeight="1" x14ac:dyDescent="0.2">
      <c r="A1513" s="157">
        <v>1512</v>
      </c>
      <c r="B1513" s="163">
        <v>46303</v>
      </c>
      <c r="C1513" s="157">
        <f t="shared" si="79"/>
        <v>0</v>
      </c>
      <c r="D1513" s="157">
        <v>0</v>
      </c>
      <c r="E1513" s="157">
        <f t="shared" si="80"/>
        <v>0</v>
      </c>
      <c r="F1513" s="157" t="str">
        <f t="shared" si="81"/>
        <v>Thursday</v>
      </c>
      <c r="H1513" s="165">
        <v>1</v>
      </c>
      <c r="I1513" s="157">
        <f t="shared" si="82"/>
        <v>6</v>
      </c>
      <c r="J1513" s="157">
        <f t="shared" si="83"/>
        <v>41</v>
      </c>
      <c r="K1513" t="s">
        <v>1780</v>
      </c>
    </row>
    <row r="1514" spans="1:11" ht="15" customHeight="1" x14ac:dyDescent="0.2">
      <c r="A1514" s="157">
        <v>1513</v>
      </c>
      <c r="B1514" s="163">
        <v>46304</v>
      </c>
      <c r="C1514" s="157">
        <f t="shared" ref="C1514:C1577" si="84">IF(OR(WEEKDAY(B1514) = 7, WEEKDAY(B1514) = 1), 1, 0)</f>
        <v>0</v>
      </c>
      <c r="D1514" s="157">
        <v>0</v>
      </c>
      <c r="E1514" s="157">
        <f t="shared" ref="E1514:E1577" si="85">IF((C1514+D1514)&gt;0, 1, 0)</f>
        <v>0</v>
      </c>
      <c r="F1514" s="157" t="str">
        <f t="shared" ref="F1514:F1577" si="86">TEXT(B1514, "dddd")</f>
        <v>Friday</v>
      </c>
      <c r="H1514" s="165">
        <v>1</v>
      </c>
      <c r="I1514" s="157">
        <f t="shared" ref="I1514:I1577" si="87">IF(J1514&gt;J1513, IF(H1514&lt;&gt;H1513,1, I1513+1),I1513)</f>
        <v>6</v>
      </c>
      <c r="J1514" s="157">
        <f t="shared" ref="J1514:J1577" si="88">_xlfn.ISOWEEKNUM(B1514)</f>
        <v>41</v>
      </c>
      <c r="K1514" t="s">
        <v>1780</v>
      </c>
    </row>
    <row r="1515" spans="1:11" ht="15" customHeight="1" x14ac:dyDescent="0.2">
      <c r="A1515" s="157">
        <v>1514</v>
      </c>
      <c r="B1515" s="163">
        <v>46305</v>
      </c>
      <c r="C1515" s="157">
        <f t="shared" si="84"/>
        <v>1</v>
      </c>
      <c r="D1515" s="157">
        <v>0</v>
      </c>
      <c r="E1515" s="157">
        <f t="shared" si="85"/>
        <v>1</v>
      </c>
      <c r="F1515" s="157" t="str">
        <f t="shared" si="86"/>
        <v>Saturday</v>
      </c>
      <c r="H1515" s="165">
        <v>1</v>
      </c>
      <c r="I1515" s="157">
        <f t="shared" si="87"/>
        <v>6</v>
      </c>
      <c r="J1515" s="157">
        <f t="shared" si="88"/>
        <v>41</v>
      </c>
      <c r="K1515" t="s">
        <v>1780</v>
      </c>
    </row>
    <row r="1516" spans="1:11" ht="15" customHeight="1" x14ac:dyDescent="0.2">
      <c r="A1516" s="157">
        <v>1515</v>
      </c>
      <c r="B1516" s="163">
        <v>46306</v>
      </c>
      <c r="C1516" s="157">
        <f t="shared" si="84"/>
        <v>1</v>
      </c>
      <c r="D1516" s="157">
        <v>0</v>
      </c>
      <c r="E1516" s="157">
        <f t="shared" si="85"/>
        <v>1</v>
      </c>
      <c r="F1516" s="157" t="str">
        <f t="shared" si="86"/>
        <v>Sunday</v>
      </c>
      <c r="H1516" s="165">
        <v>1</v>
      </c>
      <c r="I1516" s="157">
        <f t="shared" si="87"/>
        <v>6</v>
      </c>
      <c r="J1516" s="157">
        <f t="shared" si="88"/>
        <v>41</v>
      </c>
      <c r="K1516" t="s">
        <v>1780</v>
      </c>
    </row>
    <row r="1517" spans="1:11" ht="15" customHeight="1" x14ac:dyDescent="0.2">
      <c r="A1517" s="157">
        <v>1516</v>
      </c>
      <c r="B1517" s="163">
        <v>46307</v>
      </c>
      <c r="C1517" s="157">
        <f t="shared" si="84"/>
        <v>0</v>
      </c>
      <c r="D1517" s="157">
        <v>0</v>
      </c>
      <c r="E1517" s="157">
        <f t="shared" si="85"/>
        <v>0</v>
      </c>
      <c r="F1517" s="157" t="str">
        <f t="shared" si="86"/>
        <v>Monday</v>
      </c>
      <c r="H1517" s="165">
        <v>1</v>
      </c>
      <c r="I1517" s="157">
        <f t="shared" si="87"/>
        <v>7</v>
      </c>
      <c r="J1517" s="157">
        <f t="shared" si="88"/>
        <v>42</v>
      </c>
      <c r="K1517" t="s">
        <v>1780</v>
      </c>
    </row>
    <row r="1518" spans="1:11" ht="15" customHeight="1" x14ac:dyDescent="0.2">
      <c r="A1518" s="157">
        <v>1517</v>
      </c>
      <c r="B1518" s="163">
        <v>46308</v>
      </c>
      <c r="C1518" s="157">
        <f t="shared" si="84"/>
        <v>0</v>
      </c>
      <c r="D1518" s="157">
        <v>0</v>
      </c>
      <c r="E1518" s="157">
        <f t="shared" si="85"/>
        <v>0</v>
      </c>
      <c r="F1518" s="157" t="str">
        <f t="shared" si="86"/>
        <v>Tuesday</v>
      </c>
      <c r="H1518" s="165">
        <v>1</v>
      </c>
      <c r="I1518" s="157">
        <f t="shared" si="87"/>
        <v>7</v>
      </c>
      <c r="J1518" s="157">
        <f t="shared" si="88"/>
        <v>42</v>
      </c>
      <c r="K1518" t="s">
        <v>1780</v>
      </c>
    </row>
    <row r="1519" spans="1:11" ht="15" customHeight="1" x14ac:dyDescent="0.2">
      <c r="A1519" s="157">
        <v>1518</v>
      </c>
      <c r="B1519" s="163">
        <v>46309</v>
      </c>
      <c r="C1519" s="157">
        <f t="shared" si="84"/>
        <v>0</v>
      </c>
      <c r="D1519" s="157">
        <v>0</v>
      </c>
      <c r="E1519" s="157">
        <f t="shared" si="85"/>
        <v>0</v>
      </c>
      <c r="F1519" s="157" t="str">
        <f t="shared" si="86"/>
        <v>Wednesday</v>
      </c>
      <c r="H1519" s="165">
        <v>1</v>
      </c>
      <c r="I1519" s="157">
        <f t="shared" si="87"/>
        <v>7</v>
      </c>
      <c r="J1519" s="157">
        <f t="shared" si="88"/>
        <v>42</v>
      </c>
      <c r="K1519" t="s">
        <v>1780</v>
      </c>
    </row>
    <row r="1520" spans="1:11" ht="15" customHeight="1" x14ac:dyDescent="0.2">
      <c r="A1520" s="157">
        <v>1519</v>
      </c>
      <c r="B1520" s="163">
        <v>46310</v>
      </c>
      <c r="C1520" s="157">
        <f t="shared" si="84"/>
        <v>0</v>
      </c>
      <c r="D1520" s="157">
        <v>0</v>
      </c>
      <c r="E1520" s="157">
        <f t="shared" si="85"/>
        <v>0</v>
      </c>
      <c r="F1520" s="157" t="str">
        <f t="shared" si="86"/>
        <v>Thursday</v>
      </c>
      <c r="H1520" s="165">
        <v>1</v>
      </c>
      <c r="I1520" s="157">
        <f t="shared" si="87"/>
        <v>7</v>
      </c>
      <c r="J1520" s="157">
        <f t="shared" si="88"/>
        <v>42</v>
      </c>
      <c r="K1520" t="s">
        <v>1780</v>
      </c>
    </row>
    <row r="1521" spans="1:11" ht="15" customHeight="1" x14ac:dyDescent="0.2">
      <c r="A1521" s="157">
        <v>1520</v>
      </c>
      <c r="B1521" s="163">
        <v>46311</v>
      </c>
      <c r="C1521" s="157">
        <f t="shared" si="84"/>
        <v>0</v>
      </c>
      <c r="D1521" s="157">
        <v>0</v>
      </c>
      <c r="E1521" s="157">
        <f t="shared" si="85"/>
        <v>0</v>
      </c>
      <c r="F1521" s="157" t="str">
        <f t="shared" si="86"/>
        <v>Friday</v>
      </c>
      <c r="H1521" s="165">
        <v>1</v>
      </c>
      <c r="I1521" s="157">
        <f t="shared" si="87"/>
        <v>7</v>
      </c>
      <c r="J1521" s="157">
        <f t="shared" si="88"/>
        <v>42</v>
      </c>
      <c r="K1521" t="s">
        <v>1780</v>
      </c>
    </row>
    <row r="1522" spans="1:11" ht="15" customHeight="1" x14ac:dyDescent="0.2">
      <c r="A1522" s="157">
        <v>1521</v>
      </c>
      <c r="B1522" s="163">
        <v>46312</v>
      </c>
      <c r="C1522" s="157">
        <f t="shared" si="84"/>
        <v>1</v>
      </c>
      <c r="D1522" s="157">
        <v>0</v>
      </c>
      <c r="E1522" s="157">
        <f t="shared" si="85"/>
        <v>1</v>
      </c>
      <c r="F1522" s="157" t="str">
        <f t="shared" si="86"/>
        <v>Saturday</v>
      </c>
      <c r="H1522" s="165">
        <v>1</v>
      </c>
      <c r="I1522" s="157">
        <f t="shared" si="87"/>
        <v>7</v>
      </c>
      <c r="J1522" s="157">
        <f t="shared" si="88"/>
        <v>42</v>
      </c>
      <c r="K1522" t="s">
        <v>1780</v>
      </c>
    </row>
    <row r="1523" spans="1:11" ht="15" customHeight="1" x14ac:dyDescent="0.2">
      <c r="A1523" s="157">
        <v>1522</v>
      </c>
      <c r="B1523" s="163">
        <v>46313</v>
      </c>
      <c r="C1523" s="157">
        <f t="shared" si="84"/>
        <v>1</v>
      </c>
      <c r="D1523" s="157">
        <v>0</v>
      </c>
      <c r="E1523" s="157">
        <f t="shared" si="85"/>
        <v>1</v>
      </c>
      <c r="F1523" s="157" t="str">
        <f t="shared" si="86"/>
        <v>Sunday</v>
      </c>
      <c r="H1523" s="165">
        <v>1</v>
      </c>
      <c r="I1523" s="157">
        <f t="shared" si="87"/>
        <v>7</v>
      </c>
      <c r="J1523" s="157">
        <f t="shared" si="88"/>
        <v>42</v>
      </c>
      <c r="K1523" t="s">
        <v>1780</v>
      </c>
    </row>
    <row r="1524" spans="1:11" ht="15" customHeight="1" x14ac:dyDescent="0.2">
      <c r="A1524" s="157">
        <v>1523</v>
      </c>
      <c r="B1524" s="163">
        <v>46314</v>
      </c>
      <c r="C1524" s="157">
        <f t="shared" si="84"/>
        <v>0</v>
      </c>
      <c r="D1524" s="157">
        <v>0</v>
      </c>
      <c r="E1524" s="157">
        <f t="shared" si="85"/>
        <v>0</v>
      </c>
      <c r="F1524" s="157" t="str">
        <f t="shared" si="86"/>
        <v>Monday</v>
      </c>
      <c r="H1524" s="165">
        <v>1</v>
      </c>
      <c r="I1524" s="157">
        <f t="shared" si="87"/>
        <v>8</v>
      </c>
      <c r="J1524" s="157">
        <f t="shared" si="88"/>
        <v>43</v>
      </c>
      <c r="K1524" t="s">
        <v>1780</v>
      </c>
    </row>
    <row r="1525" spans="1:11" ht="15" customHeight="1" x14ac:dyDescent="0.2">
      <c r="A1525" s="157">
        <v>1524</v>
      </c>
      <c r="B1525" s="163">
        <v>46315</v>
      </c>
      <c r="C1525" s="157">
        <f t="shared" si="84"/>
        <v>0</v>
      </c>
      <c r="D1525" s="157">
        <v>0</v>
      </c>
      <c r="E1525" s="157">
        <f t="shared" si="85"/>
        <v>0</v>
      </c>
      <c r="F1525" s="157" t="str">
        <f t="shared" si="86"/>
        <v>Tuesday</v>
      </c>
      <c r="H1525" s="165">
        <v>1</v>
      </c>
      <c r="I1525" s="157">
        <f t="shared" si="87"/>
        <v>8</v>
      </c>
      <c r="J1525" s="157">
        <f t="shared" si="88"/>
        <v>43</v>
      </c>
      <c r="K1525" t="s">
        <v>1780</v>
      </c>
    </row>
    <row r="1526" spans="1:11" ht="15" customHeight="1" x14ac:dyDescent="0.2">
      <c r="A1526" s="157">
        <v>1525</v>
      </c>
      <c r="B1526" s="163">
        <v>46316</v>
      </c>
      <c r="C1526" s="157">
        <f t="shared" si="84"/>
        <v>0</v>
      </c>
      <c r="D1526" s="157">
        <v>0</v>
      </c>
      <c r="E1526" s="157">
        <f t="shared" si="85"/>
        <v>0</v>
      </c>
      <c r="F1526" s="157" t="str">
        <f t="shared" si="86"/>
        <v>Wednesday</v>
      </c>
      <c r="H1526" s="165">
        <v>1</v>
      </c>
      <c r="I1526" s="157">
        <f t="shared" si="87"/>
        <v>8</v>
      </c>
      <c r="J1526" s="157">
        <f t="shared" si="88"/>
        <v>43</v>
      </c>
      <c r="K1526" t="s">
        <v>1780</v>
      </c>
    </row>
    <row r="1527" spans="1:11" ht="15" customHeight="1" x14ac:dyDescent="0.2">
      <c r="A1527" s="157">
        <v>1526</v>
      </c>
      <c r="B1527" s="163">
        <v>46317</v>
      </c>
      <c r="C1527" s="157">
        <f t="shared" si="84"/>
        <v>0</v>
      </c>
      <c r="D1527" s="157">
        <v>0</v>
      </c>
      <c r="E1527" s="157">
        <f t="shared" si="85"/>
        <v>0</v>
      </c>
      <c r="F1527" s="157" t="str">
        <f t="shared" si="86"/>
        <v>Thursday</v>
      </c>
      <c r="H1527" s="165">
        <v>1</v>
      </c>
      <c r="I1527" s="157">
        <f t="shared" si="87"/>
        <v>8</v>
      </c>
      <c r="J1527" s="157">
        <f t="shared" si="88"/>
        <v>43</v>
      </c>
      <c r="K1527" t="s">
        <v>1780</v>
      </c>
    </row>
    <row r="1528" spans="1:11" ht="15" customHeight="1" x14ac:dyDescent="0.2">
      <c r="A1528" s="157">
        <v>1527</v>
      </c>
      <c r="B1528" s="163">
        <v>46318</v>
      </c>
      <c r="C1528" s="157">
        <f t="shared" si="84"/>
        <v>0</v>
      </c>
      <c r="D1528" s="157">
        <v>0</v>
      </c>
      <c r="E1528" s="157">
        <f t="shared" si="85"/>
        <v>0</v>
      </c>
      <c r="F1528" s="157" t="str">
        <f t="shared" si="86"/>
        <v>Friday</v>
      </c>
      <c r="H1528" s="165">
        <v>1</v>
      </c>
      <c r="I1528" s="157">
        <f t="shared" si="87"/>
        <v>8</v>
      </c>
      <c r="J1528" s="157">
        <f t="shared" si="88"/>
        <v>43</v>
      </c>
      <c r="K1528" t="s">
        <v>1780</v>
      </c>
    </row>
    <row r="1529" spans="1:11" ht="15" customHeight="1" x14ac:dyDescent="0.2">
      <c r="A1529" s="157">
        <v>1528</v>
      </c>
      <c r="B1529" s="163">
        <v>46319</v>
      </c>
      <c r="C1529" s="157">
        <f t="shared" si="84"/>
        <v>1</v>
      </c>
      <c r="D1529" s="157">
        <v>0</v>
      </c>
      <c r="E1529" s="157">
        <f t="shared" si="85"/>
        <v>1</v>
      </c>
      <c r="F1529" s="157" t="str">
        <f t="shared" si="86"/>
        <v>Saturday</v>
      </c>
      <c r="H1529" s="165">
        <v>1</v>
      </c>
      <c r="I1529" s="157">
        <f t="shared" si="87"/>
        <v>8</v>
      </c>
      <c r="J1529" s="157">
        <f t="shared" si="88"/>
        <v>43</v>
      </c>
      <c r="K1529" t="s">
        <v>1780</v>
      </c>
    </row>
    <row r="1530" spans="1:11" ht="15" customHeight="1" x14ac:dyDescent="0.2">
      <c r="A1530" s="157">
        <v>1529</v>
      </c>
      <c r="B1530" s="163">
        <v>46320</v>
      </c>
      <c r="C1530" s="157">
        <f t="shared" si="84"/>
        <v>1</v>
      </c>
      <c r="D1530" s="157">
        <v>0</v>
      </c>
      <c r="E1530" s="157">
        <f t="shared" si="85"/>
        <v>1</v>
      </c>
      <c r="F1530" s="157" t="str">
        <f t="shared" si="86"/>
        <v>Sunday</v>
      </c>
      <c r="H1530" s="165">
        <v>1</v>
      </c>
      <c r="I1530" s="157">
        <f t="shared" si="87"/>
        <v>8</v>
      </c>
      <c r="J1530" s="157">
        <f t="shared" si="88"/>
        <v>43</v>
      </c>
      <c r="K1530" t="s">
        <v>1780</v>
      </c>
    </row>
    <row r="1531" spans="1:11" ht="15" customHeight="1" x14ac:dyDescent="0.2">
      <c r="A1531" s="157">
        <v>1530</v>
      </c>
      <c r="B1531" s="163">
        <v>46321</v>
      </c>
      <c r="C1531" s="157">
        <f t="shared" si="84"/>
        <v>0</v>
      </c>
      <c r="D1531" s="157">
        <v>0</v>
      </c>
      <c r="E1531" s="157">
        <f t="shared" si="85"/>
        <v>0</v>
      </c>
      <c r="F1531" s="157" t="str">
        <f t="shared" si="86"/>
        <v>Monday</v>
      </c>
      <c r="H1531" s="165">
        <v>1</v>
      </c>
      <c r="I1531" s="157">
        <f t="shared" si="87"/>
        <v>9</v>
      </c>
      <c r="J1531" s="157">
        <f t="shared" si="88"/>
        <v>44</v>
      </c>
      <c r="K1531" t="s">
        <v>1780</v>
      </c>
    </row>
    <row r="1532" spans="1:11" ht="15" customHeight="1" x14ac:dyDescent="0.2">
      <c r="A1532" s="157">
        <v>1531</v>
      </c>
      <c r="B1532" s="163">
        <v>46322</v>
      </c>
      <c r="C1532" s="157">
        <f t="shared" si="84"/>
        <v>0</v>
      </c>
      <c r="D1532" s="157">
        <v>0</v>
      </c>
      <c r="E1532" s="157">
        <f t="shared" si="85"/>
        <v>0</v>
      </c>
      <c r="F1532" s="157" t="str">
        <f t="shared" si="86"/>
        <v>Tuesday</v>
      </c>
      <c r="H1532" s="165">
        <v>1</v>
      </c>
      <c r="I1532" s="157">
        <f t="shared" si="87"/>
        <v>9</v>
      </c>
      <c r="J1532" s="157">
        <f t="shared" si="88"/>
        <v>44</v>
      </c>
      <c r="K1532" t="s">
        <v>1780</v>
      </c>
    </row>
    <row r="1533" spans="1:11" ht="15" customHeight="1" x14ac:dyDescent="0.2">
      <c r="A1533" s="157">
        <v>1532</v>
      </c>
      <c r="B1533" s="163">
        <v>46323</v>
      </c>
      <c r="C1533" s="157">
        <f t="shared" si="84"/>
        <v>0</v>
      </c>
      <c r="D1533" s="157">
        <v>0</v>
      </c>
      <c r="E1533" s="157">
        <f t="shared" si="85"/>
        <v>0</v>
      </c>
      <c r="F1533" s="157" t="str">
        <f t="shared" si="86"/>
        <v>Wednesday</v>
      </c>
      <c r="H1533" s="165">
        <v>1</v>
      </c>
      <c r="I1533" s="157">
        <f t="shared" si="87"/>
        <v>9</v>
      </c>
      <c r="J1533" s="157">
        <f t="shared" si="88"/>
        <v>44</v>
      </c>
      <c r="K1533" t="s">
        <v>1780</v>
      </c>
    </row>
    <row r="1534" spans="1:11" ht="15" customHeight="1" x14ac:dyDescent="0.2">
      <c r="A1534" s="157">
        <v>1533</v>
      </c>
      <c r="B1534" s="163">
        <v>46324</v>
      </c>
      <c r="C1534" s="157">
        <f t="shared" si="84"/>
        <v>0</v>
      </c>
      <c r="D1534" s="157">
        <v>0</v>
      </c>
      <c r="E1534" s="157">
        <f t="shared" si="85"/>
        <v>0</v>
      </c>
      <c r="F1534" s="157" t="str">
        <f t="shared" si="86"/>
        <v>Thursday</v>
      </c>
      <c r="H1534" s="165">
        <v>1</v>
      </c>
      <c r="I1534" s="157">
        <f t="shared" si="87"/>
        <v>9</v>
      </c>
      <c r="J1534" s="157">
        <f t="shared" si="88"/>
        <v>44</v>
      </c>
      <c r="K1534" t="s">
        <v>1780</v>
      </c>
    </row>
    <row r="1535" spans="1:11" ht="15" customHeight="1" x14ac:dyDescent="0.2">
      <c r="A1535" s="157">
        <v>1534</v>
      </c>
      <c r="B1535" s="163">
        <v>46325</v>
      </c>
      <c r="C1535" s="157">
        <f t="shared" si="84"/>
        <v>0</v>
      </c>
      <c r="D1535" s="157">
        <v>0</v>
      </c>
      <c r="E1535" s="157">
        <f t="shared" si="85"/>
        <v>0</v>
      </c>
      <c r="F1535" s="157" t="str">
        <f t="shared" si="86"/>
        <v>Friday</v>
      </c>
      <c r="H1535" s="165">
        <v>1</v>
      </c>
      <c r="I1535" s="157">
        <f t="shared" si="87"/>
        <v>9</v>
      </c>
      <c r="J1535" s="157">
        <f t="shared" si="88"/>
        <v>44</v>
      </c>
      <c r="K1535" t="s">
        <v>1780</v>
      </c>
    </row>
    <row r="1536" spans="1:11" ht="15" customHeight="1" x14ac:dyDescent="0.2">
      <c r="A1536" s="157">
        <v>1535</v>
      </c>
      <c r="B1536" s="163">
        <v>46326</v>
      </c>
      <c r="C1536" s="157">
        <f t="shared" si="84"/>
        <v>1</v>
      </c>
      <c r="D1536" s="157">
        <v>0</v>
      </c>
      <c r="E1536" s="157">
        <f t="shared" si="85"/>
        <v>1</v>
      </c>
      <c r="F1536" s="157" t="str">
        <f t="shared" si="86"/>
        <v>Saturday</v>
      </c>
      <c r="H1536" s="165">
        <v>1</v>
      </c>
      <c r="I1536" s="157">
        <f t="shared" si="87"/>
        <v>9</v>
      </c>
      <c r="J1536" s="157">
        <f t="shared" si="88"/>
        <v>44</v>
      </c>
      <c r="K1536" t="s">
        <v>1780</v>
      </c>
    </row>
    <row r="1537" spans="1:11" ht="15" customHeight="1" x14ac:dyDescent="0.2">
      <c r="A1537" s="157">
        <v>1536</v>
      </c>
      <c r="B1537" s="163">
        <v>46327</v>
      </c>
      <c r="C1537" s="157">
        <f t="shared" si="84"/>
        <v>1</v>
      </c>
      <c r="D1537" s="157">
        <v>0</v>
      </c>
      <c r="E1537" s="157">
        <f t="shared" si="85"/>
        <v>1</v>
      </c>
      <c r="F1537" s="157" t="str">
        <f t="shared" si="86"/>
        <v>Sunday</v>
      </c>
      <c r="H1537" s="165">
        <v>1</v>
      </c>
      <c r="I1537" s="157">
        <f t="shared" si="87"/>
        <v>9</v>
      </c>
      <c r="J1537" s="157">
        <f t="shared" si="88"/>
        <v>44</v>
      </c>
      <c r="K1537" t="s">
        <v>1780</v>
      </c>
    </row>
    <row r="1538" spans="1:11" ht="15" customHeight="1" x14ac:dyDescent="0.2">
      <c r="A1538" s="157">
        <v>1537</v>
      </c>
      <c r="B1538" s="163">
        <v>46328</v>
      </c>
      <c r="C1538" s="157">
        <f t="shared" si="84"/>
        <v>0</v>
      </c>
      <c r="D1538" s="157">
        <v>0</v>
      </c>
      <c r="E1538" s="157">
        <f t="shared" si="85"/>
        <v>0</v>
      </c>
      <c r="F1538" s="157" t="str">
        <f t="shared" si="86"/>
        <v>Monday</v>
      </c>
      <c r="H1538" s="165">
        <v>1</v>
      </c>
      <c r="I1538" s="157">
        <f t="shared" si="87"/>
        <v>10</v>
      </c>
      <c r="J1538" s="157">
        <f t="shared" si="88"/>
        <v>45</v>
      </c>
      <c r="K1538" t="s">
        <v>1780</v>
      </c>
    </row>
    <row r="1539" spans="1:11" ht="15" customHeight="1" x14ac:dyDescent="0.2">
      <c r="A1539" s="157">
        <v>1538</v>
      </c>
      <c r="B1539" s="163">
        <v>46329</v>
      </c>
      <c r="C1539" s="157">
        <f t="shared" si="84"/>
        <v>0</v>
      </c>
      <c r="D1539" s="157">
        <v>0</v>
      </c>
      <c r="E1539" s="157">
        <f t="shared" si="85"/>
        <v>0</v>
      </c>
      <c r="F1539" s="157" t="str">
        <f t="shared" si="86"/>
        <v>Tuesday</v>
      </c>
      <c r="H1539" s="165">
        <v>1</v>
      </c>
      <c r="I1539" s="157">
        <f t="shared" si="87"/>
        <v>10</v>
      </c>
      <c r="J1539" s="157">
        <f t="shared" si="88"/>
        <v>45</v>
      </c>
      <c r="K1539" t="s">
        <v>1780</v>
      </c>
    </row>
    <row r="1540" spans="1:11" ht="15" customHeight="1" x14ac:dyDescent="0.2">
      <c r="A1540" s="157">
        <v>1539</v>
      </c>
      <c r="B1540" s="163">
        <v>46330</v>
      </c>
      <c r="C1540" s="157">
        <f t="shared" si="84"/>
        <v>0</v>
      </c>
      <c r="D1540" s="157">
        <v>0</v>
      </c>
      <c r="E1540" s="157">
        <f t="shared" si="85"/>
        <v>0</v>
      </c>
      <c r="F1540" s="157" t="str">
        <f t="shared" si="86"/>
        <v>Wednesday</v>
      </c>
      <c r="H1540" s="165">
        <v>1</v>
      </c>
      <c r="I1540" s="157">
        <f t="shared" si="87"/>
        <v>10</v>
      </c>
      <c r="J1540" s="157">
        <f t="shared" si="88"/>
        <v>45</v>
      </c>
      <c r="K1540" t="s">
        <v>1780</v>
      </c>
    </row>
    <row r="1541" spans="1:11" ht="15" customHeight="1" x14ac:dyDescent="0.2">
      <c r="A1541" s="157">
        <v>1540</v>
      </c>
      <c r="B1541" s="163">
        <v>46331</v>
      </c>
      <c r="C1541" s="157">
        <f t="shared" si="84"/>
        <v>0</v>
      </c>
      <c r="D1541" s="157">
        <v>0</v>
      </c>
      <c r="E1541" s="157">
        <f t="shared" si="85"/>
        <v>0</v>
      </c>
      <c r="F1541" s="157" t="str">
        <f t="shared" si="86"/>
        <v>Thursday</v>
      </c>
      <c r="H1541" s="165">
        <v>1</v>
      </c>
      <c r="I1541" s="157">
        <f t="shared" si="87"/>
        <v>10</v>
      </c>
      <c r="J1541" s="157">
        <f t="shared" si="88"/>
        <v>45</v>
      </c>
      <c r="K1541" t="s">
        <v>1780</v>
      </c>
    </row>
    <row r="1542" spans="1:11" ht="15" customHeight="1" x14ac:dyDescent="0.2">
      <c r="A1542" s="157">
        <v>1541</v>
      </c>
      <c r="B1542" s="163">
        <v>46332</v>
      </c>
      <c r="C1542" s="157">
        <f t="shared" si="84"/>
        <v>0</v>
      </c>
      <c r="D1542" s="157">
        <v>0</v>
      </c>
      <c r="E1542" s="157">
        <f t="shared" si="85"/>
        <v>0</v>
      </c>
      <c r="F1542" s="157" t="str">
        <f t="shared" si="86"/>
        <v>Friday</v>
      </c>
      <c r="H1542" s="165">
        <v>1</v>
      </c>
      <c r="I1542" s="157">
        <f t="shared" si="87"/>
        <v>10</v>
      </c>
      <c r="J1542" s="157">
        <f t="shared" si="88"/>
        <v>45</v>
      </c>
      <c r="K1542" t="s">
        <v>1780</v>
      </c>
    </row>
    <row r="1543" spans="1:11" ht="15" customHeight="1" x14ac:dyDescent="0.2">
      <c r="A1543" s="157">
        <v>1542</v>
      </c>
      <c r="B1543" s="163">
        <v>46333</v>
      </c>
      <c r="C1543" s="157">
        <f t="shared" si="84"/>
        <v>1</v>
      </c>
      <c r="D1543" s="157">
        <v>0</v>
      </c>
      <c r="E1543" s="157">
        <f t="shared" si="85"/>
        <v>1</v>
      </c>
      <c r="F1543" s="157" t="str">
        <f t="shared" si="86"/>
        <v>Saturday</v>
      </c>
      <c r="H1543" s="165">
        <v>1</v>
      </c>
      <c r="I1543" s="157">
        <f t="shared" si="87"/>
        <v>10</v>
      </c>
      <c r="J1543" s="157">
        <f t="shared" si="88"/>
        <v>45</v>
      </c>
      <c r="K1543" t="s">
        <v>1780</v>
      </c>
    </row>
    <row r="1544" spans="1:11" ht="15" customHeight="1" x14ac:dyDescent="0.2">
      <c r="A1544" s="157">
        <v>1543</v>
      </c>
      <c r="B1544" s="163">
        <v>46334</v>
      </c>
      <c r="C1544" s="157">
        <f t="shared" si="84"/>
        <v>1</v>
      </c>
      <c r="D1544" s="157">
        <v>0</v>
      </c>
      <c r="E1544" s="157">
        <f t="shared" si="85"/>
        <v>1</v>
      </c>
      <c r="F1544" s="157" t="str">
        <f t="shared" si="86"/>
        <v>Sunday</v>
      </c>
      <c r="H1544" s="165">
        <v>1</v>
      </c>
      <c r="I1544" s="157">
        <f t="shared" si="87"/>
        <v>10</v>
      </c>
      <c r="J1544" s="157">
        <f t="shared" si="88"/>
        <v>45</v>
      </c>
      <c r="K1544" t="s">
        <v>1780</v>
      </c>
    </row>
    <row r="1545" spans="1:11" ht="15" customHeight="1" x14ac:dyDescent="0.2">
      <c r="A1545" s="157">
        <v>1544</v>
      </c>
      <c r="B1545" s="163">
        <v>46335</v>
      </c>
      <c r="C1545" s="157">
        <f t="shared" si="84"/>
        <v>0</v>
      </c>
      <c r="D1545" s="157">
        <v>0</v>
      </c>
      <c r="E1545" s="157">
        <f t="shared" si="85"/>
        <v>0</v>
      </c>
      <c r="F1545" s="157" t="str">
        <f t="shared" si="86"/>
        <v>Monday</v>
      </c>
      <c r="H1545" s="165">
        <v>1</v>
      </c>
      <c r="I1545" s="157">
        <f t="shared" si="87"/>
        <v>11</v>
      </c>
      <c r="J1545" s="157">
        <f t="shared" si="88"/>
        <v>46</v>
      </c>
      <c r="K1545" t="s">
        <v>1780</v>
      </c>
    </row>
    <row r="1546" spans="1:11" ht="15" customHeight="1" x14ac:dyDescent="0.2">
      <c r="A1546" s="157">
        <v>1545</v>
      </c>
      <c r="B1546" s="163">
        <v>46336</v>
      </c>
      <c r="C1546" s="157">
        <f t="shared" si="84"/>
        <v>0</v>
      </c>
      <c r="D1546" s="157">
        <v>0</v>
      </c>
      <c r="E1546" s="157">
        <f t="shared" si="85"/>
        <v>0</v>
      </c>
      <c r="F1546" s="157" t="str">
        <f t="shared" si="86"/>
        <v>Tuesday</v>
      </c>
      <c r="H1546" s="165">
        <v>1</v>
      </c>
      <c r="I1546" s="157">
        <f t="shared" si="87"/>
        <v>11</v>
      </c>
      <c r="J1546" s="157">
        <f t="shared" si="88"/>
        <v>46</v>
      </c>
      <c r="K1546" t="s">
        <v>1780</v>
      </c>
    </row>
    <row r="1547" spans="1:11" ht="15" customHeight="1" x14ac:dyDescent="0.2">
      <c r="A1547" s="157">
        <v>1546</v>
      </c>
      <c r="B1547" s="163">
        <v>46337</v>
      </c>
      <c r="C1547" s="157">
        <f t="shared" si="84"/>
        <v>0</v>
      </c>
      <c r="D1547" s="157">
        <v>0</v>
      </c>
      <c r="E1547" s="157">
        <f t="shared" si="85"/>
        <v>0</v>
      </c>
      <c r="F1547" s="157" t="str">
        <f t="shared" si="86"/>
        <v>Wednesday</v>
      </c>
      <c r="H1547" s="165">
        <v>1</v>
      </c>
      <c r="I1547" s="157">
        <f t="shared" si="87"/>
        <v>11</v>
      </c>
      <c r="J1547" s="157">
        <f t="shared" si="88"/>
        <v>46</v>
      </c>
      <c r="K1547" t="s">
        <v>1780</v>
      </c>
    </row>
    <row r="1548" spans="1:11" ht="15" customHeight="1" x14ac:dyDescent="0.2">
      <c r="A1548" s="157">
        <v>1547</v>
      </c>
      <c r="B1548" s="163">
        <v>46338</v>
      </c>
      <c r="C1548" s="157">
        <f t="shared" si="84"/>
        <v>0</v>
      </c>
      <c r="D1548" s="157">
        <v>0</v>
      </c>
      <c r="E1548" s="157">
        <f t="shared" si="85"/>
        <v>0</v>
      </c>
      <c r="F1548" s="157" t="str">
        <f t="shared" si="86"/>
        <v>Thursday</v>
      </c>
      <c r="H1548" s="165">
        <v>1</v>
      </c>
      <c r="I1548" s="157">
        <f t="shared" si="87"/>
        <v>11</v>
      </c>
      <c r="J1548" s="157">
        <f t="shared" si="88"/>
        <v>46</v>
      </c>
      <c r="K1548" t="s">
        <v>1780</v>
      </c>
    </row>
    <row r="1549" spans="1:11" ht="15" customHeight="1" x14ac:dyDescent="0.2">
      <c r="A1549" s="157">
        <v>1548</v>
      </c>
      <c r="B1549" s="163">
        <v>46339</v>
      </c>
      <c r="C1549" s="157">
        <f t="shared" si="84"/>
        <v>0</v>
      </c>
      <c r="D1549" s="157">
        <v>0</v>
      </c>
      <c r="E1549" s="157">
        <f t="shared" si="85"/>
        <v>0</v>
      </c>
      <c r="F1549" s="157" t="str">
        <f t="shared" si="86"/>
        <v>Friday</v>
      </c>
      <c r="H1549" s="165">
        <v>1</v>
      </c>
      <c r="I1549" s="157">
        <f t="shared" si="87"/>
        <v>11</v>
      </c>
      <c r="J1549" s="157">
        <f t="shared" si="88"/>
        <v>46</v>
      </c>
      <c r="K1549" t="s">
        <v>1780</v>
      </c>
    </row>
    <row r="1550" spans="1:11" ht="15" customHeight="1" x14ac:dyDescent="0.2">
      <c r="A1550" s="157">
        <v>1549</v>
      </c>
      <c r="B1550" s="163">
        <v>46340</v>
      </c>
      <c r="C1550" s="157">
        <f t="shared" si="84"/>
        <v>1</v>
      </c>
      <c r="D1550" s="157">
        <v>0</v>
      </c>
      <c r="E1550" s="157">
        <f t="shared" si="85"/>
        <v>1</v>
      </c>
      <c r="F1550" s="157" t="str">
        <f t="shared" si="86"/>
        <v>Saturday</v>
      </c>
      <c r="H1550" s="165">
        <v>1</v>
      </c>
      <c r="I1550" s="157">
        <f t="shared" si="87"/>
        <v>11</v>
      </c>
      <c r="J1550" s="157">
        <f t="shared" si="88"/>
        <v>46</v>
      </c>
      <c r="K1550" t="s">
        <v>1780</v>
      </c>
    </row>
    <row r="1551" spans="1:11" ht="15" customHeight="1" x14ac:dyDescent="0.2">
      <c r="A1551" s="157">
        <v>1550</v>
      </c>
      <c r="B1551" s="163">
        <v>46341</v>
      </c>
      <c r="C1551" s="157">
        <f t="shared" si="84"/>
        <v>1</v>
      </c>
      <c r="D1551" s="157">
        <v>0</v>
      </c>
      <c r="E1551" s="157">
        <f t="shared" si="85"/>
        <v>1</v>
      </c>
      <c r="F1551" s="157" t="str">
        <f t="shared" si="86"/>
        <v>Sunday</v>
      </c>
      <c r="H1551" s="165">
        <v>1</v>
      </c>
      <c r="I1551" s="157">
        <f t="shared" si="87"/>
        <v>11</v>
      </c>
      <c r="J1551" s="157">
        <f t="shared" si="88"/>
        <v>46</v>
      </c>
      <c r="K1551" t="s">
        <v>1780</v>
      </c>
    </row>
    <row r="1552" spans="1:11" ht="15" customHeight="1" x14ac:dyDescent="0.2">
      <c r="A1552" s="157">
        <v>1551</v>
      </c>
      <c r="B1552" s="163">
        <v>46342</v>
      </c>
      <c r="C1552" s="157">
        <f t="shared" si="84"/>
        <v>0</v>
      </c>
      <c r="D1552" s="157">
        <v>0</v>
      </c>
      <c r="E1552" s="157">
        <f t="shared" si="85"/>
        <v>0</v>
      </c>
      <c r="F1552" s="157" t="str">
        <f t="shared" si="86"/>
        <v>Monday</v>
      </c>
      <c r="H1552" s="165">
        <v>1</v>
      </c>
      <c r="I1552" s="157">
        <f t="shared" si="87"/>
        <v>12</v>
      </c>
      <c r="J1552" s="157">
        <f t="shared" si="88"/>
        <v>47</v>
      </c>
      <c r="K1552" t="s">
        <v>1780</v>
      </c>
    </row>
    <row r="1553" spans="1:11" ht="15" customHeight="1" x14ac:dyDescent="0.2">
      <c r="A1553" s="157">
        <v>1552</v>
      </c>
      <c r="B1553" s="163">
        <v>46343</v>
      </c>
      <c r="C1553" s="157">
        <f t="shared" si="84"/>
        <v>0</v>
      </c>
      <c r="D1553" s="157">
        <v>0</v>
      </c>
      <c r="E1553" s="157">
        <f t="shared" si="85"/>
        <v>0</v>
      </c>
      <c r="F1553" s="157" t="str">
        <f t="shared" si="86"/>
        <v>Tuesday</v>
      </c>
      <c r="H1553" s="165">
        <v>1</v>
      </c>
      <c r="I1553" s="157">
        <f t="shared" si="87"/>
        <v>12</v>
      </c>
      <c r="J1553" s="157">
        <f t="shared" si="88"/>
        <v>47</v>
      </c>
      <c r="K1553" t="s">
        <v>1780</v>
      </c>
    </row>
    <row r="1554" spans="1:11" ht="15" customHeight="1" x14ac:dyDescent="0.2">
      <c r="A1554" s="157">
        <v>1553</v>
      </c>
      <c r="B1554" s="163">
        <v>46344</v>
      </c>
      <c r="C1554" s="157">
        <f t="shared" si="84"/>
        <v>0</v>
      </c>
      <c r="D1554" s="157">
        <v>0</v>
      </c>
      <c r="E1554" s="157">
        <f t="shared" si="85"/>
        <v>0</v>
      </c>
      <c r="F1554" s="157" t="str">
        <f t="shared" si="86"/>
        <v>Wednesday</v>
      </c>
      <c r="H1554" s="165">
        <v>1</v>
      </c>
      <c r="I1554" s="157">
        <f t="shared" si="87"/>
        <v>12</v>
      </c>
      <c r="J1554" s="157">
        <f t="shared" si="88"/>
        <v>47</v>
      </c>
      <c r="K1554" t="s">
        <v>1780</v>
      </c>
    </row>
    <row r="1555" spans="1:11" ht="15" customHeight="1" x14ac:dyDescent="0.2">
      <c r="A1555" s="157">
        <v>1554</v>
      </c>
      <c r="B1555" s="163">
        <v>46345</v>
      </c>
      <c r="C1555" s="157">
        <f t="shared" si="84"/>
        <v>0</v>
      </c>
      <c r="D1555" s="157">
        <v>0</v>
      </c>
      <c r="E1555" s="157">
        <f t="shared" si="85"/>
        <v>0</v>
      </c>
      <c r="F1555" s="157" t="str">
        <f t="shared" si="86"/>
        <v>Thursday</v>
      </c>
      <c r="H1555" s="165">
        <v>1</v>
      </c>
      <c r="I1555" s="157">
        <f t="shared" si="87"/>
        <v>12</v>
      </c>
      <c r="J1555" s="157">
        <f t="shared" si="88"/>
        <v>47</v>
      </c>
      <c r="K1555" t="s">
        <v>1780</v>
      </c>
    </row>
    <row r="1556" spans="1:11" ht="15" customHeight="1" x14ac:dyDescent="0.2">
      <c r="A1556" s="157">
        <v>1555</v>
      </c>
      <c r="B1556" s="163">
        <v>46346</v>
      </c>
      <c r="C1556" s="157">
        <f t="shared" si="84"/>
        <v>0</v>
      </c>
      <c r="D1556" s="157">
        <v>0</v>
      </c>
      <c r="E1556" s="157">
        <f t="shared" si="85"/>
        <v>0</v>
      </c>
      <c r="F1556" s="157" t="str">
        <f t="shared" si="86"/>
        <v>Friday</v>
      </c>
      <c r="H1556" s="165">
        <v>1</v>
      </c>
      <c r="I1556" s="157">
        <f t="shared" si="87"/>
        <v>12</v>
      </c>
      <c r="J1556" s="157">
        <f t="shared" si="88"/>
        <v>47</v>
      </c>
      <c r="K1556" t="s">
        <v>1780</v>
      </c>
    </row>
    <row r="1557" spans="1:11" ht="15" customHeight="1" x14ac:dyDescent="0.2">
      <c r="A1557" s="157">
        <v>1556</v>
      </c>
      <c r="B1557" s="163">
        <v>46347</v>
      </c>
      <c r="C1557" s="157">
        <f t="shared" si="84"/>
        <v>1</v>
      </c>
      <c r="D1557" s="157">
        <v>0</v>
      </c>
      <c r="E1557" s="157">
        <f t="shared" si="85"/>
        <v>1</v>
      </c>
      <c r="F1557" s="157" t="str">
        <f t="shared" si="86"/>
        <v>Saturday</v>
      </c>
      <c r="H1557" s="165">
        <v>1</v>
      </c>
      <c r="I1557" s="157">
        <f t="shared" si="87"/>
        <v>12</v>
      </c>
      <c r="J1557" s="157">
        <f t="shared" si="88"/>
        <v>47</v>
      </c>
      <c r="K1557" t="s">
        <v>1780</v>
      </c>
    </row>
    <row r="1558" spans="1:11" ht="15" customHeight="1" x14ac:dyDescent="0.2">
      <c r="A1558" s="157">
        <v>1557</v>
      </c>
      <c r="B1558" s="163">
        <v>46348</v>
      </c>
      <c r="C1558" s="157">
        <f t="shared" si="84"/>
        <v>1</v>
      </c>
      <c r="D1558" s="157">
        <v>0</v>
      </c>
      <c r="E1558" s="157">
        <f t="shared" si="85"/>
        <v>1</v>
      </c>
      <c r="F1558" s="157" t="str">
        <f t="shared" si="86"/>
        <v>Sunday</v>
      </c>
      <c r="H1558" s="165">
        <v>1</v>
      </c>
      <c r="I1558" s="157">
        <f t="shared" si="87"/>
        <v>12</v>
      </c>
      <c r="J1558" s="157">
        <f t="shared" si="88"/>
        <v>47</v>
      </c>
      <c r="K1558" t="s">
        <v>1780</v>
      </c>
    </row>
    <row r="1559" spans="1:11" ht="15" customHeight="1" x14ac:dyDescent="0.2">
      <c r="A1559" s="157">
        <v>1558</v>
      </c>
      <c r="B1559" s="163">
        <v>46349</v>
      </c>
      <c r="C1559" s="157">
        <f t="shared" si="84"/>
        <v>0</v>
      </c>
      <c r="D1559" s="157">
        <v>0</v>
      </c>
      <c r="E1559" s="157">
        <f t="shared" si="85"/>
        <v>0</v>
      </c>
      <c r="F1559" s="157" t="str">
        <f t="shared" si="86"/>
        <v>Monday</v>
      </c>
      <c r="H1559" s="165">
        <v>1</v>
      </c>
      <c r="I1559" s="157">
        <f t="shared" si="87"/>
        <v>13</v>
      </c>
      <c r="J1559" s="157">
        <f t="shared" si="88"/>
        <v>48</v>
      </c>
      <c r="K1559" t="s">
        <v>1780</v>
      </c>
    </row>
    <row r="1560" spans="1:11" ht="15" customHeight="1" x14ac:dyDescent="0.2">
      <c r="A1560" s="157">
        <v>1559</v>
      </c>
      <c r="B1560" s="163">
        <v>46350</v>
      </c>
      <c r="C1560" s="157">
        <f t="shared" si="84"/>
        <v>0</v>
      </c>
      <c r="D1560" s="157">
        <v>0</v>
      </c>
      <c r="E1560" s="157">
        <f t="shared" si="85"/>
        <v>0</v>
      </c>
      <c r="F1560" s="157" t="str">
        <f t="shared" si="86"/>
        <v>Tuesday</v>
      </c>
      <c r="H1560" s="165">
        <v>1</v>
      </c>
      <c r="I1560" s="157">
        <f t="shared" si="87"/>
        <v>13</v>
      </c>
      <c r="J1560" s="157">
        <f t="shared" si="88"/>
        <v>48</v>
      </c>
      <c r="K1560" t="s">
        <v>1780</v>
      </c>
    </row>
    <row r="1561" spans="1:11" ht="15" customHeight="1" x14ac:dyDescent="0.2">
      <c r="A1561" s="157">
        <v>1560</v>
      </c>
      <c r="B1561" s="163">
        <v>46351</v>
      </c>
      <c r="C1561" s="157">
        <f t="shared" si="84"/>
        <v>0</v>
      </c>
      <c r="D1561" s="157">
        <v>0</v>
      </c>
      <c r="E1561" s="157">
        <f t="shared" si="85"/>
        <v>0</v>
      </c>
      <c r="F1561" s="157" t="str">
        <f t="shared" si="86"/>
        <v>Wednesday</v>
      </c>
      <c r="H1561" s="165">
        <v>1</v>
      </c>
      <c r="I1561" s="157">
        <f t="shared" si="87"/>
        <v>13</v>
      </c>
      <c r="J1561" s="157">
        <f t="shared" si="88"/>
        <v>48</v>
      </c>
      <c r="K1561" t="s">
        <v>1780</v>
      </c>
    </row>
    <row r="1562" spans="1:11" ht="15" customHeight="1" x14ac:dyDescent="0.2">
      <c r="A1562" s="157">
        <v>1561</v>
      </c>
      <c r="B1562" s="163">
        <v>46352</v>
      </c>
      <c r="C1562" s="157">
        <f t="shared" si="84"/>
        <v>0</v>
      </c>
      <c r="D1562" s="157">
        <v>0</v>
      </c>
      <c r="E1562" s="157">
        <f t="shared" si="85"/>
        <v>0</v>
      </c>
      <c r="F1562" s="157" t="str">
        <f t="shared" si="86"/>
        <v>Thursday</v>
      </c>
      <c r="H1562" s="165">
        <v>1</v>
      </c>
      <c r="I1562" s="157">
        <f t="shared" si="87"/>
        <v>13</v>
      </c>
      <c r="J1562" s="157">
        <f t="shared" si="88"/>
        <v>48</v>
      </c>
      <c r="K1562" t="s">
        <v>1780</v>
      </c>
    </row>
    <row r="1563" spans="1:11" ht="15" customHeight="1" x14ac:dyDescent="0.2">
      <c r="A1563" s="157">
        <v>1562</v>
      </c>
      <c r="B1563" s="163">
        <v>46353</v>
      </c>
      <c r="C1563" s="157">
        <f t="shared" si="84"/>
        <v>0</v>
      </c>
      <c r="D1563" s="157">
        <v>0</v>
      </c>
      <c r="E1563" s="157">
        <f t="shared" si="85"/>
        <v>0</v>
      </c>
      <c r="F1563" s="157" t="str">
        <f t="shared" si="86"/>
        <v>Friday</v>
      </c>
      <c r="H1563" s="165">
        <v>1</v>
      </c>
      <c r="I1563" s="157">
        <f t="shared" si="87"/>
        <v>13</v>
      </c>
      <c r="J1563" s="157">
        <f t="shared" si="88"/>
        <v>48</v>
      </c>
      <c r="K1563" t="s">
        <v>1780</v>
      </c>
    </row>
    <row r="1564" spans="1:11" ht="15" customHeight="1" x14ac:dyDescent="0.2">
      <c r="A1564" s="157">
        <v>1563</v>
      </c>
      <c r="B1564" s="163">
        <v>46354</v>
      </c>
      <c r="C1564" s="157">
        <f t="shared" si="84"/>
        <v>1</v>
      </c>
      <c r="D1564" s="157">
        <v>0</v>
      </c>
      <c r="E1564" s="157">
        <f t="shared" si="85"/>
        <v>1</v>
      </c>
      <c r="F1564" s="157" t="str">
        <f t="shared" si="86"/>
        <v>Saturday</v>
      </c>
      <c r="H1564" s="165">
        <v>1</v>
      </c>
      <c r="I1564" s="157">
        <f t="shared" si="87"/>
        <v>13</v>
      </c>
      <c r="J1564" s="157">
        <f t="shared" si="88"/>
        <v>48</v>
      </c>
      <c r="K1564" t="s">
        <v>1780</v>
      </c>
    </row>
    <row r="1565" spans="1:11" ht="15" customHeight="1" x14ac:dyDescent="0.2">
      <c r="A1565" s="157">
        <v>1564</v>
      </c>
      <c r="B1565" s="163">
        <v>46355</v>
      </c>
      <c r="C1565" s="157">
        <f t="shared" si="84"/>
        <v>1</v>
      </c>
      <c r="D1565" s="157">
        <v>0</v>
      </c>
      <c r="E1565" s="157">
        <f t="shared" si="85"/>
        <v>1</v>
      </c>
      <c r="F1565" s="157" t="str">
        <f t="shared" si="86"/>
        <v>Sunday</v>
      </c>
      <c r="H1565" s="165">
        <v>1</v>
      </c>
      <c r="I1565" s="157">
        <f t="shared" si="87"/>
        <v>13</v>
      </c>
      <c r="J1565" s="157">
        <f t="shared" si="88"/>
        <v>48</v>
      </c>
      <c r="K1565" t="s">
        <v>1780</v>
      </c>
    </row>
    <row r="1566" spans="1:11" ht="15" customHeight="1" x14ac:dyDescent="0.2">
      <c r="A1566" s="157">
        <v>1565</v>
      </c>
      <c r="B1566" s="163">
        <v>46356</v>
      </c>
      <c r="C1566" s="157">
        <f t="shared" si="84"/>
        <v>0</v>
      </c>
      <c r="D1566" s="157">
        <v>0</v>
      </c>
      <c r="E1566" s="157">
        <f t="shared" si="85"/>
        <v>0</v>
      </c>
      <c r="F1566" s="157" t="str">
        <f t="shared" si="86"/>
        <v>Monday</v>
      </c>
      <c r="H1566" s="165">
        <v>1</v>
      </c>
      <c r="I1566" s="157">
        <f t="shared" si="87"/>
        <v>14</v>
      </c>
      <c r="J1566" s="157">
        <f t="shared" si="88"/>
        <v>49</v>
      </c>
      <c r="K1566" t="s">
        <v>1780</v>
      </c>
    </row>
    <row r="1567" spans="1:11" ht="15" customHeight="1" x14ac:dyDescent="0.2">
      <c r="A1567" s="157">
        <v>1566</v>
      </c>
      <c r="B1567" s="163">
        <v>46357</v>
      </c>
      <c r="C1567" s="157">
        <f t="shared" si="84"/>
        <v>0</v>
      </c>
      <c r="D1567" s="157">
        <v>0</v>
      </c>
      <c r="E1567" s="157">
        <f t="shared" si="85"/>
        <v>0</v>
      </c>
      <c r="F1567" s="157" t="str">
        <f t="shared" si="86"/>
        <v>Tuesday</v>
      </c>
      <c r="H1567" s="165">
        <v>1</v>
      </c>
      <c r="I1567" s="157">
        <f t="shared" si="87"/>
        <v>14</v>
      </c>
      <c r="J1567" s="157">
        <f t="shared" si="88"/>
        <v>49</v>
      </c>
      <c r="K1567" t="s">
        <v>1780</v>
      </c>
    </row>
    <row r="1568" spans="1:11" ht="15" customHeight="1" x14ac:dyDescent="0.2">
      <c r="A1568" s="157">
        <v>1567</v>
      </c>
      <c r="B1568" s="163">
        <v>46358</v>
      </c>
      <c r="C1568" s="157">
        <f t="shared" si="84"/>
        <v>0</v>
      </c>
      <c r="D1568" s="157">
        <v>0</v>
      </c>
      <c r="E1568" s="157">
        <f t="shared" si="85"/>
        <v>0</v>
      </c>
      <c r="F1568" s="157" t="str">
        <f t="shared" si="86"/>
        <v>Wednesday</v>
      </c>
      <c r="H1568" s="165">
        <v>1</v>
      </c>
      <c r="I1568" s="157">
        <f t="shared" si="87"/>
        <v>14</v>
      </c>
      <c r="J1568" s="157">
        <f t="shared" si="88"/>
        <v>49</v>
      </c>
      <c r="K1568" t="s">
        <v>1780</v>
      </c>
    </row>
    <row r="1569" spans="1:11" ht="15" customHeight="1" x14ac:dyDescent="0.2">
      <c r="A1569" s="157">
        <v>1568</v>
      </c>
      <c r="B1569" s="163">
        <v>46359</v>
      </c>
      <c r="C1569" s="157">
        <f t="shared" si="84"/>
        <v>0</v>
      </c>
      <c r="D1569" s="157">
        <v>0</v>
      </c>
      <c r="E1569" s="157">
        <f t="shared" si="85"/>
        <v>0</v>
      </c>
      <c r="F1569" s="157" t="str">
        <f t="shared" si="86"/>
        <v>Thursday</v>
      </c>
      <c r="H1569" s="165">
        <v>1</v>
      </c>
      <c r="I1569" s="157">
        <f t="shared" si="87"/>
        <v>14</v>
      </c>
      <c r="J1569" s="157">
        <f t="shared" si="88"/>
        <v>49</v>
      </c>
      <c r="K1569" t="s">
        <v>1780</v>
      </c>
    </row>
    <row r="1570" spans="1:11" ht="15" customHeight="1" x14ac:dyDescent="0.2">
      <c r="A1570" s="157">
        <v>1569</v>
      </c>
      <c r="B1570" s="163">
        <v>46360</v>
      </c>
      <c r="C1570" s="157">
        <f t="shared" si="84"/>
        <v>0</v>
      </c>
      <c r="D1570" s="157">
        <v>0</v>
      </c>
      <c r="E1570" s="157">
        <f t="shared" si="85"/>
        <v>0</v>
      </c>
      <c r="F1570" s="157" t="str">
        <f t="shared" si="86"/>
        <v>Friday</v>
      </c>
      <c r="H1570" s="165">
        <v>1</v>
      </c>
      <c r="I1570" s="157">
        <f t="shared" si="87"/>
        <v>14</v>
      </c>
      <c r="J1570" s="157">
        <f t="shared" si="88"/>
        <v>49</v>
      </c>
      <c r="K1570" t="s">
        <v>1780</v>
      </c>
    </row>
    <row r="1571" spans="1:11" ht="15" customHeight="1" x14ac:dyDescent="0.2">
      <c r="A1571" s="157">
        <v>1570</v>
      </c>
      <c r="B1571" s="163">
        <v>46361</v>
      </c>
      <c r="C1571" s="157">
        <f t="shared" si="84"/>
        <v>1</v>
      </c>
      <c r="D1571" s="157">
        <v>0</v>
      </c>
      <c r="E1571" s="157">
        <f t="shared" si="85"/>
        <v>1</v>
      </c>
      <c r="F1571" s="157" t="str">
        <f t="shared" si="86"/>
        <v>Saturday</v>
      </c>
      <c r="H1571" s="165">
        <v>1</v>
      </c>
      <c r="I1571" s="157">
        <f t="shared" si="87"/>
        <v>14</v>
      </c>
      <c r="J1571" s="157">
        <f t="shared" si="88"/>
        <v>49</v>
      </c>
      <c r="K1571" t="s">
        <v>1780</v>
      </c>
    </row>
    <row r="1572" spans="1:11" ht="15" customHeight="1" x14ac:dyDescent="0.2">
      <c r="A1572" s="157">
        <v>1571</v>
      </c>
      <c r="B1572" s="163">
        <v>46362</v>
      </c>
      <c r="C1572" s="157">
        <f t="shared" si="84"/>
        <v>1</v>
      </c>
      <c r="D1572" s="157">
        <v>0</v>
      </c>
      <c r="E1572" s="157">
        <f t="shared" si="85"/>
        <v>1</v>
      </c>
      <c r="F1572" s="157" t="str">
        <f t="shared" si="86"/>
        <v>Sunday</v>
      </c>
      <c r="H1572" s="165">
        <v>1</v>
      </c>
      <c r="I1572" s="157">
        <f t="shared" si="87"/>
        <v>14</v>
      </c>
      <c r="J1572" s="157">
        <f t="shared" si="88"/>
        <v>49</v>
      </c>
      <c r="K1572" t="s">
        <v>1780</v>
      </c>
    </row>
    <row r="1573" spans="1:11" ht="15" customHeight="1" x14ac:dyDescent="0.2">
      <c r="A1573" s="157">
        <v>1572</v>
      </c>
      <c r="B1573" s="163">
        <v>46363</v>
      </c>
      <c r="C1573" s="157">
        <f t="shared" si="84"/>
        <v>0</v>
      </c>
      <c r="D1573" s="157">
        <v>0</v>
      </c>
      <c r="E1573" s="157">
        <f t="shared" si="85"/>
        <v>0</v>
      </c>
      <c r="F1573" s="157" t="str">
        <f t="shared" si="86"/>
        <v>Monday</v>
      </c>
      <c r="H1573" s="165">
        <v>1</v>
      </c>
      <c r="I1573" s="157">
        <f t="shared" si="87"/>
        <v>15</v>
      </c>
      <c r="J1573" s="157">
        <f t="shared" si="88"/>
        <v>50</v>
      </c>
      <c r="K1573" t="s">
        <v>1780</v>
      </c>
    </row>
    <row r="1574" spans="1:11" ht="15" customHeight="1" x14ac:dyDescent="0.2">
      <c r="A1574" s="157">
        <v>1573</v>
      </c>
      <c r="B1574" s="163">
        <v>46364</v>
      </c>
      <c r="C1574" s="157">
        <f t="shared" si="84"/>
        <v>0</v>
      </c>
      <c r="D1574" s="157">
        <v>0</v>
      </c>
      <c r="E1574" s="157">
        <f t="shared" si="85"/>
        <v>0</v>
      </c>
      <c r="F1574" s="157" t="str">
        <f t="shared" si="86"/>
        <v>Tuesday</v>
      </c>
      <c r="H1574" s="165">
        <v>1</v>
      </c>
      <c r="I1574" s="157">
        <f t="shared" si="87"/>
        <v>15</v>
      </c>
      <c r="J1574" s="157">
        <f t="shared" si="88"/>
        <v>50</v>
      </c>
      <c r="K1574" t="s">
        <v>1780</v>
      </c>
    </row>
    <row r="1575" spans="1:11" ht="15" customHeight="1" x14ac:dyDescent="0.2">
      <c r="A1575" s="157">
        <v>1574</v>
      </c>
      <c r="B1575" s="163">
        <v>46365</v>
      </c>
      <c r="C1575" s="157">
        <f t="shared" si="84"/>
        <v>0</v>
      </c>
      <c r="D1575" s="157">
        <v>0</v>
      </c>
      <c r="E1575" s="157">
        <f t="shared" si="85"/>
        <v>0</v>
      </c>
      <c r="F1575" s="157" t="str">
        <f t="shared" si="86"/>
        <v>Wednesday</v>
      </c>
      <c r="H1575" s="165">
        <v>1</v>
      </c>
      <c r="I1575" s="157">
        <f t="shared" si="87"/>
        <v>15</v>
      </c>
      <c r="J1575" s="157">
        <f t="shared" si="88"/>
        <v>50</v>
      </c>
      <c r="K1575" t="s">
        <v>1780</v>
      </c>
    </row>
    <row r="1576" spans="1:11" ht="15" customHeight="1" x14ac:dyDescent="0.2">
      <c r="A1576" s="157">
        <v>1575</v>
      </c>
      <c r="B1576" s="163">
        <v>46366</v>
      </c>
      <c r="C1576" s="157">
        <f t="shared" si="84"/>
        <v>0</v>
      </c>
      <c r="D1576" s="157">
        <v>0</v>
      </c>
      <c r="E1576" s="157">
        <f t="shared" si="85"/>
        <v>0</v>
      </c>
      <c r="F1576" s="157" t="str">
        <f t="shared" si="86"/>
        <v>Thursday</v>
      </c>
      <c r="H1576" s="165">
        <v>1</v>
      </c>
      <c r="I1576" s="157">
        <f t="shared" si="87"/>
        <v>15</v>
      </c>
      <c r="J1576" s="157">
        <f t="shared" si="88"/>
        <v>50</v>
      </c>
      <c r="K1576" t="s">
        <v>1780</v>
      </c>
    </row>
    <row r="1577" spans="1:11" ht="15" customHeight="1" x14ac:dyDescent="0.2">
      <c r="A1577" s="157">
        <v>1576</v>
      </c>
      <c r="B1577" s="163">
        <v>46367</v>
      </c>
      <c r="C1577" s="157">
        <f t="shared" si="84"/>
        <v>0</v>
      </c>
      <c r="D1577" s="157">
        <v>0</v>
      </c>
      <c r="E1577" s="157">
        <f t="shared" si="85"/>
        <v>0</v>
      </c>
      <c r="F1577" s="157" t="str">
        <f t="shared" si="86"/>
        <v>Friday</v>
      </c>
      <c r="H1577" s="165">
        <v>1</v>
      </c>
      <c r="I1577" s="157">
        <f t="shared" si="87"/>
        <v>15</v>
      </c>
      <c r="J1577" s="157">
        <f t="shared" si="88"/>
        <v>50</v>
      </c>
      <c r="K1577" t="s">
        <v>1780</v>
      </c>
    </row>
    <row r="1578" spans="1:11" ht="15" customHeight="1" x14ac:dyDescent="0.2">
      <c r="A1578" s="157">
        <v>1577</v>
      </c>
      <c r="B1578" s="163">
        <v>46368</v>
      </c>
      <c r="C1578" s="157">
        <f t="shared" ref="C1578:C1623" si="89">IF(OR(WEEKDAY(B1578) = 7, WEEKDAY(B1578) = 1), 1, 0)</f>
        <v>1</v>
      </c>
      <c r="D1578" s="157">
        <v>0</v>
      </c>
      <c r="E1578" s="157">
        <f t="shared" ref="E1578:E1623" si="90">IF((C1578+D1578)&gt;0, 1, 0)</f>
        <v>1</v>
      </c>
      <c r="F1578" s="157" t="str">
        <f t="shared" ref="F1578:F1623" si="91">TEXT(B1578, "dddd")</f>
        <v>Saturday</v>
      </c>
      <c r="H1578" s="165">
        <v>1</v>
      </c>
      <c r="I1578" s="157">
        <f t="shared" ref="I1578:I1623" si="92">IF(J1578&gt;J1577, IF(H1578&lt;&gt;H1577,1, I1577+1),I1577)</f>
        <v>15</v>
      </c>
      <c r="J1578" s="157">
        <f t="shared" ref="J1578:J1623" si="93">_xlfn.ISOWEEKNUM(B1578)</f>
        <v>50</v>
      </c>
      <c r="K1578" t="s">
        <v>1780</v>
      </c>
    </row>
    <row r="1579" spans="1:11" ht="15" customHeight="1" x14ac:dyDescent="0.2">
      <c r="A1579" s="157">
        <v>1578</v>
      </c>
      <c r="B1579" s="163">
        <v>46369</v>
      </c>
      <c r="C1579" s="157">
        <f t="shared" si="89"/>
        <v>1</v>
      </c>
      <c r="D1579" s="157">
        <v>0</v>
      </c>
      <c r="E1579" s="157">
        <f t="shared" si="90"/>
        <v>1</v>
      </c>
      <c r="F1579" s="157" t="str">
        <f t="shared" si="91"/>
        <v>Sunday</v>
      </c>
      <c r="H1579" s="165">
        <v>1</v>
      </c>
      <c r="I1579" s="157">
        <f t="shared" si="92"/>
        <v>15</v>
      </c>
      <c r="J1579" s="157">
        <f t="shared" si="93"/>
        <v>50</v>
      </c>
      <c r="K1579" t="s">
        <v>1780</v>
      </c>
    </row>
    <row r="1580" spans="1:11" ht="15" customHeight="1" x14ac:dyDescent="0.2">
      <c r="A1580" s="157">
        <v>1579</v>
      </c>
      <c r="B1580" s="163">
        <v>46370</v>
      </c>
      <c r="C1580" s="157">
        <f t="shared" si="89"/>
        <v>0</v>
      </c>
      <c r="D1580" s="157">
        <v>0</v>
      </c>
      <c r="E1580" s="157">
        <f t="shared" si="90"/>
        <v>0</v>
      </c>
      <c r="F1580" s="157" t="str">
        <f t="shared" si="91"/>
        <v>Monday</v>
      </c>
      <c r="H1580" s="165">
        <v>1</v>
      </c>
      <c r="I1580" s="157">
        <f t="shared" si="92"/>
        <v>16</v>
      </c>
      <c r="J1580" s="157">
        <f t="shared" si="93"/>
        <v>51</v>
      </c>
      <c r="K1580" t="s">
        <v>1780</v>
      </c>
    </row>
    <row r="1581" spans="1:11" ht="15" customHeight="1" x14ac:dyDescent="0.2">
      <c r="A1581" s="157">
        <v>1580</v>
      </c>
      <c r="B1581" s="163">
        <v>46371</v>
      </c>
      <c r="C1581" s="157">
        <f t="shared" si="89"/>
        <v>0</v>
      </c>
      <c r="D1581" s="157">
        <v>0</v>
      </c>
      <c r="E1581" s="157">
        <f t="shared" si="90"/>
        <v>0</v>
      </c>
      <c r="F1581" s="157" t="str">
        <f t="shared" si="91"/>
        <v>Tuesday</v>
      </c>
      <c r="H1581" s="165">
        <v>1</v>
      </c>
      <c r="I1581" s="157">
        <f t="shared" si="92"/>
        <v>16</v>
      </c>
      <c r="J1581" s="157">
        <f t="shared" si="93"/>
        <v>51</v>
      </c>
      <c r="K1581" t="s">
        <v>1780</v>
      </c>
    </row>
    <row r="1582" spans="1:11" ht="15" customHeight="1" x14ac:dyDescent="0.2">
      <c r="A1582" s="157">
        <v>1581</v>
      </c>
      <c r="B1582" s="163">
        <v>46372</v>
      </c>
      <c r="C1582" s="157">
        <f t="shared" si="89"/>
        <v>0</v>
      </c>
      <c r="D1582" s="157">
        <v>0</v>
      </c>
      <c r="E1582" s="157">
        <f t="shared" si="90"/>
        <v>0</v>
      </c>
      <c r="F1582" s="157" t="str">
        <f t="shared" si="91"/>
        <v>Wednesday</v>
      </c>
      <c r="H1582" s="165">
        <v>1</v>
      </c>
      <c r="I1582" s="157">
        <f t="shared" si="92"/>
        <v>16</v>
      </c>
      <c r="J1582" s="157">
        <f t="shared" si="93"/>
        <v>51</v>
      </c>
      <c r="K1582" t="s">
        <v>1780</v>
      </c>
    </row>
    <row r="1583" spans="1:11" ht="15" customHeight="1" x14ac:dyDescent="0.2">
      <c r="A1583" s="157">
        <v>1582</v>
      </c>
      <c r="B1583" s="163">
        <v>46373</v>
      </c>
      <c r="C1583" s="157">
        <f t="shared" si="89"/>
        <v>0</v>
      </c>
      <c r="D1583" s="157">
        <v>0</v>
      </c>
      <c r="E1583" s="157">
        <f t="shared" si="90"/>
        <v>0</v>
      </c>
      <c r="F1583" s="157" t="str">
        <f t="shared" si="91"/>
        <v>Thursday</v>
      </c>
      <c r="H1583" s="165">
        <v>1</v>
      </c>
      <c r="I1583" s="157">
        <f t="shared" si="92"/>
        <v>16</v>
      </c>
      <c r="J1583" s="157">
        <f t="shared" si="93"/>
        <v>51</v>
      </c>
      <c r="K1583" t="s">
        <v>1780</v>
      </c>
    </row>
    <row r="1584" spans="1:11" ht="15" customHeight="1" x14ac:dyDescent="0.2">
      <c r="A1584" s="157">
        <v>1583</v>
      </c>
      <c r="B1584" s="163">
        <v>46374</v>
      </c>
      <c r="C1584" s="157">
        <f t="shared" si="89"/>
        <v>0</v>
      </c>
      <c r="D1584" s="157">
        <v>0</v>
      </c>
      <c r="E1584" s="157">
        <f t="shared" si="90"/>
        <v>0</v>
      </c>
      <c r="F1584" s="157" t="str">
        <f t="shared" si="91"/>
        <v>Friday</v>
      </c>
      <c r="H1584" s="165">
        <v>1</v>
      </c>
      <c r="I1584" s="157">
        <f t="shared" si="92"/>
        <v>16</v>
      </c>
      <c r="J1584" s="157">
        <f t="shared" si="93"/>
        <v>51</v>
      </c>
      <c r="K1584" t="s">
        <v>1780</v>
      </c>
    </row>
    <row r="1585" spans="1:11" ht="15" customHeight="1" x14ac:dyDescent="0.2">
      <c r="A1585" s="157">
        <v>1584</v>
      </c>
      <c r="B1585" s="163">
        <v>46375</v>
      </c>
      <c r="C1585" s="157">
        <f t="shared" si="89"/>
        <v>1</v>
      </c>
      <c r="D1585" s="157">
        <v>0</v>
      </c>
      <c r="E1585" s="157">
        <f t="shared" si="90"/>
        <v>1</v>
      </c>
      <c r="F1585" s="157" t="str">
        <f t="shared" si="91"/>
        <v>Saturday</v>
      </c>
      <c r="H1585" s="165">
        <v>1</v>
      </c>
      <c r="I1585" s="157">
        <f t="shared" si="92"/>
        <v>16</v>
      </c>
      <c r="J1585" s="157">
        <f t="shared" si="93"/>
        <v>51</v>
      </c>
      <c r="K1585" t="s">
        <v>1780</v>
      </c>
    </row>
    <row r="1586" spans="1:11" ht="15" customHeight="1" x14ac:dyDescent="0.2">
      <c r="A1586" s="157">
        <v>1585</v>
      </c>
      <c r="B1586" s="163">
        <v>46376</v>
      </c>
      <c r="C1586" s="157">
        <f t="shared" si="89"/>
        <v>1</v>
      </c>
      <c r="D1586" s="157">
        <v>0</v>
      </c>
      <c r="E1586" s="157">
        <f t="shared" si="90"/>
        <v>1</v>
      </c>
      <c r="F1586" s="157" t="str">
        <f t="shared" si="91"/>
        <v>Sunday</v>
      </c>
      <c r="H1586" s="165">
        <v>1</v>
      </c>
      <c r="I1586" s="157">
        <f t="shared" si="92"/>
        <v>16</v>
      </c>
      <c r="J1586" s="157">
        <f t="shared" si="93"/>
        <v>51</v>
      </c>
      <c r="K1586" t="s">
        <v>1780</v>
      </c>
    </row>
    <row r="1587" spans="1:11" ht="15" customHeight="1" x14ac:dyDescent="0.2">
      <c r="A1587" s="157">
        <v>1586</v>
      </c>
      <c r="B1587" s="163">
        <v>46377</v>
      </c>
      <c r="C1587" s="157">
        <f t="shared" si="89"/>
        <v>0</v>
      </c>
      <c r="D1587" s="157">
        <v>0</v>
      </c>
      <c r="E1587" s="157">
        <f t="shared" si="90"/>
        <v>0</v>
      </c>
      <c r="F1587" s="157" t="str">
        <f t="shared" si="91"/>
        <v>Monday</v>
      </c>
      <c r="H1587" s="165">
        <v>1</v>
      </c>
      <c r="I1587" s="157">
        <f t="shared" si="92"/>
        <v>17</v>
      </c>
      <c r="J1587" s="157">
        <f t="shared" si="93"/>
        <v>52</v>
      </c>
      <c r="K1587" t="s">
        <v>1780</v>
      </c>
    </row>
    <row r="1588" spans="1:11" ht="15" customHeight="1" x14ac:dyDescent="0.2">
      <c r="A1588" s="157">
        <v>1587</v>
      </c>
      <c r="B1588" s="163">
        <v>46378</v>
      </c>
      <c r="C1588" s="157">
        <f t="shared" si="89"/>
        <v>0</v>
      </c>
      <c r="D1588" s="157">
        <v>0</v>
      </c>
      <c r="E1588" s="157">
        <f t="shared" si="90"/>
        <v>0</v>
      </c>
      <c r="F1588" s="157" t="str">
        <f t="shared" si="91"/>
        <v>Tuesday</v>
      </c>
      <c r="H1588" s="165">
        <v>1</v>
      </c>
      <c r="I1588" s="157">
        <f t="shared" si="92"/>
        <v>17</v>
      </c>
      <c r="J1588" s="157">
        <f t="shared" si="93"/>
        <v>52</v>
      </c>
      <c r="K1588" t="s">
        <v>1780</v>
      </c>
    </row>
    <row r="1589" spans="1:11" ht="15" customHeight="1" x14ac:dyDescent="0.2">
      <c r="A1589" s="157">
        <v>1588</v>
      </c>
      <c r="B1589" s="163">
        <v>46379</v>
      </c>
      <c r="C1589" s="157">
        <f t="shared" si="89"/>
        <v>0</v>
      </c>
      <c r="D1589" s="157">
        <v>0</v>
      </c>
      <c r="E1589" s="157">
        <f t="shared" si="90"/>
        <v>0</v>
      </c>
      <c r="F1589" s="157" t="str">
        <f t="shared" si="91"/>
        <v>Wednesday</v>
      </c>
      <c r="H1589" s="165">
        <v>1</v>
      </c>
      <c r="I1589" s="157">
        <f t="shared" si="92"/>
        <v>17</v>
      </c>
      <c r="J1589" s="157">
        <f t="shared" si="93"/>
        <v>52</v>
      </c>
      <c r="K1589" t="s">
        <v>1780</v>
      </c>
    </row>
    <row r="1590" spans="1:11" ht="15" customHeight="1" x14ac:dyDescent="0.2">
      <c r="A1590" s="157">
        <v>1589</v>
      </c>
      <c r="B1590" s="163">
        <v>46380</v>
      </c>
      <c r="C1590" s="157">
        <f t="shared" si="89"/>
        <v>0</v>
      </c>
      <c r="D1590" s="157">
        <v>0</v>
      </c>
      <c r="E1590" s="157">
        <f t="shared" si="90"/>
        <v>0</v>
      </c>
      <c r="F1590" s="157" t="str">
        <f t="shared" si="91"/>
        <v>Thursday</v>
      </c>
      <c r="H1590" s="165">
        <v>1</v>
      </c>
      <c r="I1590" s="157">
        <f t="shared" si="92"/>
        <v>17</v>
      </c>
      <c r="J1590" s="157">
        <f t="shared" si="93"/>
        <v>52</v>
      </c>
      <c r="K1590" t="s">
        <v>1780</v>
      </c>
    </row>
    <row r="1591" spans="1:11" ht="15" customHeight="1" x14ac:dyDescent="0.2">
      <c r="A1591" s="157">
        <v>1590</v>
      </c>
      <c r="B1591" s="163">
        <v>46381</v>
      </c>
      <c r="C1591" s="157">
        <f t="shared" si="89"/>
        <v>0</v>
      </c>
      <c r="D1591" s="157">
        <v>0</v>
      </c>
      <c r="E1591" s="157">
        <f t="shared" si="90"/>
        <v>0</v>
      </c>
      <c r="F1591" s="157" t="str">
        <f t="shared" si="91"/>
        <v>Friday</v>
      </c>
      <c r="H1591" s="165">
        <v>1</v>
      </c>
      <c r="I1591" s="157">
        <f t="shared" si="92"/>
        <v>17</v>
      </c>
      <c r="J1591" s="157">
        <f t="shared" si="93"/>
        <v>52</v>
      </c>
      <c r="K1591" t="s">
        <v>1780</v>
      </c>
    </row>
    <row r="1592" spans="1:11" ht="15" customHeight="1" x14ac:dyDescent="0.2">
      <c r="A1592" s="157">
        <v>1591</v>
      </c>
      <c r="B1592" s="163">
        <v>46382</v>
      </c>
      <c r="C1592" s="157">
        <f t="shared" si="89"/>
        <v>1</v>
      </c>
      <c r="D1592" s="157">
        <v>0</v>
      </c>
      <c r="E1592" s="157">
        <f t="shared" si="90"/>
        <v>1</v>
      </c>
      <c r="F1592" s="157" t="str">
        <f t="shared" si="91"/>
        <v>Saturday</v>
      </c>
      <c r="H1592" s="165">
        <v>1</v>
      </c>
      <c r="I1592" s="157">
        <f t="shared" si="92"/>
        <v>17</v>
      </c>
      <c r="J1592" s="157">
        <f t="shared" si="93"/>
        <v>52</v>
      </c>
      <c r="K1592" t="s">
        <v>1780</v>
      </c>
    </row>
    <row r="1593" spans="1:11" ht="15" customHeight="1" x14ac:dyDescent="0.2">
      <c r="A1593" s="157">
        <v>1592</v>
      </c>
      <c r="B1593" s="163">
        <v>46383</v>
      </c>
      <c r="C1593" s="157">
        <f t="shared" si="89"/>
        <v>1</v>
      </c>
      <c r="D1593" s="157">
        <v>0</v>
      </c>
      <c r="E1593" s="157">
        <f t="shared" si="90"/>
        <v>1</v>
      </c>
      <c r="F1593" s="157" t="str">
        <f t="shared" si="91"/>
        <v>Sunday</v>
      </c>
      <c r="H1593" s="165">
        <v>1</v>
      </c>
      <c r="I1593" s="157">
        <f t="shared" si="92"/>
        <v>17</v>
      </c>
      <c r="J1593" s="157">
        <f t="shared" si="93"/>
        <v>52</v>
      </c>
      <c r="K1593" t="s">
        <v>1780</v>
      </c>
    </row>
    <row r="1594" spans="1:11" ht="15" customHeight="1" x14ac:dyDescent="0.2">
      <c r="A1594" s="157">
        <v>1593</v>
      </c>
      <c r="B1594" s="163">
        <v>46384</v>
      </c>
      <c r="C1594" s="157">
        <f t="shared" si="89"/>
        <v>0</v>
      </c>
      <c r="D1594" s="157">
        <v>0</v>
      </c>
      <c r="E1594" s="157">
        <f t="shared" si="90"/>
        <v>0</v>
      </c>
      <c r="F1594" s="157" t="str">
        <f t="shared" si="91"/>
        <v>Monday</v>
      </c>
      <c r="H1594" s="165">
        <v>1</v>
      </c>
      <c r="I1594" s="157">
        <f t="shared" si="92"/>
        <v>18</v>
      </c>
      <c r="J1594" s="157">
        <f t="shared" si="93"/>
        <v>53</v>
      </c>
      <c r="K1594" t="s">
        <v>1780</v>
      </c>
    </row>
    <row r="1595" spans="1:11" ht="15" customHeight="1" x14ac:dyDescent="0.2">
      <c r="A1595" s="157">
        <v>1594</v>
      </c>
      <c r="B1595" s="163">
        <v>46385</v>
      </c>
      <c r="C1595" s="157">
        <f t="shared" si="89"/>
        <v>0</v>
      </c>
      <c r="D1595" s="157">
        <v>0</v>
      </c>
      <c r="E1595" s="157">
        <f t="shared" si="90"/>
        <v>0</v>
      </c>
      <c r="F1595" s="157" t="str">
        <f t="shared" si="91"/>
        <v>Tuesday</v>
      </c>
      <c r="H1595" s="165">
        <v>1</v>
      </c>
      <c r="I1595" s="157">
        <f t="shared" si="92"/>
        <v>18</v>
      </c>
      <c r="J1595" s="157">
        <f t="shared" si="93"/>
        <v>53</v>
      </c>
      <c r="K1595" t="s">
        <v>1780</v>
      </c>
    </row>
    <row r="1596" spans="1:11" ht="15" customHeight="1" x14ac:dyDescent="0.2">
      <c r="A1596" s="157">
        <v>1595</v>
      </c>
      <c r="B1596" s="163">
        <v>46386</v>
      </c>
      <c r="C1596" s="157">
        <f t="shared" si="89"/>
        <v>0</v>
      </c>
      <c r="D1596" s="157">
        <v>0</v>
      </c>
      <c r="E1596" s="157">
        <f t="shared" si="90"/>
        <v>0</v>
      </c>
      <c r="F1596" s="157" t="str">
        <f t="shared" si="91"/>
        <v>Wednesday</v>
      </c>
      <c r="H1596" s="165">
        <v>1</v>
      </c>
      <c r="I1596" s="157">
        <f t="shared" si="92"/>
        <v>18</v>
      </c>
      <c r="J1596" s="157">
        <f t="shared" si="93"/>
        <v>53</v>
      </c>
      <c r="K1596" t="s">
        <v>1780</v>
      </c>
    </row>
    <row r="1597" spans="1:11" ht="15" customHeight="1" x14ac:dyDescent="0.2">
      <c r="A1597" s="157">
        <v>1596</v>
      </c>
      <c r="B1597" s="163">
        <v>46387</v>
      </c>
      <c r="C1597" s="157">
        <f t="shared" si="89"/>
        <v>0</v>
      </c>
      <c r="D1597" s="157">
        <v>0</v>
      </c>
      <c r="E1597" s="157">
        <f t="shared" si="90"/>
        <v>0</v>
      </c>
      <c r="F1597" s="157" t="str">
        <f t="shared" si="91"/>
        <v>Thursday</v>
      </c>
      <c r="H1597" s="165">
        <v>1</v>
      </c>
      <c r="I1597" s="157">
        <f t="shared" si="92"/>
        <v>18</v>
      </c>
      <c r="J1597" s="157">
        <f t="shared" si="93"/>
        <v>53</v>
      </c>
      <c r="K1597" t="s">
        <v>1780</v>
      </c>
    </row>
    <row r="1598" spans="1:11" ht="15" customHeight="1" x14ac:dyDescent="0.2">
      <c r="A1598" s="157">
        <v>1597</v>
      </c>
      <c r="B1598" s="163">
        <v>46388</v>
      </c>
      <c r="C1598" s="157">
        <f t="shared" si="89"/>
        <v>0</v>
      </c>
      <c r="D1598" s="157">
        <v>0</v>
      </c>
      <c r="E1598" s="157">
        <f t="shared" si="90"/>
        <v>0</v>
      </c>
      <c r="F1598" s="157" t="str">
        <f t="shared" si="91"/>
        <v>Friday</v>
      </c>
      <c r="H1598" s="165">
        <v>1</v>
      </c>
      <c r="I1598" s="157">
        <f t="shared" si="92"/>
        <v>18</v>
      </c>
      <c r="J1598" s="157">
        <f t="shared" si="93"/>
        <v>53</v>
      </c>
      <c r="K1598" t="s">
        <v>1780</v>
      </c>
    </row>
    <row r="1599" spans="1:11" ht="15" customHeight="1" x14ac:dyDescent="0.2">
      <c r="A1599" s="157">
        <v>1598</v>
      </c>
      <c r="B1599" s="163">
        <v>46389</v>
      </c>
      <c r="C1599" s="157">
        <f t="shared" si="89"/>
        <v>1</v>
      </c>
      <c r="D1599" s="157">
        <v>0</v>
      </c>
      <c r="E1599" s="157">
        <f t="shared" si="90"/>
        <v>1</v>
      </c>
      <c r="F1599" s="157" t="str">
        <f t="shared" si="91"/>
        <v>Saturday</v>
      </c>
      <c r="H1599" s="165">
        <v>1</v>
      </c>
      <c r="I1599" s="157">
        <f t="shared" si="92"/>
        <v>18</v>
      </c>
      <c r="J1599" s="157">
        <f t="shared" si="93"/>
        <v>53</v>
      </c>
      <c r="K1599" t="s">
        <v>1780</v>
      </c>
    </row>
    <row r="1600" spans="1:11" ht="15" customHeight="1" x14ac:dyDescent="0.2">
      <c r="A1600" s="157">
        <v>1599</v>
      </c>
      <c r="B1600" s="163">
        <v>46390</v>
      </c>
      <c r="C1600" s="157">
        <f t="shared" si="89"/>
        <v>1</v>
      </c>
      <c r="D1600" s="157">
        <v>0</v>
      </c>
      <c r="E1600" s="157">
        <f t="shared" si="90"/>
        <v>1</v>
      </c>
      <c r="F1600" s="157" t="str">
        <f t="shared" si="91"/>
        <v>Sunday</v>
      </c>
      <c r="H1600" s="165">
        <v>1</v>
      </c>
      <c r="I1600" s="157">
        <f t="shared" si="92"/>
        <v>18</v>
      </c>
      <c r="J1600" s="157">
        <f t="shared" si="93"/>
        <v>53</v>
      </c>
      <c r="K1600" t="s">
        <v>1780</v>
      </c>
    </row>
    <row r="1601" spans="1:13" ht="15" customHeight="1" x14ac:dyDescent="0.2">
      <c r="A1601" s="157">
        <v>1600</v>
      </c>
      <c r="B1601" s="163">
        <v>46391</v>
      </c>
      <c r="C1601" s="157">
        <f t="shared" si="89"/>
        <v>0</v>
      </c>
      <c r="D1601" s="157">
        <v>0</v>
      </c>
      <c r="E1601" s="157">
        <f t="shared" si="90"/>
        <v>0</v>
      </c>
      <c r="F1601" s="157" t="str">
        <f t="shared" si="91"/>
        <v>Monday</v>
      </c>
      <c r="H1601" s="165">
        <v>1</v>
      </c>
      <c r="I1601" s="157">
        <f t="shared" si="92"/>
        <v>18</v>
      </c>
      <c r="J1601" s="157">
        <f t="shared" si="93"/>
        <v>1</v>
      </c>
      <c r="K1601" t="s">
        <v>1780</v>
      </c>
    </row>
    <row r="1602" spans="1:13" ht="15" customHeight="1" x14ac:dyDescent="0.2">
      <c r="A1602" s="157">
        <v>1601</v>
      </c>
      <c r="B1602" s="163">
        <v>46392</v>
      </c>
      <c r="C1602" s="157">
        <f t="shared" si="89"/>
        <v>0</v>
      </c>
      <c r="D1602" s="157">
        <v>0</v>
      </c>
      <c r="E1602" s="157">
        <f t="shared" si="90"/>
        <v>0</v>
      </c>
      <c r="F1602" s="157" t="str">
        <f t="shared" si="91"/>
        <v>Tuesday</v>
      </c>
      <c r="H1602" s="165">
        <v>1</v>
      </c>
      <c r="I1602" s="157">
        <f t="shared" si="92"/>
        <v>18</v>
      </c>
      <c r="J1602" s="157">
        <f t="shared" si="93"/>
        <v>1</v>
      </c>
      <c r="K1602" t="s">
        <v>1780</v>
      </c>
    </row>
    <row r="1603" spans="1:13" ht="15" customHeight="1" x14ac:dyDescent="0.2">
      <c r="A1603" s="157">
        <v>1602</v>
      </c>
      <c r="B1603" s="163">
        <v>46393</v>
      </c>
      <c r="C1603" s="157">
        <f t="shared" si="89"/>
        <v>0</v>
      </c>
      <c r="D1603" s="157">
        <v>0</v>
      </c>
      <c r="E1603" s="157">
        <f t="shared" si="90"/>
        <v>0</v>
      </c>
      <c r="F1603" s="157" t="str">
        <f t="shared" si="91"/>
        <v>Wednesday</v>
      </c>
      <c r="H1603" s="165">
        <v>1</v>
      </c>
      <c r="I1603" s="157">
        <f t="shared" si="92"/>
        <v>18</v>
      </c>
      <c r="J1603" s="157">
        <f t="shared" si="93"/>
        <v>1</v>
      </c>
      <c r="K1603" t="s">
        <v>1780</v>
      </c>
    </row>
    <row r="1604" spans="1:13" ht="15" customHeight="1" x14ac:dyDescent="0.2">
      <c r="A1604" s="157">
        <v>1603</v>
      </c>
      <c r="B1604" s="163">
        <v>46394</v>
      </c>
      <c r="C1604" s="157">
        <f t="shared" si="89"/>
        <v>0</v>
      </c>
      <c r="D1604" s="157">
        <v>0</v>
      </c>
      <c r="E1604" s="157">
        <f t="shared" si="90"/>
        <v>0</v>
      </c>
      <c r="F1604" s="157" t="str">
        <f t="shared" si="91"/>
        <v>Thursday</v>
      </c>
      <c r="H1604" s="165">
        <v>1</v>
      </c>
      <c r="I1604" s="157">
        <f t="shared" si="92"/>
        <v>18</v>
      </c>
      <c r="J1604" s="157">
        <f t="shared" si="93"/>
        <v>1</v>
      </c>
      <c r="K1604" t="s">
        <v>1780</v>
      </c>
    </row>
    <row r="1605" spans="1:13" ht="15" customHeight="1" x14ac:dyDescent="0.2">
      <c r="A1605" s="157">
        <v>1604</v>
      </c>
      <c r="B1605" s="163">
        <v>46395</v>
      </c>
      <c r="C1605" s="157">
        <f t="shared" si="89"/>
        <v>0</v>
      </c>
      <c r="D1605" s="157">
        <v>0</v>
      </c>
      <c r="E1605" s="157">
        <f t="shared" si="90"/>
        <v>0</v>
      </c>
      <c r="F1605" s="157" t="str">
        <f t="shared" si="91"/>
        <v>Friday</v>
      </c>
      <c r="H1605" s="165">
        <v>1</v>
      </c>
      <c r="I1605" s="157">
        <f t="shared" si="92"/>
        <v>18</v>
      </c>
      <c r="J1605" s="157">
        <f t="shared" si="93"/>
        <v>1</v>
      </c>
      <c r="K1605" t="s">
        <v>1780</v>
      </c>
    </row>
    <row r="1606" spans="1:13" ht="15" customHeight="1" x14ac:dyDescent="0.2">
      <c r="A1606" s="157">
        <v>1605</v>
      </c>
      <c r="B1606" s="163">
        <v>46396</v>
      </c>
      <c r="C1606" s="157">
        <f t="shared" si="89"/>
        <v>1</v>
      </c>
      <c r="D1606" s="157">
        <v>0</v>
      </c>
      <c r="E1606" s="157">
        <f t="shared" si="90"/>
        <v>1</v>
      </c>
      <c r="F1606" s="157" t="str">
        <f t="shared" si="91"/>
        <v>Saturday</v>
      </c>
      <c r="H1606" s="165">
        <v>1</v>
      </c>
      <c r="I1606" s="157">
        <f t="shared" si="92"/>
        <v>18</v>
      </c>
      <c r="J1606" s="157">
        <f t="shared" si="93"/>
        <v>1</v>
      </c>
      <c r="K1606" t="s">
        <v>1780</v>
      </c>
    </row>
    <row r="1607" spans="1:13" ht="15" customHeight="1" x14ac:dyDescent="0.2">
      <c r="A1607" s="157">
        <v>1606</v>
      </c>
      <c r="B1607" s="163">
        <v>46397</v>
      </c>
      <c r="C1607" s="157">
        <f t="shared" si="89"/>
        <v>1</v>
      </c>
      <c r="D1607" s="157">
        <v>0</v>
      </c>
      <c r="E1607" s="157">
        <f t="shared" si="90"/>
        <v>1</v>
      </c>
      <c r="F1607" s="157" t="str">
        <f t="shared" si="91"/>
        <v>Sunday</v>
      </c>
      <c r="H1607" s="165">
        <v>1</v>
      </c>
      <c r="I1607" s="157">
        <f t="shared" si="92"/>
        <v>18</v>
      </c>
      <c r="J1607" s="157">
        <f t="shared" si="93"/>
        <v>1</v>
      </c>
      <c r="K1607" t="s">
        <v>1780</v>
      </c>
    </row>
    <row r="1608" spans="1:13" ht="15" customHeight="1" x14ac:dyDescent="0.2">
      <c r="A1608" s="157">
        <v>1607</v>
      </c>
      <c r="B1608" s="163">
        <v>46398</v>
      </c>
      <c r="C1608" s="157">
        <f t="shared" si="89"/>
        <v>0</v>
      </c>
      <c r="D1608" s="157">
        <v>0</v>
      </c>
      <c r="E1608" s="157">
        <f t="shared" si="90"/>
        <v>0</v>
      </c>
      <c r="F1608" s="157" t="str">
        <f t="shared" si="91"/>
        <v>Monday</v>
      </c>
      <c r="H1608" s="165">
        <v>1</v>
      </c>
      <c r="I1608" s="157">
        <f t="shared" si="92"/>
        <v>19</v>
      </c>
      <c r="J1608" s="157">
        <f t="shared" si="93"/>
        <v>2</v>
      </c>
      <c r="K1608" t="s">
        <v>1780</v>
      </c>
    </row>
    <row r="1609" spans="1:13" ht="15" customHeight="1" x14ac:dyDescent="0.2">
      <c r="A1609" s="157">
        <v>1608</v>
      </c>
      <c r="B1609" s="163">
        <v>46399</v>
      </c>
      <c r="C1609" s="157">
        <f t="shared" si="89"/>
        <v>0</v>
      </c>
      <c r="D1609" s="157">
        <v>0</v>
      </c>
      <c r="E1609" s="157">
        <f t="shared" si="90"/>
        <v>0</v>
      </c>
      <c r="F1609" s="157" t="str">
        <f t="shared" si="91"/>
        <v>Tuesday</v>
      </c>
      <c r="H1609" s="165">
        <v>1</v>
      </c>
      <c r="I1609" s="157">
        <f t="shared" si="92"/>
        <v>19</v>
      </c>
      <c r="J1609" s="157">
        <f t="shared" si="93"/>
        <v>2</v>
      </c>
      <c r="K1609" t="s">
        <v>1780</v>
      </c>
    </row>
    <row r="1610" spans="1:13" ht="15" customHeight="1" x14ac:dyDescent="0.2">
      <c r="A1610" s="157">
        <v>1609</v>
      </c>
      <c r="B1610" s="163">
        <v>46400</v>
      </c>
      <c r="C1610" s="157">
        <f t="shared" si="89"/>
        <v>0</v>
      </c>
      <c r="D1610" s="157">
        <v>0</v>
      </c>
      <c r="E1610" s="157">
        <f t="shared" si="90"/>
        <v>0</v>
      </c>
      <c r="F1610" s="157" t="str">
        <f t="shared" si="91"/>
        <v>Wednesday</v>
      </c>
      <c r="H1610" s="165">
        <v>1</v>
      </c>
      <c r="I1610" s="157">
        <f t="shared" si="92"/>
        <v>19</v>
      </c>
      <c r="J1610" s="157">
        <f t="shared" si="93"/>
        <v>2</v>
      </c>
      <c r="K1610" t="s">
        <v>1780</v>
      </c>
      <c r="M1610" s="45"/>
    </row>
    <row r="1611" spans="1:13" ht="15" customHeight="1" x14ac:dyDescent="0.2">
      <c r="A1611" s="157">
        <v>1610</v>
      </c>
      <c r="B1611" s="163">
        <v>46401</v>
      </c>
      <c r="C1611" s="157">
        <f t="shared" si="89"/>
        <v>0</v>
      </c>
      <c r="D1611" s="157">
        <v>0</v>
      </c>
      <c r="E1611" s="157">
        <f t="shared" si="90"/>
        <v>0</v>
      </c>
      <c r="F1611" s="157" t="str">
        <f t="shared" si="91"/>
        <v>Thursday</v>
      </c>
      <c r="H1611" s="165">
        <v>1</v>
      </c>
      <c r="I1611" s="157">
        <f t="shared" si="92"/>
        <v>19</v>
      </c>
      <c r="J1611" s="157">
        <f t="shared" si="93"/>
        <v>2</v>
      </c>
      <c r="K1611" t="s">
        <v>1780</v>
      </c>
    </row>
    <row r="1612" spans="1:13" ht="15" customHeight="1" x14ac:dyDescent="0.2">
      <c r="A1612" s="157">
        <v>1611</v>
      </c>
      <c r="B1612" s="163">
        <v>46402</v>
      </c>
      <c r="C1612" s="157">
        <f t="shared" si="89"/>
        <v>0</v>
      </c>
      <c r="D1612" s="157">
        <v>0</v>
      </c>
      <c r="E1612" s="157">
        <f t="shared" si="90"/>
        <v>0</v>
      </c>
      <c r="F1612" s="157" t="str">
        <f t="shared" si="91"/>
        <v>Friday</v>
      </c>
      <c r="H1612" s="165">
        <v>1</v>
      </c>
      <c r="I1612" s="157">
        <f t="shared" si="92"/>
        <v>19</v>
      </c>
      <c r="J1612" s="157">
        <f t="shared" si="93"/>
        <v>2</v>
      </c>
      <c r="K1612" t="s">
        <v>1780</v>
      </c>
    </row>
    <row r="1613" spans="1:13" ht="15" customHeight="1" x14ac:dyDescent="0.2">
      <c r="A1613" s="157">
        <v>1612</v>
      </c>
      <c r="B1613" s="163">
        <v>46403</v>
      </c>
      <c r="C1613" s="157">
        <f t="shared" si="89"/>
        <v>1</v>
      </c>
      <c r="D1613" s="157">
        <v>0</v>
      </c>
      <c r="E1613" s="157">
        <f t="shared" si="90"/>
        <v>1</v>
      </c>
      <c r="F1613" s="157" t="str">
        <f t="shared" si="91"/>
        <v>Saturday</v>
      </c>
      <c r="H1613" s="165">
        <v>1</v>
      </c>
      <c r="I1613" s="157">
        <f t="shared" si="92"/>
        <v>19</v>
      </c>
      <c r="J1613" s="157">
        <f t="shared" si="93"/>
        <v>2</v>
      </c>
      <c r="K1613" t="s">
        <v>1780</v>
      </c>
    </row>
    <row r="1614" spans="1:13" ht="15" customHeight="1" x14ac:dyDescent="0.2">
      <c r="A1614" s="157">
        <v>1613</v>
      </c>
      <c r="B1614" s="163">
        <v>46404</v>
      </c>
      <c r="C1614" s="157">
        <f t="shared" si="89"/>
        <v>1</v>
      </c>
      <c r="D1614" s="157">
        <v>0</v>
      </c>
      <c r="E1614" s="157">
        <f t="shared" si="90"/>
        <v>1</v>
      </c>
      <c r="F1614" s="157" t="str">
        <f t="shared" si="91"/>
        <v>Sunday</v>
      </c>
      <c r="H1614" s="165">
        <v>1</v>
      </c>
      <c r="I1614" s="157">
        <f t="shared" si="92"/>
        <v>19</v>
      </c>
      <c r="J1614" s="157">
        <f t="shared" si="93"/>
        <v>2</v>
      </c>
      <c r="K1614" t="s">
        <v>1780</v>
      </c>
    </row>
    <row r="1615" spans="1:13" ht="15" customHeight="1" x14ac:dyDescent="0.2">
      <c r="A1615" s="157">
        <v>1614</v>
      </c>
      <c r="B1615" s="163">
        <v>46405</v>
      </c>
      <c r="C1615" s="157">
        <f t="shared" si="89"/>
        <v>0</v>
      </c>
      <c r="D1615" s="157">
        <v>0</v>
      </c>
      <c r="E1615" s="157">
        <f t="shared" si="90"/>
        <v>0</v>
      </c>
      <c r="F1615" s="157" t="str">
        <f t="shared" si="91"/>
        <v>Monday</v>
      </c>
      <c r="H1615" s="165">
        <v>1</v>
      </c>
      <c r="I1615" s="157">
        <f t="shared" si="92"/>
        <v>20</v>
      </c>
      <c r="J1615" s="157">
        <f t="shared" si="93"/>
        <v>3</v>
      </c>
      <c r="K1615" t="s">
        <v>1780</v>
      </c>
    </row>
    <row r="1616" spans="1:13" ht="15" customHeight="1" x14ac:dyDescent="0.2">
      <c r="A1616" s="157">
        <v>1615</v>
      </c>
      <c r="B1616" s="163">
        <v>46406</v>
      </c>
      <c r="C1616" s="157">
        <f t="shared" si="89"/>
        <v>0</v>
      </c>
      <c r="D1616" s="157">
        <v>0</v>
      </c>
      <c r="E1616" s="157">
        <f t="shared" si="90"/>
        <v>0</v>
      </c>
      <c r="F1616" s="157" t="str">
        <f t="shared" si="91"/>
        <v>Tuesday</v>
      </c>
      <c r="H1616" s="165">
        <v>1</v>
      </c>
      <c r="I1616" s="157">
        <f t="shared" si="92"/>
        <v>20</v>
      </c>
      <c r="J1616" s="157">
        <f t="shared" si="93"/>
        <v>3</v>
      </c>
      <c r="K1616" t="s">
        <v>1780</v>
      </c>
    </row>
    <row r="1617" spans="1:11" ht="15" customHeight="1" x14ac:dyDescent="0.2">
      <c r="A1617" s="157">
        <v>1616</v>
      </c>
      <c r="B1617" s="163">
        <v>46407</v>
      </c>
      <c r="C1617" s="157">
        <f t="shared" si="89"/>
        <v>0</v>
      </c>
      <c r="D1617" s="157">
        <v>0</v>
      </c>
      <c r="E1617" s="157">
        <f t="shared" si="90"/>
        <v>0</v>
      </c>
      <c r="F1617" s="157" t="str">
        <f t="shared" si="91"/>
        <v>Wednesday</v>
      </c>
      <c r="H1617" s="165">
        <v>1</v>
      </c>
      <c r="I1617" s="157">
        <f t="shared" si="92"/>
        <v>20</v>
      </c>
      <c r="J1617" s="157">
        <f t="shared" si="93"/>
        <v>3</v>
      </c>
      <c r="K1617" t="s">
        <v>1780</v>
      </c>
    </row>
    <row r="1618" spans="1:11" ht="15" customHeight="1" x14ac:dyDescent="0.2">
      <c r="A1618" s="157">
        <v>1617</v>
      </c>
      <c r="B1618" s="163">
        <v>46408</v>
      </c>
      <c r="C1618" s="157">
        <f t="shared" si="89"/>
        <v>0</v>
      </c>
      <c r="D1618" s="157">
        <v>0</v>
      </c>
      <c r="E1618" s="157">
        <f t="shared" si="90"/>
        <v>0</v>
      </c>
      <c r="F1618" s="157" t="str">
        <f t="shared" si="91"/>
        <v>Thursday</v>
      </c>
      <c r="H1618" s="165">
        <v>1</v>
      </c>
      <c r="I1618" s="157">
        <f t="shared" si="92"/>
        <v>20</v>
      </c>
      <c r="J1618" s="157">
        <f t="shared" si="93"/>
        <v>3</v>
      </c>
      <c r="K1618" t="s">
        <v>1780</v>
      </c>
    </row>
    <row r="1619" spans="1:11" ht="15" customHeight="1" x14ac:dyDescent="0.2">
      <c r="A1619" s="157">
        <v>1618</v>
      </c>
      <c r="B1619" s="163">
        <v>46409</v>
      </c>
      <c r="C1619" s="157">
        <f t="shared" si="89"/>
        <v>0</v>
      </c>
      <c r="D1619" s="157">
        <v>0</v>
      </c>
      <c r="E1619" s="157">
        <f t="shared" si="90"/>
        <v>0</v>
      </c>
      <c r="F1619" s="157" t="str">
        <f t="shared" si="91"/>
        <v>Friday</v>
      </c>
      <c r="H1619" s="165">
        <v>1</v>
      </c>
      <c r="I1619" s="157">
        <f t="shared" si="92"/>
        <v>20</v>
      </c>
      <c r="J1619" s="157">
        <f t="shared" si="93"/>
        <v>3</v>
      </c>
      <c r="K1619" t="s">
        <v>1780</v>
      </c>
    </row>
    <row r="1620" spans="1:11" ht="15" customHeight="1" x14ac:dyDescent="0.2">
      <c r="A1620" s="157">
        <v>1619</v>
      </c>
      <c r="B1620" s="163">
        <v>46410</v>
      </c>
      <c r="C1620" s="157">
        <f t="shared" si="89"/>
        <v>1</v>
      </c>
      <c r="D1620" s="157">
        <v>0</v>
      </c>
      <c r="E1620" s="157">
        <f t="shared" si="90"/>
        <v>1</v>
      </c>
      <c r="F1620" s="157" t="str">
        <f t="shared" si="91"/>
        <v>Saturday</v>
      </c>
      <c r="H1620" s="165">
        <v>1</v>
      </c>
      <c r="I1620" s="157">
        <f t="shared" si="92"/>
        <v>20</v>
      </c>
      <c r="J1620" s="157">
        <f t="shared" si="93"/>
        <v>3</v>
      </c>
      <c r="K1620" t="s">
        <v>1780</v>
      </c>
    </row>
    <row r="1621" spans="1:11" ht="15" customHeight="1" x14ac:dyDescent="0.2">
      <c r="A1621" s="157">
        <v>1620</v>
      </c>
      <c r="B1621" s="163">
        <v>46411</v>
      </c>
      <c r="C1621" s="157">
        <f t="shared" si="89"/>
        <v>1</v>
      </c>
      <c r="D1621" s="157">
        <v>0</v>
      </c>
      <c r="E1621" s="157">
        <f t="shared" si="90"/>
        <v>1</v>
      </c>
      <c r="F1621" s="157" t="str">
        <f t="shared" si="91"/>
        <v>Sunday</v>
      </c>
      <c r="H1621" s="165">
        <v>1</v>
      </c>
      <c r="I1621" s="157">
        <f t="shared" si="92"/>
        <v>20</v>
      </c>
      <c r="J1621" s="157">
        <f t="shared" si="93"/>
        <v>3</v>
      </c>
      <c r="K1621" t="s">
        <v>1780</v>
      </c>
    </row>
    <row r="1622" spans="1:11" ht="15" customHeight="1" x14ac:dyDescent="0.2">
      <c r="A1622" s="157">
        <v>1621</v>
      </c>
      <c r="B1622" s="163">
        <v>46412</v>
      </c>
      <c r="C1622" s="157">
        <f t="shared" si="89"/>
        <v>0</v>
      </c>
      <c r="D1622" s="157">
        <v>0</v>
      </c>
      <c r="E1622" s="157">
        <f t="shared" si="90"/>
        <v>0</v>
      </c>
      <c r="F1622" s="157" t="str">
        <f t="shared" si="91"/>
        <v>Monday</v>
      </c>
      <c r="H1622" s="165">
        <v>1</v>
      </c>
      <c r="I1622" s="157">
        <f t="shared" si="92"/>
        <v>21</v>
      </c>
      <c r="J1622" s="157">
        <f t="shared" si="93"/>
        <v>4</v>
      </c>
      <c r="K1622" t="s">
        <v>1780</v>
      </c>
    </row>
    <row r="1623" spans="1:11" ht="15" customHeight="1" x14ac:dyDescent="0.2">
      <c r="A1623" s="157">
        <v>1622</v>
      </c>
      <c r="B1623" s="163">
        <v>46413</v>
      </c>
      <c r="C1623" s="157">
        <f t="shared" si="89"/>
        <v>0</v>
      </c>
      <c r="D1623" s="157">
        <v>0</v>
      </c>
      <c r="E1623" s="157">
        <f t="shared" si="90"/>
        <v>0</v>
      </c>
      <c r="F1623" s="157" t="str">
        <f t="shared" si="91"/>
        <v>Tuesday</v>
      </c>
      <c r="H1623" s="165">
        <v>1</v>
      </c>
      <c r="I1623" s="157">
        <f t="shared" si="92"/>
        <v>21</v>
      </c>
      <c r="J1623" s="157">
        <f t="shared" si="93"/>
        <v>4</v>
      </c>
      <c r="K1623" t="s">
        <v>1780</v>
      </c>
    </row>
  </sheetData>
  <autoFilter ref="A1:K1623" xr:uid="{E68843E2-E922-9E42-A194-9D0360C356FF}"/>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TODO</vt:lpstr>
      <vt:lpstr>2025-2026</vt:lpstr>
      <vt:lpstr>CourseContents</vt:lpstr>
      <vt:lpstr>Enrolment</vt:lpstr>
      <vt:lpstr>SPC</vt:lpstr>
      <vt:lpstr>Subject</vt:lpstr>
      <vt:lpstr>Course</vt:lpstr>
      <vt:lpstr>PACEs</vt:lpstr>
      <vt:lpstr>PACE</vt:lpstr>
      <vt:lpstr>PaceCourse</vt:lpstr>
      <vt:lpstr>Student</vt:lpstr>
      <vt:lpstr>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Bezemer</dc:creator>
  <cp:lastModifiedBy>Andrew Yong | ICS De Ceder</cp:lastModifiedBy>
  <dcterms:created xsi:type="dcterms:W3CDTF">2024-01-12T10:51:06Z</dcterms:created>
  <dcterms:modified xsi:type="dcterms:W3CDTF">2026-02-21T08:15:22Z</dcterms:modified>
</cp:coreProperties>
</file>