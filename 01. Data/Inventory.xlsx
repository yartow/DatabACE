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aff\Documents\GitHub\DatabACE\01. Data\"/>
    </mc:Choice>
  </mc:AlternateContent>
  <bookViews>
    <workbookView xWindow="0" yWindow="0" windowWidth="25200" windowHeight="11250"/>
  </bookViews>
  <sheets>
    <sheet name="PACE" sheetId="2" r:id="rId1"/>
  </sheets>
  <externalReferences>
    <externalReference r:id="rId2"/>
  </externalReferences>
  <definedNames>
    <definedName name="_xlnm._FilterDatabase" localSheetId="0" hidden="1">PACE!$A$1:$Q$1371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961" i="2" l="1"/>
  <c r="F961" i="2"/>
  <c r="O960" i="2"/>
  <c r="F960" i="2"/>
  <c r="O959" i="2"/>
  <c r="F959" i="2"/>
  <c r="O958" i="2"/>
  <c r="F958" i="2"/>
  <c r="O957" i="2"/>
  <c r="F957" i="2"/>
  <c r="O956" i="2"/>
  <c r="F956" i="2"/>
  <c r="E1371" i="2"/>
  <c r="E1344" i="2"/>
  <c r="O1371" i="2"/>
  <c r="F1361" i="2"/>
  <c r="O1361" i="2"/>
  <c r="F1362" i="2"/>
  <c r="O1362" i="2"/>
  <c r="F1363" i="2"/>
  <c r="O1363" i="2"/>
  <c r="F1364" i="2"/>
  <c r="O1364" i="2"/>
  <c r="F1365" i="2"/>
  <c r="O1365" i="2"/>
  <c r="F1366" i="2"/>
  <c r="O1366" i="2"/>
  <c r="F1367" i="2"/>
  <c r="O1367" i="2"/>
  <c r="F1368" i="2"/>
  <c r="O1368" i="2"/>
  <c r="F1369" i="2"/>
  <c r="O1369" i="2"/>
  <c r="F1370" i="2"/>
  <c r="O1370" i="2"/>
  <c r="G1361" i="2"/>
  <c r="E1361" i="2" s="1"/>
  <c r="M1361" i="2"/>
  <c r="O1217" i="2"/>
  <c r="O1218" i="2"/>
  <c r="O1209" i="2"/>
  <c r="O1210" i="2"/>
  <c r="O1211" i="2"/>
  <c r="O1212" i="2"/>
  <c r="O1213" i="2"/>
  <c r="O1214" i="2"/>
  <c r="O1215" i="2"/>
  <c r="O1216" i="2"/>
  <c r="F1218" i="2"/>
  <c r="F1217" i="2"/>
  <c r="F1216" i="2"/>
  <c r="F1215" i="2"/>
  <c r="F1214" i="2"/>
  <c r="F1213" i="2"/>
  <c r="F1212" i="2"/>
  <c r="F1211" i="2"/>
  <c r="F1210" i="2"/>
  <c r="F1209" i="2"/>
  <c r="M1217" i="2"/>
  <c r="G1218" i="2"/>
  <c r="E1218" i="2" s="1"/>
  <c r="O1219" i="2"/>
  <c r="F1219" i="2"/>
  <c r="O1220" i="2"/>
  <c r="F1220" i="2"/>
  <c r="G1369" i="2" l="1"/>
  <c r="E1369" i="2" s="1"/>
  <c r="G1209" i="2"/>
  <c r="E1209" i="2" s="1"/>
  <c r="G1212" i="2"/>
  <c r="E1212" i="2" s="1"/>
  <c r="G1215" i="2"/>
  <c r="E1215" i="2" s="1"/>
  <c r="G1370" i="2"/>
  <c r="E1370" i="2" s="1"/>
  <c r="M1370" i="2"/>
  <c r="M1369" i="2"/>
  <c r="M1368" i="2"/>
  <c r="M1367" i="2"/>
  <c r="M1366" i="2"/>
  <c r="M1365" i="2"/>
  <c r="M1364" i="2"/>
  <c r="M1363" i="2"/>
  <c r="M1362" i="2"/>
  <c r="G1368" i="2"/>
  <c r="E1368" i="2" s="1"/>
  <c r="G1367" i="2"/>
  <c r="E1367" i="2" s="1"/>
  <c r="G1366" i="2"/>
  <c r="E1366" i="2" s="1"/>
  <c r="G1365" i="2"/>
  <c r="E1365" i="2" s="1"/>
  <c r="G1364" i="2"/>
  <c r="E1364" i="2" s="1"/>
  <c r="G1363" i="2"/>
  <c r="E1363" i="2" s="1"/>
  <c r="G1362" i="2"/>
  <c r="E1362" i="2" s="1"/>
  <c r="G1217" i="2"/>
  <c r="E1217" i="2" s="1"/>
  <c r="G1214" i="2"/>
  <c r="E1214" i="2" s="1"/>
  <c r="M1216" i="2"/>
  <c r="M1214" i="2"/>
  <c r="M1212" i="2"/>
  <c r="M1210" i="2"/>
  <c r="M1218" i="2"/>
  <c r="G1211" i="2"/>
  <c r="E1211" i="2" s="1"/>
  <c r="G1213" i="2"/>
  <c r="E1213" i="2" s="1"/>
  <c r="G1216" i="2"/>
  <c r="E1216" i="2" s="1"/>
  <c r="G1210" i="2"/>
  <c r="E1210" i="2" s="1"/>
  <c r="M1215" i="2"/>
  <c r="M1213" i="2"/>
  <c r="M1211" i="2"/>
  <c r="M1209" i="2"/>
  <c r="G961" i="2" l="1"/>
  <c r="E961" i="2" s="1"/>
  <c r="G960" i="2"/>
  <c r="E960" i="2" s="1"/>
  <c r="G959" i="2"/>
  <c r="E959" i="2" s="1"/>
  <c r="G958" i="2"/>
  <c r="E958" i="2" s="1"/>
  <c r="G957" i="2"/>
  <c r="E957" i="2" s="1"/>
  <c r="G956" i="2"/>
  <c r="E956" i="2" s="1"/>
  <c r="G1219" i="2"/>
  <c r="E1219" i="2" s="1"/>
  <c r="G1220" i="2"/>
  <c r="E1220" i="2" s="1"/>
  <c r="M1371" i="2"/>
  <c r="M961" i="2" l="1"/>
  <c r="M960" i="2"/>
  <c r="M959" i="2"/>
  <c r="M958" i="2"/>
  <c r="M957" i="2"/>
  <c r="M956" i="2"/>
  <c r="M1220" i="2"/>
  <c r="M1219" i="2"/>
  <c r="F1356" i="2" l="1"/>
  <c r="O1356" i="2"/>
  <c r="F1357" i="2"/>
  <c r="O1357" i="2"/>
  <c r="F1358" i="2"/>
  <c r="O1358" i="2"/>
  <c r="F1359" i="2"/>
  <c r="O1359" i="2"/>
  <c r="F1360" i="2"/>
  <c r="O1360" i="2"/>
  <c r="O1355" i="2"/>
  <c r="F1355" i="2"/>
  <c r="F1349" i="2"/>
  <c r="M1349" i="2"/>
  <c r="O1349" i="2"/>
  <c r="F1350" i="2"/>
  <c r="M1350" i="2"/>
  <c r="O1350" i="2"/>
  <c r="F1351" i="2"/>
  <c r="M1351" i="2"/>
  <c r="O1351" i="2"/>
  <c r="F1352" i="2"/>
  <c r="M1352" i="2"/>
  <c r="O1352" i="2"/>
  <c r="F1353" i="2"/>
  <c r="M1353" i="2"/>
  <c r="O1353" i="2"/>
  <c r="F1354" i="2"/>
  <c r="M1354" i="2"/>
  <c r="O1354" i="2"/>
  <c r="O359" i="2"/>
  <c r="O1348" i="2"/>
  <c r="F1348" i="2"/>
  <c r="O1347" i="2"/>
  <c r="F1347" i="2"/>
  <c r="O1346" i="2"/>
  <c r="F1346" i="2"/>
  <c r="O1345" i="2"/>
  <c r="E1345" i="2"/>
  <c r="O1344" i="2"/>
  <c r="O1343" i="2"/>
  <c r="E1343" i="2"/>
  <c r="O1342" i="2"/>
  <c r="F1342" i="2"/>
  <c r="O1341" i="2"/>
  <c r="F1341" i="2"/>
  <c r="O1340" i="2"/>
  <c r="F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G1314" i="2"/>
  <c r="E1314" i="2" s="1"/>
  <c r="O1313" i="2"/>
  <c r="G1313" i="2"/>
  <c r="E1313" i="2" s="1"/>
  <c r="O1312" i="2"/>
  <c r="G1312" i="2"/>
  <c r="E1312" i="2" s="1"/>
  <c r="O1311" i="2"/>
  <c r="G1311" i="2"/>
  <c r="E1311" i="2" s="1"/>
  <c r="O1310" i="2"/>
  <c r="G1310" i="2"/>
  <c r="E1310" i="2" s="1"/>
  <c r="O1309" i="2"/>
  <c r="G1309" i="2"/>
  <c r="E1309" i="2" s="1"/>
  <c r="O1308" i="2"/>
  <c r="G1308" i="2"/>
  <c r="E1308" i="2" s="1"/>
  <c r="O1307" i="2"/>
  <c r="G1307" i="2"/>
  <c r="E1307" i="2" s="1"/>
  <c r="O1306" i="2"/>
  <c r="F1306" i="2"/>
  <c r="O1305" i="2"/>
  <c r="F1305" i="2"/>
  <c r="O1304" i="2"/>
  <c r="F1304" i="2"/>
  <c r="O1303" i="2"/>
  <c r="F1303" i="2"/>
  <c r="O1302" i="2"/>
  <c r="F1302" i="2"/>
  <c r="O1301" i="2"/>
  <c r="F1301" i="2"/>
  <c r="O1300" i="2"/>
  <c r="F1300" i="2"/>
  <c r="O1299" i="2"/>
  <c r="F1299" i="2"/>
  <c r="O1298" i="2"/>
  <c r="F1298" i="2"/>
  <c r="O1297" i="2"/>
  <c r="F1297" i="2"/>
  <c r="O1296" i="2"/>
  <c r="F1296" i="2"/>
  <c r="O1295" i="2"/>
  <c r="F1295" i="2"/>
  <c r="O1294" i="2"/>
  <c r="F1294" i="2"/>
  <c r="O1293" i="2"/>
  <c r="F1293" i="2"/>
  <c r="O1292" i="2"/>
  <c r="F1292" i="2"/>
  <c r="O1291" i="2"/>
  <c r="F1291" i="2"/>
  <c r="O1290" i="2"/>
  <c r="F1290" i="2"/>
  <c r="O1289" i="2"/>
  <c r="F1289" i="2"/>
  <c r="O1288" i="2"/>
  <c r="F1288" i="2"/>
  <c r="O1287" i="2"/>
  <c r="F1287" i="2"/>
  <c r="O1286" i="2"/>
  <c r="F1286" i="2"/>
  <c r="O1285" i="2"/>
  <c r="F1285" i="2"/>
  <c r="O1284" i="2"/>
  <c r="F1284" i="2"/>
  <c r="O1283" i="2"/>
  <c r="F1283" i="2"/>
  <c r="O1282" i="2"/>
  <c r="F1282" i="2"/>
  <c r="O1281" i="2"/>
  <c r="F1281" i="2"/>
  <c r="O1280" i="2"/>
  <c r="F1280" i="2"/>
  <c r="O1279" i="2"/>
  <c r="F1279" i="2"/>
  <c r="O1278" i="2"/>
  <c r="F1278" i="2"/>
  <c r="O1277" i="2"/>
  <c r="F1277" i="2"/>
  <c r="O1276" i="2"/>
  <c r="F1276" i="2"/>
  <c r="O1275" i="2"/>
  <c r="F1275" i="2"/>
  <c r="O1274" i="2"/>
  <c r="F1274" i="2"/>
  <c r="O1273" i="2"/>
  <c r="F1273" i="2"/>
  <c r="O1272" i="2"/>
  <c r="F1272" i="2"/>
  <c r="O1271" i="2"/>
  <c r="F1271" i="2"/>
  <c r="O1270" i="2"/>
  <c r="F1270" i="2"/>
  <c r="O1269" i="2"/>
  <c r="F1269" i="2"/>
  <c r="O1268" i="2"/>
  <c r="F1268" i="2"/>
  <c r="O1267" i="2"/>
  <c r="F1267" i="2"/>
  <c r="O1266" i="2"/>
  <c r="F1266" i="2"/>
  <c r="O1265" i="2"/>
  <c r="F1265" i="2"/>
  <c r="O1264" i="2"/>
  <c r="F1264" i="2"/>
  <c r="O1263" i="2"/>
  <c r="F1263" i="2"/>
  <c r="O1262" i="2"/>
  <c r="F1262" i="2"/>
  <c r="O1261" i="2"/>
  <c r="F1261" i="2"/>
  <c r="O1260" i="2"/>
  <c r="F1260" i="2"/>
  <c r="O1259" i="2"/>
  <c r="F1259" i="2"/>
  <c r="O1258" i="2"/>
  <c r="F1258" i="2"/>
  <c r="O1257" i="2"/>
  <c r="F1257" i="2"/>
  <c r="O1256" i="2"/>
  <c r="F1256" i="2"/>
  <c r="O1255" i="2"/>
  <c r="F1255" i="2"/>
  <c r="O1254" i="2"/>
  <c r="F1254" i="2"/>
  <c r="O1253" i="2"/>
  <c r="F1253" i="2"/>
  <c r="O1252" i="2"/>
  <c r="F1252" i="2"/>
  <c r="O1251" i="2"/>
  <c r="F1251" i="2"/>
  <c r="O1250" i="2"/>
  <c r="F1250" i="2"/>
  <c r="O1249" i="2"/>
  <c r="F1249" i="2"/>
  <c r="O1248" i="2"/>
  <c r="F1248" i="2"/>
  <c r="O1247" i="2"/>
  <c r="F1247" i="2"/>
  <c r="O1246" i="2"/>
  <c r="F1246" i="2"/>
  <c r="O1245" i="2"/>
  <c r="F1245" i="2"/>
  <c r="O1244" i="2"/>
  <c r="F1244" i="2"/>
  <c r="O1243" i="2"/>
  <c r="F1243" i="2"/>
  <c r="O1242" i="2"/>
  <c r="F1242" i="2"/>
  <c r="O1241" i="2"/>
  <c r="F1241" i="2"/>
  <c r="O1240" i="2"/>
  <c r="F1240" i="2"/>
  <c r="O1239" i="2"/>
  <c r="F1239" i="2"/>
  <c r="O1238" i="2"/>
  <c r="F1238" i="2"/>
  <c r="O1237" i="2"/>
  <c r="F1237" i="2"/>
  <c r="O1236" i="2"/>
  <c r="F1236" i="2"/>
  <c r="O1235" i="2"/>
  <c r="F1235" i="2"/>
  <c r="O1234" i="2"/>
  <c r="F1234" i="2"/>
  <c r="O1233" i="2"/>
  <c r="F1233" i="2"/>
  <c r="O1232" i="2"/>
  <c r="F1232" i="2"/>
  <c r="O1231" i="2"/>
  <c r="F1231" i="2"/>
  <c r="O1230" i="2"/>
  <c r="F1230" i="2"/>
  <c r="O1229" i="2"/>
  <c r="F1229" i="2"/>
  <c r="O1228" i="2"/>
  <c r="F1228" i="2"/>
  <c r="O1227" i="2"/>
  <c r="F1227" i="2"/>
  <c r="O1226" i="2"/>
  <c r="F1226" i="2"/>
  <c r="O1225" i="2"/>
  <c r="F1225" i="2"/>
  <c r="O1224" i="2"/>
  <c r="F1224" i="2"/>
  <c r="O1223" i="2"/>
  <c r="F1223" i="2"/>
  <c r="O1222" i="2"/>
  <c r="F1222" i="2"/>
  <c r="O1221" i="2"/>
  <c r="F1221" i="2"/>
  <c r="O1208" i="2"/>
  <c r="F1208" i="2"/>
  <c r="O1207" i="2"/>
  <c r="F1207" i="2"/>
  <c r="O1206" i="2"/>
  <c r="F1206" i="2"/>
  <c r="O1205" i="2"/>
  <c r="F1205" i="2"/>
  <c r="O1204" i="2"/>
  <c r="F1204" i="2"/>
  <c r="O1203" i="2"/>
  <c r="F1203" i="2"/>
  <c r="O1202" i="2"/>
  <c r="F1202" i="2"/>
  <c r="O1201" i="2"/>
  <c r="F1201" i="2"/>
  <c r="O1200" i="2"/>
  <c r="F1200" i="2"/>
  <c r="O1199" i="2"/>
  <c r="F1199" i="2"/>
  <c r="O1198" i="2"/>
  <c r="F1198" i="2"/>
  <c r="O1197" i="2"/>
  <c r="F1197" i="2"/>
  <c r="O1196" i="2"/>
  <c r="F1196" i="2"/>
  <c r="O1195" i="2"/>
  <c r="F1195" i="2"/>
  <c r="O1194" i="2"/>
  <c r="F1194" i="2"/>
  <c r="O1193" i="2"/>
  <c r="F1193" i="2"/>
  <c r="O1192" i="2"/>
  <c r="F1192" i="2"/>
  <c r="O1191" i="2"/>
  <c r="F1191" i="2"/>
  <c r="O1190" i="2"/>
  <c r="F1190" i="2"/>
  <c r="O1189" i="2"/>
  <c r="F1189" i="2"/>
  <c r="O1188" i="2"/>
  <c r="F1188" i="2"/>
  <c r="O1187" i="2"/>
  <c r="F1187" i="2"/>
  <c r="O1186" i="2"/>
  <c r="F1186" i="2"/>
  <c r="O1185" i="2"/>
  <c r="F1185" i="2"/>
  <c r="O1184" i="2"/>
  <c r="F1184" i="2"/>
  <c r="O1183" i="2"/>
  <c r="F1183" i="2"/>
  <c r="O1182" i="2"/>
  <c r="F1182" i="2"/>
  <c r="O1181" i="2"/>
  <c r="F1181" i="2"/>
  <c r="O1180" i="2"/>
  <c r="F1180" i="2"/>
  <c r="O1179" i="2"/>
  <c r="F1179" i="2"/>
  <c r="O1178" i="2"/>
  <c r="F1178" i="2"/>
  <c r="O1177" i="2"/>
  <c r="F1177" i="2"/>
  <c r="O1176" i="2"/>
  <c r="F1176" i="2"/>
  <c r="O1175" i="2"/>
  <c r="F1175" i="2"/>
  <c r="O1174" i="2"/>
  <c r="F1174" i="2"/>
  <c r="O1173" i="2"/>
  <c r="F1173" i="2"/>
  <c r="O1172" i="2"/>
  <c r="F1172" i="2"/>
  <c r="O1171" i="2"/>
  <c r="F1171" i="2"/>
  <c r="O1170" i="2"/>
  <c r="F1170" i="2"/>
  <c r="O1169" i="2"/>
  <c r="F1169" i="2"/>
  <c r="O1168" i="2"/>
  <c r="F1168" i="2"/>
  <c r="O1167" i="2"/>
  <c r="F1167" i="2"/>
  <c r="O1166" i="2"/>
  <c r="F1166" i="2"/>
  <c r="O1165" i="2"/>
  <c r="F1165" i="2"/>
  <c r="O1164" i="2"/>
  <c r="F1164" i="2"/>
  <c r="O1163" i="2"/>
  <c r="F1163" i="2"/>
  <c r="O1162" i="2"/>
  <c r="F1162" i="2"/>
  <c r="O1161" i="2"/>
  <c r="F1161" i="2"/>
  <c r="O1160" i="2"/>
  <c r="F1160" i="2"/>
  <c r="O1159" i="2"/>
  <c r="F1159" i="2"/>
  <c r="O1158" i="2"/>
  <c r="F1158" i="2"/>
  <c r="O1157" i="2"/>
  <c r="F1157" i="2"/>
  <c r="O1156" i="2"/>
  <c r="F1156" i="2"/>
  <c r="O1155" i="2"/>
  <c r="F1155" i="2"/>
  <c r="O1154" i="2"/>
  <c r="F1154" i="2"/>
  <c r="O1153" i="2"/>
  <c r="F1153" i="2"/>
  <c r="O1152" i="2"/>
  <c r="F1152" i="2"/>
  <c r="O1151" i="2"/>
  <c r="F1151" i="2"/>
  <c r="O1150" i="2"/>
  <c r="F1150" i="2"/>
  <c r="O1149" i="2"/>
  <c r="F1149" i="2"/>
  <c r="O1148" i="2"/>
  <c r="F1148" i="2"/>
  <c r="O1147" i="2"/>
  <c r="F1147" i="2"/>
  <c r="O1146" i="2"/>
  <c r="F1146" i="2"/>
  <c r="O1145" i="2"/>
  <c r="F1145" i="2"/>
  <c r="O1144" i="2"/>
  <c r="F1144" i="2"/>
  <c r="O1143" i="2"/>
  <c r="F1143" i="2"/>
  <c r="O1142" i="2"/>
  <c r="F1142" i="2"/>
  <c r="O1141" i="2"/>
  <c r="F1141" i="2"/>
  <c r="O1140" i="2"/>
  <c r="F1140" i="2"/>
  <c r="O1139" i="2"/>
  <c r="F1139" i="2"/>
  <c r="O1138" i="2"/>
  <c r="F1138" i="2"/>
  <c r="O1137" i="2"/>
  <c r="F1137" i="2"/>
  <c r="O1136" i="2"/>
  <c r="F1136" i="2"/>
  <c r="O1135" i="2"/>
  <c r="F1135" i="2"/>
  <c r="O1134" i="2"/>
  <c r="F1134" i="2"/>
  <c r="O1133" i="2"/>
  <c r="F1133" i="2"/>
  <c r="O1132" i="2"/>
  <c r="F1132" i="2"/>
  <c r="O1131" i="2"/>
  <c r="F1131" i="2"/>
  <c r="O1130" i="2"/>
  <c r="F1130" i="2"/>
  <c r="O1129" i="2"/>
  <c r="F1129" i="2"/>
  <c r="O1128" i="2"/>
  <c r="F1128" i="2"/>
  <c r="O1127" i="2"/>
  <c r="F1127" i="2"/>
  <c r="O1126" i="2"/>
  <c r="F1126" i="2"/>
  <c r="O1125" i="2"/>
  <c r="F1125" i="2"/>
  <c r="O1124" i="2"/>
  <c r="F1124" i="2"/>
  <c r="O1123" i="2"/>
  <c r="F1123" i="2"/>
  <c r="O1122" i="2"/>
  <c r="F1122" i="2"/>
  <c r="O1121" i="2"/>
  <c r="F1121" i="2"/>
  <c r="O1120" i="2"/>
  <c r="F1120" i="2"/>
  <c r="O1119" i="2"/>
  <c r="F1119" i="2"/>
  <c r="O1118" i="2"/>
  <c r="F1118" i="2"/>
  <c r="O1117" i="2"/>
  <c r="F1117" i="2"/>
  <c r="O1116" i="2"/>
  <c r="F1116" i="2"/>
  <c r="O1115" i="2"/>
  <c r="F1115" i="2"/>
  <c r="O1114" i="2"/>
  <c r="F1114" i="2"/>
  <c r="O1113" i="2"/>
  <c r="F1113" i="2"/>
  <c r="O1112" i="2"/>
  <c r="F1112" i="2"/>
  <c r="O1111" i="2"/>
  <c r="F1111" i="2"/>
  <c r="O1110" i="2"/>
  <c r="F1110" i="2"/>
  <c r="O1109" i="2"/>
  <c r="F1109" i="2"/>
  <c r="O1108" i="2"/>
  <c r="F1108" i="2"/>
  <c r="O1107" i="2"/>
  <c r="F1107" i="2"/>
  <c r="O1106" i="2"/>
  <c r="F1106" i="2"/>
  <c r="O1105" i="2"/>
  <c r="F1105" i="2"/>
  <c r="O1104" i="2"/>
  <c r="F1104" i="2"/>
  <c r="O1103" i="2"/>
  <c r="F1103" i="2"/>
  <c r="O1102" i="2"/>
  <c r="F1102" i="2"/>
  <c r="O1101" i="2"/>
  <c r="F1101" i="2"/>
  <c r="O1100" i="2"/>
  <c r="F1100" i="2"/>
  <c r="O1099" i="2"/>
  <c r="F1099" i="2"/>
  <c r="O1098" i="2"/>
  <c r="F1098" i="2"/>
  <c r="O1097" i="2"/>
  <c r="F1097" i="2"/>
  <c r="O1096" i="2"/>
  <c r="F1096" i="2"/>
  <c r="O1095" i="2"/>
  <c r="F1095" i="2"/>
  <c r="O1094" i="2"/>
  <c r="F1094" i="2"/>
  <c r="O1093" i="2"/>
  <c r="F1093" i="2"/>
  <c r="O1092" i="2"/>
  <c r="F1092" i="2"/>
  <c r="O1091" i="2"/>
  <c r="F1091" i="2"/>
  <c r="O1090" i="2"/>
  <c r="F1090" i="2"/>
  <c r="O1089" i="2"/>
  <c r="F1089" i="2"/>
  <c r="O1088" i="2"/>
  <c r="F1088" i="2"/>
  <c r="O1087" i="2"/>
  <c r="F1087" i="2"/>
  <c r="O1086" i="2"/>
  <c r="F1086" i="2"/>
  <c r="O1085" i="2"/>
  <c r="F1085" i="2"/>
  <c r="O1084" i="2"/>
  <c r="F1084" i="2"/>
  <c r="O1083" i="2"/>
  <c r="F1083" i="2"/>
  <c r="O1082" i="2"/>
  <c r="F1082" i="2"/>
  <c r="O1081" i="2"/>
  <c r="F1081" i="2"/>
  <c r="O1080" i="2"/>
  <c r="F1080" i="2"/>
  <c r="O1079" i="2"/>
  <c r="F1079" i="2"/>
  <c r="O1078" i="2"/>
  <c r="F1078" i="2"/>
  <c r="O1077" i="2"/>
  <c r="F1077" i="2"/>
  <c r="O1076" i="2"/>
  <c r="F1076" i="2"/>
  <c r="O1075" i="2"/>
  <c r="F1075" i="2"/>
  <c r="O1074" i="2"/>
  <c r="F1074" i="2"/>
  <c r="O1073" i="2"/>
  <c r="F1073" i="2"/>
  <c r="O1072" i="2"/>
  <c r="F1072" i="2"/>
  <c r="O1071" i="2"/>
  <c r="F1071" i="2"/>
  <c r="O1070" i="2"/>
  <c r="F1070" i="2"/>
  <c r="O1069" i="2"/>
  <c r="F1069" i="2"/>
  <c r="O1068" i="2"/>
  <c r="F1068" i="2"/>
  <c r="O1067" i="2"/>
  <c r="F1067" i="2"/>
  <c r="O1066" i="2"/>
  <c r="F1066" i="2"/>
  <c r="O1065" i="2"/>
  <c r="F1065" i="2"/>
  <c r="O1064" i="2"/>
  <c r="F1064" i="2"/>
  <c r="O1063" i="2"/>
  <c r="F1063" i="2"/>
  <c r="O1062" i="2"/>
  <c r="F1062" i="2"/>
  <c r="O1061" i="2"/>
  <c r="F1061" i="2"/>
  <c r="O1060" i="2"/>
  <c r="F1060" i="2"/>
  <c r="O1059" i="2"/>
  <c r="F1059" i="2"/>
  <c r="O1058" i="2"/>
  <c r="F1058" i="2"/>
  <c r="O1057" i="2"/>
  <c r="F1057" i="2"/>
  <c r="O1056" i="2"/>
  <c r="F1056" i="2"/>
  <c r="O1055" i="2"/>
  <c r="F1055" i="2"/>
  <c r="O1054" i="2"/>
  <c r="F1054" i="2"/>
  <c r="O1053" i="2"/>
  <c r="F1053" i="2"/>
  <c r="O1052" i="2"/>
  <c r="F1052" i="2"/>
  <c r="O1051" i="2"/>
  <c r="F1051" i="2"/>
  <c r="O1050" i="2"/>
  <c r="F1050" i="2"/>
  <c r="O1049" i="2"/>
  <c r="F1049" i="2"/>
  <c r="O1048" i="2"/>
  <c r="F1048" i="2"/>
  <c r="O1047" i="2"/>
  <c r="F1047" i="2"/>
  <c r="O1046" i="2"/>
  <c r="F1046" i="2"/>
  <c r="O1045" i="2"/>
  <c r="F1045" i="2"/>
  <c r="O1044" i="2"/>
  <c r="F1044" i="2"/>
  <c r="O1043" i="2"/>
  <c r="F1043" i="2"/>
  <c r="O1042" i="2"/>
  <c r="F1042" i="2"/>
  <c r="O1041" i="2"/>
  <c r="F1041" i="2"/>
  <c r="O1040" i="2"/>
  <c r="F1040" i="2"/>
  <c r="O1039" i="2"/>
  <c r="F1039" i="2"/>
  <c r="O1038" i="2"/>
  <c r="F1038" i="2"/>
  <c r="O1037" i="2"/>
  <c r="F1037" i="2"/>
  <c r="O1036" i="2"/>
  <c r="F1036" i="2"/>
  <c r="O1035" i="2"/>
  <c r="F1035" i="2"/>
  <c r="O1034" i="2"/>
  <c r="F1034" i="2"/>
  <c r="O1033" i="2"/>
  <c r="F1033" i="2"/>
  <c r="O1032" i="2"/>
  <c r="F1032" i="2"/>
  <c r="O1031" i="2"/>
  <c r="F1031" i="2"/>
  <c r="O1030" i="2"/>
  <c r="F1030" i="2"/>
  <c r="O1029" i="2"/>
  <c r="F1029" i="2"/>
  <c r="O1028" i="2"/>
  <c r="F1028" i="2"/>
  <c r="O1027" i="2"/>
  <c r="F1027" i="2"/>
  <c r="O1026" i="2"/>
  <c r="F1026" i="2"/>
  <c r="O1025" i="2"/>
  <c r="F1025" i="2"/>
  <c r="O1024" i="2"/>
  <c r="F1024" i="2"/>
  <c r="O1023" i="2"/>
  <c r="F1023" i="2"/>
  <c r="O1022" i="2"/>
  <c r="F1022" i="2"/>
  <c r="O1021" i="2"/>
  <c r="F1021" i="2"/>
  <c r="O1020" i="2"/>
  <c r="F1020" i="2"/>
  <c r="O1019" i="2"/>
  <c r="F1019" i="2"/>
  <c r="O1018" i="2"/>
  <c r="F1018" i="2"/>
  <c r="O1017" i="2"/>
  <c r="F1017" i="2"/>
  <c r="O1016" i="2"/>
  <c r="F1016" i="2"/>
  <c r="O1015" i="2"/>
  <c r="F1015" i="2"/>
  <c r="O1014" i="2"/>
  <c r="F1014" i="2"/>
  <c r="O1013" i="2"/>
  <c r="F1013" i="2"/>
  <c r="O1012" i="2"/>
  <c r="F1012" i="2"/>
  <c r="O1011" i="2"/>
  <c r="F1011" i="2"/>
  <c r="O1010" i="2"/>
  <c r="F1010" i="2"/>
  <c r="O1009" i="2"/>
  <c r="F1009" i="2"/>
  <c r="O1008" i="2"/>
  <c r="F1008" i="2"/>
  <c r="O1007" i="2"/>
  <c r="F1007" i="2"/>
  <c r="O1006" i="2"/>
  <c r="F1006" i="2"/>
  <c r="O1005" i="2"/>
  <c r="F1005" i="2"/>
  <c r="O1004" i="2"/>
  <c r="F1004" i="2"/>
  <c r="O1003" i="2"/>
  <c r="F1003" i="2"/>
  <c r="O1002" i="2"/>
  <c r="F1002" i="2"/>
  <c r="O1001" i="2"/>
  <c r="F1001" i="2"/>
  <c r="O1000" i="2"/>
  <c r="F1000" i="2"/>
  <c r="O999" i="2"/>
  <c r="F999" i="2"/>
  <c r="O998" i="2"/>
  <c r="F998" i="2"/>
  <c r="O997" i="2"/>
  <c r="F997" i="2"/>
  <c r="O996" i="2"/>
  <c r="F996" i="2"/>
  <c r="O995" i="2"/>
  <c r="F995" i="2"/>
  <c r="O994" i="2"/>
  <c r="F994" i="2"/>
  <c r="O993" i="2"/>
  <c r="F993" i="2"/>
  <c r="O992" i="2"/>
  <c r="F992" i="2"/>
  <c r="O991" i="2"/>
  <c r="F991" i="2"/>
  <c r="O990" i="2"/>
  <c r="F990" i="2"/>
  <c r="O989" i="2"/>
  <c r="F989" i="2"/>
  <c r="O988" i="2"/>
  <c r="F988" i="2"/>
  <c r="O987" i="2"/>
  <c r="F987" i="2"/>
  <c r="O986" i="2"/>
  <c r="F986" i="2"/>
  <c r="O985" i="2"/>
  <c r="F985" i="2"/>
  <c r="O984" i="2"/>
  <c r="F984" i="2"/>
  <c r="O983" i="2"/>
  <c r="F983" i="2"/>
  <c r="O982" i="2"/>
  <c r="F982" i="2"/>
  <c r="O981" i="2"/>
  <c r="F981" i="2"/>
  <c r="O980" i="2"/>
  <c r="F980" i="2"/>
  <c r="O979" i="2"/>
  <c r="F979" i="2"/>
  <c r="O978" i="2"/>
  <c r="F978" i="2"/>
  <c r="O977" i="2"/>
  <c r="F977" i="2"/>
  <c r="O976" i="2"/>
  <c r="F976" i="2"/>
  <c r="O975" i="2"/>
  <c r="F975" i="2"/>
  <c r="O974" i="2"/>
  <c r="F974" i="2"/>
  <c r="O973" i="2"/>
  <c r="F973" i="2"/>
  <c r="O972" i="2"/>
  <c r="F972" i="2"/>
  <c r="O971" i="2"/>
  <c r="F971" i="2"/>
  <c r="O970" i="2"/>
  <c r="F970" i="2"/>
  <c r="O969" i="2"/>
  <c r="F969" i="2"/>
  <c r="O968" i="2"/>
  <c r="F968" i="2"/>
  <c r="O967" i="2"/>
  <c r="F967" i="2"/>
  <c r="O966" i="2"/>
  <c r="F966" i="2"/>
  <c r="O965" i="2"/>
  <c r="F965" i="2"/>
  <c r="O964" i="2"/>
  <c r="F964" i="2"/>
  <c r="O963" i="2"/>
  <c r="F963" i="2"/>
  <c r="O962" i="2"/>
  <c r="F962" i="2"/>
  <c r="O955" i="2"/>
  <c r="F955" i="2"/>
  <c r="O954" i="2"/>
  <c r="F954" i="2"/>
  <c r="O953" i="2"/>
  <c r="F953" i="2"/>
  <c r="O952" i="2"/>
  <c r="F952" i="2"/>
  <c r="O951" i="2"/>
  <c r="F951" i="2"/>
  <c r="O950" i="2"/>
  <c r="F950" i="2"/>
  <c r="O949" i="2"/>
  <c r="F949" i="2"/>
  <c r="O948" i="2"/>
  <c r="F948" i="2"/>
  <c r="O947" i="2"/>
  <c r="F947" i="2"/>
  <c r="O946" i="2"/>
  <c r="F946" i="2"/>
  <c r="O945" i="2"/>
  <c r="F945" i="2"/>
  <c r="O944" i="2"/>
  <c r="F944" i="2"/>
  <c r="O943" i="2"/>
  <c r="F943" i="2"/>
  <c r="O942" i="2"/>
  <c r="F942" i="2"/>
  <c r="O941" i="2"/>
  <c r="F941" i="2"/>
  <c r="O940" i="2"/>
  <c r="F940" i="2"/>
  <c r="O939" i="2"/>
  <c r="F939" i="2"/>
  <c r="O938" i="2"/>
  <c r="F938" i="2"/>
  <c r="O937" i="2"/>
  <c r="F937" i="2"/>
  <c r="O936" i="2"/>
  <c r="F936" i="2"/>
  <c r="O935" i="2"/>
  <c r="F935" i="2"/>
  <c r="O934" i="2"/>
  <c r="F934" i="2"/>
  <c r="O933" i="2"/>
  <c r="F933" i="2"/>
  <c r="O932" i="2"/>
  <c r="F932" i="2"/>
  <c r="O931" i="2"/>
  <c r="F931" i="2"/>
  <c r="O930" i="2"/>
  <c r="F930" i="2"/>
  <c r="O929" i="2"/>
  <c r="F929" i="2"/>
  <c r="O928" i="2"/>
  <c r="F928" i="2"/>
  <c r="O927" i="2"/>
  <c r="F927" i="2"/>
  <c r="O926" i="2"/>
  <c r="F926" i="2"/>
  <c r="O925" i="2"/>
  <c r="F925" i="2"/>
  <c r="O924" i="2"/>
  <c r="F924" i="2"/>
  <c r="O923" i="2"/>
  <c r="F923" i="2"/>
  <c r="O922" i="2"/>
  <c r="F922" i="2"/>
  <c r="O921" i="2"/>
  <c r="F921" i="2"/>
  <c r="O920" i="2"/>
  <c r="F920" i="2"/>
  <c r="O919" i="2"/>
  <c r="F919" i="2"/>
  <c r="O918" i="2"/>
  <c r="F918" i="2"/>
  <c r="O917" i="2"/>
  <c r="F917" i="2"/>
  <c r="O916" i="2"/>
  <c r="F916" i="2"/>
  <c r="O915" i="2"/>
  <c r="F915" i="2"/>
  <c r="O914" i="2"/>
  <c r="F914" i="2"/>
  <c r="O913" i="2"/>
  <c r="F913" i="2"/>
  <c r="O912" i="2"/>
  <c r="F912" i="2"/>
  <c r="O911" i="2"/>
  <c r="F911" i="2"/>
  <c r="O910" i="2"/>
  <c r="F910" i="2"/>
  <c r="O909" i="2"/>
  <c r="F909" i="2"/>
  <c r="O908" i="2"/>
  <c r="F908" i="2"/>
  <c r="O907" i="2"/>
  <c r="F907" i="2"/>
  <c r="O906" i="2"/>
  <c r="F906" i="2"/>
  <c r="O905" i="2"/>
  <c r="F905" i="2"/>
  <c r="O904" i="2"/>
  <c r="F904" i="2"/>
  <c r="O903" i="2"/>
  <c r="F903" i="2"/>
  <c r="O902" i="2"/>
  <c r="F902" i="2"/>
  <c r="O901" i="2"/>
  <c r="F901" i="2"/>
  <c r="O900" i="2"/>
  <c r="F900" i="2"/>
  <c r="O899" i="2"/>
  <c r="F899" i="2"/>
  <c r="O898" i="2"/>
  <c r="F898" i="2"/>
  <c r="O897" i="2"/>
  <c r="F897" i="2"/>
  <c r="O896" i="2"/>
  <c r="F896" i="2"/>
  <c r="O895" i="2"/>
  <c r="F895" i="2"/>
  <c r="O894" i="2"/>
  <c r="F894" i="2"/>
  <c r="O893" i="2"/>
  <c r="F893" i="2"/>
  <c r="O892" i="2"/>
  <c r="F892" i="2"/>
  <c r="O891" i="2"/>
  <c r="F891" i="2"/>
  <c r="O890" i="2"/>
  <c r="F890" i="2"/>
  <c r="O889" i="2"/>
  <c r="F889" i="2"/>
  <c r="O888" i="2"/>
  <c r="F888" i="2"/>
  <c r="O887" i="2"/>
  <c r="F887" i="2"/>
  <c r="O886" i="2"/>
  <c r="F886" i="2"/>
  <c r="O885" i="2"/>
  <c r="F885" i="2"/>
  <c r="O884" i="2"/>
  <c r="F884" i="2"/>
  <c r="O883" i="2"/>
  <c r="F883" i="2"/>
  <c r="O882" i="2"/>
  <c r="F882" i="2"/>
  <c r="O881" i="2"/>
  <c r="F881" i="2"/>
  <c r="O880" i="2"/>
  <c r="F880" i="2"/>
  <c r="O879" i="2"/>
  <c r="F879" i="2"/>
  <c r="O878" i="2"/>
  <c r="F878" i="2"/>
  <c r="O877" i="2"/>
  <c r="F877" i="2"/>
  <c r="O876" i="2"/>
  <c r="F876" i="2"/>
  <c r="O875" i="2"/>
  <c r="F875" i="2"/>
  <c r="O874" i="2"/>
  <c r="F874" i="2"/>
  <c r="O873" i="2"/>
  <c r="E873" i="2"/>
  <c r="O872" i="2"/>
  <c r="E872" i="2"/>
  <c r="O871" i="2"/>
  <c r="E871" i="2"/>
  <c r="O870" i="2"/>
  <c r="E870" i="2"/>
  <c r="O869" i="2"/>
  <c r="E869" i="2"/>
  <c r="O868" i="2"/>
  <c r="E868" i="2"/>
  <c r="O867" i="2"/>
  <c r="F867" i="2"/>
  <c r="O866" i="2"/>
  <c r="F866" i="2"/>
  <c r="O865" i="2"/>
  <c r="F865" i="2"/>
  <c r="O864" i="2"/>
  <c r="F864" i="2"/>
  <c r="O863" i="2"/>
  <c r="F863" i="2"/>
  <c r="O862" i="2"/>
  <c r="F862" i="2"/>
  <c r="O861" i="2"/>
  <c r="F861" i="2"/>
  <c r="O860" i="2"/>
  <c r="F860" i="2"/>
  <c r="O859" i="2"/>
  <c r="F859" i="2"/>
  <c r="O858" i="2"/>
  <c r="F858" i="2"/>
  <c r="O857" i="2"/>
  <c r="F857" i="2"/>
  <c r="O856" i="2"/>
  <c r="F856" i="2"/>
  <c r="O855" i="2"/>
  <c r="F855" i="2"/>
  <c r="O854" i="2"/>
  <c r="F854" i="2"/>
  <c r="O853" i="2"/>
  <c r="F853" i="2"/>
  <c r="O852" i="2"/>
  <c r="F852" i="2"/>
  <c r="O851" i="2"/>
  <c r="F851" i="2"/>
  <c r="O850" i="2"/>
  <c r="F850" i="2"/>
  <c r="O849" i="2"/>
  <c r="F849" i="2"/>
  <c r="O848" i="2"/>
  <c r="F848" i="2"/>
  <c r="O847" i="2"/>
  <c r="F847" i="2"/>
  <c r="O846" i="2"/>
  <c r="F846" i="2"/>
  <c r="O845" i="2"/>
  <c r="F845" i="2"/>
  <c r="O844" i="2"/>
  <c r="F844" i="2"/>
  <c r="O843" i="2"/>
  <c r="F843" i="2"/>
  <c r="O842" i="2"/>
  <c r="F842" i="2"/>
  <c r="O841" i="2"/>
  <c r="F841" i="2"/>
  <c r="O840" i="2"/>
  <c r="F840" i="2"/>
  <c r="O839" i="2"/>
  <c r="F839" i="2"/>
  <c r="O838" i="2"/>
  <c r="F838" i="2"/>
  <c r="O837" i="2"/>
  <c r="F837" i="2"/>
  <c r="O836" i="2"/>
  <c r="F836" i="2"/>
  <c r="O835" i="2"/>
  <c r="F835" i="2"/>
  <c r="O834" i="2"/>
  <c r="F834" i="2"/>
  <c r="O833" i="2"/>
  <c r="F833" i="2"/>
  <c r="O832" i="2"/>
  <c r="F832" i="2"/>
  <c r="O831" i="2"/>
  <c r="F831" i="2"/>
  <c r="O830" i="2"/>
  <c r="F830" i="2"/>
  <c r="O829" i="2"/>
  <c r="F829" i="2"/>
  <c r="O828" i="2"/>
  <c r="F828" i="2"/>
  <c r="O827" i="2"/>
  <c r="F827" i="2"/>
  <c r="O826" i="2"/>
  <c r="F826" i="2"/>
  <c r="O825" i="2"/>
  <c r="F825" i="2"/>
  <c r="O824" i="2"/>
  <c r="F824" i="2"/>
  <c r="O823" i="2"/>
  <c r="F823" i="2"/>
  <c r="O822" i="2"/>
  <c r="F822" i="2"/>
  <c r="O821" i="2"/>
  <c r="F821" i="2"/>
  <c r="O820" i="2"/>
  <c r="F820" i="2"/>
  <c r="O819" i="2"/>
  <c r="F819" i="2"/>
  <c r="O818" i="2"/>
  <c r="F818" i="2"/>
  <c r="O817" i="2"/>
  <c r="F817" i="2"/>
  <c r="O816" i="2"/>
  <c r="F816" i="2"/>
  <c r="O815" i="2"/>
  <c r="F815" i="2"/>
  <c r="O814" i="2"/>
  <c r="F814" i="2"/>
  <c r="O813" i="2"/>
  <c r="F813" i="2"/>
  <c r="O812" i="2"/>
  <c r="F812" i="2"/>
  <c r="O811" i="2"/>
  <c r="F811" i="2"/>
  <c r="O810" i="2"/>
  <c r="F810" i="2"/>
  <c r="O809" i="2"/>
  <c r="F809" i="2"/>
  <c r="O808" i="2"/>
  <c r="F808" i="2"/>
  <c r="O807" i="2"/>
  <c r="F807" i="2"/>
  <c r="O806" i="2"/>
  <c r="F806" i="2"/>
  <c r="O805" i="2"/>
  <c r="F805" i="2"/>
  <c r="O804" i="2"/>
  <c r="F804" i="2"/>
  <c r="O803" i="2"/>
  <c r="F803" i="2"/>
  <c r="O802" i="2"/>
  <c r="F802" i="2"/>
  <c r="O801" i="2"/>
  <c r="F801" i="2"/>
  <c r="O800" i="2"/>
  <c r="F800" i="2"/>
  <c r="O799" i="2"/>
  <c r="F799" i="2"/>
  <c r="O798" i="2"/>
  <c r="F798" i="2"/>
  <c r="O797" i="2"/>
  <c r="F797" i="2"/>
  <c r="O796" i="2"/>
  <c r="F796" i="2"/>
  <c r="O795" i="2"/>
  <c r="F795" i="2"/>
  <c r="O794" i="2"/>
  <c r="F794" i="2"/>
  <c r="O793" i="2"/>
  <c r="F793" i="2"/>
  <c r="O792" i="2"/>
  <c r="F792" i="2"/>
  <c r="O791" i="2"/>
  <c r="F791" i="2"/>
  <c r="O790" i="2"/>
  <c r="F790" i="2"/>
  <c r="O789" i="2"/>
  <c r="F789" i="2"/>
  <c r="O788" i="2"/>
  <c r="F788" i="2"/>
  <c r="O787" i="2"/>
  <c r="F787" i="2"/>
  <c r="O786" i="2"/>
  <c r="F786" i="2"/>
  <c r="O785" i="2"/>
  <c r="F785" i="2"/>
  <c r="O784" i="2"/>
  <c r="F784" i="2"/>
  <c r="O783" i="2"/>
  <c r="F783" i="2"/>
  <c r="O782" i="2"/>
  <c r="F782" i="2"/>
  <c r="O781" i="2"/>
  <c r="F781" i="2"/>
  <c r="O780" i="2"/>
  <c r="F780" i="2"/>
  <c r="O779" i="2"/>
  <c r="F779" i="2"/>
  <c r="O778" i="2"/>
  <c r="F778" i="2"/>
  <c r="O777" i="2"/>
  <c r="F777" i="2"/>
  <c r="O776" i="2"/>
  <c r="F776" i="2"/>
  <c r="O775" i="2"/>
  <c r="F775" i="2"/>
  <c r="O774" i="2"/>
  <c r="F774" i="2"/>
  <c r="O773" i="2"/>
  <c r="F773" i="2"/>
  <c r="O772" i="2"/>
  <c r="F772" i="2"/>
  <c r="O771" i="2"/>
  <c r="F771" i="2"/>
  <c r="O770" i="2"/>
  <c r="F770" i="2"/>
  <c r="O769" i="2"/>
  <c r="F769" i="2"/>
  <c r="O768" i="2"/>
  <c r="F768" i="2"/>
  <c r="O767" i="2"/>
  <c r="F767" i="2"/>
  <c r="O766" i="2"/>
  <c r="F766" i="2"/>
  <c r="O765" i="2"/>
  <c r="F765" i="2"/>
  <c r="O764" i="2"/>
  <c r="F764" i="2"/>
  <c r="O763" i="2"/>
  <c r="F763" i="2"/>
  <c r="O762" i="2"/>
  <c r="F762" i="2"/>
  <c r="O761" i="2"/>
  <c r="F761" i="2"/>
  <c r="O760" i="2"/>
  <c r="F760" i="2"/>
  <c r="O759" i="2"/>
  <c r="F759" i="2"/>
  <c r="O758" i="2"/>
  <c r="F758" i="2"/>
  <c r="O757" i="2"/>
  <c r="F757" i="2"/>
  <c r="O756" i="2"/>
  <c r="F756" i="2"/>
  <c r="O755" i="2"/>
  <c r="F755" i="2"/>
  <c r="O754" i="2"/>
  <c r="F754" i="2"/>
  <c r="O753" i="2"/>
  <c r="F753" i="2"/>
  <c r="O752" i="2"/>
  <c r="F752" i="2"/>
  <c r="O751" i="2"/>
  <c r="F751" i="2"/>
  <c r="O750" i="2"/>
  <c r="F750" i="2"/>
  <c r="O749" i="2"/>
  <c r="F749" i="2"/>
  <c r="O748" i="2"/>
  <c r="F748" i="2"/>
  <c r="O747" i="2"/>
  <c r="F747" i="2"/>
  <c r="O746" i="2"/>
  <c r="F746" i="2"/>
  <c r="O745" i="2"/>
  <c r="F745" i="2"/>
  <c r="O744" i="2"/>
  <c r="F744" i="2"/>
  <c r="O743" i="2"/>
  <c r="F743" i="2"/>
  <c r="O742" i="2"/>
  <c r="F742" i="2"/>
  <c r="O741" i="2"/>
  <c r="F741" i="2"/>
  <c r="O740" i="2"/>
  <c r="F740" i="2"/>
  <c r="O739" i="2"/>
  <c r="F739" i="2"/>
  <c r="O738" i="2"/>
  <c r="F738" i="2"/>
  <c r="O737" i="2"/>
  <c r="F737" i="2"/>
  <c r="O736" i="2"/>
  <c r="F736" i="2"/>
  <c r="O735" i="2"/>
  <c r="F735" i="2"/>
  <c r="O734" i="2"/>
  <c r="F734" i="2"/>
  <c r="O733" i="2"/>
  <c r="F733" i="2"/>
  <c r="O732" i="2"/>
  <c r="F732" i="2"/>
  <c r="O731" i="2"/>
  <c r="F731" i="2"/>
  <c r="O730" i="2"/>
  <c r="F730" i="2"/>
  <c r="O729" i="2"/>
  <c r="F729" i="2"/>
  <c r="O728" i="2"/>
  <c r="F728" i="2"/>
  <c r="O727" i="2"/>
  <c r="F727" i="2"/>
  <c r="O726" i="2"/>
  <c r="F726" i="2"/>
  <c r="O725" i="2"/>
  <c r="F725" i="2"/>
  <c r="O724" i="2"/>
  <c r="F724" i="2"/>
  <c r="O723" i="2"/>
  <c r="F723" i="2"/>
  <c r="O722" i="2"/>
  <c r="F722" i="2"/>
  <c r="O721" i="2"/>
  <c r="F721" i="2"/>
  <c r="O720" i="2"/>
  <c r="F720" i="2"/>
  <c r="O719" i="2"/>
  <c r="F719" i="2"/>
  <c r="O718" i="2"/>
  <c r="F718" i="2"/>
  <c r="O717" i="2"/>
  <c r="F717" i="2"/>
  <c r="O716" i="2"/>
  <c r="F716" i="2"/>
  <c r="O715" i="2"/>
  <c r="F715" i="2"/>
  <c r="O714" i="2"/>
  <c r="F714" i="2"/>
  <c r="O713" i="2"/>
  <c r="F713" i="2"/>
  <c r="O712" i="2"/>
  <c r="F712" i="2"/>
  <c r="O711" i="2"/>
  <c r="F711" i="2"/>
  <c r="O710" i="2"/>
  <c r="F710" i="2"/>
  <c r="O709" i="2"/>
  <c r="F709" i="2"/>
  <c r="O708" i="2"/>
  <c r="F708" i="2"/>
  <c r="O707" i="2"/>
  <c r="F707" i="2"/>
  <c r="O706" i="2"/>
  <c r="F706" i="2"/>
  <c r="O705" i="2"/>
  <c r="F705" i="2"/>
  <c r="O704" i="2"/>
  <c r="F704" i="2"/>
  <c r="O703" i="2"/>
  <c r="F703" i="2"/>
  <c r="O702" i="2"/>
  <c r="F702" i="2"/>
  <c r="O701" i="2"/>
  <c r="F701" i="2"/>
  <c r="O700" i="2"/>
  <c r="F700" i="2"/>
  <c r="O699" i="2"/>
  <c r="F699" i="2"/>
  <c r="O698" i="2"/>
  <c r="F698" i="2"/>
  <c r="O697" i="2"/>
  <c r="F697" i="2"/>
  <c r="O696" i="2"/>
  <c r="F696" i="2"/>
  <c r="O695" i="2"/>
  <c r="F695" i="2"/>
  <c r="O694" i="2"/>
  <c r="F694" i="2"/>
  <c r="O693" i="2"/>
  <c r="F693" i="2"/>
  <c r="O692" i="2"/>
  <c r="F692" i="2"/>
  <c r="O691" i="2"/>
  <c r="F691" i="2"/>
  <c r="O690" i="2"/>
  <c r="F690" i="2"/>
  <c r="O689" i="2"/>
  <c r="F689" i="2"/>
  <c r="O688" i="2"/>
  <c r="F688" i="2"/>
  <c r="O687" i="2"/>
  <c r="F687" i="2"/>
  <c r="O686" i="2"/>
  <c r="F686" i="2"/>
  <c r="O685" i="2"/>
  <c r="F685" i="2"/>
  <c r="O684" i="2"/>
  <c r="F684" i="2"/>
  <c r="O683" i="2"/>
  <c r="F683" i="2"/>
  <c r="O682" i="2"/>
  <c r="F682" i="2"/>
  <c r="O681" i="2"/>
  <c r="F681" i="2"/>
  <c r="O680" i="2"/>
  <c r="F680" i="2"/>
  <c r="O679" i="2"/>
  <c r="F679" i="2"/>
  <c r="O678" i="2"/>
  <c r="F678" i="2"/>
  <c r="O677" i="2"/>
  <c r="F677" i="2"/>
  <c r="O676" i="2"/>
  <c r="F676" i="2"/>
  <c r="O675" i="2"/>
  <c r="F675" i="2"/>
  <c r="O674" i="2"/>
  <c r="F674" i="2"/>
  <c r="O673" i="2"/>
  <c r="F673" i="2"/>
  <c r="O672" i="2"/>
  <c r="F672" i="2"/>
  <c r="O671" i="2"/>
  <c r="F671" i="2"/>
  <c r="O670" i="2"/>
  <c r="F670" i="2"/>
  <c r="O669" i="2"/>
  <c r="F669" i="2"/>
  <c r="O668" i="2"/>
  <c r="F668" i="2"/>
  <c r="O667" i="2"/>
  <c r="F667" i="2"/>
  <c r="O666" i="2"/>
  <c r="F666" i="2"/>
  <c r="O665" i="2"/>
  <c r="F665" i="2"/>
  <c r="O664" i="2"/>
  <c r="F664" i="2"/>
  <c r="O663" i="2"/>
  <c r="F663" i="2"/>
  <c r="O662" i="2"/>
  <c r="F662" i="2"/>
  <c r="O661" i="2"/>
  <c r="F661" i="2"/>
  <c r="O660" i="2"/>
  <c r="F660" i="2"/>
  <c r="O659" i="2"/>
  <c r="F659" i="2"/>
  <c r="O658" i="2"/>
  <c r="F658" i="2"/>
  <c r="O657" i="2"/>
  <c r="F657" i="2"/>
  <c r="O656" i="2"/>
  <c r="F656" i="2"/>
  <c r="O655" i="2"/>
  <c r="F655" i="2"/>
  <c r="O654" i="2"/>
  <c r="F654" i="2"/>
  <c r="O653" i="2"/>
  <c r="F653" i="2"/>
  <c r="O652" i="2"/>
  <c r="F652" i="2"/>
  <c r="O651" i="2"/>
  <c r="F651" i="2"/>
  <c r="O650" i="2"/>
  <c r="F650" i="2"/>
  <c r="O649" i="2"/>
  <c r="F649" i="2"/>
  <c r="O648" i="2"/>
  <c r="F648" i="2"/>
  <c r="O647" i="2"/>
  <c r="F647" i="2"/>
  <c r="O646" i="2"/>
  <c r="F646" i="2"/>
  <c r="O645" i="2"/>
  <c r="F645" i="2"/>
  <c r="O644" i="2"/>
  <c r="F644" i="2"/>
  <c r="O643" i="2"/>
  <c r="F643" i="2"/>
  <c r="O642" i="2"/>
  <c r="F642" i="2"/>
  <c r="O641" i="2"/>
  <c r="F641" i="2"/>
  <c r="O640" i="2"/>
  <c r="F640" i="2"/>
  <c r="O639" i="2"/>
  <c r="F639" i="2"/>
  <c r="O638" i="2"/>
  <c r="F638" i="2"/>
  <c r="O637" i="2"/>
  <c r="F637" i="2"/>
  <c r="O636" i="2"/>
  <c r="F636" i="2"/>
  <c r="O635" i="2"/>
  <c r="F635" i="2"/>
  <c r="O634" i="2"/>
  <c r="F634" i="2"/>
  <c r="O633" i="2"/>
  <c r="F633" i="2"/>
  <c r="O632" i="2"/>
  <c r="F632" i="2"/>
  <c r="O631" i="2"/>
  <c r="F631" i="2"/>
  <c r="O630" i="2"/>
  <c r="F630" i="2"/>
  <c r="O629" i="2"/>
  <c r="F629" i="2"/>
  <c r="O628" i="2"/>
  <c r="F628" i="2"/>
  <c r="O627" i="2"/>
  <c r="F627" i="2"/>
  <c r="O626" i="2"/>
  <c r="F626" i="2"/>
  <c r="O625" i="2"/>
  <c r="F625" i="2"/>
  <c r="O624" i="2"/>
  <c r="F624" i="2"/>
  <c r="O623" i="2"/>
  <c r="F623" i="2"/>
  <c r="O622" i="2"/>
  <c r="F622" i="2"/>
  <c r="O621" i="2"/>
  <c r="F621" i="2"/>
  <c r="O620" i="2"/>
  <c r="F620" i="2"/>
  <c r="O619" i="2"/>
  <c r="F619" i="2"/>
  <c r="O618" i="2"/>
  <c r="F618" i="2"/>
  <c r="O617" i="2"/>
  <c r="F617" i="2"/>
  <c r="O616" i="2"/>
  <c r="F616" i="2"/>
  <c r="O615" i="2"/>
  <c r="F615" i="2"/>
  <c r="O614" i="2"/>
  <c r="F614" i="2"/>
  <c r="O613" i="2"/>
  <c r="F613" i="2"/>
  <c r="O612" i="2"/>
  <c r="F612" i="2"/>
  <c r="O611" i="2"/>
  <c r="F611" i="2"/>
  <c r="O610" i="2"/>
  <c r="F610" i="2"/>
  <c r="O609" i="2"/>
  <c r="F609" i="2"/>
  <c r="O608" i="2"/>
  <c r="F608" i="2"/>
  <c r="O607" i="2"/>
  <c r="F607" i="2"/>
  <c r="O606" i="2"/>
  <c r="F606" i="2"/>
  <c r="O605" i="2"/>
  <c r="F605" i="2"/>
  <c r="O604" i="2"/>
  <c r="F604" i="2"/>
  <c r="O603" i="2"/>
  <c r="F603" i="2"/>
  <c r="O602" i="2"/>
  <c r="F602" i="2"/>
  <c r="O601" i="2"/>
  <c r="F601" i="2"/>
  <c r="O600" i="2"/>
  <c r="F600" i="2"/>
  <c r="O599" i="2"/>
  <c r="F599" i="2"/>
  <c r="O598" i="2"/>
  <c r="F598" i="2"/>
  <c r="O597" i="2"/>
  <c r="F597" i="2"/>
  <c r="O596" i="2"/>
  <c r="F596" i="2"/>
  <c r="O595" i="2"/>
  <c r="F595" i="2"/>
  <c r="O594" i="2"/>
  <c r="F594" i="2"/>
  <c r="O593" i="2"/>
  <c r="F593" i="2"/>
  <c r="O592" i="2"/>
  <c r="F592" i="2"/>
  <c r="O591" i="2"/>
  <c r="F591" i="2"/>
  <c r="O590" i="2"/>
  <c r="F590" i="2"/>
  <c r="O589" i="2"/>
  <c r="F589" i="2"/>
  <c r="O588" i="2"/>
  <c r="F588" i="2"/>
  <c r="O587" i="2"/>
  <c r="F587" i="2"/>
  <c r="O586" i="2"/>
  <c r="F586" i="2"/>
  <c r="O585" i="2"/>
  <c r="F585" i="2"/>
  <c r="O584" i="2"/>
  <c r="F584" i="2"/>
  <c r="O583" i="2"/>
  <c r="F583" i="2"/>
  <c r="O582" i="2"/>
  <c r="F582" i="2"/>
  <c r="O581" i="2"/>
  <c r="F581" i="2"/>
  <c r="O580" i="2"/>
  <c r="F580" i="2"/>
  <c r="O579" i="2"/>
  <c r="F579" i="2"/>
  <c r="O578" i="2"/>
  <c r="F578" i="2"/>
  <c r="O577" i="2"/>
  <c r="F577" i="2"/>
  <c r="O576" i="2"/>
  <c r="F576" i="2"/>
  <c r="O575" i="2"/>
  <c r="F575" i="2"/>
  <c r="O574" i="2"/>
  <c r="F574" i="2"/>
  <c r="O573" i="2"/>
  <c r="F573" i="2"/>
  <c r="O572" i="2"/>
  <c r="F572" i="2"/>
  <c r="O571" i="2"/>
  <c r="F571" i="2"/>
  <c r="O570" i="2"/>
  <c r="F570" i="2"/>
  <c r="O569" i="2"/>
  <c r="F569" i="2"/>
  <c r="O568" i="2"/>
  <c r="F568" i="2"/>
  <c r="O567" i="2"/>
  <c r="F567" i="2"/>
  <c r="O566" i="2"/>
  <c r="F566" i="2"/>
  <c r="O565" i="2"/>
  <c r="F565" i="2"/>
  <c r="O564" i="2"/>
  <c r="F564" i="2"/>
  <c r="O563" i="2"/>
  <c r="F563" i="2"/>
  <c r="O562" i="2"/>
  <c r="F562" i="2"/>
  <c r="O561" i="2"/>
  <c r="F561" i="2"/>
  <c r="O560" i="2"/>
  <c r="F560" i="2"/>
  <c r="O559" i="2"/>
  <c r="F559" i="2"/>
  <c r="O558" i="2"/>
  <c r="F558" i="2"/>
  <c r="O557" i="2"/>
  <c r="F557" i="2"/>
  <c r="O556" i="2"/>
  <c r="F556" i="2"/>
  <c r="O555" i="2"/>
  <c r="F555" i="2"/>
  <c r="O554" i="2"/>
  <c r="F554" i="2"/>
  <c r="O553" i="2"/>
  <c r="F553" i="2"/>
  <c r="O552" i="2"/>
  <c r="F552" i="2"/>
  <c r="O551" i="2"/>
  <c r="F551" i="2"/>
  <c r="O550" i="2"/>
  <c r="F550" i="2"/>
  <c r="O549" i="2"/>
  <c r="F549" i="2"/>
  <c r="O548" i="2"/>
  <c r="F548" i="2"/>
  <c r="O547" i="2"/>
  <c r="F547" i="2"/>
  <c r="O546" i="2"/>
  <c r="F546" i="2"/>
  <c r="O545" i="2"/>
  <c r="F545" i="2"/>
  <c r="O544" i="2"/>
  <c r="F544" i="2"/>
  <c r="O543" i="2"/>
  <c r="F543" i="2"/>
  <c r="O542" i="2"/>
  <c r="F542" i="2"/>
  <c r="O541" i="2"/>
  <c r="F541" i="2"/>
  <c r="O540" i="2"/>
  <c r="F540" i="2"/>
  <c r="O539" i="2"/>
  <c r="F539" i="2"/>
  <c r="O538" i="2"/>
  <c r="F538" i="2"/>
  <c r="O537" i="2"/>
  <c r="F537" i="2"/>
  <c r="O536" i="2"/>
  <c r="F536" i="2"/>
  <c r="O535" i="2"/>
  <c r="F535" i="2"/>
  <c r="O534" i="2"/>
  <c r="F534" i="2"/>
  <c r="O533" i="2"/>
  <c r="F533" i="2"/>
  <c r="O532" i="2"/>
  <c r="F532" i="2"/>
  <c r="O531" i="2"/>
  <c r="F531" i="2"/>
  <c r="O530" i="2"/>
  <c r="F530" i="2"/>
  <c r="O529" i="2"/>
  <c r="F529" i="2"/>
  <c r="O528" i="2"/>
  <c r="F528" i="2"/>
  <c r="O527" i="2"/>
  <c r="F527" i="2"/>
  <c r="O526" i="2"/>
  <c r="F526" i="2"/>
  <c r="O525" i="2"/>
  <c r="F525" i="2"/>
  <c r="O524" i="2"/>
  <c r="F524" i="2"/>
  <c r="O523" i="2"/>
  <c r="F523" i="2"/>
  <c r="O522" i="2"/>
  <c r="F522" i="2"/>
  <c r="O521" i="2"/>
  <c r="F521" i="2"/>
  <c r="O520" i="2"/>
  <c r="F520" i="2"/>
  <c r="O519" i="2"/>
  <c r="F519" i="2"/>
  <c r="O518" i="2"/>
  <c r="F518" i="2"/>
  <c r="O517" i="2"/>
  <c r="F517" i="2"/>
  <c r="O516" i="2"/>
  <c r="F516" i="2"/>
  <c r="O515" i="2"/>
  <c r="F515" i="2"/>
  <c r="O514" i="2"/>
  <c r="F514" i="2"/>
  <c r="O513" i="2"/>
  <c r="F513" i="2"/>
  <c r="O512" i="2"/>
  <c r="F512" i="2"/>
  <c r="O511" i="2"/>
  <c r="F511" i="2"/>
  <c r="O510" i="2"/>
  <c r="F510" i="2"/>
  <c r="O509" i="2"/>
  <c r="F509" i="2"/>
  <c r="O508" i="2"/>
  <c r="F508" i="2"/>
  <c r="O507" i="2"/>
  <c r="F507" i="2"/>
  <c r="O506" i="2"/>
  <c r="F506" i="2"/>
  <c r="O505" i="2"/>
  <c r="F505" i="2"/>
  <c r="O504" i="2"/>
  <c r="F504" i="2"/>
  <c r="O503" i="2"/>
  <c r="F503" i="2"/>
  <c r="O502" i="2"/>
  <c r="F502" i="2"/>
  <c r="O501" i="2"/>
  <c r="F501" i="2"/>
  <c r="O500" i="2"/>
  <c r="F500" i="2"/>
  <c r="O499" i="2"/>
  <c r="F499" i="2"/>
  <c r="O498" i="2"/>
  <c r="F498" i="2"/>
  <c r="O497" i="2"/>
  <c r="F497" i="2"/>
  <c r="O496" i="2"/>
  <c r="F496" i="2"/>
  <c r="O495" i="2"/>
  <c r="F495" i="2"/>
  <c r="O494" i="2"/>
  <c r="F494" i="2"/>
  <c r="O493" i="2"/>
  <c r="F493" i="2"/>
  <c r="O492" i="2"/>
  <c r="F492" i="2"/>
  <c r="O491" i="2"/>
  <c r="F491" i="2"/>
  <c r="O490" i="2"/>
  <c r="F490" i="2"/>
  <c r="O489" i="2"/>
  <c r="F489" i="2"/>
  <c r="O488" i="2"/>
  <c r="F488" i="2"/>
  <c r="O487" i="2"/>
  <c r="F487" i="2"/>
  <c r="O486" i="2"/>
  <c r="F486" i="2"/>
  <c r="O485" i="2"/>
  <c r="F485" i="2"/>
  <c r="O484" i="2"/>
  <c r="F484" i="2"/>
  <c r="O483" i="2"/>
  <c r="F483" i="2"/>
  <c r="O482" i="2"/>
  <c r="F482" i="2"/>
  <c r="O481" i="2"/>
  <c r="F481" i="2"/>
  <c r="O480" i="2"/>
  <c r="F480" i="2"/>
  <c r="O479" i="2"/>
  <c r="F479" i="2"/>
  <c r="O478" i="2"/>
  <c r="F478" i="2"/>
  <c r="O477" i="2"/>
  <c r="F477" i="2"/>
  <c r="O476" i="2"/>
  <c r="F476" i="2"/>
  <c r="O475" i="2"/>
  <c r="F475" i="2"/>
  <c r="O474" i="2"/>
  <c r="F474" i="2"/>
  <c r="O473" i="2"/>
  <c r="F473" i="2"/>
  <c r="O472" i="2"/>
  <c r="F472" i="2"/>
  <c r="O471" i="2"/>
  <c r="F471" i="2"/>
  <c r="O470" i="2"/>
  <c r="F470" i="2"/>
  <c r="O469" i="2"/>
  <c r="F469" i="2"/>
  <c r="O468" i="2"/>
  <c r="F468" i="2"/>
  <c r="O467" i="2"/>
  <c r="F467" i="2"/>
  <c r="O466" i="2"/>
  <c r="F466" i="2"/>
  <c r="O465" i="2"/>
  <c r="F465" i="2"/>
  <c r="O464" i="2"/>
  <c r="F464" i="2"/>
  <c r="O463" i="2"/>
  <c r="F463" i="2"/>
  <c r="O462" i="2"/>
  <c r="F462" i="2"/>
  <c r="O461" i="2"/>
  <c r="F461" i="2"/>
  <c r="O460" i="2"/>
  <c r="F460" i="2"/>
  <c r="O459" i="2"/>
  <c r="F459" i="2"/>
  <c r="O458" i="2"/>
  <c r="F458" i="2"/>
  <c r="O457" i="2"/>
  <c r="F457" i="2"/>
  <c r="O456" i="2"/>
  <c r="F456" i="2"/>
  <c r="O455" i="2"/>
  <c r="F455" i="2"/>
  <c r="O454" i="2"/>
  <c r="F454" i="2"/>
  <c r="O453" i="2"/>
  <c r="F453" i="2"/>
  <c r="O452" i="2"/>
  <c r="F452" i="2"/>
  <c r="O451" i="2"/>
  <c r="F451" i="2"/>
  <c r="O450" i="2"/>
  <c r="F450" i="2"/>
  <c r="O449" i="2"/>
  <c r="F449" i="2"/>
  <c r="O448" i="2"/>
  <c r="F448" i="2"/>
  <c r="O447" i="2"/>
  <c r="F447" i="2"/>
  <c r="O446" i="2"/>
  <c r="F446" i="2"/>
  <c r="O445" i="2"/>
  <c r="F445" i="2"/>
  <c r="O444" i="2"/>
  <c r="F444" i="2"/>
  <c r="O443" i="2"/>
  <c r="F443" i="2"/>
  <c r="O442" i="2"/>
  <c r="F442" i="2"/>
  <c r="O441" i="2"/>
  <c r="F441" i="2"/>
  <c r="O440" i="2"/>
  <c r="F440" i="2"/>
  <c r="O439" i="2"/>
  <c r="F439" i="2"/>
  <c r="O438" i="2"/>
  <c r="F438" i="2"/>
  <c r="O437" i="2"/>
  <c r="F437" i="2"/>
  <c r="O436" i="2"/>
  <c r="F436" i="2"/>
  <c r="O435" i="2"/>
  <c r="F435" i="2"/>
  <c r="O434" i="2"/>
  <c r="F434" i="2"/>
  <c r="O433" i="2"/>
  <c r="F433" i="2"/>
  <c r="O432" i="2"/>
  <c r="F432" i="2"/>
  <c r="O431" i="2"/>
  <c r="F431" i="2"/>
  <c r="O430" i="2"/>
  <c r="F430" i="2"/>
  <c r="O429" i="2"/>
  <c r="F429" i="2"/>
  <c r="O428" i="2"/>
  <c r="F428" i="2"/>
  <c r="O427" i="2"/>
  <c r="F427" i="2"/>
  <c r="O426" i="2"/>
  <c r="F426" i="2"/>
  <c r="O425" i="2"/>
  <c r="F425" i="2"/>
  <c r="O424" i="2"/>
  <c r="F424" i="2"/>
  <c r="O423" i="2"/>
  <c r="F423" i="2"/>
  <c r="O422" i="2"/>
  <c r="F422" i="2"/>
  <c r="O421" i="2"/>
  <c r="F421" i="2"/>
  <c r="O420" i="2"/>
  <c r="F420" i="2"/>
  <c r="O419" i="2"/>
  <c r="F419" i="2"/>
  <c r="O418" i="2"/>
  <c r="F418" i="2"/>
  <c r="O417" i="2"/>
  <c r="F417" i="2"/>
  <c r="O416" i="2"/>
  <c r="F416" i="2"/>
  <c r="O415" i="2"/>
  <c r="F415" i="2"/>
  <c r="O414" i="2"/>
  <c r="F414" i="2"/>
  <c r="O413" i="2"/>
  <c r="F413" i="2"/>
  <c r="O412" i="2"/>
  <c r="F412" i="2"/>
  <c r="O411" i="2"/>
  <c r="F411" i="2"/>
  <c r="O410" i="2"/>
  <c r="F410" i="2"/>
  <c r="O409" i="2"/>
  <c r="F409" i="2"/>
  <c r="O408" i="2"/>
  <c r="F408" i="2"/>
  <c r="O407" i="2"/>
  <c r="F407" i="2"/>
  <c r="O406" i="2"/>
  <c r="F406" i="2"/>
  <c r="O405" i="2"/>
  <c r="F405" i="2"/>
  <c r="O404" i="2"/>
  <c r="F404" i="2"/>
  <c r="O403" i="2"/>
  <c r="F403" i="2"/>
  <c r="O402" i="2"/>
  <c r="F402" i="2"/>
  <c r="O401" i="2"/>
  <c r="F401" i="2"/>
  <c r="O400" i="2"/>
  <c r="F400" i="2"/>
  <c r="O399" i="2"/>
  <c r="F399" i="2"/>
  <c r="O398" i="2"/>
  <c r="F398" i="2"/>
  <c r="O397" i="2"/>
  <c r="F397" i="2"/>
  <c r="O396" i="2"/>
  <c r="F396" i="2"/>
  <c r="O395" i="2"/>
  <c r="F395" i="2"/>
  <c r="O394" i="2"/>
  <c r="F394" i="2"/>
  <c r="O393" i="2"/>
  <c r="F393" i="2"/>
  <c r="O392" i="2"/>
  <c r="F392" i="2"/>
  <c r="O391" i="2"/>
  <c r="F391" i="2"/>
  <c r="O390" i="2"/>
  <c r="F390" i="2"/>
  <c r="O389" i="2"/>
  <c r="F389" i="2"/>
  <c r="O388" i="2"/>
  <c r="F388" i="2"/>
  <c r="O387" i="2"/>
  <c r="F387" i="2"/>
  <c r="O386" i="2"/>
  <c r="F386" i="2"/>
  <c r="O385" i="2"/>
  <c r="F385" i="2"/>
  <c r="O384" i="2"/>
  <c r="F384" i="2"/>
  <c r="O383" i="2"/>
  <c r="F383" i="2"/>
  <c r="O382" i="2"/>
  <c r="F382" i="2"/>
  <c r="O381" i="2"/>
  <c r="F381" i="2"/>
  <c r="O380" i="2"/>
  <c r="F380" i="2"/>
  <c r="O379" i="2"/>
  <c r="F379" i="2"/>
  <c r="O378" i="2"/>
  <c r="F378" i="2"/>
  <c r="O377" i="2"/>
  <c r="F377" i="2"/>
  <c r="O376" i="2"/>
  <c r="F376" i="2"/>
  <c r="O375" i="2"/>
  <c r="F375" i="2"/>
  <c r="O374" i="2"/>
  <c r="F374" i="2"/>
  <c r="O373" i="2"/>
  <c r="F373" i="2"/>
  <c r="O372" i="2"/>
  <c r="F372" i="2"/>
  <c r="O371" i="2"/>
  <c r="F371" i="2"/>
  <c r="O370" i="2"/>
  <c r="F370" i="2"/>
  <c r="O369" i="2"/>
  <c r="F369" i="2"/>
  <c r="O368" i="2"/>
  <c r="F368" i="2"/>
  <c r="O367" i="2"/>
  <c r="F367" i="2"/>
  <c r="O366" i="2"/>
  <c r="F366" i="2"/>
  <c r="O365" i="2"/>
  <c r="F365" i="2"/>
  <c r="O364" i="2"/>
  <c r="F364" i="2"/>
  <c r="O363" i="2"/>
  <c r="F363" i="2"/>
  <c r="O362" i="2"/>
  <c r="F362" i="2"/>
  <c r="O361" i="2"/>
  <c r="F361" i="2"/>
  <c r="O360" i="2"/>
  <c r="F360" i="2"/>
  <c r="F359" i="2"/>
  <c r="O358" i="2"/>
  <c r="F358" i="2"/>
  <c r="O357" i="2"/>
  <c r="F357" i="2"/>
  <c r="O356" i="2"/>
  <c r="F356" i="2"/>
  <c r="O355" i="2"/>
  <c r="F355" i="2"/>
  <c r="O354" i="2"/>
  <c r="F354" i="2"/>
  <c r="O353" i="2"/>
  <c r="F353" i="2"/>
  <c r="O352" i="2"/>
  <c r="F352" i="2"/>
  <c r="O351" i="2"/>
  <c r="F351" i="2"/>
  <c r="O350" i="2"/>
  <c r="F350" i="2"/>
  <c r="O349" i="2"/>
  <c r="F349" i="2"/>
  <c r="O348" i="2"/>
  <c r="F348" i="2"/>
  <c r="O347" i="2"/>
  <c r="F347" i="2"/>
  <c r="O346" i="2"/>
  <c r="F346" i="2"/>
  <c r="O345" i="2"/>
  <c r="F345" i="2"/>
  <c r="O344" i="2"/>
  <c r="F344" i="2"/>
  <c r="O343" i="2"/>
  <c r="F343" i="2"/>
  <c r="O342" i="2"/>
  <c r="F342" i="2"/>
  <c r="O341" i="2"/>
  <c r="F341" i="2"/>
  <c r="O340" i="2"/>
  <c r="F340" i="2"/>
  <c r="O339" i="2"/>
  <c r="F339" i="2"/>
  <c r="O338" i="2"/>
  <c r="F338" i="2"/>
  <c r="O337" i="2"/>
  <c r="F337" i="2"/>
  <c r="O336" i="2"/>
  <c r="F336" i="2"/>
  <c r="O335" i="2"/>
  <c r="F335" i="2"/>
  <c r="O334" i="2"/>
  <c r="F334" i="2"/>
  <c r="O333" i="2"/>
  <c r="F333" i="2"/>
  <c r="O332" i="2"/>
  <c r="F332" i="2"/>
  <c r="O331" i="2"/>
  <c r="F331" i="2"/>
  <c r="O330" i="2"/>
  <c r="F330" i="2"/>
  <c r="O329" i="2"/>
  <c r="F329" i="2"/>
  <c r="O328" i="2"/>
  <c r="F328" i="2"/>
  <c r="O327" i="2"/>
  <c r="F327" i="2"/>
  <c r="O326" i="2"/>
  <c r="F326" i="2"/>
  <c r="O325" i="2"/>
  <c r="F325" i="2"/>
  <c r="O324" i="2"/>
  <c r="F324" i="2"/>
  <c r="O323" i="2"/>
  <c r="F323" i="2"/>
  <c r="O322" i="2"/>
  <c r="F322" i="2"/>
  <c r="O321" i="2"/>
  <c r="F321" i="2"/>
  <c r="O320" i="2"/>
  <c r="F320" i="2"/>
  <c r="O319" i="2"/>
  <c r="F319" i="2"/>
  <c r="O318" i="2"/>
  <c r="F318" i="2"/>
  <c r="O317" i="2"/>
  <c r="F317" i="2"/>
  <c r="O316" i="2"/>
  <c r="F316" i="2"/>
  <c r="O315" i="2"/>
  <c r="F315" i="2"/>
  <c r="O314" i="2"/>
  <c r="F314" i="2"/>
  <c r="O313" i="2"/>
  <c r="F313" i="2"/>
  <c r="O312" i="2"/>
  <c r="F312" i="2"/>
  <c r="O311" i="2"/>
  <c r="F311" i="2"/>
  <c r="O310" i="2"/>
  <c r="F310" i="2"/>
  <c r="O309" i="2"/>
  <c r="F309" i="2"/>
  <c r="O308" i="2"/>
  <c r="F308" i="2"/>
  <c r="O307" i="2"/>
  <c r="F307" i="2"/>
  <c r="O306" i="2"/>
  <c r="F306" i="2"/>
  <c r="O305" i="2"/>
  <c r="F305" i="2"/>
  <c r="O304" i="2"/>
  <c r="F304" i="2"/>
  <c r="O303" i="2"/>
  <c r="F303" i="2"/>
  <c r="O302" i="2"/>
  <c r="F302" i="2"/>
  <c r="O301" i="2"/>
  <c r="F301" i="2"/>
  <c r="O300" i="2"/>
  <c r="F300" i="2"/>
  <c r="O299" i="2"/>
  <c r="F299" i="2"/>
  <c r="O298" i="2"/>
  <c r="F298" i="2"/>
  <c r="O297" i="2"/>
  <c r="F297" i="2"/>
  <c r="O296" i="2"/>
  <c r="F296" i="2"/>
  <c r="O295" i="2"/>
  <c r="F295" i="2"/>
  <c r="O294" i="2"/>
  <c r="F294" i="2"/>
  <c r="O293" i="2"/>
  <c r="F293" i="2"/>
  <c r="O292" i="2"/>
  <c r="F292" i="2"/>
  <c r="O291" i="2"/>
  <c r="F291" i="2"/>
  <c r="O290" i="2"/>
  <c r="F290" i="2"/>
  <c r="O289" i="2"/>
  <c r="F289" i="2"/>
  <c r="O288" i="2"/>
  <c r="F288" i="2"/>
  <c r="O287" i="2"/>
  <c r="F287" i="2"/>
  <c r="O286" i="2"/>
  <c r="F286" i="2"/>
  <c r="O285" i="2"/>
  <c r="F285" i="2"/>
  <c r="O284" i="2"/>
  <c r="F284" i="2"/>
  <c r="O283" i="2"/>
  <c r="F283" i="2"/>
  <c r="O282" i="2"/>
  <c r="F282" i="2"/>
  <c r="O281" i="2"/>
  <c r="F281" i="2"/>
  <c r="O280" i="2"/>
  <c r="F280" i="2"/>
  <c r="O279" i="2"/>
  <c r="F279" i="2"/>
  <c r="O278" i="2"/>
  <c r="F278" i="2"/>
  <c r="O277" i="2"/>
  <c r="F277" i="2"/>
  <c r="O276" i="2"/>
  <c r="F276" i="2"/>
  <c r="O275" i="2"/>
  <c r="F275" i="2"/>
  <c r="O274" i="2"/>
  <c r="F274" i="2"/>
  <c r="O273" i="2"/>
  <c r="F273" i="2"/>
  <c r="O272" i="2"/>
  <c r="F272" i="2"/>
  <c r="O271" i="2"/>
  <c r="F271" i="2"/>
  <c r="O270" i="2"/>
  <c r="F270" i="2"/>
  <c r="O269" i="2"/>
  <c r="F269" i="2"/>
  <c r="O268" i="2"/>
  <c r="F268" i="2"/>
  <c r="O267" i="2"/>
  <c r="F267" i="2"/>
  <c r="O266" i="2"/>
  <c r="F266" i="2"/>
  <c r="O265" i="2"/>
  <c r="F265" i="2"/>
  <c r="O264" i="2"/>
  <c r="F264" i="2"/>
  <c r="O263" i="2"/>
  <c r="F263" i="2"/>
  <c r="O262" i="2"/>
  <c r="F262" i="2"/>
  <c r="O261" i="2"/>
  <c r="F261" i="2"/>
  <c r="O260" i="2"/>
  <c r="F260" i="2"/>
  <c r="O259" i="2"/>
  <c r="F259" i="2"/>
  <c r="O258" i="2"/>
  <c r="F258" i="2"/>
  <c r="O257" i="2"/>
  <c r="F257" i="2"/>
  <c r="O256" i="2"/>
  <c r="F256" i="2"/>
  <c r="O255" i="2"/>
  <c r="F255" i="2"/>
  <c r="O254" i="2"/>
  <c r="F254" i="2"/>
  <c r="O253" i="2"/>
  <c r="F253" i="2"/>
  <c r="O252" i="2"/>
  <c r="F252" i="2"/>
  <c r="O251" i="2"/>
  <c r="F251" i="2"/>
  <c r="O250" i="2"/>
  <c r="F250" i="2"/>
  <c r="O249" i="2"/>
  <c r="F249" i="2"/>
  <c r="O248" i="2"/>
  <c r="F248" i="2"/>
  <c r="O247" i="2"/>
  <c r="F247" i="2"/>
  <c r="O246" i="2"/>
  <c r="F246" i="2"/>
  <c r="O245" i="2"/>
  <c r="F245" i="2"/>
  <c r="O244" i="2"/>
  <c r="F244" i="2"/>
  <c r="O243" i="2"/>
  <c r="F243" i="2"/>
  <c r="O242" i="2"/>
  <c r="F242" i="2"/>
  <c r="O241" i="2"/>
  <c r="F241" i="2"/>
  <c r="O240" i="2"/>
  <c r="F240" i="2"/>
  <c r="O239" i="2"/>
  <c r="F239" i="2"/>
  <c r="O238" i="2"/>
  <c r="F238" i="2"/>
  <c r="O237" i="2"/>
  <c r="F237" i="2"/>
  <c r="O236" i="2"/>
  <c r="F236" i="2"/>
  <c r="O235" i="2"/>
  <c r="F235" i="2"/>
  <c r="O234" i="2"/>
  <c r="F234" i="2"/>
  <c r="O233" i="2"/>
  <c r="F233" i="2"/>
  <c r="O232" i="2"/>
  <c r="F232" i="2"/>
  <c r="O231" i="2"/>
  <c r="F231" i="2"/>
  <c r="O230" i="2"/>
  <c r="F230" i="2"/>
  <c r="O229" i="2"/>
  <c r="F229" i="2"/>
  <c r="O228" i="2"/>
  <c r="F228" i="2"/>
  <c r="O227" i="2"/>
  <c r="F227" i="2"/>
  <c r="O226" i="2"/>
  <c r="F226" i="2"/>
  <c r="O225" i="2"/>
  <c r="F225" i="2"/>
  <c r="O224" i="2"/>
  <c r="F224" i="2"/>
  <c r="O223" i="2"/>
  <c r="F223" i="2"/>
  <c r="O222" i="2"/>
  <c r="F222" i="2"/>
  <c r="O221" i="2"/>
  <c r="F221" i="2"/>
  <c r="O220" i="2"/>
  <c r="F220" i="2"/>
  <c r="O219" i="2"/>
  <c r="F219" i="2"/>
  <c r="O218" i="2"/>
  <c r="F218" i="2"/>
  <c r="O217" i="2"/>
  <c r="F217" i="2"/>
  <c r="O216" i="2"/>
  <c r="F216" i="2"/>
  <c r="O215" i="2"/>
  <c r="F215" i="2"/>
  <c r="O214" i="2"/>
  <c r="F214" i="2"/>
  <c r="O213" i="2"/>
  <c r="F213" i="2"/>
  <c r="O212" i="2"/>
  <c r="F212" i="2"/>
  <c r="O211" i="2"/>
  <c r="F211" i="2"/>
  <c r="O210" i="2"/>
  <c r="F210" i="2"/>
  <c r="O209" i="2"/>
  <c r="F209" i="2"/>
  <c r="O208" i="2"/>
  <c r="F208" i="2"/>
  <c r="O207" i="2"/>
  <c r="F207" i="2"/>
  <c r="O206" i="2"/>
  <c r="F206" i="2"/>
  <c r="O205" i="2"/>
  <c r="F205" i="2"/>
  <c r="O204" i="2"/>
  <c r="F204" i="2"/>
  <c r="O203" i="2"/>
  <c r="F203" i="2"/>
  <c r="O202" i="2"/>
  <c r="F202" i="2"/>
  <c r="O201" i="2"/>
  <c r="F201" i="2"/>
  <c r="O200" i="2"/>
  <c r="F200" i="2"/>
  <c r="O199" i="2"/>
  <c r="F199" i="2"/>
  <c r="O198" i="2"/>
  <c r="F198" i="2"/>
  <c r="O197" i="2"/>
  <c r="F197" i="2"/>
  <c r="O196" i="2"/>
  <c r="F196" i="2"/>
  <c r="O195" i="2"/>
  <c r="F195" i="2"/>
  <c r="O194" i="2"/>
  <c r="F194" i="2"/>
  <c r="O193" i="2"/>
  <c r="F193" i="2"/>
  <c r="O192" i="2"/>
  <c r="F192" i="2"/>
  <c r="O191" i="2"/>
  <c r="F191" i="2"/>
  <c r="O190" i="2"/>
  <c r="F190" i="2"/>
  <c r="O189" i="2"/>
  <c r="F189" i="2"/>
  <c r="O188" i="2"/>
  <c r="F188" i="2"/>
  <c r="O187" i="2"/>
  <c r="F187" i="2"/>
  <c r="O186" i="2"/>
  <c r="F186" i="2"/>
  <c r="O185" i="2"/>
  <c r="F185" i="2"/>
  <c r="O184" i="2"/>
  <c r="F184" i="2"/>
  <c r="O183" i="2"/>
  <c r="F183" i="2"/>
  <c r="O182" i="2"/>
  <c r="F182" i="2"/>
  <c r="O181" i="2"/>
  <c r="F181" i="2"/>
  <c r="O180" i="2"/>
  <c r="F180" i="2"/>
  <c r="O179" i="2"/>
  <c r="F179" i="2"/>
  <c r="O178" i="2"/>
  <c r="F178" i="2"/>
  <c r="O177" i="2"/>
  <c r="F177" i="2"/>
  <c r="O176" i="2"/>
  <c r="F176" i="2"/>
  <c r="O175" i="2"/>
  <c r="F175" i="2"/>
  <c r="O174" i="2"/>
  <c r="F174" i="2"/>
  <c r="O173" i="2"/>
  <c r="F173" i="2"/>
  <c r="O172" i="2"/>
  <c r="F172" i="2"/>
  <c r="O171" i="2"/>
  <c r="F171" i="2"/>
  <c r="O170" i="2"/>
  <c r="F170" i="2"/>
  <c r="O169" i="2"/>
  <c r="F169" i="2"/>
  <c r="O168" i="2"/>
  <c r="F168" i="2"/>
  <c r="O167" i="2"/>
  <c r="F167" i="2"/>
  <c r="O166" i="2"/>
  <c r="F166" i="2"/>
  <c r="O165" i="2"/>
  <c r="F165" i="2"/>
  <c r="O164" i="2"/>
  <c r="F164" i="2"/>
  <c r="O163" i="2"/>
  <c r="F163" i="2"/>
  <c r="O162" i="2"/>
  <c r="F162" i="2"/>
  <c r="O161" i="2"/>
  <c r="F161" i="2"/>
  <c r="O160" i="2"/>
  <c r="F160" i="2"/>
  <c r="O159" i="2"/>
  <c r="F159" i="2"/>
  <c r="O158" i="2"/>
  <c r="F158" i="2"/>
  <c r="O157" i="2"/>
  <c r="F157" i="2"/>
  <c r="O156" i="2"/>
  <c r="F156" i="2"/>
  <c r="O155" i="2"/>
  <c r="F155" i="2"/>
  <c r="O154" i="2"/>
  <c r="F154" i="2"/>
  <c r="O153" i="2"/>
  <c r="F153" i="2"/>
  <c r="O152" i="2"/>
  <c r="F152" i="2"/>
  <c r="O151" i="2"/>
  <c r="F151" i="2"/>
  <c r="O150" i="2"/>
  <c r="F150" i="2"/>
  <c r="O149" i="2"/>
  <c r="F149" i="2"/>
  <c r="O148" i="2"/>
  <c r="F148" i="2"/>
  <c r="O147" i="2"/>
  <c r="F147" i="2"/>
  <c r="O146" i="2"/>
  <c r="F146" i="2"/>
  <c r="O145" i="2"/>
  <c r="F145" i="2"/>
  <c r="O144" i="2"/>
  <c r="F144" i="2"/>
  <c r="O143" i="2"/>
  <c r="F143" i="2"/>
  <c r="O142" i="2"/>
  <c r="F142" i="2"/>
  <c r="O141" i="2"/>
  <c r="F141" i="2"/>
  <c r="O140" i="2"/>
  <c r="F140" i="2"/>
  <c r="O139" i="2"/>
  <c r="F139" i="2"/>
  <c r="O138" i="2"/>
  <c r="F138" i="2"/>
  <c r="O137" i="2"/>
  <c r="F137" i="2"/>
  <c r="O136" i="2"/>
  <c r="F136" i="2"/>
  <c r="O135" i="2"/>
  <c r="F135" i="2"/>
  <c r="O134" i="2"/>
  <c r="F134" i="2"/>
  <c r="O133" i="2"/>
  <c r="F133" i="2"/>
  <c r="O132" i="2"/>
  <c r="F132" i="2"/>
  <c r="O131" i="2"/>
  <c r="F131" i="2"/>
  <c r="O130" i="2"/>
  <c r="F130" i="2"/>
  <c r="O129" i="2"/>
  <c r="F129" i="2"/>
  <c r="O128" i="2"/>
  <c r="F128" i="2"/>
  <c r="O127" i="2"/>
  <c r="F127" i="2"/>
  <c r="O126" i="2"/>
  <c r="F126" i="2"/>
  <c r="O125" i="2"/>
  <c r="F125" i="2"/>
  <c r="O124" i="2"/>
  <c r="F124" i="2"/>
  <c r="O123" i="2"/>
  <c r="F123" i="2"/>
  <c r="O122" i="2"/>
  <c r="F122" i="2"/>
  <c r="O121" i="2"/>
  <c r="F121" i="2"/>
  <c r="O120" i="2"/>
  <c r="F120" i="2"/>
  <c r="O119" i="2"/>
  <c r="F119" i="2"/>
  <c r="O118" i="2"/>
  <c r="F118" i="2"/>
  <c r="O117" i="2"/>
  <c r="F117" i="2"/>
  <c r="O116" i="2"/>
  <c r="F116" i="2"/>
  <c r="O115" i="2"/>
  <c r="F115" i="2"/>
  <c r="O114" i="2"/>
  <c r="F114" i="2"/>
  <c r="O113" i="2"/>
  <c r="F113" i="2"/>
  <c r="O112" i="2"/>
  <c r="F112" i="2"/>
  <c r="O111" i="2"/>
  <c r="F111" i="2"/>
  <c r="O110" i="2"/>
  <c r="F110" i="2"/>
  <c r="O109" i="2"/>
  <c r="F109" i="2"/>
  <c r="O108" i="2"/>
  <c r="F108" i="2"/>
  <c r="O107" i="2"/>
  <c r="F107" i="2"/>
  <c r="O106" i="2"/>
  <c r="F106" i="2"/>
  <c r="O105" i="2"/>
  <c r="F105" i="2"/>
  <c r="O104" i="2"/>
  <c r="F104" i="2"/>
  <c r="O103" i="2"/>
  <c r="F103" i="2"/>
  <c r="O102" i="2"/>
  <c r="F102" i="2"/>
  <c r="O101" i="2"/>
  <c r="F101" i="2"/>
  <c r="O100" i="2"/>
  <c r="F100" i="2"/>
  <c r="O99" i="2"/>
  <c r="F99" i="2"/>
  <c r="O98" i="2"/>
  <c r="F98" i="2"/>
  <c r="O97" i="2"/>
  <c r="F97" i="2"/>
  <c r="O96" i="2"/>
  <c r="F96" i="2"/>
  <c r="O95" i="2"/>
  <c r="F95" i="2"/>
  <c r="O94" i="2"/>
  <c r="F94" i="2"/>
  <c r="O93" i="2"/>
  <c r="F93" i="2"/>
  <c r="O92" i="2"/>
  <c r="F92" i="2"/>
  <c r="O91" i="2"/>
  <c r="F91" i="2"/>
  <c r="O90" i="2"/>
  <c r="F90" i="2"/>
  <c r="O89" i="2"/>
  <c r="F89" i="2"/>
  <c r="O88" i="2"/>
  <c r="F88" i="2"/>
  <c r="O87" i="2"/>
  <c r="F87" i="2"/>
  <c r="O86" i="2"/>
  <c r="F86" i="2"/>
  <c r="O85" i="2"/>
  <c r="F85" i="2"/>
  <c r="O84" i="2"/>
  <c r="F84" i="2"/>
  <c r="O83" i="2"/>
  <c r="F83" i="2"/>
  <c r="O82" i="2"/>
  <c r="F82" i="2"/>
  <c r="O81" i="2"/>
  <c r="F81" i="2"/>
  <c r="O80" i="2"/>
  <c r="F80" i="2"/>
  <c r="O79" i="2"/>
  <c r="F79" i="2"/>
  <c r="O78" i="2"/>
  <c r="F78" i="2"/>
  <c r="O77" i="2"/>
  <c r="F77" i="2"/>
  <c r="O76" i="2"/>
  <c r="F76" i="2"/>
  <c r="O75" i="2"/>
  <c r="F75" i="2"/>
  <c r="O74" i="2"/>
  <c r="F74" i="2"/>
  <c r="O73" i="2"/>
  <c r="F73" i="2"/>
  <c r="O72" i="2"/>
  <c r="F72" i="2"/>
  <c r="O71" i="2"/>
  <c r="F71" i="2"/>
  <c r="O70" i="2"/>
  <c r="F70" i="2"/>
  <c r="O69" i="2"/>
  <c r="F69" i="2"/>
  <c r="O68" i="2"/>
  <c r="F68" i="2"/>
  <c r="O67" i="2"/>
  <c r="F67" i="2"/>
  <c r="O66" i="2"/>
  <c r="F66" i="2"/>
  <c r="O65" i="2"/>
  <c r="F65" i="2"/>
  <c r="O64" i="2"/>
  <c r="F64" i="2"/>
  <c r="O63" i="2"/>
  <c r="F63" i="2"/>
  <c r="O62" i="2"/>
  <c r="F62" i="2"/>
  <c r="O61" i="2"/>
  <c r="F61" i="2"/>
  <c r="O60" i="2"/>
  <c r="F60" i="2"/>
  <c r="O59" i="2"/>
  <c r="F59" i="2"/>
  <c r="O58" i="2"/>
  <c r="F58" i="2"/>
  <c r="O57" i="2"/>
  <c r="F57" i="2"/>
  <c r="O56" i="2"/>
  <c r="F56" i="2"/>
  <c r="O55" i="2"/>
  <c r="F55" i="2"/>
  <c r="O54" i="2"/>
  <c r="F54" i="2"/>
  <c r="O53" i="2"/>
  <c r="F53" i="2"/>
  <c r="O52" i="2"/>
  <c r="F52" i="2"/>
  <c r="O51" i="2"/>
  <c r="F51" i="2"/>
  <c r="O50" i="2"/>
  <c r="F50" i="2"/>
  <c r="O49" i="2"/>
  <c r="F49" i="2"/>
  <c r="O48" i="2"/>
  <c r="F48" i="2"/>
  <c r="O47" i="2"/>
  <c r="F47" i="2"/>
  <c r="O46" i="2"/>
  <c r="F46" i="2"/>
  <c r="O45" i="2"/>
  <c r="F45" i="2"/>
  <c r="O44" i="2"/>
  <c r="F44" i="2"/>
  <c r="O43" i="2"/>
  <c r="F43" i="2"/>
  <c r="O42" i="2"/>
  <c r="F42" i="2"/>
  <c r="O41" i="2"/>
  <c r="F41" i="2"/>
  <c r="O40" i="2"/>
  <c r="F40" i="2"/>
  <c r="O39" i="2"/>
  <c r="F39" i="2"/>
  <c r="O38" i="2"/>
  <c r="F38" i="2"/>
  <c r="O37" i="2"/>
  <c r="F37" i="2"/>
  <c r="O36" i="2"/>
  <c r="F36" i="2"/>
  <c r="O35" i="2"/>
  <c r="F35" i="2"/>
  <c r="O34" i="2"/>
  <c r="F34" i="2"/>
  <c r="O33" i="2"/>
  <c r="F33" i="2"/>
  <c r="O32" i="2"/>
  <c r="F32" i="2"/>
  <c r="O31" i="2"/>
  <c r="F31" i="2"/>
  <c r="O30" i="2"/>
  <c r="F30" i="2"/>
  <c r="O29" i="2"/>
  <c r="F29" i="2"/>
  <c r="O28" i="2"/>
  <c r="F28" i="2"/>
  <c r="O27" i="2"/>
  <c r="F27" i="2"/>
  <c r="O26" i="2"/>
  <c r="F26" i="2"/>
  <c r="O25" i="2"/>
  <c r="F25" i="2"/>
  <c r="O24" i="2"/>
  <c r="F24" i="2"/>
  <c r="O23" i="2"/>
  <c r="F23" i="2"/>
  <c r="O22" i="2"/>
  <c r="F22" i="2"/>
  <c r="O21" i="2"/>
  <c r="F21" i="2"/>
  <c r="O20" i="2"/>
  <c r="F20" i="2"/>
  <c r="O19" i="2"/>
  <c r="F19" i="2"/>
  <c r="O18" i="2"/>
  <c r="F18" i="2"/>
  <c r="O17" i="2"/>
  <c r="F17" i="2"/>
  <c r="O16" i="2"/>
  <c r="F16" i="2"/>
  <c r="O15" i="2"/>
  <c r="F15" i="2"/>
  <c r="O14" i="2"/>
  <c r="F14" i="2"/>
  <c r="O13" i="2"/>
  <c r="F13" i="2"/>
  <c r="O12" i="2"/>
  <c r="F12" i="2"/>
  <c r="O11" i="2"/>
  <c r="F11" i="2"/>
  <c r="O10" i="2"/>
  <c r="F10" i="2"/>
  <c r="O9" i="2"/>
  <c r="F9" i="2"/>
  <c r="O8" i="2"/>
  <c r="F8" i="2"/>
  <c r="O7" i="2"/>
  <c r="F7" i="2"/>
  <c r="O6" i="2"/>
  <c r="F6" i="2"/>
  <c r="O5" i="2"/>
  <c r="F5" i="2"/>
  <c r="O4" i="2"/>
  <c r="F4" i="2"/>
  <c r="O3" i="2"/>
  <c r="F3" i="2"/>
  <c r="O2" i="2"/>
  <c r="F2" i="2"/>
  <c r="M1314" i="2" l="1"/>
  <c r="M1313" i="2"/>
  <c r="M1311" i="2"/>
  <c r="M1312" i="2"/>
  <c r="M1310" i="2" l="1"/>
  <c r="M1308" i="2"/>
  <c r="M1309" i="2"/>
  <c r="M1307" i="2"/>
  <c r="M872" i="2" l="1"/>
  <c r="M870" i="2"/>
  <c r="M1345" i="2"/>
  <c r="M871" i="2"/>
  <c r="M873" i="2"/>
  <c r="M868" i="2"/>
  <c r="M869" i="2"/>
  <c r="M1343" i="2"/>
  <c r="M1344" i="2"/>
  <c r="G1356" i="2" l="1"/>
  <c r="E1356" i="2" s="1"/>
  <c r="G1357" i="2"/>
  <c r="E1357" i="2" s="1"/>
  <c r="G1358" i="2"/>
  <c r="E1358" i="2" s="1"/>
  <c r="G1359" i="2"/>
  <c r="E1359" i="2" s="1"/>
  <c r="G1360" i="2"/>
  <c r="E1360" i="2" s="1"/>
  <c r="G1355" i="2"/>
  <c r="E1355" i="2" s="1"/>
  <c r="G1349" i="2"/>
  <c r="E1349" i="2" s="1"/>
  <c r="G1350" i="2"/>
  <c r="E1350" i="2" s="1"/>
  <c r="G1351" i="2"/>
  <c r="E1351" i="2" s="1"/>
  <c r="G1352" i="2"/>
  <c r="E1352" i="2" s="1"/>
  <c r="G1353" i="2"/>
  <c r="E1353" i="2" s="1"/>
  <c r="G1354" i="2"/>
  <c r="E1354" i="2" s="1"/>
  <c r="M1266" i="2"/>
  <c r="M1270" i="2"/>
  <c r="M1274" i="2"/>
  <c r="M1265" i="2"/>
  <c r="M1271" i="2"/>
  <c r="M1276" i="2"/>
  <c r="M1267" i="2"/>
  <c r="M1272" i="2"/>
  <c r="M1275" i="2"/>
  <c r="M1268" i="2"/>
  <c r="M1269" i="2"/>
  <c r="M1273" i="2"/>
  <c r="M1278" i="2"/>
  <c r="M1282" i="2"/>
  <c r="M1286" i="2"/>
  <c r="M1281" i="2"/>
  <c r="M1287" i="2"/>
  <c r="M1277" i="2"/>
  <c r="M1283" i="2"/>
  <c r="M1288" i="2"/>
  <c r="M1285" i="2"/>
  <c r="M1279" i="2"/>
  <c r="M1280" i="2"/>
  <c r="M1284" i="2"/>
  <c r="M1290" i="2"/>
  <c r="M1294" i="2"/>
  <c r="M1298" i="2"/>
  <c r="M1292" i="2"/>
  <c r="M1297" i="2"/>
  <c r="M1293" i="2"/>
  <c r="M1299" i="2"/>
  <c r="M1296" i="2"/>
  <c r="M1289" i="2"/>
  <c r="M1300" i="2"/>
  <c r="M1291" i="2"/>
  <c r="M1295" i="2"/>
  <c r="G1263" i="2"/>
  <c r="E1263" i="2" s="1"/>
  <c r="G1259" i="2"/>
  <c r="E1259" i="2" s="1"/>
  <c r="G1264" i="2"/>
  <c r="E1264" i="2" s="1"/>
  <c r="G1260" i="2"/>
  <c r="E1260" i="2" s="1"/>
  <c r="G1261" i="2"/>
  <c r="E1261" i="2" s="1"/>
  <c r="G1262" i="2"/>
  <c r="E1262" i="2" s="1"/>
  <c r="G1191" i="2"/>
  <c r="E1191" i="2" s="1"/>
  <c r="G1187" i="2"/>
  <c r="E1187" i="2" s="1"/>
  <c r="G1192" i="2"/>
  <c r="E1192" i="2" s="1"/>
  <c r="G1188" i="2"/>
  <c r="E1188" i="2" s="1"/>
  <c r="G1184" i="2"/>
  <c r="E1184" i="2" s="1"/>
  <c r="G1193" i="2"/>
  <c r="E1193" i="2" s="1"/>
  <c r="G1189" i="2"/>
  <c r="E1189" i="2" s="1"/>
  <c r="G1185" i="2"/>
  <c r="E1185" i="2" s="1"/>
  <c r="G1190" i="2"/>
  <c r="E1190" i="2" s="1"/>
  <c r="G1186" i="2"/>
  <c r="E1186" i="2" s="1"/>
  <c r="G1119" i="2"/>
  <c r="E1119" i="2" s="1"/>
  <c r="G1115" i="2"/>
  <c r="E1115" i="2" s="1"/>
  <c r="G1111" i="2"/>
  <c r="E1111" i="2" s="1"/>
  <c r="G1116" i="2"/>
  <c r="E1116" i="2" s="1"/>
  <c r="G1112" i="2"/>
  <c r="E1112" i="2" s="1"/>
  <c r="G1114" i="2"/>
  <c r="E1114" i="2" s="1"/>
  <c r="G1108" i="2"/>
  <c r="E1108" i="2" s="1"/>
  <c r="G1117" i="2"/>
  <c r="E1117" i="2" s="1"/>
  <c r="G1109" i="2"/>
  <c r="E1109" i="2" s="1"/>
  <c r="G1113" i="2"/>
  <c r="E1113" i="2" s="1"/>
  <c r="G1118" i="2"/>
  <c r="E1118" i="2" s="1"/>
  <c r="G1110" i="2"/>
  <c r="E1110" i="2" s="1"/>
  <c r="G1008" i="2"/>
  <c r="E1008" i="2" s="1"/>
  <c r="G1004" i="2"/>
  <c r="E1004" i="2" s="1"/>
  <c r="G1000" i="2"/>
  <c r="E1000" i="2" s="1"/>
  <c r="G1005" i="2"/>
  <c r="E1005" i="2" s="1"/>
  <c r="G1001" i="2"/>
  <c r="E1001" i="2" s="1"/>
  <c r="G997" i="2"/>
  <c r="E997" i="2" s="1"/>
  <c r="G1007" i="2"/>
  <c r="E1007" i="2" s="1"/>
  <c r="G999" i="2"/>
  <c r="E999" i="2" s="1"/>
  <c r="G1002" i="2"/>
  <c r="E1002" i="2" s="1"/>
  <c r="G998" i="2"/>
  <c r="E998" i="2" s="1"/>
  <c r="G1003" i="2"/>
  <c r="E1003" i="2" s="1"/>
  <c r="G1006" i="2"/>
  <c r="E1006" i="2" s="1"/>
  <c r="G955" i="2"/>
  <c r="E955" i="2" s="1"/>
  <c r="G954" i="2"/>
  <c r="E954" i="2" s="1"/>
  <c r="G953" i="2"/>
  <c r="E953" i="2" s="1"/>
  <c r="G952" i="2"/>
  <c r="E952" i="2" s="1"/>
  <c r="G951" i="2"/>
  <c r="E951" i="2" s="1"/>
  <c r="G899" i="2"/>
  <c r="E899" i="2" s="1"/>
  <c r="G898" i="2"/>
  <c r="E898" i="2" s="1"/>
  <c r="G897" i="2"/>
  <c r="E897" i="2" s="1"/>
  <c r="G896" i="2"/>
  <c r="E896" i="2" s="1"/>
  <c r="G895" i="2"/>
  <c r="E895" i="2" s="1"/>
  <c r="G894" i="2"/>
  <c r="E894" i="2" s="1"/>
  <c r="G893" i="2"/>
  <c r="E893" i="2" s="1"/>
  <c r="G892" i="2"/>
  <c r="E892" i="2" s="1"/>
  <c r="G1342" i="2"/>
  <c r="E1342" i="2" s="1"/>
  <c r="G867" i="2"/>
  <c r="E867" i="2" s="1"/>
  <c r="G866" i="2"/>
  <c r="E866" i="2" s="1"/>
  <c r="G1303" i="2"/>
  <c r="E1303" i="2" s="1"/>
  <c r="G1348" i="2"/>
  <c r="E1348" i="2" s="1"/>
  <c r="G1347" i="2"/>
  <c r="E1347" i="2" s="1"/>
  <c r="G1346" i="2"/>
  <c r="E1346" i="2" s="1"/>
  <c r="G1304" i="2"/>
  <c r="E1304" i="2" s="1"/>
  <c r="G1305" i="2"/>
  <c r="E1305" i="2" s="1"/>
  <c r="G1301" i="2"/>
  <c r="E1301" i="2" s="1"/>
  <c r="G1302" i="2"/>
  <c r="E1302" i="2" s="1"/>
  <c r="G1306" i="2"/>
  <c r="E1306" i="2" s="1"/>
  <c r="G720" i="2"/>
  <c r="E720" i="2" s="1"/>
  <c r="G716" i="2"/>
  <c r="E716" i="2" s="1"/>
  <c r="G712" i="2"/>
  <c r="E712" i="2" s="1"/>
  <c r="G721" i="2"/>
  <c r="E721" i="2" s="1"/>
  <c r="G717" i="2"/>
  <c r="E717" i="2" s="1"/>
  <c r="G713" i="2"/>
  <c r="E713" i="2" s="1"/>
  <c r="G719" i="2"/>
  <c r="E719" i="2" s="1"/>
  <c r="G711" i="2"/>
  <c r="E711" i="2" s="1"/>
  <c r="G718" i="2"/>
  <c r="E718" i="2" s="1"/>
  <c r="G710" i="2"/>
  <c r="E710" i="2" s="1"/>
  <c r="G714" i="2"/>
  <c r="E714" i="2" s="1"/>
  <c r="G715" i="2"/>
  <c r="E715" i="2" s="1"/>
  <c r="G632" i="2"/>
  <c r="E632" i="2" s="1"/>
  <c r="G628" i="2"/>
  <c r="E628" i="2" s="1"/>
  <c r="G624" i="2"/>
  <c r="E624" i="2" s="1"/>
  <c r="G629" i="2"/>
  <c r="E629" i="2" s="1"/>
  <c r="G625" i="2"/>
  <c r="E625" i="2" s="1"/>
  <c r="G621" i="2"/>
  <c r="E621" i="2" s="1"/>
  <c r="G631" i="2"/>
  <c r="E631" i="2" s="1"/>
  <c r="G623" i="2"/>
  <c r="E623" i="2" s="1"/>
  <c r="G626" i="2"/>
  <c r="E626" i="2" s="1"/>
  <c r="G627" i="2"/>
  <c r="E627" i="2" s="1"/>
  <c r="G630" i="2"/>
  <c r="E630" i="2" s="1"/>
  <c r="G622" i="2"/>
  <c r="E622" i="2" s="1"/>
  <c r="G552" i="2"/>
  <c r="E552" i="2" s="1"/>
  <c r="G548" i="2"/>
  <c r="E548" i="2" s="1"/>
  <c r="G544" i="2"/>
  <c r="E544" i="2" s="1"/>
  <c r="G549" i="2"/>
  <c r="E549" i="2" s="1"/>
  <c r="G545" i="2"/>
  <c r="E545" i="2" s="1"/>
  <c r="G541" i="2"/>
  <c r="E541" i="2" s="1"/>
  <c r="G551" i="2"/>
  <c r="E551" i="2" s="1"/>
  <c r="G543" i="2"/>
  <c r="E543" i="2" s="1"/>
  <c r="G546" i="2"/>
  <c r="E546" i="2" s="1"/>
  <c r="G547" i="2"/>
  <c r="E547" i="2" s="1"/>
  <c r="G550" i="2"/>
  <c r="E550" i="2" s="1"/>
  <c r="G542" i="2"/>
  <c r="E542" i="2" s="1"/>
  <c r="G456" i="2"/>
  <c r="E456" i="2" s="1"/>
  <c r="G452" i="2"/>
  <c r="E452" i="2" s="1"/>
  <c r="G448" i="2"/>
  <c r="E448" i="2" s="1"/>
  <c r="G455" i="2"/>
  <c r="E455" i="2" s="1"/>
  <c r="G451" i="2"/>
  <c r="E451" i="2" s="1"/>
  <c r="G453" i="2"/>
  <c r="E453" i="2" s="1"/>
  <c r="G449" i="2"/>
  <c r="E449" i="2" s="1"/>
  <c r="G445" i="2"/>
  <c r="E445" i="2" s="1"/>
  <c r="G454" i="2"/>
  <c r="E454" i="2" s="1"/>
  <c r="G450" i="2"/>
  <c r="E450" i="2" s="1"/>
  <c r="G446" i="2"/>
  <c r="E446" i="2" s="1"/>
  <c r="G447" i="2"/>
  <c r="E447" i="2" s="1"/>
  <c r="G360" i="2"/>
  <c r="E360" i="2" s="1"/>
  <c r="G356" i="2"/>
  <c r="E356" i="2" s="1"/>
  <c r="G352" i="2"/>
  <c r="E352" i="2" s="1"/>
  <c r="G358" i="2"/>
  <c r="E358" i="2" s="1"/>
  <c r="G350" i="2"/>
  <c r="E350" i="2" s="1"/>
  <c r="G357" i="2"/>
  <c r="E357" i="2" s="1"/>
  <c r="G353" i="2"/>
  <c r="E353" i="2" s="1"/>
  <c r="G349" i="2"/>
  <c r="E349" i="2" s="1"/>
  <c r="G354" i="2"/>
  <c r="E354" i="2" s="1"/>
  <c r="G359" i="2"/>
  <c r="E359" i="2" s="1"/>
  <c r="G355" i="2"/>
  <c r="E355" i="2" s="1"/>
  <c r="G351" i="2"/>
  <c r="E351" i="2" s="1"/>
  <c r="G264" i="2"/>
  <c r="E264" i="2" s="1"/>
  <c r="G260" i="2"/>
  <c r="E260" i="2" s="1"/>
  <c r="G256" i="2"/>
  <c r="E256" i="2" s="1"/>
  <c r="G262" i="2"/>
  <c r="E262" i="2" s="1"/>
  <c r="G258" i="2"/>
  <c r="E258" i="2" s="1"/>
  <c r="G254" i="2"/>
  <c r="E254" i="2" s="1"/>
  <c r="G261" i="2"/>
  <c r="E261" i="2" s="1"/>
  <c r="G257" i="2"/>
  <c r="E257" i="2" s="1"/>
  <c r="G253" i="2"/>
  <c r="E253" i="2" s="1"/>
  <c r="G263" i="2"/>
  <c r="E263" i="2" s="1"/>
  <c r="G259" i="2"/>
  <c r="E259" i="2" s="1"/>
  <c r="G255" i="2"/>
  <c r="E255" i="2" s="1"/>
  <c r="G119" i="2"/>
  <c r="E119" i="2" s="1"/>
  <c r="G116" i="2"/>
  <c r="E116" i="2" s="1"/>
  <c r="G114" i="2"/>
  <c r="E114" i="2" s="1"/>
  <c r="G111" i="2"/>
  <c r="E111" i="2" s="1"/>
  <c r="G120" i="2"/>
  <c r="E120" i="2" s="1"/>
  <c r="G118" i="2"/>
  <c r="E118" i="2" s="1"/>
  <c r="G115" i="2"/>
  <c r="E115" i="2" s="1"/>
  <c r="G112" i="2"/>
  <c r="E112" i="2" s="1"/>
  <c r="G109" i="2"/>
  <c r="E109" i="2" s="1"/>
  <c r="G117" i="2"/>
  <c r="E117" i="2" s="1"/>
  <c r="G113" i="2"/>
  <c r="E113" i="2" s="1"/>
  <c r="G110" i="2"/>
  <c r="E110" i="2" s="1"/>
  <c r="G23" i="2"/>
  <c r="E23" i="2" s="1"/>
  <c r="G19" i="2"/>
  <c r="E19" i="2" s="1"/>
  <c r="G15" i="2"/>
  <c r="E15" i="2" s="1"/>
  <c r="G24" i="2"/>
  <c r="E24" i="2" s="1"/>
  <c r="G20" i="2"/>
  <c r="E20" i="2" s="1"/>
  <c r="G16" i="2"/>
  <c r="E16" i="2" s="1"/>
  <c r="G18" i="2"/>
  <c r="E18" i="2" s="1"/>
  <c r="G21" i="2"/>
  <c r="E21" i="2" s="1"/>
  <c r="G17" i="2"/>
  <c r="E17" i="2" s="1"/>
  <c r="G13" i="2"/>
  <c r="E13" i="2" s="1"/>
  <c r="G22" i="2"/>
  <c r="E22" i="2" s="1"/>
  <c r="G14" i="2"/>
  <c r="E14" i="2" s="1"/>
  <c r="G1084" i="2"/>
  <c r="E1084" i="2" s="1"/>
  <c r="G1080" i="2"/>
  <c r="E1080" i="2" s="1"/>
  <c r="G1076" i="2"/>
  <c r="E1076" i="2" s="1"/>
  <c r="G1085" i="2"/>
  <c r="E1085" i="2" s="1"/>
  <c r="G1081" i="2"/>
  <c r="E1081" i="2" s="1"/>
  <c r="G1077" i="2"/>
  <c r="E1077" i="2" s="1"/>
  <c r="G1079" i="2"/>
  <c r="E1079" i="2" s="1"/>
  <c r="G1082" i="2"/>
  <c r="E1082" i="2" s="1"/>
  <c r="G1078" i="2"/>
  <c r="E1078" i="2" s="1"/>
  <c r="G1083" i="2"/>
  <c r="E1083" i="2" s="1"/>
  <c r="G756" i="2"/>
  <c r="E756" i="2" s="1"/>
  <c r="G752" i="2"/>
  <c r="E752" i="2" s="1"/>
  <c r="G748" i="2"/>
  <c r="E748" i="2" s="1"/>
  <c r="G757" i="2"/>
  <c r="E757" i="2" s="1"/>
  <c r="G753" i="2"/>
  <c r="E753" i="2" s="1"/>
  <c r="G749" i="2"/>
  <c r="E749" i="2" s="1"/>
  <c r="G759" i="2"/>
  <c r="E759" i="2" s="1"/>
  <c r="G751" i="2"/>
  <c r="E751" i="2" s="1"/>
  <c r="G754" i="2"/>
  <c r="E754" i="2" s="1"/>
  <c r="G755" i="2"/>
  <c r="E755" i="2" s="1"/>
  <c r="G758" i="2"/>
  <c r="E758" i="2" s="1"/>
  <c r="G750" i="2"/>
  <c r="E750" i="2" s="1"/>
  <c r="G166" i="2"/>
  <c r="E166" i="2" s="1"/>
  <c r="G163" i="2"/>
  <c r="E163" i="2" s="1"/>
  <c r="G160" i="2"/>
  <c r="E160" i="2" s="1"/>
  <c r="G157" i="2"/>
  <c r="E157" i="2" s="1"/>
  <c r="G168" i="2"/>
  <c r="E168" i="2" s="1"/>
  <c r="G165" i="2"/>
  <c r="E165" i="2" s="1"/>
  <c r="G162" i="2"/>
  <c r="E162" i="2" s="1"/>
  <c r="G159" i="2"/>
  <c r="E159" i="2" s="1"/>
  <c r="G167" i="2"/>
  <c r="E167" i="2" s="1"/>
  <c r="G164" i="2"/>
  <c r="E164" i="2" s="1"/>
  <c r="G161" i="2"/>
  <c r="E161" i="2" s="1"/>
  <c r="G158" i="2"/>
  <c r="E158" i="2" s="1"/>
  <c r="G1287" i="2"/>
  <c r="E1287" i="2" s="1"/>
  <c r="G1283" i="2"/>
  <c r="E1283" i="2" s="1"/>
  <c r="G1279" i="2"/>
  <c r="E1279" i="2" s="1"/>
  <c r="G1288" i="2"/>
  <c r="E1288" i="2" s="1"/>
  <c r="G1284" i="2"/>
  <c r="E1284" i="2" s="1"/>
  <c r="G1280" i="2"/>
  <c r="E1280" i="2" s="1"/>
  <c r="G1285" i="2"/>
  <c r="E1285" i="2" s="1"/>
  <c r="G1281" i="2"/>
  <c r="E1281" i="2" s="1"/>
  <c r="G1277" i="2"/>
  <c r="E1277" i="2" s="1"/>
  <c r="G1286" i="2"/>
  <c r="E1286" i="2" s="1"/>
  <c r="G1282" i="2"/>
  <c r="E1282" i="2" s="1"/>
  <c r="G1278" i="2"/>
  <c r="E1278" i="2" s="1"/>
  <c r="G1207" i="2"/>
  <c r="E1207" i="2" s="1"/>
  <c r="G1203" i="2"/>
  <c r="E1203" i="2" s="1"/>
  <c r="G1208" i="2"/>
  <c r="E1208" i="2" s="1"/>
  <c r="G1204" i="2"/>
  <c r="E1204" i="2" s="1"/>
  <c r="G1205" i="2"/>
  <c r="E1205" i="2" s="1"/>
  <c r="G1206" i="2"/>
  <c r="E1206" i="2" s="1"/>
  <c r="G1183" i="2"/>
  <c r="E1183" i="2" s="1"/>
  <c r="G1179" i="2"/>
  <c r="E1179" i="2" s="1"/>
  <c r="G1180" i="2"/>
  <c r="E1180" i="2" s="1"/>
  <c r="G1181" i="2"/>
  <c r="E1181" i="2" s="1"/>
  <c r="G1178" i="2"/>
  <c r="E1178" i="2" s="1"/>
  <c r="G1182" i="2"/>
  <c r="E1182" i="2" s="1"/>
  <c r="G1139" i="2"/>
  <c r="E1139" i="2" s="1"/>
  <c r="G1135" i="2"/>
  <c r="E1135" i="2" s="1"/>
  <c r="G1140" i="2"/>
  <c r="E1140" i="2" s="1"/>
  <c r="G1136" i="2"/>
  <c r="E1136" i="2" s="1"/>
  <c r="G1132" i="2"/>
  <c r="E1132" i="2" s="1"/>
  <c r="G1138" i="2"/>
  <c r="E1138" i="2" s="1"/>
  <c r="G1141" i="2"/>
  <c r="E1141" i="2" s="1"/>
  <c r="G1133" i="2"/>
  <c r="E1133" i="2" s="1"/>
  <c r="G1134" i="2"/>
  <c r="E1134" i="2" s="1"/>
  <c r="G1137" i="2"/>
  <c r="E1137" i="2" s="1"/>
  <c r="G1104" i="2"/>
  <c r="E1104" i="2" s="1"/>
  <c r="G1100" i="2"/>
  <c r="E1100" i="2" s="1"/>
  <c r="G1105" i="2"/>
  <c r="E1105" i="2" s="1"/>
  <c r="G1101" i="2"/>
  <c r="E1101" i="2" s="1"/>
  <c r="G1103" i="2"/>
  <c r="E1103" i="2" s="1"/>
  <c r="G1106" i="2"/>
  <c r="E1106" i="2" s="1"/>
  <c r="G1098" i="2"/>
  <c r="E1098" i="2" s="1"/>
  <c r="G1099" i="2"/>
  <c r="E1099" i="2" s="1"/>
  <c r="G1102" i="2"/>
  <c r="E1102" i="2" s="1"/>
  <c r="G1107" i="2"/>
  <c r="E1107" i="2" s="1"/>
  <c r="G1072" i="2"/>
  <c r="E1072" i="2" s="1"/>
  <c r="G1068" i="2"/>
  <c r="E1068" i="2" s="1"/>
  <c r="G1073" i="2"/>
  <c r="E1073" i="2" s="1"/>
  <c r="G1069" i="2"/>
  <c r="E1069" i="2" s="1"/>
  <c r="G1071" i="2"/>
  <c r="E1071" i="2" s="1"/>
  <c r="G1074" i="2"/>
  <c r="E1074" i="2" s="1"/>
  <c r="G1066" i="2"/>
  <c r="E1066" i="2" s="1"/>
  <c r="G1067" i="2"/>
  <c r="E1067" i="2" s="1"/>
  <c r="G1070" i="2"/>
  <c r="E1070" i="2" s="1"/>
  <c r="G1075" i="2"/>
  <c r="E1075" i="2" s="1"/>
  <c r="G1028" i="2"/>
  <c r="E1028" i="2" s="1"/>
  <c r="G1024" i="2"/>
  <c r="E1024" i="2" s="1"/>
  <c r="G1020" i="2"/>
  <c r="E1020" i="2" s="1"/>
  <c r="G1029" i="2"/>
  <c r="E1029" i="2" s="1"/>
  <c r="G1025" i="2"/>
  <c r="E1025" i="2" s="1"/>
  <c r="G1021" i="2"/>
  <c r="E1021" i="2" s="1"/>
  <c r="G1023" i="2"/>
  <c r="E1023" i="2" s="1"/>
  <c r="G1026" i="2"/>
  <c r="E1026" i="2" s="1"/>
  <c r="G1018" i="2"/>
  <c r="E1018" i="2" s="1"/>
  <c r="G1019" i="2"/>
  <c r="E1019" i="2" s="1"/>
  <c r="G1027" i="2"/>
  <c r="E1027" i="2" s="1"/>
  <c r="G1022" i="2"/>
  <c r="E1022" i="2" s="1"/>
  <c r="G976" i="2"/>
  <c r="E976" i="2" s="1"/>
  <c r="G977" i="2"/>
  <c r="E977" i="2" s="1"/>
  <c r="G975" i="2"/>
  <c r="E975" i="2" s="1"/>
  <c r="G978" i="2"/>
  <c r="E978" i="2" s="1"/>
  <c r="G974" i="2"/>
  <c r="E974" i="2" s="1"/>
  <c r="G979" i="2"/>
  <c r="E979" i="2" s="1"/>
  <c r="G1340" i="2"/>
  <c r="E1340" i="2" s="1"/>
  <c r="G1341" i="2"/>
  <c r="E1341" i="2" s="1"/>
  <c r="G950" i="2"/>
  <c r="E950" i="2" s="1"/>
  <c r="G949" i="2"/>
  <c r="E949" i="2" s="1"/>
  <c r="G926" i="2"/>
  <c r="E926" i="2" s="1"/>
  <c r="G925" i="2"/>
  <c r="E925" i="2" s="1"/>
  <c r="G924" i="2"/>
  <c r="E924" i="2" s="1"/>
  <c r="G865" i="2"/>
  <c r="E865" i="2" s="1"/>
  <c r="G864" i="2"/>
  <c r="E864" i="2" s="1"/>
  <c r="G863" i="2"/>
  <c r="E863" i="2" s="1"/>
  <c r="G862" i="2"/>
  <c r="E862" i="2" s="1"/>
  <c r="G861" i="2"/>
  <c r="E861" i="2" s="1"/>
  <c r="G860" i="2"/>
  <c r="E860" i="2" s="1"/>
  <c r="G859" i="2"/>
  <c r="E859" i="2" s="1"/>
  <c r="G858" i="2"/>
  <c r="E858" i="2" s="1"/>
  <c r="G857" i="2"/>
  <c r="E857" i="2" s="1"/>
  <c r="G856" i="2"/>
  <c r="E856" i="2" s="1"/>
  <c r="G855" i="2"/>
  <c r="E855" i="2" s="1"/>
  <c r="G854" i="2"/>
  <c r="E854" i="2" s="1"/>
  <c r="G831" i="2"/>
  <c r="E831" i="2" s="1"/>
  <c r="G830" i="2"/>
  <c r="E830" i="2" s="1"/>
  <c r="G829" i="2"/>
  <c r="E829" i="2" s="1"/>
  <c r="G828" i="2"/>
  <c r="E828" i="2" s="1"/>
  <c r="G827" i="2"/>
  <c r="E827" i="2" s="1"/>
  <c r="G826" i="2"/>
  <c r="E826" i="2" s="1"/>
  <c r="G808" i="2"/>
  <c r="E808" i="2" s="1"/>
  <c r="G807" i="2"/>
  <c r="E807" i="2" s="1"/>
  <c r="G806" i="2"/>
  <c r="E806" i="2" s="1"/>
  <c r="G805" i="2"/>
  <c r="E805" i="2" s="1"/>
  <c r="G804" i="2"/>
  <c r="E804" i="2" s="1"/>
  <c r="G802" i="2"/>
  <c r="E802" i="2" s="1"/>
  <c r="G801" i="2"/>
  <c r="E801" i="2" s="1"/>
  <c r="G800" i="2"/>
  <c r="E800" i="2" s="1"/>
  <c r="G799" i="2"/>
  <c r="E799" i="2" s="1"/>
  <c r="G798" i="2"/>
  <c r="E798" i="2" s="1"/>
  <c r="G787" i="2"/>
  <c r="E787" i="2" s="1"/>
  <c r="G786" i="2"/>
  <c r="E786" i="2" s="1"/>
  <c r="G785" i="2"/>
  <c r="E785" i="2" s="1"/>
  <c r="G784" i="2"/>
  <c r="E784" i="2" s="1"/>
  <c r="G783" i="2"/>
  <c r="E783" i="2" s="1"/>
  <c r="G782" i="2"/>
  <c r="E782" i="2" s="1"/>
  <c r="G744" i="2"/>
  <c r="E744" i="2" s="1"/>
  <c r="G740" i="2"/>
  <c r="E740" i="2" s="1"/>
  <c r="G736" i="2"/>
  <c r="E736" i="2" s="1"/>
  <c r="G745" i="2"/>
  <c r="E745" i="2" s="1"/>
  <c r="G741" i="2"/>
  <c r="E741" i="2" s="1"/>
  <c r="G737" i="2"/>
  <c r="E737" i="2" s="1"/>
  <c r="G743" i="2"/>
  <c r="E743" i="2" s="1"/>
  <c r="G746" i="2"/>
  <c r="E746" i="2" s="1"/>
  <c r="G738" i="2"/>
  <c r="E738" i="2" s="1"/>
  <c r="G747" i="2"/>
  <c r="E747" i="2" s="1"/>
  <c r="G739" i="2"/>
  <c r="E739" i="2" s="1"/>
  <c r="G742" i="2"/>
  <c r="E742" i="2" s="1"/>
  <c r="G708" i="2"/>
  <c r="E708" i="2" s="1"/>
  <c r="G704" i="2"/>
  <c r="E704" i="2" s="1"/>
  <c r="G700" i="2"/>
  <c r="E700" i="2" s="1"/>
  <c r="G709" i="2"/>
  <c r="E709" i="2" s="1"/>
  <c r="G705" i="2"/>
  <c r="E705" i="2" s="1"/>
  <c r="G701" i="2"/>
  <c r="E701" i="2" s="1"/>
  <c r="G703" i="2"/>
  <c r="E703" i="2" s="1"/>
  <c r="G706" i="2"/>
  <c r="E706" i="2" s="1"/>
  <c r="G698" i="2"/>
  <c r="E698" i="2" s="1"/>
  <c r="G707" i="2"/>
  <c r="E707" i="2" s="1"/>
  <c r="G699" i="2"/>
  <c r="E699" i="2" s="1"/>
  <c r="G702" i="2"/>
  <c r="E702" i="2" s="1"/>
  <c r="G664" i="2"/>
  <c r="E664" i="2" s="1"/>
  <c r="G660" i="2"/>
  <c r="E660" i="2" s="1"/>
  <c r="G656" i="2"/>
  <c r="E656" i="2" s="1"/>
  <c r="G665" i="2"/>
  <c r="E665" i="2" s="1"/>
  <c r="G661" i="2"/>
  <c r="E661" i="2" s="1"/>
  <c r="G657" i="2"/>
  <c r="E657" i="2" s="1"/>
  <c r="G663" i="2"/>
  <c r="E663" i="2" s="1"/>
  <c r="G666" i="2"/>
  <c r="E666" i="2" s="1"/>
  <c r="G658" i="2"/>
  <c r="E658" i="2" s="1"/>
  <c r="G667" i="2"/>
  <c r="E667" i="2" s="1"/>
  <c r="G659" i="2"/>
  <c r="E659" i="2" s="1"/>
  <c r="G662" i="2"/>
  <c r="E662" i="2" s="1"/>
  <c r="G620" i="2"/>
  <c r="E620" i="2" s="1"/>
  <c r="G616" i="2"/>
  <c r="E616" i="2" s="1"/>
  <c r="G612" i="2"/>
  <c r="E612" i="2" s="1"/>
  <c r="G617" i="2"/>
  <c r="E617" i="2" s="1"/>
  <c r="G613" i="2"/>
  <c r="E613" i="2" s="1"/>
  <c r="G609" i="2"/>
  <c r="E609" i="2" s="1"/>
  <c r="G615" i="2"/>
  <c r="E615" i="2" s="1"/>
  <c r="G618" i="2"/>
  <c r="E618" i="2" s="1"/>
  <c r="G610" i="2"/>
  <c r="E610" i="2" s="1"/>
  <c r="G619" i="2"/>
  <c r="E619" i="2" s="1"/>
  <c r="G611" i="2"/>
  <c r="E611" i="2" s="1"/>
  <c r="G614" i="2"/>
  <c r="E614" i="2" s="1"/>
  <c r="G584" i="2"/>
  <c r="E584" i="2" s="1"/>
  <c r="G580" i="2"/>
  <c r="E580" i="2" s="1"/>
  <c r="G576" i="2"/>
  <c r="E576" i="2" s="1"/>
  <c r="G585" i="2"/>
  <c r="E585" i="2" s="1"/>
  <c r="G581" i="2"/>
  <c r="E581" i="2" s="1"/>
  <c r="G577" i="2"/>
  <c r="E577" i="2" s="1"/>
  <c r="G583" i="2"/>
  <c r="E583" i="2" s="1"/>
  <c r="G582" i="2"/>
  <c r="E582" i="2" s="1"/>
  <c r="G586" i="2"/>
  <c r="E586" i="2" s="1"/>
  <c r="G578" i="2"/>
  <c r="E578" i="2" s="1"/>
  <c r="G587" i="2"/>
  <c r="E587" i="2" s="1"/>
  <c r="G579" i="2"/>
  <c r="E579" i="2" s="1"/>
  <c r="G540" i="2"/>
  <c r="E540" i="2" s="1"/>
  <c r="G536" i="2"/>
  <c r="E536" i="2" s="1"/>
  <c r="G532" i="2"/>
  <c r="E532" i="2" s="1"/>
  <c r="G537" i="2"/>
  <c r="E537" i="2" s="1"/>
  <c r="G533" i="2"/>
  <c r="E533" i="2" s="1"/>
  <c r="G529" i="2"/>
  <c r="E529" i="2" s="1"/>
  <c r="G535" i="2"/>
  <c r="E535" i="2" s="1"/>
  <c r="G538" i="2"/>
  <c r="E538" i="2" s="1"/>
  <c r="G530" i="2"/>
  <c r="E530" i="2" s="1"/>
  <c r="G539" i="2"/>
  <c r="E539" i="2" s="1"/>
  <c r="G531" i="2"/>
  <c r="E531" i="2" s="1"/>
  <c r="G534" i="2"/>
  <c r="E534" i="2" s="1"/>
  <c r="G492" i="2"/>
  <c r="E492" i="2" s="1"/>
  <c r="G488" i="2"/>
  <c r="E488" i="2" s="1"/>
  <c r="G484" i="2"/>
  <c r="E484" i="2" s="1"/>
  <c r="G489" i="2"/>
  <c r="E489" i="2" s="1"/>
  <c r="G485" i="2"/>
  <c r="E485" i="2" s="1"/>
  <c r="G481" i="2"/>
  <c r="E481" i="2" s="1"/>
  <c r="G490" i="2"/>
  <c r="E490" i="2" s="1"/>
  <c r="G486" i="2"/>
  <c r="E486" i="2" s="1"/>
  <c r="G482" i="2"/>
  <c r="E482" i="2" s="1"/>
  <c r="G491" i="2"/>
  <c r="E491" i="2" s="1"/>
  <c r="G487" i="2"/>
  <c r="E487" i="2" s="1"/>
  <c r="G483" i="2"/>
  <c r="E483" i="2" s="1"/>
  <c r="G444" i="2"/>
  <c r="E444" i="2" s="1"/>
  <c r="G440" i="2"/>
  <c r="E440" i="2" s="1"/>
  <c r="G436" i="2"/>
  <c r="E436" i="2" s="1"/>
  <c r="G443" i="2"/>
  <c r="E443" i="2" s="1"/>
  <c r="G439" i="2"/>
  <c r="E439" i="2" s="1"/>
  <c r="G435" i="2"/>
  <c r="E435" i="2" s="1"/>
  <c r="G441" i="2"/>
  <c r="E441" i="2" s="1"/>
  <c r="G437" i="2"/>
  <c r="E437" i="2" s="1"/>
  <c r="G433" i="2"/>
  <c r="E433" i="2" s="1"/>
  <c r="G442" i="2"/>
  <c r="E442" i="2" s="1"/>
  <c r="G438" i="2"/>
  <c r="E438" i="2" s="1"/>
  <c r="G434" i="2"/>
  <c r="E434" i="2" s="1"/>
  <c r="G396" i="2"/>
  <c r="E396" i="2" s="1"/>
  <c r="G392" i="2"/>
  <c r="E392" i="2" s="1"/>
  <c r="G388" i="2"/>
  <c r="E388" i="2" s="1"/>
  <c r="G391" i="2"/>
  <c r="E391" i="2" s="1"/>
  <c r="G387" i="2"/>
  <c r="E387" i="2" s="1"/>
  <c r="G393" i="2"/>
  <c r="E393" i="2" s="1"/>
  <c r="G389" i="2"/>
  <c r="E389" i="2" s="1"/>
  <c r="G385" i="2"/>
  <c r="E385" i="2" s="1"/>
  <c r="G394" i="2"/>
  <c r="E394" i="2" s="1"/>
  <c r="G390" i="2"/>
  <c r="E390" i="2" s="1"/>
  <c r="G386" i="2"/>
  <c r="E386" i="2" s="1"/>
  <c r="G395" i="2"/>
  <c r="E395" i="2" s="1"/>
  <c r="G348" i="2"/>
  <c r="E348" i="2" s="1"/>
  <c r="G344" i="2"/>
  <c r="E344" i="2" s="1"/>
  <c r="G340" i="2"/>
  <c r="E340" i="2" s="1"/>
  <c r="G346" i="2"/>
  <c r="E346" i="2" s="1"/>
  <c r="G338" i="2"/>
  <c r="E338" i="2" s="1"/>
  <c r="G345" i="2"/>
  <c r="E345" i="2" s="1"/>
  <c r="G341" i="2"/>
  <c r="E341" i="2" s="1"/>
  <c r="G337" i="2"/>
  <c r="E337" i="2" s="1"/>
  <c r="G342" i="2"/>
  <c r="E342" i="2" s="1"/>
  <c r="G347" i="2"/>
  <c r="E347" i="2" s="1"/>
  <c r="G343" i="2"/>
  <c r="E343" i="2" s="1"/>
  <c r="G339" i="2"/>
  <c r="E339" i="2" s="1"/>
  <c r="G300" i="2"/>
  <c r="E300" i="2" s="1"/>
  <c r="G296" i="2"/>
  <c r="E296" i="2" s="1"/>
  <c r="G292" i="2"/>
  <c r="E292" i="2" s="1"/>
  <c r="G298" i="2"/>
  <c r="E298" i="2" s="1"/>
  <c r="G290" i="2"/>
  <c r="E290" i="2" s="1"/>
  <c r="G299" i="2"/>
  <c r="E299" i="2" s="1"/>
  <c r="G297" i="2"/>
  <c r="E297" i="2" s="1"/>
  <c r="G293" i="2"/>
  <c r="E293" i="2" s="1"/>
  <c r="G289" i="2"/>
  <c r="E289" i="2" s="1"/>
  <c r="G294" i="2"/>
  <c r="E294" i="2" s="1"/>
  <c r="G291" i="2"/>
  <c r="E291" i="2" s="1"/>
  <c r="G295" i="2"/>
  <c r="E295" i="2" s="1"/>
  <c r="G252" i="2"/>
  <c r="E252" i="2" s="1"/>
  <c r="G250" i="2"/>
  <c r="E250" i="2" s="1"/>
  <c r="G247" i="2"/>
  <c r="E247" i="2" s="1"/>
  <c r="G246" i="2"/>
  <c r="E246" i="2" s="1"/>
  <c r="G243" i="2"/>
  <c r="E243" i="2" s="1"/>
  <c r="G251" i="2"/>
  <c r="E251" i="2" s="1"/>
  <c r="G248" i="2"/>
  <c r="E248" i="2" s="1"/>
  <c r="G245" i="2"/>
  <c r="E245" i="2" s="1"/>
  <c r="G241" i="2"/>
  <c r="E241" i="2" s="1"/>
  <c r="G249" i="2"/>
  <c r="E249" i="2" s="1"/>
  <c r="G244" i="2"/>
  <c r="E244" i="2" s="1"/>
  <c r="G242" i="2"/>
  <c r="E242" i="2" s="1"/>
  <c r="G204" i="2"/>
  <c r="E204" i="2" s="1"/>
  <c r="G201" i="2"/>
  <c r="E201" i="2" s="1"/>
  <c r="G199" i="2"/>
  <c r="E199" i="2" s="1"/>
  <c r="G196" i="2"/>
  <c r="E196" i="2" s="1"/>
  <c r="G193" i="2"/>
  <c r="E193" i="2" s="1"/>
  <c r="G202" i="2"/>
  <c r="E202" i="2" s="1"/>
  <c r="G198" i="2"/>
  <c r="E198" i="2" s="1"/>
  <c r="G195" i="2"/>
  <c r="E195" i="2" s="1"/>
  <c r="G203" i="2"/>
  <c r="E203" i="2" s="1"/>
  <c r="G200" i="2"/>
  <c r="E200" i="2" s="1"/>
  <c r="G197" i="2"/>
  <c r="E197" i="2" s="1"/>
  <c r="G194" i="2"/>
  <c r="E194" i="2" s="1"/>
  <c r="G154" i="2"/>
  <c r="E154" i="2" s="1"/>
  <c r="G152" i="2"/>
  <c r="E152" i="2" s="1"/>
  <c r="G149" i="2"/>
  <c r="E149" i="2" s="1"/>
  <c r="G146" i="2"/>
  <c r="E146" i="2" s="1"/>
  <c r="G156" i="2"/>
  <c r="E156" i="2" s="1"/>
  <c r="G153" i="2"/>
  <c r="E153" i="2" s="1"/>
  <c r="G150" i="2"/>
  <c r="E150" i="2" s="1"/>
  <c r="G147" i="2"/>
  <c r="E147" i="2" s="1"/>
  <c r="G155" i="2"/>
  <c r="E155" i="2" s="1"/>
  <c r="G151" i="2"/>
  <c r="E151" i="2" s="1"/>
  <c r="G148" i="2"/>
  <c r="E148" i="2" s="1"/>
  <c r="G145" i="2"/>
  <c r="E145" i="2" s="1"/>
  <c r="G108" i="2"/>
  <c r="E108" i="2" s="1"/>
  <c r="G105" i="2"/>
  <c r="E105" i="2" s="1"/>
  <c r="G102" i="2"/>
  <c r="E102" i="2" s="1"/>
  <c r="G99" i="2"/>
  <c r="E99" i="2" s="1"/>
  <c r="G106" i="2"/>
  <c r="E106" i="2" s="1"/>
  <c r="G103" i="2"/>
  <c r="E103" i="2" s="1"/>
  <c r="G100" i="2"/>
  <c r="E100" i="2" s="1"/>
  <c r="G97" i="2"/>
  <c r="E97" i="2" s="1"/>
  <c r="G107" i="2"/>
  <c r="E107" i="2" s="1"/>
  <c r="G104" i="2"/>
  <c r="E104" i="2" s="1"/>
  <c r="G101" i="2"/>
  <c r="E101" i="2" s="1"/>
  <c r="G98" i="2"/>
  <c r="E98" i="2" s="1"/>
  <c r="G59" i="2"/>
  <c r="E59" i="2" s="1"/>
  <c r="G55" i="2"/>
  <c r="E55" i="2" s="1"/>
  <c r="G51" i="2"/>
  <c r="E51" i="2" s="1"/>
  <c r="G60" i="2"/>
  <c r="E60" i="2" s="1"/>
  <c r="G56" i="2"/>
  <c r="E56" i="2" s="1"/>
  <c r="G52" i="2"/>
  <c r="E52" i="2" s="1"/>
  <c r="G58" i="2"/>
  <c r="E58" i="2" s="1"/>
  <c r="G50" i="2"/>
  <c r="E50" i="2" s="1"/>
  <c r="G57" i="2"/>
  <c r="E57" i="2" s="1"/>
  <c r="G53" i="2"/>
  <c r="E53" i="2" s="1"/>
  <c r="G49" i="2"/>
  <c r="E49" i="2" s="1"/>
  <c r="G54" i="2"/>
  <c r="E54" i="2" s="1"/>
  <c r="G11" i="2"/>
  <c r="E11" i="2" s="1"/>
  <c r="G7" i="2"/>
  <c r="E7" i="2" s="1"/>
  <c r="G3" i="2"/>
  <c r="E3" i="2" s="1"/>
  <c r="G12" i="2"/>
  <c r="E12" i="2" s="1"/>
  <c r="G8" i="2"/>
  <c r="E8" i="2" s="1"/>
  <c r="G4" i="2"/>
  <c r="E4" i="2" s="1"/>
  <c r="G10" i="2"/>
  <c r="E10" i="2" s="1"/>
  <c r="G2" i="2"/>
  <c r="E2" i="2" s="1"/>
  <c r="G9" i="2"/>
  <c r="E9" i="2" s="1"/>
  <c r="G5" i="2"/>
  <c r="E5" i="2" s="1"/>
  <c r="G6" i="2"/>
  <c r="E6" i="2" s="1"/>
  <c r="G1151" i="2"/>
  <c r="E1151" i="2" s="1"/>
  <c r="G1152" i="2"/>
  <c r="E1152" i="2" s="1"/>
  <c r="G1153" i="2"/>
  <c r="E1153" i="2" s="1"/>
  <c r="G1147" i="2"/>
  <c r="E1147" i="2" s="1"/>
  <c r="G1143" i="2"/>
  <c r="E1143" i="2" s="1"/>
  <c r="G1148" i="2"/>
  <c r="E1148" i="2" s="1"/>
  <c r="G1144" i="2"/>
  <c r="E1144" i="2" s="1"/>
  <c r="G1146" i="2"/>
  <c r="E1146" i="2" s="1"/>
  <c r="G1149" i="2"/>
  <c r="E1149" i="2" s="1"/>
  <c r="G1145" i="2"/>
  <c r="E1145" i="2" s="1"/>
  <c r="G1150" i="2"/>
  <c r="E1150" i="2" s="1"/>
  <c r="G1142" i="2"/>
  <c r="E1142" i="2" s="1"/>
  <c r="G1040" i="2"/>
  <c r="E1040" i="2" s="1"/>
  <c r="G1036" i="2"/>
  <c r="E1036" i="2" s="1"/>
  <c r="G1032" i="2"/>
  <c r="E1032" i="2" s="1"/>
  <c r="G1041" i="2"/>
  <c r="E1041" i="2" s="1"/>
  <c r="G1037" i="2"/>
  <c r="E1037" i="2" s="1"/>
  <c r="G1033" i="2"/>
  <c r="E1033" i="2" s="1"/>
  <c r="G1039" i="2"/>
  <c r="E1039" i="2" s="1"/>
  <c r="G1031" i="2"/>
  <c r="E1031" i="2" s="1"/>
  <c r="G1034" i="2"/>
  <c r="E1034" i="2" s="1"/>
  <c r="G1030" i="2"/>
  <c r="E1030" i="2" s="1"/>
  <c r="G1035" i="2"/>
  <c r="E1035" i="2" s="1"/>
  <c r="G1038" i="2"/>
  <c r="E1038" i="2" s="1"/>
  <c r="G1339" i="2"/>
  <c r="E1339" i="2" s="1"/>
  <c r="G1326" i="2"/>
  <c r="E1326" i="2" s="1"/>
  <c r="G1324" i="2"/>
  <c r="E1324" i="2" s="1"/>
  <c r="G1322" i="2"/>
  <c r="E1322" i="2" s="1"/>
  <c r="G1337" i="2"/>
  <c r="E1337" i="2" s="1"/>
  <c r="G1335" i="2"/>
  <c r="E1335" i="2" s="1"/>
  <c r="G1333" i="2"/>
  <c r="E1333" i="2" s="1"/>
  <c r="G1331" i="2"/>
  <c r="E1331" i="2" s="1"/>
  <c r="G1329" i="2"/>
  <c r="E1329" i="2" s="1"/>
  <c r="G1320" i="2"/>
  <c r="E1320" i="2" s="1"/>
  <c r="G1318" i="2"/>
  <c r="E1318" i="2" s="1"/>
  <c r="G1316" i="2"/>
  <c r="E1316" i="2" s="1"/>
  <c r="G1338" i="2"/>
  <c r="E1338" i="2" s="1"/>
  <c r="G1327" i="2"/>
  <c r="E1327" i="2" s="1"/>
  <c r="G1325" i="2"/>
  <c r="E1325" i="2" s="1"/>
  <c r="G1323" i="2"/>
  <c r="E1323" i="2" s="1"/>
  <c r="G1321" i="2"/>
  <c r="E1321" i="2" s="1"/>
  <c r="G1330" i="2"/>
  <c r="E1330" i="2" s="1"/>
  <c r="G1315" i="2"/>
  <c r="E1315" i="2" s="1"/>
  <c r="G1332" i="2"/>
  <c r="E1332" i="2" s="1"/>
  <c r="G1317" i="2"/>
  <c r="E1317" i="2" s="1"/>
  <c r="G1319" i="2"/>
  <c r="E1319" i="2" s="1"/>
  <c r="G1328" i="2"/>
  <c r="E1328" i="2" s="1"/>
  <c r="G1336" i="2"/>
  <c r="E1336" i="2" s="1"/>
  <c r="G1334" i="2"/>
  <c r="E1334" i="2" s="1"/>
  <c r="G837" i="2"/>
  <c r="E837" i="2" s="1"/>
  <c r="G836" i="2"/>
  <c r="E836" i="2" s="1"/>
  <c r="G835" i="2"/>
  <c r="E835" i="2" s="1"/>
  <c r="G834" i="2"/>
  <c r="E834" i="2" s="1"/>
  <c r="G833" i="2"/>
  <c r="E833" i="2" s="1"/>
  <c r="G832" i="2"/>
  <c r="E832" i="2" s="1"/>
  <c r="G789" i="2"/>
  <c r="E789" i="2" s="1"/>
  <c r="G788" i="2"/>
  <c r="E788" i="2" s="1"/>
  <c r="G676" i="2"/>
  <c r="E676" i="2" s="1"/>
  <c r="G672" i="2"/>
  <c r="E672" i="2" s="1"/>
  <c r="G668" i="2"/>
  <c r="E668" i="2" s="1"/>
  <c r="G677" i="2"/>
  <c r="E677" i="2" s="1"/>
  <c r="G673" i="2"/>
  <c r="E673" i="2" s="1"/>
  <c r="G669" i="2"/>
  <c r="E669" i="2" s="1"/>
  <c r="G679" i="2"/>
  <c r="E679" i="2" s="1"/>
  <c r="G671" i="2"/>
  <c r="E671" i="2" s="1"/>
  <c r="G674" i="2"/>
  <c r="E674" i="2" s="1"/>
  <c r="G675" i="2"/>
  <c r="E675" i="2" s="1"/>
  <c r="G678" i="2"/>
  <c r="E678" i="2" s="1"/>
  <c r="G670" i="2"/>
  <c r="E670" i="2" s="1"/>
  <c r="G592" i="2"/>
  <c r="E592" i="2" s="1"/>
  <c r="G588" i="2"/>
  <c r="E588" i="2" s="1"/>
  <c r="G593" i="2"/>
  <c r="E593" i="2" s="1"/>
  <c r="G589" i="2"/>
  <c r="E589" i="2" s="1"/>
  <c r="G591" i="2"/>
  <c r="E591" i="2" s="1"/>
  <c r="G590" i="2"/>
  <c r="E590" i="2" s="1"/>
  <c r="G501" i="2"/>
  <c r="E501" i="2" s="1"/>
  <c r="G497" i="2"/>
  <c r="E497" i="2" s="1"/>
  <c r="G502" i="2"/>
  <c r="E502" i="2" s="1"/>
  <c r="G499" i="2"/>
  <c r="E499" i="2" s="1"/>
  <c r="G496" i="2"/>
  <c r="E496" i="2" s="1"/>
  <c r="G503" i="2"/>
  <c r="E503" i="2" s="1"/>
  <c r="G500" i="2"/>
  <c r="E500" i="2" s="1"/>
  <c r="G493" i="2"/>
  <c r="E493" i="2" s="1"/>
  <c r="G504" i="2"/>
  <c r="E504" i="2" s="1"/>
  <c r="G494" i="2"/>
  <c r="E494" i="2" s="1"/>
  <c r="G498" i="2"/>
  <c r="E498" i="2" s="1"/>
  <c r="G495" i="2"/>
  <c r="E495" i="2" s="1"/>
  <c r="G408" i="2"/>
  <c r="E408" i="2" s="1"/>
  <c r="G404" i="2"/>
  <c r="E404" i="2" s="1"/>
  <c r="G400" i="2"/>
  <c r="E400" i="2" s="1"/>
  <c r="G403" i="2"/>
  <c r="E403" i="2" s="1"/>
  <c r="G405" i="2"/>
  <c r="E405" i="2" s="1"/>
  <c r="G401" i="2"/>
  <c r="E401" i="2" s="1"/>
  <c r="G397" i="2"/>
  <c r="E397" i="2" s="1"/>
  <c r="G406" i="2"/>
  <c r="E406" i="2" s="1"/>
  <c r="G402" i="2"/>
  <c r="E402" i="2" s="1"/>
  <c r="G398" i="2"/>
  <c r="E398" i="2" s="1"/>
  <c r="G407" i="2"/>
  <c r="E407" i="2" s="1"/>
  <c r="G399" i="2"/>
  <c r="E399" i="2" s="1"/>
  <c r="G312" i="2"/>
  <c r="E312" i="2" s="1"/>
  <c r="G308" i="2"/>
  <c r="E308" i="2" s="1"/>
  <c r="G304" i="2"/>
  <c r="E304" i="2" s="1"/>
  <c r="G306" i="2"/>
  <c r="E306" i="2" s="1"/>
  <c r="G309" i="2"/>
  <c r="E309" i="2" s="1"/>
  <c r="G305" i="2"/>
  <c r="E305" i="2" s="1"/>
  <c r="G301" i="2"/>
  <c r="E301" i="2" s="1"/>
  <c r="G310" i="2"/>
  <c r="E310" i="2" s="1"/>
  <c r="G302" i="2"/>
  <c r="E302" i="2" s="1"/>
  <c r="G311" i="2"/>
  <c r="E311" i="2" s="1"/>
  <c r="G307" i="2"/>
  <c r="E307" i="2" s="1"/>
  <c r="G303" i="2"/>
  <c r="E303" i="2" s="1"/>
  <c r="G216" i="2"/>
  <c r="E216" i="2" s="1"/>
  <c r="G213" i="2"/>
  <c r="E213" i="2" s="1"/>
  <c r="G210" i="2"/>
  <c r="E210" i="2" s="1"/>
  <c r="G207" i="2"/>
  <c r="E207" i="2" s="1"/>
  <c r="G214" i="2"/>
  <c r="E214" i="2" s="1"/>
  <c r="G211" i="2"/>
  <c r="E211" i="2" s="1"/>
  <c r="G208" i="2"/>
  <c r="E208" i="2" s="1"/>
  <c r="G205" i="2"/>
  <c r="E205" i="2" s="1"/>
  <c r="G215" i="2"/>
  <c r="E215" i="2" s="1"/>
  <c r="G212" i="2"/>
  <c r="E212" i="2" s="1"/>
  <c r="G209" i="2"/>
  <c r="E209" i="2" s="1"/>
  <c r="G206" i="2"/>
  <c r="E206" i="2" s="1"/>
  <c r="G71" i="2"/>
  <c r="E71" i="2" s="1"/>
  <c r="G67" i="2"/>
  <c r="E67" i="2" s="1"/>
  <c r="G63" i="2"/>
  <c r="E63" i="2" s="1"/>
  <c r="G72" i="2"/>
  <c r="E72" i="2" s="1"/>
  <c r="G68" i="2"/>
  <c r="E68" i="2" s="1"/>
  <c r="G64" i="2"/>
  <c r="E64" i="2" s="1"/>
  <c r="G66" i="2"/>
  <c r="E66" i="2" s="1"/>
  <c r="G69" i="2"/>
  <c r="E69" i="2" s="1"/>
  <c r="G65" i="2"/>
  <c r="E65" i="2" s="1"/>
  <c r="G61" i="2"/>
  <c r="E61" i="2" s="1"/>
  <c r="G70" i="2"/>
  <c r="E70" i="2" s="1"/>
  <c r="G62" i="2"/>
  <c r="E62" i="2" s="1"/>
  <c r="G1275" i="2"/>
  <c r="E1275" i="2" s="1"/>
  <c r="G1271" i="2"/>
  <c r="E1271" i="2" s="1"/>
  <c r="G1267" i="2"/>
  <c r="E1267" i="2" s="1"/>
  <c r="G1276" i="2"/>
  <c r="E1276" i="2" s="1"/>
  <c r="G1272" i="2"/>
  <c r="E1272" i="2" s="1"/>
  <c r="G1268" i="2"/>
  <c r="E1268" i="2" s="1"/>
  <c r="G1273" i="2"/>
  <c r="E1273" i="2" s="1"/>
  <c r="G1269" i="2"/>
  <c r="E1269" i="2" s="1"/>
  <c r="G1265" i="2"/>
  <c r="E1265" i="2" s="1"/>
  <c r="G1270" i="2"/>
  <c r="E1270" i="2" s="1"/>
  <c r="G1266" i="2"/>
  <c r="E1266" i="2" s="1"/>
  <c r="G1274" i="2"/>
  <c r="E1274" i="2" s="1"/>
  <c r="G1255" i="2"/>
  <c r="E1255" i="2" s="1"/>
  <c r="G1251" i="2"/>
  <c r="E1251" i="2" s="1"/>
  <c r="G1247" i="2"/>
  <c r="E1247" i="2" s="1"/>
  <c r="G1256" i="2"/>
  <c r="E1256" i="2" s="1"/>
  <c r="G1252" i="2"/>
  <c r="E1252" i="2" s="1"/>
  <c r="G1248" i="2"/>
  <c r="E1248" i="2" s="1"/>
  <c r="G1257" i="2"/>
  <c r="E1257" i="2" s="1"/>
  <c r="G1253" i="2"/>
  <c r="E1253" i="2" s="1"/>
  <c r="G1249" i="2"/>
  <c r="E1249" i="2" s="1"/>
  <c r="G1254" i="2"/>
  <c r="E1254" i="2" s="1"/>
  <c r="G1250" i="2"/>
  <c r="E1250" i="2" s="1"/>
  <c r="G1258" i="2"/>
  <c r="E1258" i="2" s="1"/>
  <c r="G1227" i="2"/>
  <c r="E1227" i="2" s="1"/>
  <c r="G1223" i="2"/>
  <c r="E1223" i="2" s="1"/>
  <c r="G1228" i="2"/>
  <c r="E1228" i="2" s="1"/>
  <c r="G1224" i="2"/>
  <c r="E1224" i="2" s="1"/>
  <c r="G1229" i="2"/>
  <c r="E1229" i="2" s="1"/>
  <c r="G1225" i="2"/>
  <c r="E1225" i="2" s="1"/>
  <c r="G1221" i="2"/>
  <c r="E1221" i="2" s="1"/>
  <c r="G1222" i="2"/>
  <c r="E1222" i="2" s="1"/>
  <c r="G1230" i="2"/>
  <c r="E1230" i="2" s="1"/>
  <c r="G1226" i="2"/>
  <c r="E1226" i="2" s="1"/>
  <c r="G1199" i="2"/>
  <c r="E1199" i="2" s="1"/>
  <c r="G1200" i="2"/>
  <c r="E1200" i="2" s="1"/>
  <c r="G1201" i="2"/>
  <c r="E1201" i="2" s="1"/>
  <c r="G1202" i="2"/>
  <c r="E1202" i="2" s="1"/>
  <c r="G1198" i="2"/>
  <c r="E1198" i="2" s="1"/>
  <c r="G1175" i="2"/>
  <c r="E1175" i="2" s="1"/>
  <c r="G1171" i="2"/>
  <c r="E1171" i="2" s="1"/>
  <c r="G1167" i="2"/>
  <c r="E1167" i="2" s="1"/>
  <c r="G1176" i="2"/>
  <c r="E1176" i="2" s="1"/>
  <c r="G1172" i="2"/>
  <c r="E1172" i="2" s="1"/>
  <c r="G1168" i="2"/>
  <c r="E1168" i="2" s="1"/>
  <c r="G1177" i="2"/>
  <c r="E1177" i="2" s="1"/>
  <c r="G1173" i="2"/>
  <c r="E1173" i="2" s="1"/>
  <c r="G1169" i="2"/>
  <c r="E1169" i="2" s="1"/>
  <c r="G1174" i="2"/>
  <c r="E1174" i="2" s="1"/>
  <c r="G1170" i="2"/>
  <c r="E1170" i="2" s="1"/>
  <c r="G1166" i="2"/>
  <c r="E1166" i="2" s="1"/>
  <c r="G1131" i="2"/>
  <c r="E1131" i="2" s="1"/>
  <c r="G1130" i="2"/>
  <c r="E1130" i="2" s="1"/>
  <c r="G1096" i="2"/>
  <c r="E1096" i="2" s="1"/>
  <c r="G1092" i="2"/>
  <c r="E1092" i="2" s="1"/>
  <c r="G1097" i="2"/>
  <c r="E1097" i="2" s="1"/>
  <c r="G1093" i="2"/>
  <c r="E1093" i="2" s="1"/>
  <c r="G1095" i="2"/>
  <c r="E1095" i="2" s="1"/>
  <c r="G1094" i="2"/>
  <c r="E1094" i="2" s="1"/>
  <c r="G1064" i="2"/>
  <c r="E1064" i="2" s="1"/>
  <c r="G1060" i="2"/>
  <c r="E1060" i="2" s="1"/>
  <c r="G1056" i="2"/>
  <c r="E1056" i="2" s="1"/>
  <c r="G1065" i="2"/>
  <c r="E1065" i="2" s="1"/>
  <c r="G1061" i="2"/>
  <c r="E1061" i="2" s="1"/>
  <c r="G1057" i="2"/>
  <c r="E1057" i="2" s="1"/>
  <c r="G1063" i="2"/>
  <c r="E1063" i="2" s="1"/>
  <c r="G1055" i="2"/>
  <c r="E1055" i="2" s="1"/>
  <c r="G1058" i="2"/>
  <c r="E1058" i="2" s="1"/>
  <c r="G1062" i="2"/>
  <c r="E1062" i="2" s="1"/>
  <c r="G1059" i="2"/>
  <c r="E1059" i="2" s="1"/>
  <c r="G1054" i="2"/>
  <c r="E1054" i="2" s="1"/>
  <c r="G1016" i="2"/>
  <c r="E1016" i="2" s="1"/>
  <c r="G1012" i="2"/>
  <c r="E1012" i="2" s="1"/>
  <c r="G1017" i="2"/>
  <c r="E1017" i="2" s="1"/>
  <c r="G1013" i="2"/>
  <c r="E1013" i="2" s="1"/>
  <c r="G1015" i="2"/>
  <c r="E1015" i="2" s="1"/>
  <c r="G1014" i="2"/>
  <c r="E1014" i="2" s="1"/>
  <c r="G996" i="2"/>
  <c r="E996" i="2" s="1"/>
  <c r="G992" i="2"/>
  <c r="E992" i="2" s="1"/>
  <c r="G993" i="2"/>
  <c r="E993" i="2" s="1"/>
  <c r="G994" i="2"/>
  <c r="E994" i="2" s="1"/>
  <c r="G995" i="2"/>
  <c r="E995" i="2" s="1"/>
  <c r="G972" i="2"/>
  <c r="E972" i="2" s="1"/>
  <c r="G968" i="2"/>
  <c r="E968" i="2" s="1"/>
  <c r="G973" i="2"/>
  <c r="E973" i="2" s="1"/>
  <c r="G969" i="2"/>
  <c r="E969" i="2" s="1"/>
  <c r="G965" i="2"/>
  <c r="E965" i="2" s="1"/>
  <c r="G964" i="2"/>
  <c r="E964" i="2" s="1"/>
  <c r="G963" i="2"/>
  <c r="E963" i="2" s="1"/>
  <c r="G962" i="2"/>
  <c r="E962" i="2" s="1"/>
  <c r="G967" i="2"/>
  <c r="E967" i="2" s="1"/>
  <c r="G970" i="2"/>
  <c r="E970" i="2" s="1"/>
  <c r="G966" i="2"/>
  <c r="E966" i="2" s="1"/>
  <c r="G971" i="2"/>
  <c r="E971" i="2" s="1"/>
  <c r="G948" i="2"/>
  <c r="E948" i="2" s="1"/>
  <c r="G947" i="2"/>
  <c r="E947" i="2" s="1"/>
  <c r="G946" i="2"/>
  <c r="E946" i="2" s="1"/>
  <c r="G945" i="2"/>
  <c r="E945" i="2" s="1"/>
  <c r="G944" i="2"/>
  <c r="E944" i="2" s="1"/>
  <c r="G943" i="2"/>
  <c r="E943" i="2" s="1"/>
  <c r="G942" i="2"/>
  <c r="E942" i="2" s="1"/>
  <c r="G941" i="2"/>
  <c r="E941" i="2" s="1"/>
  <c r="G940" i="2"/>
  <c r="E940" i="2" s="1"/>
  <c r="G939" i="2"/>
  <c r="E939" i="2" s="1"/>
  <c r="G923" i="2"/>
  <c r="E923" i="2" s="1"/>
  <c r="G922" i="2"/>
  <c r="E922" i="2" s="1"/>
  <c r="G921" i="2"/>
  <c r="E921" i="2" s="1"/>
  <c r="G920" i="2"/>
  <c r="E920" i="2" s="1"/>
  <c r="G919" i="2"/>
  <c r="E919" i="2" s="1"/>
  <c r="G918" i="2"/>
  <c r="E918" i="2" s="1"/>
  <c r="G917" i="2"/>
  <c r="E917" i="2" s="1"/>
  <c r="G916" i="2"/>
  <c r="E916" i="2" s="1"/>
  <c r="G915" i="2"/>
  <c r="E915" i="2" s="1"/>
  <c r="G914" i="2"/>
  <c r="E914" i="2" s="1"/>
  <c r="G913" i="2"/>
  <c r="E913" i="2" s="1"/>
  <c r="G912" i="2"/>
  <c r="E912" i="2" s="1"/>
  <c r="G891" i="2"/>
  <c r="E891" i="2" s="1"/>
  <c r="G890" i="2"/>
  <c r="E890" i="2" s="1"/>
  <c r="G889" i="2"/>
  <c r="E889" i="2" s="1"/>
  <c r="G888" i="2"/>
  <c r="E888" i="2" s="1"/>
  <c r="G887" i="2"/>
  <c r="E887" i="2" s="1"/>
  <c r="G886" i="2"/>
  <c r="E886" i="2" s="1"/>
  <c r="G885" i="2"/>
  <c r="E885" i="2" s="1"/>
  <c r="G884" i="2"/>
  <c r="E884" i="2" s="1"/>
  <c r="G883" i="2"/>
  <c r="E883" i="2" s="1"/>
  <c r="G882" i="2"/>
  <c r="E882" i="2" s="1"/>
  <c r="G881" i="2"/>
  <c r="E881" i="2" s="1"/>
  <c r="G880" i="2"/>
  <c r="E880" i="2" s="1"/>
  <c r="G853" i="2"/>
  <c r="E853" i="2" s="1"/>
  <c r="G852" i="2"/>
  <c r="E852" i="2" s="1"/>
  <c r="G851" i="2"/>
  <c r="E851" i="2" s="1"/>
  <c r="G850" i="2"/>
  <c r="E850" i="2" s="1"/>
  <c r="G849" i="2"/>
  <c r="E849" i="2" s="1"/>
  <c r="G848" i="2"/>
  <c r="E848" i="2" s="1"/>
  <c r="G847" i="2"/>
  <c r="E847" i="2" s="1"/>
  <c r="G846" i="2"/>
  <c r="E846" i="2" s="1"/>
  <c r="G845" i="2"/>
  <c r="E845" i="2" s="1"/>
  <c r="G844" i="2"/>
  <c r="E844" i="2" s="1"/>
  <c r="G843" i="2"/>
  <c r="E843" i="2" s="1"/>
  <c r="G842" i="2"/>
  <c r="E842" i="2" s="1"/>
  <c r="G825" i="2"/>
  <c r="E825" i="2" s="1"/>
  <c r="G824" i="2"/>
  <c r="E824" i="2" s="1"/>
  <c r="G823" i="2"/>
  <c r="E823" i="2" s="1"/>
  <c r="G822" i="2"/>
  <c r="E822" i="2" s="1"/>
  <c r="G821" i="2"/>
  <c r="E821" i="2" s="1"/>
  <c r="G820" i="2"/>
  <c r="E820" i="2" s="1"/>
  <c r="G819" i="2"/>
  <c r="E819" i="2" s="1"/>
  <c r="G818" i="2"/>
  <c r="E818" i="2" s="1"/>
  <c r="G817" i="2"/>
  <c r="E817" i="2" s="1"/>
  <c r="G816" i="2"/>
  <c r="E816" i="2" s="1"/>
  <c r="G815" i="2"/>
  <c r="E815" i="2" s="1"/>
  <c r="G814" i="2"/>
  <c r="E814" i="2" s="1"/>
  <c r="G797" i="2"/>
  <c r="E797" i="2" s="1"/>
  <c r="G796" i="2"/>
  <c r="E796" i="2" s="1"/>
  <c r="G795" i="2"/>
  <c r="E795" i="2" s="1"/>
  <c r="G794" i="2"/>
  <c r="E794" i="2" s="1"/>
  <c r="G793" i="2"/>
  <c r="E793" i="2" s="1"/>
  <c r="G792" i="2"/>
  <c r="E792" i="2" s="1"/>
  <c r="G780" i="2"/>
  <c r="E780" i="2" s="1"/>
  <c r="G776" i="2"/>
  <c r="E776" i="2" s="1"/>
  <c r="G772" i="2"/>
  <c r="E772" i="2" s="1"/>
  <c r="G781" i="2"/>
  <c r="E781" i="2" s="1"/>
  <c r="G777" i="2"/>
  <c r="E777" i="2" s="1"/>
  <c r="G773" i="2"/>
  <c r="E773" i="2" s="1"/>
  <c r="G775" i="2"/>
  <c r="E775" i="2" s="1"/>
  <c r="G778" i="2"/>
  <c r="E778" i="2" s="1"/>
  <c r="G770" i="2"/>
  <c r="E770" i="2" s="1"/>
  <c r="G779" i="2"/>
  <c r="E779" i="2" s="1"/>
  <c r="G771" i="2"/>
  <c r="E771" i="2" s="1"/>
  <c r="G774" i="2"/>
  <c r="E774" i="2" s="1"/>
  <c r="G735" i="2"/>
  <c r="E735" i="2" s="1"/>
  <c r="G734" i="2"/>
  <c r="E734" i="2" s="1"/>
  <c r="G696" i="2"/>
  <c r="E696" i="2" s="1"/>
  <c r="G692" i="2"/>
  <c r="E692" i="2" s="1"/>
  <c r="G697" i="2"/>
  <c r="E697" i="2" s="1"/>
  <c r="G693" i="2"/>
  <c r="E693" i="2" s="1"/>
  <c r="G695" i="2"/>
  <c r="E695" i="2" s="1"/>
  <c r="G694" i="2"/>
  <c r="E694" i="2" s="1"/>
  <c r="G652" i="2"/>
  <c r="E652" i="2" s="1"/>
  <c r="G648" i="2"/>
  <c r="E648" i="2" s="1"/>
  <c r="G653" i="2"/>
  <c r="E653" i="2" s="1"/>
  <c r="G649" i="2"/>
  <c r="E649" i="2" s="1"/>
  <c r="G645" i="2"/>
  <c r="E645" i="2" s="1"/>
  <c r="G655" i="2"/>
  <c r="E655" i="2" s="1"/>
  <c r="G647" i="2"/>
  <c r="E647" i="2" s="1"/>
  <c r="G650" i="2"/>
  <c r="E650" i="2" s="1"/>
  <c r="G651" i="2"/>
  <c r="E651" i="2" s="1"/>
  <c r="G646" i="2"/>
  <c r="E646" i="2" s="1"/>
  <c r="G654" i="2"/>
  <c r="E654" i="2" s="1"/>
  <c r="G608" i="2"/>
  <c r="E608" i="2" s="1"/>
  <c r="G604" i="2"/>
  <c r="E604" i="2" s="1"/>
  <c r="G600" i="2"/>
  <c r="E600" i="2" s="1"/>
  <c r="G605" i="2"/>
  <c r="E605" i="2" s="1"/>
  <c r="G601" i="2"/>
  <c r="E601" i="2" s="1"/>
  <c r="G597" i="2"/>
  <c r="E597" i="2" s="1"/>
  <c r="G607" i="2"/>
  <c r="E607" i="2" s="1"/>
  <c r="G599" i="2"/>
  <c r="E599" i="2" s="1"/>
  <c r="G598" i="2"/>
  <c r="E598" i="2" s="1"/>
  <c r="G602" i="2"/>
  <c r="E602" i="2" s="1"/>
  <c r="G603" i="2"/>
  <c r="E603" i="2" s="1"/>
  <c r="G606" i="2"/>
  <c r="E606" i="2" s="1"/>
  <c r="G803" i="2"/>
  <c r="E803" i="2" s="1"/>
  <c r="G572" i="2"/>
  <c r="E572" i="2" s="1"/>
  <c r="G568" i="2"/>
  <c r="E568" i="2" s="1"/>
  <c r="G573" i="2"/>
  <c r="E573" i="2" s="1"/>
  <c r="G569" i="2"/>
  <c r="E569" i="2" s="1"/>
  <c r="G565" i="2"/>
  <c r="E565" i="2" s="1"/>
  <c r="G575" i="2"/>
  <c r="E575" i="2" s="1"/>
  <c r="G567" i="2"/>
  <c r="E567" i="2" s="1"/>
  <c r="G574" i="2"/>
  <c r="E574" i="2" s="1"/>
  <c r="G570" i="2"/>
  <c r="E570" i="2" s="1"/>
  <c r="G571" i="2"/>
  <c r="E571" i="2" s="1"/>
  <c r="G566" i="2"/>
  <c r="E566" i="2" s="1"/>
  <c r="G528" i="2"/>
  <c r="E528" i="2" s="1"/>
  <c r="G524" i="2"/>
  <c r="E524" i="2" s="1"/>
  <c r="G525" i="2"/>
  <c r="E525" i="2" s="1"/>
  <c r="G521" i="2"/>
  <c r="E521" i="2" s="1"/>
  <c r="G517" i="2"/>
  <c r="E517" i="2" s="1"/>
  <c r="G527" i="2"/>
  <c r="E527" i="2" s="1"/>
  <c r="G518" i="2"/>
  <c r="E518" i="2" s="1"/>
  <c r="G522" i="2"/>
  <c r="E522" i="2" s="1"/>
  <c r="G519" i="2"/>
  <c r="E519" i="2" s="1"/>
  <c r="G523" i="2"/>
  <c r="E523" i="2" s="1"/>
  <c r="G520" i="2"/>
  <c r="E520" i="2" s="1"/>
  <c r="G526" i="2"/>
  <c r="E526" i="2" s="1"/>
  <c r="G480" i="2"/>
  <c r="E480" i="2" s="1"/>
  <c r="G476" i="2"/>
  <c r="E476" i="2" s="1"/>
  <c r="G472" i="2"/>
  <c r="E472" i="2" s="1"/>
  <c r="G471" i="2"/>
  <c r="E471" i="2" s="1"/>
  <c r="G477" i="2"/>
  <c r="E477" i="2" s="1"/>
  <c r="G473" i="2"/>
  <c r="E473" i="2" s="1"/>
  <c r="G469" i="2"/>
  <c r="E469" i="2" s="1"/>
  <c r="G478" i="2"/>
  <c r="E478" i="2" s="1"/>
  <c r="G474" i="2"/>
  <c r="E474" i="2" s="1"/>
  <c r="G470" i="2"/>
  <c r="E470" i="2" s="1"/>
  <c r="G479" i="2"/>
  <c r="E479" i="2" s="1"/>
  <c r="G475" i="2"/>
  <c r="E475" i="2" s="1"/>
  <c r="G432" i="2"/>
  <c r="E432" i="2" s="1"/>
  <c r="G428" i="2"/>
  <c r="E428" i="2" s="1"/>
  <c r="G424" i="2"/>
  <c r="E424" i="2" s="1"/>
  <c r="G431" i="2"/>
  <c r="E431" i="2" s="1"/>
  <c r="G429" i="2"/>
  <c r="E429" i="2" s="1"/>
  <c r="G425" i="2"/>
  <c r="E425" i="2" s="1"/>
  <c r="G421" i="2"/>
  <c r="E421" i="2" s="1"/>
  <c r="G430" i="2"/>
  <c r="E430" i="2" s="1"/>
  <c r="G426" i="2"/>
  <c r="E426" i="2" s="1"/>
  <c r="G422" i="2"/>
  <c r="E422" i="2" s="1"/>
  <c r="G427" i="2"/>
  <c r="E427" i="2" s="1"/>
  <c r="G423" i="2"/>
  <c r="E423" i="2" s="1"/>
  <c r="G384" i="2"/>
  <c r="E384" i="2" s="1"/>
  <c r="G380" i="2"/>
  <c r="E380" i="2" s="1"/>
  <c r="G376" i="2"/>
  <c r="E376" i="2" s="1"/>
  <c r="G383" i="2"/>
  <c r="E383" i="2" s="1"/>
  <c r="G381" i="2"/>
  <c r="E381" i="2" s="1"/>
  <c r="G377" i="2"/>
  <c r="E377" i="2" s="1"/>
  <c r="G373" i="2"/>
  <c r="E373" i="2" s="1"/>
  <c r="G382" i="2"/>
  <c r="E382" i="2" s="1"/>
  <c r="G378" i="2"/>
  <c r="E378" i="2" s="1"/>
  <c r="G374" i="2"/>
  <c r="E374" i="2" s="1"/>
  <c r="G375" i="2"/>
  <c r="E375" i="2" s="1"/>
  <c r="G379" i="2"/>
  <c r="E379" i="2" s="1"/>
  <c r="G336" i="2"/>
  <c r="E336" i="2" s="1"/>
  <c r="G332" i="2"/>
  <c r="E332" i="2" s="1"/>
  <c r="G328" i="2"/>
  <c r="E328" i="2" s="1"/>
  <c r="G330" i="2"/>
  <c r="E330" i="2" s="1"/>
  <c r="G333" i="2"/>
  <c r="E333" i="2" s="1"/>
  <c r="G329" i="2"/>
  <c r="E329" i="2" s="1"/>
  <c r="G325" i="2"/>
  <c r="E325" i="2" s="1"/>
  <c r="G334" i="2"/>
  <c r="E334" i="2" s="1"/>
  <c r="G326" i="2"/>
  <c r="E326" i="2" s="1"/>
  <c r="G335" i="2"/>
  <c r="E335" i="2" s="1"/>
  <c r="G331" i="2"/>
  <c r="E331" i="2" s="1"/>
  <c r="G327" i="2"/>
  <c r="E327" i="2" s="1"/>
  <c r="G288" i="2"/>
  <c r="E288" i="2" s="1"/>
  <c r="G284" i="2"/>
  <c r="E284" i="2" s="1"/>
  <c r="G280" i="2"/>
  <c r="E280" i="2" s="1"/>
  <c r="G286" i="2"/>
  <c r="E286" i="2" s="1"/>
  <c r="G278" i="2"/>
  <c r="E278" i="2" s="1"/>
  <c r="G287" i="2"/>
  <c r="E287" i="2" s="1"/>
  <c r="G285" i="2"/>
  <c r="E285" i="2" s="1"/>
  <c r="G281" i="2"/>
  <c r="E281" i="2" s="1"/>
  <c r="G277" i="2"/>
  <c r="E277" i="2" s="1"/>
  <c r="G282" i="2"/>
  <c r="E282" i="2" s="1"/>
  <c r="G283" i="2"/>
  <c r="E283" i="2" s="1"/>
  <c r="G279" i="2"/>
  <c r="E279" i="2" s="1"/>
  <c r="G240" i="2"/>
  <c r="E240" i="2" s="1"/>
  <c r="G237" i="2"/>
  <c r="E237" i="2" s="1"/>
  <c r="G234" i="2"/>
  <c r="E234" i="2" s="1"/>
  <c r="G231" i="2"/>
  <c r="E231" i="2" s="1"/>
  <c r="G238" i="2"/>
  <c r="E238" i="2" s="1"/>
  <c r="G235" i="2"/>
  <c r="E235" i="2" s="1"/>
  <c r="G232" i="2"/>
  <c r="E232" i="2" s="1"/>
  <c r="G229" i="2"/>
  <c r="E229" i="2" s="1"/>
  <c r="G239" i="2"/>
  <c r="E239" i="2" s="1"/>
  <c r="G236" i="2"/>
  <c r="E236" i="2" s="1"/>
  <c r="G233" i="2"/>
  <c r="E233" i="2" s="1"/>
  <c r="G230" i="2"/>
  <c r="E230" i="2" s="1"/>
  <c r="G190" i="2"/>
  <c r="E190" i="2" s="1"/>
  <c r="G187" i="2"/>
  <c r="E187" i="2" s="1"/>
  <c r="G184" i="2"/>
  <c r="E184" i="2" s="1"/>
  <c r="G181" i="2"/>
  <c r="E181" i="2" s="1"/>
  <c r="G192" i="2"/>
  <c r="E192" i="2" s="1"/>
  <c r="G189" i="2"/>
  <c r="E189" i="2" s="1"/>
  <c r="G186" i="2"/>
  <c r="E186" i="2" s="1"/>
  <c r="G183" i="2"/>
  <c r="E183" i="2" s="1"/>
  <c r="G191" i="2"/>
  <c r="E191" i="2" s="1"/>
  <c r="G188" i="2"/>
  <c r="E188" i="2" s="1"/>
  <c r="G185" i="2"/>
  <c r="E185" i="2" s="1"/>
  <c r="G182" i="2"/>
  <c r="E182" i="2" s="1"/>
  <c r="G143" i="2"/>
  <c r="E143" i="2" s="1"/>
  <c r="G140" i="2"/>
  <c r="E140" i="2" s="1"/>
  <c r="G137" i="2"/>
  <c r="E137" i="2" s="1"/>
  <c r="G134" i="2"/>
  <c r="E134" i="2" s="1"/>
  <c r="G144" i="2"/>
  <c r="E144" i="2" s="1"/>
  <c r="G141" i="2"/>
  <c r="E141" i="2" s="1"/>
  <c r="G138" i="2"/>
  <c r="E138" i="2" s="1"/>
  <c r="G135" i="2"/>
  <c r="E135" i="2" s="1"/>
  <c r="G142" i="2"/>
  <c r="E142" i="2" s="1"/>
  <c r="G139" i="2"/>
  <c r="E139" i="2" s="1"/>
  <c r="G136" i="2"/>
  <c r="E136" i="2" s="1"/>
  <c r="G133" i="2"/>
  <c r="E133" i="2" s="1"/>
  <c r="G96" i="2"/>
  <c r="E96" i="2" s="1"/>
  <c r="G93" i="2"/>
  <c r="E93" i="2" s="1"/>
  <c r="G94" i="2"/>
  <c r="E94" i="2" s="1"/>
  <c r="G95" i="2"/>
  <c r="E95" i="2" s="1"/>
  <c r="G91" i="2"/>
  <c r="E91" i="2" s="1"/>
  <c r="G87" i="2"/>
  <c r="E87" i="2" s="1"/>
  <c r="G92" i="2"/>
  <c r="E92" i="2" s="1"/>
  <c r="G88" i="2"/>
  <c r="E88" i="2" s="1"/>
  <c r="G89" i="2"/>
  <c r="E89" i="2" s="1"/>
  <c r="G85" i="2"/>
  <c r="E85" i="2" s="1"/>
  <c r="G90" i="2"/>
  <c r="E90" i="2" s="1"/>
  <c r="G86" i="2"/>
  <c r="E86" i="2" s="1"/>
  <c r="G47" i="2"/>
  <c r="E47" i="2" s="1"/>
  <c r="G43" i="2"/>
  <c r="E43" i="2" s="1"/>
  <c r="G39" i="2"/>
  <c r="E39" i="2" s="1"/>
  <c r="G48" i="2"/>
  <c r="E48" i="2" s="1"/>
  <c r="G44" i="2"/>
  <c r="E44" i="2" s="1"/>
  <c r="G40" i="2"/>
  <c r="E40" i="2" s="1"/>
  <c r="G46" i="2"/>
  <c r="E46" i="2" s="1"/>
  <c r="G38" i="2"/>
  <c r="E38" i="2" s="1"/>
  <c r="G45" i="2"/>
  <c r="E45" i="2" s="1"/>
  <c r="G41" i="2"/>
  <c r="E41" i="2" s="1"/>
  <c r="G37" i="2"/>
  <c r="E37" i="2" s="1"/>
  <c r="G42" i="2"/>
  <c r="E42" i="2" s="1"/>
  <c r="G1299" i="2"/>
  <c r="E1299" i="2" s="1"/>
  <c r="G1295" i="2"/>
  <c r="E1295" i="2" s="1"/>
  <c r="G1291" i="2"/>
  <c r="E1291" i="2" s="1"/>
  <c r="G1300" i="2"/>
  <c r="E1300" i="2" s="1"/>
  <c r="G1296" i="2"/>
  <c r="E1296" i="2" s="1"/>
  <c r="G1292" i="2"/>
  <c r="E1292" i="2" s="1"/>
  <c r="G1297" i="2"/>
  <c r="E1297" i="2" s="1"/>
  <c r="G1293" i="2"/>
  <c r="E1293" i="2" s="1"/>
  <c r="G1289" i="2"/>
  <c r="E1289" i="2" s="1"/>
  <c r="G1298" i="2"/>
  <c r="E1298" i="2" s="1"/>
  <c r="G1294" i="2"/>
  <c r="E1294" i="2" s="1"/>
  <c r="G1290" i="2"/>
  <c r="E1290" i="2" s="1"/>
  <c r="G1243" i="2"/>
  <c r="E1243" i="2" s="1"/>
  <c r="G1239" i="2"/>
  <c r="E1239" i="2" s="1"/>
  <c r="G1235" i="2"/>
  <c r="E1235" i="2" s="1"/>
  <c r="G1231" i="2"/>
  <c r="E1231" i="2" s="1"/>
  <c r="G1244" i="2"/>
  <c r="E1244" i="2" s="1"/>
  <c r="G1240" i="2"/>
  <c r="E1240" i="2" s="1"/>
  <c r="G1236" i="2"/>
  <c r="E1236" i="2" s="1"/>
  <c r="G1232" i="2"/>
  <c r="E1232" i="2" s="1"/>
  <c r="G1245" i="2"/>
  <c r="E1245" i="2" s="1"/>
  <c r="G1241" i="2"/>
  <c r="E1241" i="2" s="1"/>
  <c r="G1237" i="2"/>
  <c r="E1237" i="2" s="1"/>
  <c r="G1233" i="2"/>
  <c r="E1233" i="2" s="1"/>
  <c r="G1238" i="2"/>
  <c r="E1238" i="2" s="1"/>
  <c r="G1234" i="2"/>
  <c r="E1234" i="2" s="1"/>
  <c r="G1242" i="2"/>
  <c r="E1242" i="2" s="1"/>
  <c r="G1246" i="2"/>
  <c r="E1246" i="2" s="1"/>
  <c r="G1195" i="2"/>
  <c r="E1195" i="2" s="1"/>
  <c r="G1196" i="2"/>
  <c r="E1196" i="2" s="1"/>
  <c r="G1197" i="2"/>
  <c r="E1197" i="2" s="1"/>
  <c r="G1194" i="2"/>
  <c r="E1194" i="2" s="1"/>
  <c r="G1163" i="2"/>
  <c r="E1163" i="2" s="1"/>
  <c r="G1159" i="2"/>
  <c r="E1159" i="2" s="1"/>
  <c r="G1155" i="2"/>
  <c r="E1155" i="2" s="1"/>
  <c r="G1164" i="2"/>
  <c r="E1164" i="2" s="1"/>
  <c r="G1160" i="2"/>
  <c r="E1160" i="2" s="1"/>
  <c r="G1156" i="2"/>
  <c r="E1156" i="2" s="1"/>
  <c r="G1165" i="2"/>
  <c r="E1165" i="2" s="1"/>
  <c r="G1161" i="2"/>
  <c r="E1161" i="2" s="1"/>
  <c r="G1157" i="2"/>
  <c r="E1157" i="2" s="1"/>
  <c r="G1158" i="2"/>
  <c r="E1158" i="2" s="1"/>
  <c r="G1154" i="2"/>
  <c r="E1154" i="2" s="1"/>
  <c r="G1162" i="2"/>
  <c r="E1162" i="2" s="1"/>
  <c r="G1127" i="2"/>
  <c r="E1127" i="2" s="1"/>
  <c r="G1123" i="2"/>
  <c r="E1123" i="2" s="1"/>
  <c r="G1128" i="2"/>
  <c r="E1128" i="2" s="1"/>
  <c r="G1124" i="2"/>
  <c r="E1124" i="2" s="1"/>
  <c r="G1120" i="2"/>
  <c r="E1120" i="2" s="1"/>
  <c r="G1122" i="2"/>
  <c r="E1122" i="2" s="1"/>
  <c r="G1125" i="2"/>
  <c r="E1125" i="2" s="1"/>
  <c r="G1129" i="2"/>
  <c r="E1129" i="2" s="1"/>
  <c r="G1121" i="2"/>
  <c r="E1121" i="2" s="1"/>
  <c r="G1126" i="2"/>
  <c r="E1126" i="2" s="1"/>
  <c r="G1088" i="2"/>
  <c r="E1088" i="2" s="1"/>
  <c r="G1089" i="2"/>
  <c r="E1089" i="2" s="1"/>
  <c r="G1087" i="2"/>
  <c r="E1087" i="2" s="1"/>
  <c r="G1090" i="2"/>
  <c r="E1090" i="2" s="1"/>
  <c r="G1091" i="2"/>
  <c r="E1091" i="2" s="1"/>
  <c r="G1086" i="2"/>
  <c r="E1086" i="2" s="1"/>
  <c r="G1052" i="2"/>
  <c r="E1052" i="2" s="1"/>
  <c r="G1048" i="2"/>
  <c r="E1048" i="2" s="1"/>
  <c r="G1044" i="2"/>
  <c r="E1044" i="2" s="1"/>
  <c r="G1053" i="2"/>
  <c r="E1053" i="2" s="1"/>
  <c r="G1049" i="2"/>
  <c r="E1049" i="2" s="1"/>
  <c r="G1045" i="2"/>
  <c r="E1045" i="2" s="1"/>
  <c r="G1047" i="2"/>
  <c r="E1047" i="2" s="1"/>
  <c r="G1050" i="2"/>
  <c r="E1050" i="2" s="1"/>
  <c r="G1042" i="2"/>
  <c r="E1042" i="2" s="1"/>
  <c r="G1046" i="2"/>
  <c r="E1046" i="2" s="1"/>
  <c r="G1051" i="2"/>
  <c r="E1051" i="2" s="1"/>
  <c r="G1043" i="2"/>
  <c r="E1043" i="2" s="1"/>
  <c r="G1009" i="2"/>
  <c r="E1009" i="2" s="1"/>
  <c r="G1010" i="2"/>
  <c r="E1010" i="2" s="1"/>
  <c r="G1011" i="2"/>
  <c r="E1011" i="2" s="1"/>
  <c r="G988" i="2"/>
  <c r="E988" i="2" s="1"/>
  <c r="G984" i="2"/>
  <c r="E984" i="2" s="1"/>
  <c r="G980" i="2"/>
  <c r="E980" i="2" s="1"/>
  <c r="G989" i="2"/>
  <c r="E989" i="2" s="1"/>
  <c r="G985" i="2"/>
  <c r="E985" i="2" s="1"/>
  <c r="G981" i="2"/>
  <c r="E981" i="2" s="1"/>
  <c r="G991" i="2"/>
  <c r="E991" i="2" s="1"/>
  <c r="G983" i="2"/>
  <c r="E983" i="2" s="1"/>
  <c r="G986" i="2"/>
  <c r="E986" i="2" s="1"/>
  <c r="G982" i="2"/>
  <c r="E982" i="2" s="1"/>
  <c r="G987" i="2"/>
  <c r="E987" i="2" s="1"/>
  <c r="G990" i="2"/>
  <c r="E990" i="2" s="1"/>
  <c r="G938" i="2"/>
  <c r="E938" i="2" s="1"/>
  <c r="G937" i="2"/>
  <c r="E937" i="2" s="1"/>
  <c r="G936" i="2"/>
  <c r="E936" i="2" s="1"/>
  <c r="G935" i="2"/>
  <c r="E935" i="2" s="1"/>
  <c r="G934" i="2"/>
  <c r="E934" i="2" s="1"/>
  <c r="G933" i="2"/>
  <c r="E933" i="2" s="1"/>
  <c r="G932" i="2"/>
  <c r="E932" i="2" s="1"/>
  <c r="G931" i="2"/>
  <c r="E931" i="2" s="1"/>
  <c r="G930" i="2"/>
  <c r="E930" i="2" s="1"/>
  <c r="G929" i="2"/>
  <c r="E929" i="2" s="1"/>
  <c r="G928" i="2"/>
  <c r="E928" i="2" s="1"/>
  <c r="G927" i="2"/>
  <c r="E927" i="2" s="1"/>
  <c r="G911" i="2"/>
  <c r="E911" i="2" s="1"/>
  <c r="G910" i="2"/>
  <c r="E910" i="2" s="1"/>
  <c r="G909" i="2"/>
  <c r="E909" i="2" s="1"/>
  <c r="G908" i="2"/>
  <c r="E908" i="2" s="1"/>
  <c r="G907" i="2"/>
  <c r="E907" i="2" s="1"/>
  <c r="G906" i="2"/>
  <c r="E906" i="2" s="1"/>
  <c r="G905" i="2"/>
  <c r="E905" i="2" s="1"/>
  <c r="G904" i="2"/>
  <c r="E904" i="2" s="1"/>
  <c r="G903" i="2"/>
  <c r="E903" i="2" s="1"/>
  <c r="G902" i="2"/>
  <c r="E902" i="2" s="1"/>
  <c r="G901" i="2"/>
  <c r="E901" i="2" s="1"/>
  <c r="G900" i="2"/>
  <c r="E900" i="2" s="1"/>
  <c r="G879" i="2"/>
  <c r="E879" i="2" s="1"/>
  <c r="G878" i="2"/>
  <c r="E878" i="2" s="1"/>
  <c r="G877" i="2"/>
  <c r="E877" i="2" s="1"/>
  <c r="G876" i="2"/>
  <c r="E876" i="2" s="1"/>
  <c r="G875" i="2"/>
  <c r="E875" i="2" s="1"/>
  <c r="G874" i="2"/>
  <c r="E874" i="2" s="1"/>
  <c r="G841" i="2"/>
  <c r="E841" i="2" s="1"/>
  <c r="G840" i="2"/>
  <c r="E840" i="2" s="1"/>
  <c r="G839" i="2"/>
  <c r="E839" i="2" s="1"/>
  <c r="G838" i="2"/>
  <c r="E838" i="2" s="1"/>
  <c r="G813" i="2"/>
  <c r="E813" i="2" s="1"/>
  <c r="G812" i="2"/>
  <c r="E812" i="2" s="1"/>
  <c r="G811" i="2"/>
  <c r="E811" i="2" s="1"/>
  <c r="G810" i="2"/>
  <c r="E810" i="2" s="1"/>
  <c r="G809" i="2"/>
  <c r="E809" i="2" s="1"/>
  <c r="G791" i="2"/>
  <c r="E791" i="2" s="1"/>
  <c r="G790" i="2"/>
  <c r="E790" i="2" s="1"/>
  <c r="G768" i="2"/>
  <c r="E768" i="2" s="1"/>
  <c r="G764" i="2"/>
  <c r="E764" i="2" s="1"/>
  <c r="G760" i="2"/>
  <c r="E760" i="2" s="1"/>
  <c r="G769" i="2"/>
  <c r="E769" i="2" s="1"/>
  <c r="G765" i="2"/>
  <c r="E765" i="2" s="1"/>
  <c r="G761" i="2"/>
  <c r="E761" i="2" s="1"/>
  <c r="G767" i="2"/>
  <c r="E767" i="2" s="1"/>
  <c r="G762" i="2"/>
  <c r="E762" i="2" s="1"/>
  <c r="G763" i="2"/>
  <c r="E763" i="2" s="1"/>
  <c r="G766" i="2"/>
  <c r="E766" i="2" s="1"/>
  <c r="G732" i="2"/>
  <c r="E732" i="2" s="1"/>
  <c r="G728" i="2"/>
  <c r="E728" i="2" s="1"/>
  <c r="G724" i="2"/>
  <c r="E724" i="2" s="1"/>
  <c r="G733" i="2"/>
  <c r="E733" i="2" s="1"/>
  <c r="G729" i="2"/>
  <c r="E729" i="2" s="1"/>
  <c r="G725" i="2"/>
  <c r="E725" i="2" s="1"/>
  <c r="G727" i="2"/>
  <c r="E727" i="2" s="1"/>
  <c r="G726" i="2"/>
  <c r="E726" i="2" s="1"/>
  <c r="G730" i="2"/>
  <c r="E730" i="2" s="1"/>
  <c r="G722" i="2"/>
  <c r="E722" i="2" s="1"/>
  <c r="G731" i="2"/>
  <c r="E731" i="2" s="1"/>
  <c r="G723" i="2"/>
  <c r="E723" i="2" s="1"/>
  <c r="G688" i="2"/>
  <c r="E688" i="2" s="1"/>
  <c r="G684" i="2"/>
  <c r="E684" i="2" s="1"/>
  <c r="G680" i="2"/>
  <c r="E680" i="2" s="1"/>
  <c r="G689" i="2"/>
  <c r="E689" i="2" s="1"/>
  <c r="G685" i="2"/>
  <c r="E685" i="2" s="1"/>
  <c r="G681" i="2"/>
  <c r="E681" i="2" s="1"/>
  <c r="G687" i="2"/>
  <c r="E687" i="2" s="1"/>
  <c r="G686" i="2"/>
  <c r="E686" i="2" s="1"/>
  <c r="G690" i="2"/>
  <c r="E690" i="2" s="1"/>
  <c r="G682" i="2"/>
  <c r="E682" i="2" s="1"/>
  <c r="G691" i="2"/>
  <c r="E691" i="2" s="1"/>
  <c r="G683" i="2"/>
  <c r="E683" i="2" s="1"/>
  <c r="G644" i="2"/>
  <c r="E644" i="2" s="1"/>
  <c r="G640" i="2"/>
  <c r="E640" i="2" s="1"/>
  <c r="G636" i="2"/>
  <c r="E636" i="2" s="1"/>
  <c r="G641" i="2"/>
  <c r="E641" i="2" s="1"/>
  <c r="G637" i="2"/>
  <c r="E637" i="2" s="1"/>
  <c r="G633" i="2"/>
  <c r="E633" i="2" s="1"/>
  <c r="G639" i="2"/>
  <c r="E639" i="2" s="1"/>
  <c r="G642" i="2"/>
  <c r="E642" i="2" s="1"/>
  <c r="G634" i="2"/>
  <c r="E634" i="2" s="1"/>
  <c r="G643" i="2"/>
  <c r="E643" i="2" s="1"/>
  <c r="G635" i="2"/>
  <c r="E635" i="2" s="1"/>
  <c r="G638" i="2"/>
  <c r="E638" i="2" s="1"/>
  <c r="G596" i="2"/>
  <c r="E596" i="2" s="1"/>
  <c r="G594" i="2"/>
  <c r="E594" i="2" s="1"/>
  <c r="G595" i="2"/>
  <c r="E595" i="2" s="1"/>
  <c r="G564" i="2"/>
  <c r="E564" i="2" s="1"/>
  <c r="G560" i="2"/>
  <c r="E560" i="2" s="1"/>
  <c r="G556" i="2"/>
  <c r="E556" i="2" s="1"/>
  <c r="G561" i="2"/>
  <c r="E561" i="2" s="1"/>
  <c r="G557" i="2"/>
  <c r="E557" i="2" s="1"/>
  <c r="G553" i="2"/>
  <c r="E553" i="2" s="1"/>
  <c r="G559" i="2"/>
  <c r="E559" i="2" s="1"/>
  <c r="G562" i="2"/>
  <c r="E562" i="2" s="1"/>
  <c r="G554" i="2"/>
  <c r="E554" i="2" s="1"/>
  <c r="G563" i="2"/>
  <c r="E563" i="2" s="1"/>
  <c r="G555" i="2"/>
  <c r="E555" i="2" s="1"/>
  <c r="G558" i="2"/>
  <c r="E558" i="2" s="1"/>
  <c r="G513" i="2"/>
  <c r="E513" i="2" s="1"/>
  <c r="G509" i="2"/>
  <c r="E509" i="2" s="1"/>
  <c r="G505" i="2"/>
  <c r="E505" i="2" s="1"/>
  <c r="G515" i="2"/>
  <c r="E515" i="2" s="1"/>
  <c r="G512" i="2"/>
  <c r="E512" i="2" s="1"/>
  <c r="G514" i="2"/>
  <c r="E514" i="2" s="1"/>
  <c r="G508" i="2"/>
  <c r="E508" i="2" s="1"/>
  <c r="G516" i="2"/>
  <c r="E516" i="2" s="1"/>
  <c r="G506" i="2"/>
  <c r="E506" i="2" s="1"/>
  <c r="G510" i="2"/>
  <c r="E510" i="2" s="1"/>
  <c r="G507" i="2"/>
  <c r="E507" i="2" s="1"/>
  <c r="G511" i="2"/>
  <c r="E511" i="2" s="1"/>
  <c r="G468" i="2"/>
  <c r="E468" i="2" s="1"/>
  <c r="G464" i="2"/>
  <c r="E464" i="2" s="1"/>
  <c r="G460" i="2"/>
  <c r="E460" i="2" s="1"/>
  <c r="G467" i="2"/>
  <c r="E467" i="2" s="1"/>
  <c r="G465" i="2"/>
  <c r="E465" i="2" s="1"/>
  <c r="G461" i="2"/>
  <c r="E461" i="2" s="1"/>
  <c r="G457" i="2"/>
  <c r="E457" i="2" s="1"/>
  <c r="G466" i="2"/>
  <c r="E466" i="2" s="1"/>
  <c r="G462" i="2"/>
  <c r="E462" i="2" s="1"/>
  <c r="G458" i="2"/>
  <c r="E458" i="2" s="1"/>
  <c r="G463" i="2"/>
  <c r="E463" i="2" s="1"/>
  <c r="G459" i="2"/>
  <c r="E459" i="2" s="1"/>
  <c r="G420" i="2"/>
  <c r="E420" i="2" s="1"/>
  <c r="G416" i="2"/>
  <c r="E416" i="2" s="1"/>
  <c r="G412" i="2"/>
  <c r="E412" i="2" s="1"/>
  <c r="G415" i="2"/>
  <c r="E415" i="2" s="1"/>
  <c r="G411" i="2"/>
  <c r="E411" i="2" s="1"/>
  <c r="G417" i="2"/>
  <c r="E417" i="2" s="1"/>
  <c r="G413" i="2"/>
  <c r="E413" i="2" s="1"/>
  <c r="G409" i="2"/>
  <c r="E409" i="2" s="1"/>
  <c r="G418" i="2"/>
  <c r="E418" i="2" s="1"/>
  <c r="G414" i="2"/>
  <c r="E414" i="2" s="1"/>
  <c r="G410" i="2"/>
  <c r="E410" i="2" s="1"/>
  <c r="G419" i="2"/>
  <c r="E419" i="2" s="1"/>
  <c r="G372" i="2"/>
  <c r="E372" i="2" s="1"/>
  <c r="G368" i="2"/>
  <c r="E368" i="2" s="1"/>
  <c r="G364" i="2"/>
  <c r="E364" i="2" s="1"/>
  <c r="G370" i="2"/>
  <c r="E370" i="2" s="1"/>
  <c r="G363" i="2"/>
  <c r="E363" i="2" s="1"/>
  <c r="G369" i="2"/>
  <c r="E369" i="2" s="1"/>
  <c r="G365" i="2"/>
  <c r="E365" i="2" s="1"/>
  <c r="G361" i="2"/>
  <c r="E361" i="2" s="1"/>
  <c r="G366" i="2"/>
  <c r="E366" i="2" s="1"/>
  <c r="G362" i="2"/>
  <c r="E362" i="2" s="1"/>
  <c r="G371" i="2"/>
  <c r="E371" i="2" s="1"/>
  <c r="G367" i="2"/>
  <c r="E367" i="2" s="1"/>
  <c r="G324" i="2"/>
  <c r="E324" i="2" s="1"/>
  <c r="G320" i="2"/>
  <c r="E320" i="2" s="1"/>
  <c r="G316" i="2"/>
  <c r="E316" i="2" s="1"/>
  <c r="G322" i="2"/>
  <c r="E322" i="2" s="1"/>
  <c r="G314" i="2"/>
  <c r="E314" i="2" s="1"/>
  <c r="G321" i="2"/>
  <c r="E321" i="2" s="1"/>
  <c r="G317" i="2"/>
  <c r="E317" i="2" s="1"/>
  <c r="G313" i="2"/>
  <c r="E313" i="2" s="1"/>
  <c r="G318" i="2"/>
  <c r="E318" i="2" s="1"/>
  <c r="G323" i="2"/>
  <c r="E323" i="2" s="1"/>
  <c r="G319" i="2"/>
  <c r="E319" i="2" s="1"/>
  <c r="G315" i="2"/>
  <c r="E315" i="2" s="1"/>
  <c r="G276" i="2"/>
  <c r="E276" i="2" s="1"/>
  <c r="G272" i="2"/>
  <c r="E272" i="2" s="1"/>
  <c r="G268" i="2"/>
  <c r="E268" i="2" s="1"/>
  <c r="G270" i="2"/>
  <c r="E270" i="2" s="1"/>
  <c r="G275" i="2"/>
  <c r="E275" i="2" s="1"/>
  <c r="G271" i="2"/>
  <c r="E271" i="2" s="1"/>
  <c r="G267" i="2"/>
  <c r="E267" i="2" s="1"/>
  <c r="G273" i="2"/>
  <c r="E273" i="2" s="1"/>
  <c r="G269" i="2"/>
  <c r="E269" i="2" s="1"/>
  <c r="G265" i="2"/>
  <c r="E265" i="2" s="1"/>
  <c r="G274" i="2"/>
  <c r="E274" i="2" s="1"/>
  <c r="G266" i="2"/>
  <c r="E266" i="2" s="1"/>
  <c r="G228" i="2"/>
  <c r="E228" i="2" s="1"/>
  <c r="G225" i="2"/>
  <c r="E225" i="2" s="1"/>
  <c r="G222" i="2"/>
  <c r="E222" i="2" s="1"/>
  <c r="G219" i="2"/>
  <c r="E219" i="2" s="1"/>
  <c r="G226" i="2"/>
  <c r="E226" i="2" s="1"/>
  <c r="G223" i="2"/>
  <c r="E223" i="2" s="1"/>
  <c r="G220" i="2"/>
  <c r="E220" i="2" s="1"/>
  <c r="G217" i="2"/>
  <c r="E217" i="2" s="1"/>
  <c r="G227" i="2"/>
  <c r="E227" i="2" s="1"/>
  <c r="G224" i="2"/>
  <c r="E224" i="2" s="1"/>
  <c r="G221" i="2"/>
  <c r="E221" i="2" s="1"/>
  <c r="G218" i="2"/>
  <c r="E218" i="2" s="1"/>
  <c r="G177" i="2"/>
  <c r="E177" i="2" s="1"/>
  <c r="G175" i="2"/>
  <c r="E175" i="2" s="1"/>
  <c r="G172" i="2"/>
  <c r="E172" i="2" s="1"/>
  <c r="G169" i="2"/>
  <c r="E169" i="2" s="1"/>
  <c r="G180" i="2"/>
  <c r="E180" i="2" s="1"/>
  <c r="G179" i="2"/>
  <c r="E179" i="2" s="1"/>
  <c r="G176" i="2"/>
  <c r="E176" i="2" s="1"/>
  <c r="G173" i="2"/>
  <c r="E173" i="2" s="1"/>
  <c r="G171" i="2"/>
  <c r="E171" i="2" s="1"/>
  <c r="G178" i="2"/>
  <c r="E178" i="2" s="1"/>
  <c r="G174" i="2"/>
  <c r="E174" i="2" s="1"/>
  <c r="G170" i="2"/>
  <c r="E170" i="2" s="1"/>
  <c r="G131" i="2"/>
  <c r="E131" i="2" s="1"/>
  <c r="G128" i="2"/>
  <c r="E128" i="2" s="1"/>
  <c r="G125" i="2"/>
  <c r="E125" i="2" s="1"/>
  <c r="G122" i="2"/>
  <c r="E122" i="2" s="1"/>
  <c r="G132" i="2"/>
  <c r="E132" i="2" s="1"/>
  <c r="G129" i="2"/>
  <c r="E129" i="2" s="1"/>
  <c r="G126" i="2"/>
  <c r="E126" i="2" s="1"/>
  <c r="G123" i="2"/>
  <c r="E123" i="2" s="1"/>
  <c r="G130" i="2"/>
  <c r="E130" i="2" s="1"/>
  <c r="G127" i="2"/>
  <c r="E127" i="2" s="1"/>
  <c r="G124" i="2"/>
  <c r="E124" i="2" s="1"/>
  <c r="G121" i="2"/>
  <c r="E121" i="2" s="1"/>
  <c r="G83" i="2"/>
  <c r="E83" i="2" s="1"/>
  <c r="G79" i="2"/>
  <c r="E79" i="2" s="1"/>
  <c r="G75" i="2"/>
  <c r="E75" i="2" s="1"/>
  <c r="G84" i="2"/>
  <c r="E84" i="2" s="1"/>
  <c r="G80" i="2"/>
  <c r="E80" i="2" s="1"/>
  <c r="G76" i="2"/>
  <c r="E76" i="2" s="1"/>
  <c r="G78" i="2"/>
  <c r="E78" i="2" s="1"/>
  <c r="G81" i="2"/>
  <c r="E81" i="2" s="1"/>
  <c r="G77" i="2"/>
  <c r="E77" i="2" s="1"/>
  <c r="G73" i="2"/>
  <c r="E73" i="2" s="1"/>
  <c r="G82" i="2"/>
  <c r="E82" i="2" s="1"/>
  <c r="G74" i="2"/>
  <c r="E74" i="2" s="1"/>
  <c r="G35" i="2"/>
  <c r="E35" i="2" s="1"/>
  <c r="G31" i="2"/>
  <c r="E31" i="2" s="1"/>
  <c r="G27" i="2"/>
  <c r="E27" i="2" s="1"/>
  <c r="G36" i="2"/>
  <c r="E36" i="2" s="1"/>
  <c r="G32" i="2"/>
  <c r="E32" i="2" s="1"/>
  <c r="G28" i="2"/>
  <c r="E28" i="2" s="1"/>
  <c r="G34" i="2"/>
  <c r="E34" i="2" s="1"/>
  <c r="G26" i="2"/>
  <c r="E26" i="2" s="1"/>
  <c r="G33" i="2"/>
  <c r="E33" i="2" s="1"/>
  <c r="G29" i="2"/>
  <c r="E29" i="2" s="1"/>
  <c r="G25" i="2"/>
  <c r="E25" i="2" s="1"/>
  <c r="G30" i="2"/>
  <c r="E30" i="2" s="1"/>
  <c r="M1355" i="2" l="1"/>
  <c r="M1356" i="2"/>
  <c r="M1357" i="2"/>
  <c r="M1358" i="2"/>
  <c r="M1359" i="2"/>
  <c r="M1360" i="2"/>
  <c r="M600" i="2"/>
  <c r="M604" i="2"/>
  <c r="M608" i="2"/>
  <c r="M598" i="2"/>
  <c r="M603" i="2"/>
  <c r="M599" i="2"/>
  <c r="M605" i="2"/>
  <c r="M606" i="2"/>
  <c r="M597" i="2"/>
  <c r="M607" i="2"/>
  <c r="M601" i="2"/>
  <c r="M602" i="2"/>
  <c r="M1094" i="2"/>
  <c r="M1095" i="2"/>
  <c r="M1096" i="2"/>
  <c r="M1093" i="2"/>
  <c r="M1097" i="2"/>
  <c r="M1092" i="2"/>
  <c r="M412" i="2"/>
  <c r="M416" i="2"/>
  <c r="M420" i="2"/>
  <c r="M411" i="2"/>
  <c r="M417" i="2"/>
  <c r="M413" i="2"/>
  <c r="M418" i="2"/>
  <c r="M414" i="2"/>
  <c r="M409" i="2"/>
  <c r="M415" i="2"/>
  <c r="M419" i="2"/>
  <c r="M410" i="2"/>
  <c r="M315" i="2"/>
  <c r="M319" i="2"/>
  <c r="M323" i="2"/>
  <c r="M316" i="2"/>
  <c r="M320" i="2"/>
  <c r="M324" i="2"/>
  <c r="M314" i="2"/>
  <c r="M322" i="2"/>
  <c r="M318" i="2"/>
  <c r="M321" i="2"/>
  <c r="M313" i="2"/>
  <c r="M317" i="2"/>
  <c r="M962" i="2"/>
  <c r="M966" i="2"/>
  <c r="M970" i="2"/>
  <c r="M967" i="2"/>
  <c r="M972" i="2"/>
  <c r="M963" i="2"/>
  <c r="M968" i="2"/>
  <c r="M973" i="2"/>
  <c r="M965" i="2"/>
  <c r="M969" i="2"/>
  <c r="M971" i="2"/>
  <c r="M964" i="2"/>
  <c r="M15" i="2"/>
  <c r="M19" i="2"/>
  <c r="M23" i="2"/>
  <c r="M16" i="2"/>
  <c r="M20" i="2"/>
  <c r="M24" i="2"/>
  <c r="M13" i="2"/>
  <c r="M17" i="2"/>
  <c r="M21" i="2"/>
  <c r="M22" i="2"/>
  <c r="M14" i="2"/>
  <c r="M18" i="2"/>
  <c r="M135" i="2"/>
  <c r="M139" i="2"/>
  <c r="M143" i="2"/>
  <c r="M136" i="2"/>
  <c r="M140" i="2"/>
  <c r="M144" i="2"/>
  <c r="M133" i="2"/>
  <c r="M137" i="2"/>
  <c r="M141" i="2"/>
  <c r="M134" i="2"/>
  <c r="M138" i="2"/>
  <c r="M142" i="2"/>
  <c r="M942" i="2"/>
  <c r="M946" i="2"/>
  <c r="M940" i="2"/>
  <c r="M945" i="2"/>
  <c r="M941" i="2"/>
  <c r="M947" i="2"/>
  <c r="M944" i="2"/>
  <c r="M948" i="2"/>
  <c r="M939" i="2"/>
  <c r="M943" i="2"/>
  <c r="M195" i="2"/>
  <c r="M199" i="2"/>
  <c r="M203" i="2"/>
  <c r="M196" i="2"/>
  <c r="M200" i="2"/>
  <c r="M204" i="2"/>
  <c r="M193" i="2"/>
  <c r="M197" i="2"/>
  <c r="M201" i="2"/>
  <c r="M198" i="2"/>
  <c r="M202" i="2"/>
  <c r="M194" i="2"/>
  <c r="M1222" i="2"/>
  <c r="M1226" i="2"/>
  <c r="M1230" i="2"/>
  <c r="M1223" i="2"/>
  <c r="M1228" i="2"/>
  <c r="M1224" i="2"/>
  <c r="M1229" i="2"/>
  <c r="M1221" i="2"/>
  <c r="M1225" i="2"/>
  <c r="M1227" i="2"/>
  <c r="M1178" i="2"/>
  <c r="M1182" i="2"/>
  <c r="M1180" i="2"/>
  <c r="M1181" i="2"/>
  <c r="M1179" i="2"/>
  <c r="M1183" i="2"/>
  <c r="M255" i="2"/>
  <c r="M259" i="2"/>
  <c r="M263" i="2"/>
  <c r="M256" i="2"/>
  <c r="M260" i="2"/>
  <c r="M264" i="2"/>
  <c r="M253" i="2"/>
  <c r="M257" i="2"/>
  <c r="M261" i="2"/>
  <c r="M262" i="2"/>
  <c r="M254" i="2"/>
  <c r="M258" i="2"/>
  <c r="M1054" i="2"/>
  <c r="M1058" i="2"/>
  <c r="M1062" i="2"/>
  <c r="M1057" i="2"/>
  <c r="M1063" i="2"/>
  <c r="M1059" i="2"/>
  <c r="M1064" i="2"/>
  <c r="M1061" i="2"/>
  <c r="M1055" i="2"/>
  <c r="M1065" i="2"/>
  <c r="M1056" i="2"/>
  <c r="M1060" i="2"/>
  <c r="M1194" i="2"/>
  <c r="M1196" i="2"/>
  <c r="M1197" i="2"/>
  <c r="M1195" i="2"/>
  <c r="M159" i="2"/>
  <c r="M163" i="2"/>
  <c r="M167" i="2"/>
  <c r="M160" i="2"/>
  <c r="M164" i="2"/>
  <c r="M168" i="2"/>
  <c r="M157" i="2"/>
  <c r="M161" i="2"/>
  <c r="M165" i="2"/>
  <c r="M166" i="2"/>
  <c r="M158" i="2"/>
  <c r="M162" i="2"/>
  <c r="M930" i="2"/>
  <c r="M934" i="2"/>
  <c r="M938" i="2"/>
  <c r="M929" i="2"/>
  <c r="M935" i="2"/>
  <c r="M931" i="2"/>
  <c r="M936" i="2"/>
  <c r="M933" i="2"/>
  <c r="M927" i="2"/>
  <c r="M937" i="2"/>
  <c r="M928" i="2"/>
  <c r="M932" i="2"/>
  <c r="M436" i="2"/>
  <c r="M440" i="2"/>
  <c r="M444" i="2"/>
  <c r="M433" i="2"/>
  <c r="M438" i="2"/>
  <c r="M443" i="2"/>
  <c r="M434" i="2"/>
  <c r="M439" i="2"/>
  <c r="M435" i="2"/>
  <c r="M437" i="2"/>
  <c r="M441" i="2"/>
  <c r="M442" i="2"/>
  <c r="M279" i="2"/>
  <c r="M283" i="2"/>
  <c r="M287" i="2"/>
  <c r="M280" i="2"/>
  <c r="M284" i="2"/>
  <c r="M288" i="2"/>
  <c r="M277" i="2"/>
  <c r="M281" i="2"/>
  <c r="M285" i="2"/>
  <c r="M278" i="2"/>
  <c r="M286" i="2"/>
  <c r="M282" i="2"/>
  <c r="M1066" i="2"/>
  <c r="M1070" i="2"/>
  <c r="M1074" i="2"/>
  <c r="M1068" i="2"/>
  <c r="M1073" i="2"/>
  <c r="M1069" i="2"/>
  <c r="M1075" i="2"/>
  <c r="M1072" i="2"/>
  <c r="M1067" i="2"/>
  <c r="M1071" i="2"/>
  <c r="M544" i="2"/>
  <c r="M548" i="2"/>
  <c r="M552" i="2"/>
  <c r="M545" i="2"/>
  <c r="M550" i="2"/>
  <c r="M541" i="2"/>
  <c r="M546" i="2"/>
  <c r="M551" i="2"/>
  <c r="M542" i="2"/>
  <c r="M543" i="2"/>
  <c r="M547" i="2"/>
  <c r="M549" i="2"/>
  <c r="M680" i="2"/>
  <c r="M684" i="2"/>
  <c r="M688" i="2"/>
  <c r="M683" i="2"/>
  <c r="M689" i="2"/>
  <c r="M685" i="2"/>
  <c r="M690" i="2"/>
  <c r="M681" i="2"/>
  <c r="M691" i="2"/>
  <c r="M682" i="2"/>
  <c r="M686" i="2"/>
  <c r="M687" i="2"/>
  <c r="M123" i="2"/>
  <c r="M127" i="2"/>
  <c r="M131" i="2"/>
  <c r="M124" i="2"/>
  <c r="M128" i="2"/>
  <c r="M132" i="2"/>
  <c r="M121" i="2"/>
  <c r="M125" i="2"/>
  <c r="M129" i="2"/>
  <c r="M122" i="2"/>
  <c r="M126" i="2"/>
  <c r="M130" i="2"/>
  <c r="M736" i="2"/>
  <c r="M740" i="2"/>
  <c r="M744" i="2"/>
  <c r="M737" i="2"/>
  <c r="M742" i="2"/>
  <c r="M747" i="2"/>
  <c r="M741" i="2"/>
  <c r="M743" i="2"/>
  <c r="M739" i="2"/>
  <c r="M745" i="2"/>
  <c r="M746" i="2"/>
  <c r="M738" i="2"/>
  <c r="M576" i="2"/>
  <c r="M580" i="2"/>
  <c r="M584" i="2"/>
  <c r="M577" i="2"/>
  <c r="M582" i="2"/>
  <c r="M587" i="2"/>
  <c r="M578" i="2"/>
  <c r="M583" i="2"/>
  <c r="M585" i="2"/>
  <c r="M579" i="2"/>
  <c r="M586" i="2"/>
  <c r="M581" i="2"/>
  <c r="M926" i="2"/>
  <c r="M924" i="2"/>
  <c r="M925" i="2"/>
  <c r="M790" i="2"/>
  <c r="M791" i="2"/>
  <c r="M267" i="2"/>
  <c r="M271" i="2"/>
  <c r="M275" i="2"/>
  <c r="M268" i="2"/>
  <c r="M272" i="2"/>
  <c r="M276" i="2"/>
  <c r="M265" i="2"/>
  <c r="M269" i="2"/>
  <c r="M273" i="2"/>
  <c r="M266" i="2"/>
  <c r="M270" i="2"/>
  <c r="M274" i="2"/>
  <c r="M388" i="2"/>
  <c r="M392" i="2"/>
  <c r="M396" i="2"/>
  <c r="M385" i="2"/>
  <c r="M390" i="2"/>
  <c r="M395" i="2"/>
  <c r="M386" i="2"/>
  <c r="M391" i="2"/>
  <c r="M393" i="2"/>
  <c r="M394" i="2"/>
  <c r="M387" i="2"/>
  <c r="M389" i="2"/>
  <c r="M1014" i="2"/>
  <c r="M1015" i="2"/>
  <c r="M1016" i="2"/>
  <c r="M1012" i="2"/>
  <c r="M1013" i="2"/>
  <c r="M1017" i="2"/>
  <c r="M1086" i="2"/>
  <c r="M1090" i="2"/>
  <c r="M1089" i="2"/>
  <c r="M1091" i="2"/>
  <c r="M1087" i="2"/>
  <c r="M1088" i="2"/>
  <c r="M448" i="2"/>
  <c r="M452" i="2"/>
  <c r="M456" i="2"/>
  <c r="M449" i="2"/>
  <c r="M454" i="2"/>
  <c r="M445" i="2"/>
  <c r="M450" i="2"/>
  <c r="M455" i="2"/>
  <c r="M446" i="2"/>
  <c r="M451" i="2"/>
  <c r="M447" i="2"/>
  <c r="M453" i="2"/>
  <c r="M892" i="2"/>
  <c r="M896" i="2"/>
  <c r="M897" i="2"/>
  <c r="M898" i="2"/>
  <c r="M893" i="2"/>
  <c r="M899" i="2"/>
  <c r="M895" i="2"/>
  <c r="M894" i="2"/>
  <c r="M1166" i="2"/>
  <c r="M1170" i="2"/>
  <c r="M1174" i="2"/>
  <c r="M1169" i="2"/>
  <c r="M1175" i="2"/>
  <c r="M1171" i="2"/>
  <c r="M1176" i="2"/>
  <c r="M1168" i="2"/>
  <c r="M1172" i="2"/>
  <c r="M1173" i="2"/>
  <c r="M1167" i="2"/>
  <c r="M1177" i="2"/>
  <c r="M508" i="2"/>
  <c r="M512" i="2"/>
  <c r="M516" i="2"/>
  <c r="M507" i="2"/>
  <c r="M513" i="2"/>
  <c r="M509" i="2"/>
  <c r="M514" i="2"/>
  <c r="M510" i="2"/>
  <c r="M515" i="2"/>
  <c r="M511" i="2"/>
  <c r="M505" i="2"/>
  <c r="M506" i="2"/>
  <c r="M982" i="2"/>
  <c r="M986" i="2"/>
  <c r="M990" i="2"/>
  <c r="M983" i="2"/>
  <c r="M988" i="2"/>
  <c r="M984" i="2"/>
  <c r="M989" i="2"/>
  <c r="M987" i="2"/>
  <c r="M980" i="2"/>
  <c r="M991" i="2"/>
  <c r="M981" i="2"/>
  <c r="M985" i="2"/>
  <c r="M291" i="2"/>
  <c r="M295" i="2"/>
  <c r="M299" i="2"/>
  <c r="M292" i="2"/>
  <c r="M296" i="2"/>
  <c r="M300" i="2"/>
  <c r="M290" i="2"/>
  <c r="M298" i="2"/>
  <c r="M297" i="2"/>
  <c r="M289" i="2"/>
  <c r="M293" i="2"/>
  <c r="M294" i="2"/>
  <c r="M496" i="2"/>
  <c r="M500" i="2"/>
  <c r="M504" i="2"/>
  <c r="M497" i="2"/>
  <c r="M502" i="2"/>
  <c r="M493" i="2"/>
  <c r="M498" i="2"/>
  <c r="M503" i="2"/>
  <c r="M499" i="2"/>
  <c r="M494" i="2"/>
  <c r="M501" i="2"/>
  <c r="M495" i="2"/>
  <c r="M63" i="2"/>
  <c r="M67" i="2"/>
  <c r="M71" i="2"/>
  <c r="M64" i="2"/>
  <c r="M68" i="2"/>
  <c r="M72" i="2"/>
  <c r="M61" i="2"/>
  <c r="M65" i="2"/>
  <c r="M69" i="2"/>
  <c r="M70" i="2"/>
  <c r="M62" i="2"/>
  <c r="M66" i="2"/>
  <c r="M1130" i="2"/>
  <c r="M1131" i="2"/>
  <c r="M99" i="2"/>
  <c r="M103" i="2"/>
  <c r="M107" i="2"/>
  <c r="M100" i="2"/>
  <c r="M104" i="2"/>
  <c r="M108" i="2"/>
  <c r="M97" i="2"/>
  <c r="M101" i="2"/>
  <c r="M105" i="2"/>
  <c r="M102" i="2"/>
  <c r="M98" i="2"/>
  <c r="M106" i="2"/>
  <c r="M219" i="2"/>
  <c r="M223" i="2"/>
  <c r="M227" i="2"/>
  <c r="M220" i="2"/>
  <c r="M224" i="2"/>
  <c r="M228" i="2"/>
  <c r="M217" i="2"/>
  <c r="M221" i="2"/>
  <c r="M225" i="2"/>
  <c r="M222" i="2"/>
  <c r="M226" i="2"/>
  <c r="M218" i="2"/>
  <c r="M900" i="2"/>
  <c r="M904" i="2"/>
  <c r="M908" i="2"/>
  <c r="M902" i="2"/>
  <c r="M907" i="2"/>
  <c r="M905" i="2"/>
  <c r="M911" i="2"/>
  <c r="M906" i="2"/>
  <c r="M910" i="2"/>
  <c r="M901" i="2"/>
  <c r="M903" i="2"/>
  <c r="M909" i="2"/>
  <c r="M1110" i="2"/>
  <c r="M1114" i="2"/>
  <c r="M1118" i="2"/>
  <c r="M1111" i="2"/>
  <c r="M1116" i="2"/>
  <c r="M1112" i="2"/>
  <c r="M1117" i="2"/>
  <c r="M1115" i="2"/>
  <c r="M1108" i="2"/>
  <c r="M1119" i="2"/>
  <c r="M1109" i="2"/>
  <c r="M1113" i="2"/>
  <c r="M668" i="2"/>
  <c r="M672" i="2"/>
  <c r="M676" i="2"/>
  <c r="M673" i="2"/>
  <c r="M678" i="2"/>
  <c r="M669" i="2"/>
  <c r="M674" i="2"/>
  <c r="M679" i="2"/>
  <c r="M670" i="2"/>
  <c r="M671" i="2"/>
  <c r="M677" i="2"/>
  <c r="M675" i="2"/>
  <c r="M748" i="2"/>
  <c r="M752" i="2"/>
  <c r="M756" i="2"/>
  <c r="M753" i="2"/>
  <c r="M758" i="2"/>
  <c r="M749" i="2"/>
  <c r="M755" i="2"/>
  <c r="M750" i="2"/>
  <c r="M757" i="2"/>
  <c r="M754" i="2"/>
  <c r="M759" i="2"/>
  <c r="M751" i="2"/>
  <c r="M556" i="2"/>
  <c r="M560" i="2"/>
  <c r="M564" i="2"/>
  <c r="M555" i="2"/>
  <c r="M561" i="2"/>
  <c r="M557" i="2"/>
  <c r="M562" i="2"/>
  <c r="M553" i="2"/>
  <c r="M563" i="2"/>
  <c r="M558" i="2"/>
  <c r="M554" i="2"/>
  <c r="M559" i="2"/>
  <c r="M207" i="2"/>
  <c r="M211" i="2"/>
  <c r="M215" i="2"/>
  <c r="M208" i="2"/>
  <c r="M212" i="2"/>
  <c r="M216" i="2"/>
  <c r="M205" i="2"/>
  <c r="M209" i="2"/>
  <c r="M213" i="2"/>
  <c r="M214" i="2"/>
  <c r="M206" i="2"/>
  <c r="M210" i="2"/>
  <c r="M792" i="2"/>
  <c r="M796" i="2"/>
  <c r="M795" i="2"/>
  <c r="M793" i="2"/>
  <c r="M797" i="2"/>
  <c r="M794" i="2"/>
  <c r="M75" i="2"/>
  <c r="M79" i="2"/>
  <c r="M83" i="2"/>
  <c r="M76" i="2"/>
  <c r="M80" i="2"/>
  <c r="M84" i="2"/>
  <c r="M73" i="2"/>
  <c r="M77" i="2"/>
  <c r="M81" i="2"/>
  <c r="M74" i="2"/>
  <c r="M78" i="2"/>
  <c r="M82" i="2"/>
  <c r="M734" i="2"/>
  <c r="M735" i="2"/>
  <c r="M1042" i="2"/>
  <c r="M1046" i="2"/>
  <c r="M1050" i="2"/>
  <c r="M1047" i="2"/>
  <c r="M1052" i="2"/>
  <c r="M1043" i="2"/>
  <c r="M1048" i="2"/>
  <c r="M1053" i="2"/>
  <c r="M1051" i="2"/>
  <c r="M1044" i="2"/>
  <c r="M1045" i="2"/>
  <c r="M1049" i="2"/>
  <c r="M876" i="2"/>
  <c r="M875" i="2"/>
  <c r="M877" i="2"/>
  <c r="M878" i="2"/>
  <c r="M874" i="2"/>
  <c r="M879" i="2"/>
  <c r="M352" i="2"/>
  <c r="M356" i="2"/>
  <c r="M360" i="2"/>
  <c r="M353" i="2"/>
  <c r="M358" i="2"/>
  <c r="M349" i="2"/>
  <c r="M354" i="2"/>
  <c r="M359" i="2"/>
  <c r="M350" i="2"/>
  <c r="M355" i="2"/>
  <c r="M351" i="2"/>
  <c r="M357" i="2"/>
  <c r="M472" i="2"/>
  <c r="M476" i="2"/>
  <c r="M480" i="2"/>
  <c r="M470" i="2"/>
  <c r="M475" i="2"/>
  <c r="M471" i="2"/>
  <c r="M477" i="2"/>
  <c r="M478" i="2"/>
  <c r="M473" i="2"/>
  <c r="M469" i="2"/>
  <c r="M479" i="2"/>
  <c r="M474" i="2"/>
  <c r="M1318" i="2"/>
  <c r="M1322" i="2"/>
  <c r="M1326" i="2"/>
  <c r="M1330" i="2"/>
  <c r="M1334" i="2"/>
  <c r="M1338" i="2"/>
  <c r="M1319" i="2"/>
  <c r="M1324" i="2"/>
  <c r="M1329" i="2"/>
  <c r="M1335" i="2"/>
  <c r="M1315" i="2"/>
  <c r="M1320" i="2"/>
  <c r="M1325" i="2"/>
  <c r="M1331" i="2"/>
  <c r="M1336" i="2"/>
  <c r="M1317" i="2"/>
  <c r="M1328" i="2"/>
  <c r="M1339" i="2"/>
  <c r="M1321" i="2"/>
  <c r="M1332" i="2"/>
  <c r="M1323" i="2"/>
  <c r="M1333" i="2"/>
  <c r="M1316" i="2"/>
  <c r="M1327" i="2"/>
  <c r="M1337" i="2"/>
  <c r="M612" i="2"/>
  <c r="M616" i="2"/>
  <c r="M620" i="2"/>
  <c r="M609" i="2"/>
  <c r="M614" i="2"/>
  <c r="M619" i="2"/>
  <c r="M610" i="2"/>
  <c r="M615" i="2"/>
  <c r="M617" i="2"/>
  <c r="M618" i="2"/>
  <c r="M613" i="2"/>
  <c r="M611" i="2"/>
  <c r="M532" i="2"/>
  <c r="M536" i="2"/>
  <c r="M540" i="2"/>
  <c r="M529" i="2"/>
  <c r="M534" i="2"/>
  <c r="M539" i="2"/>
  <c r="M530" i="2"/>
  <c r="M535" i="2"/>
  <c r="M531" i="2"/>
  <c r="M537" i="2"/>
  <c r="M533" i="2"/>
  <c r="M538" i="2"/>
  <c r="M998" i="2"/>
  <c r="M1002" i="2"/>
  <c r="M1006" i="2"/>
  <c r="M999" i="2"/>
  <c r="M1004" i="2"/>
  <c r="M1000" i="2"/>
  <c r="M1005" i="2"/>
  <c r="M997" i="2"/>
  <c r="M1008" i="2"/>
  <c r="M1001" i="2"/>
  <c r="M1003" i="2"/>
  <c r="M1007" i="2"/>
  <c r="M760" i="2"/>
  <c r="M764" i="2"/>
  <c r="M768" i="2"/>
  <c r="M763" i="2"/>
  <c r="M769" i="2"/>
  <c r="M762" i="2"/>
  <c r="M765" i="2"/>
  <c r="M767" i="2"/>
  <c r="M761" i="2"/>
  <c r="M766" i="2"/>
  <c r="M954" i="2"/>
  <c r="M951" i="2"/>
  <c r="M952" i="2"/>
  <c r="M955" i="2"/>
  <c r="M953" i="2"/>
  <c r="M816" i="2"/>
  <c r="M820" i="2"/>
  <c r="M824" i="2"/>
  <c r="M817" i="2"/>
  <c r="M822" i="2"/>
  <c r="M819" i="2"/>
  <c r="M814" i="2"/>
  <c r="M821" i="2"/>
  <c r="M825" i="2"/>
  <c r="M815" i="2"/>
  <c r="M818" i="2"/>
  <c r="M823" i="2"/>
  <c r="M974" i="2"/>
  <c r="M978" i="2"/>
  <c r="M977" i="2"/>
  <c r="M979" i="2"/>
  <c r="M976" i="2"/>
  <c r="M975" i="2"/>
  <c r="M1154" i="2"/>
  <c r="M1158" i="2"/>
  <c r="M1162" i="2"/>
  <c r="M1159" i="2"/>
  <c r="M1164" i="2"/>
  <c r="M1155" i="2"/>
  <c r="M1160" i="2"/>
  <c r="M1165" i="2"/>
  <c r="M1157" i="2"/>
  <c r="M1161" i="2"/>
  <c r="M1163" i="2"/>
  <c r="M1156" i="2"/>
  <c r="M1234" i="2"/>
  <c r="M1238" i="2"/>
  <c r="M1242" i="2"/>
  <c r="M1246" i="2"/>
  <c r="M1233" i="2"/>
  <c r="M1239" i="2"/>
  <c r="M1244" i="2"/>
  <c r="M1235" i="2"/>
  <c r="M1240" i="2"/>
  <c r="M1245" i="2"/>
  <c r="M1232" i="2"/>
  <c r="M1243" i="2"/>
  <c r="M1236" i="2"/>
  <c r="M1237" i="2"/>
  <c r="M1231" i="2"/>
  <c r="M1241" i="2"/>
  <c r="M460" i="2"/>
  <c r="M464" i="2"/>
  <c r="M468" i="2"/>
  <c r="M459" i="2"/>
  <c r="M465" i="2"/>
  <c r="M461" i="2"/>
  <c r="M466" i="2"/>
  <c r="M457" i="2"/>
  <c r="M467" i="2"/>
  <c r="M458" i="2"/>
  <c r="M462" i="2"/>
  <c r="M463" i="2"/>
  <c r="M880" i="2"/>
  <c r="M884" i="2"/>
  <c r="M888" i="2"/>
  <c r="M881" i="2"/>
  <c r="M886" i="2"/>
  <c r="M891" i="2"/>
  <c r="M883" i="2"/>
  <c r="M890" i="2"/>
  <c r="M885" i="2"/>
  <c r="M882" i="2"/>
  <c r="M887" i="2"/>
  <c r="M889" i="2"/>
  <c r="M327" i="2"/>
  <c r="M331" i="2"/>
  <c r="M335" i="2"/>
  <c r="M329" i="2"/>
  <c r="M334" i="2"/>
  <c r="M328" i="2"/>
  <c r="M336" i="2"/>
  <c r="M330" i="2"/>
  <c r="M325" i="2"/>
  <c r="M332" i="2"/>
  <c r="M326" i="2"/>
  <c r="M333" i="2"/>
  <c r="M231" i="2"/>
  <c r="M235" i="2"/>
  <c r="M239" i="2"/>
  <c r="M232" i="2"/>
  <c r="M236" i="2"/>
  <c r="M240" i="2"/>
  <c r="M229" i="2"/>
  <c r="M233" i="2"/>
  <c r="M237" i="2"/>
  <c r="M230" i="2"/>
  <c r="M234" i="2"/>
  <c r="M238" i="2"/>
  <c r="M832" i="2"/>
  <c r="M836" i="2"/>
  <c r="M833" i="2"/>
  <c r="M834" i="2"/>
  <c r="M835" i="2"/>
  <c r="M837" i="2"/>
  <c r="M1122" i="2"/>
  <c r="M1126" i="2"/>
  <c r="M1121" i="2"/>
  <c r="M1127" i="2"/>
  <c r="M1123" i="2"/>
  <c r="M1128" i="2"/>
  <c r="M1125" i="2"/>
  <c r="M1129" i="2"/>
  <c r="M1120" i="2"/>
  <c r="M1124" i="2"/>
  <c r="M3" i="2"/>
  <c r="M7" i="2"/>
  <c r="M11" i="2"/>
  <c r="M4" i="2"/>
  <c r="M8" i="2"/>
  <c r="M12" i="2"/>
  <c r="M5" i="2"/>
  <c r="M9" i="2"/>
  <c r="M6" i="2"/>
  <c r="M10" i="2"/>
  <c r="M2" i="2"/>
  <c r="M1302" i="2"/>
  <c r="M1306" i="2"/>
  <c r="M1346" i="2"/>
  <c r="M1303" i="2"/>
  <c r="M1304" i="2"/>
  <c r="M1347" i="2"/>
  <c r="M1301" i="2"/>
  <c r="M1305" i="2"/>
  <c r="M1348" i="2"/>
  <c r="M51" i="2"/>
  <c r="M55" i="2"/>
  <c r="M59" i="2"/>
  <c r="M52" i="2"/>
  <c r="M56" i="2"/>
  <c r="M60" i="2"/>
  <c r="M49" i="2"/>
  <c r="M53" i="2"/>
  <c r="M57" i="2"/>
  <c r="M54" i="2"/>
  <c r="M50" i="2"/>
  <c r="M58" i="2"/>
  <c r="M624" i="2"/>
  <c r="M628" i="2"/>
  <c r="M632" i="2"/>
  <c r="M625" i="2"/>
  <c r="M630" i="2"/>
  <c r="M621" i="2"/>
  <c r="M626" i="2"/>
  <c r="M631" i="2"/>
  <c r="M627" i="2"/>
  <c r="M629" i="2"/>
  <c r="M622" i="2"/>
  <c r="M623" i="2"/>
  <c r="M111" i="2"/>
  <c r="M115" i="2"/>
  <c r="M119" i="2"/>
  <c r="M112" i="2"/>
  <c r="M116" i="2"/>
  <c r="M120" i="2"/>
  <c r="M109" i="2"/>
  <c r="M113" i="2"/>
  <c r="M117" i="2"/>
  <c r="M118" i="2"/>
  <c r="M114" i="2"/>
  <c r="M110" i="2"/>
  <c r="M912" i="2"/>
  <c r="M916" i="2"/>
  <c r="M913" i="2"/>
  <c r="M918" i="2"/>
  <c r="M922" i="2"/>
  <c r="M919" i="2"/>
  <c r="M914" i="2"/>
  <c r="M920" i="2"/>
  <c r="M923" i="2"/>
  <c r="M915" i="2"/>
  <c r="M917" i="2"/>
  <c r="M921" i="2"/>
  <c r="M1134" i="2"/>
  <c r="M1138" i="2"/>
  <c r="M1132" i="2"/>
  <c r="M1137" i="2"/>
  <c r="M1133" i="2"/>
  <c r="M1139" i="2"/>
  <c r="M1136" i="2"/>
  <c r="M1140" i="2"/>
  <c r="M1141" i="2"/>
  <c r="M1135" i="2"/>
  <c r="M1030" i="2"/>
  <c r="M1034" i="2"/>
  <c r="M1038" i="2"/>
  <c r="M1031" i="2"/>
  <c r="M1036" i="2"/>
  <c r="M1041" i="2"/>
  <c r="M1032" i="2"/>
  <c r="M1037" i="2"/>
  <c r="M1040" i="2"/>
  <c r="M1033" i="2"/>
  <c r="M1035" i="2"/>
  <c r="M1039" i="2"/>
  <c r="M171" i="2"/>
  <c r="M175" i="2"/>
  <c r="M179" i="2"/>
  <c r="M172" i="2"/>
  <c r="M176" i="2"/>
  <c r="M180" i="2"/>
  <c r="M169" i="2"/>
  <c r="M173" i="2"/>
  <c r="M177" i="2"/>
  <c r="M178" i="2"/>
  <c r="M170" i="2"/>
  <c r="M174" i="2"/>
  <c r="M812" i="2"/>
  <c r="M811" i="2"/>
  <c r="M813" i="2"/>
  <c r="M810" i="2"/>
  <c r="M809" i="2"/>
  <c r="M856" i="2"/>
  <c r="M860" i="2"/>
  <c r="M864" i="2"/>
  <c r="M854" i="2"/>
  <c r="M859" i="2"/>
  <c r="M865" i="2"/>
  <c r="M855" i="2"/>
  <c r="M862" i="2"/>
  <c r="M857" i="2"/>
  <c r="M863" i="2"/>
  <c r="M858" i="2"/>
  <c r="M861" i="2"/>
  <c r="M376" i="2"/>
  <c r="M380" i="2"/>
  <c r="M384" i="2"/>
  <c r="M374" i="2"/>
  <c r="M379" i="2"/>
  <c r="M375" i="2"/>
  <c r="M381" i="2"/>
  <c r="M382" i="2"/>
  <c r="M377" i="2"/>
  <c r="M373" i="2"/>
  <c r="M383" i="2"/>
  <c r="M378" i="2"/>
  <c r="M39" i="2"/>
  <c r="M43" i="2"/>
  <c r="M47" i="2"/>
  <c r="M40" i="2"/>
  <c r="M44" i="2"/>
  <c r="M48" i="2"/>
  <c r="M37" i="2"/>
  <c r="M41" i="2"/>
  <c r="M45" i="2"/>
  <c r="M38" i="2"/>
  <c r="M42" i="2"/>
  <c r="M46" i="2"/>
  <c r="M596" i="2"/>
  <c r="M594" i="2"/>
  <c r="M595" i="2"/>
  <c r="M588" i="2"/>
  <c r="M592" i="2"/>
  <c r="M593" i="2"/>
  <c r="M589" i="2"/>
  <c r="M591" i="2"/>
  <c r="M590" i="2"/>
  <c r="M243" i="2"/>
  <c r="M247" i="2"/>
  <c r="M251" i="2"/>
  <c r="M244" i="2"/>
  <c r="M248" i="2"/>
  <c r="M252" i="2"/>
  <c r="M241" i="2"/>
  <c r="M245" i="2"/>
  <c r="M249" i="2"/>
  <c r="M246" i="2"/>
  <c r="M242" i="2"/>
  <c r="M250" i="2"/>
  <c r="M484" i="2"/>
  <c r="M488" i="2"/>
  <c r="M492" i="2"/>
  <c r="M481" i="2"/>
  <c r="M486" i="2"/>
  <c r="M491" i="2"/>
  <c r="M482" i="2"/>
  <c r="M487" i="2"/>
  <c r="M489" i="2"/>
  <c r="M490" i="2"/>
  <c r="M483" i="2"/>
  <c r="M485" i="2"/>
  <c r="M147" i="2"/>
  <c r="M151" i="2"/>
  <c r="M155" i="2"/>
  <c r="M148" i="2"/>
  <c r="M152" i="2"/>
  <c r="M156" i="2"/>
  <c r="M145" i="2"/>
  <c r="M149" i="2"/>
  <c r="M153" i="2"/>
  <c r="M150" i="2"/>
  <c r="M146" i="2"/>
  <c r="M154" i="2"/>
  <c r="M1142" i="2"/>
  <c r="M1146" i="2"/>
  <c r="M1150" i="2"/>
  <c r="M1143" i="2"/>
  <c r="M1148" i="2"/>
  <c r="M1153" i="2"/>
  <c r="M1144" i="2"/>
  <c r="M1149" i="2"/>
  <c r="M1147" i="2"/>
  <c r="M1151" i="2"/>
  <c r="M1152" i="2"/>
  <c r="M1145" i="2"/>
  <c r="M692" i="2"/>
  <c r="M696" i="2"/>
  <c r="M694" i="2"/>
  <c r="M693" i="2"/>
  <c r="M697" i="2"/>
  <c r="M695" i="2"/>
  <c r="M1018" i="2"/>
  <c r="M1022" i="2"/>
  <c r="M1026" i="2"/>
  <c r="M1020" i="2"/>
  <c r="M1025" i="2"/>
  <c r="M1021" i="2"/>
  <c r="M1027" i="2"/>
  <c r="M1019" i="2"/>
  <c r="M1029" i="2"/>
  <c r="M1023" i="2"/>
  <c r="M1024" i="2"/>
  <c r="M1028" i="2"/>
  <c r="M788" i="2"/>
  <c r="M789" i="2"/>
  <c r="M520" i="2"/>
  <c r="M524" i="2"/>
  <c r="M528" i="2"/>
  <c r="M518" i="2"/>
  <c r="M523" i="2"/>
  <c r="M519" i="2"/>
  <c r="M525" i="2"/>
  <c r="M521" i="2"/>
  <c r="M522" i="2"/>
  <c r="M526" i="2"/>
  <c r="M517" i="2"/>
  <c r="M527" i="2"/>
  <c r="M183" i="2"/>
  <c r="M187" i="2"/>
  <c r="M191" i="2"/>
  <c r="M184" i="2"/>
  <c r="M188" i="2"/>
  <c r="M192" i="2"/>
  <c r="M181" i="2"/>
  <c r="M185" i="2"/>
  <c r="M189" i="2"/>
  <c r="M182" i="2"/>
  <c r="M186" i="2"/>
  <c r="M190" i="2"/>
  <c r="M648" i="2"/>
  <c r="M652" i="2"/>
  <c r="M646" i="2"/>
  <c r="M651" i="2"/>
  <c r="M647" i="2"/>
  <c r="M653" i="2"/>
  <c r="M649" i="2"/>
  <c r="M650" i="2"/>
  <c r="M655" i="2"/>
  <c r="M645" i="2"/>
  <c r="M654" i="2"/>
  <c r="M303" i="2"/>
  <c r="M307" i="2"/>
  <c r="M311" i="2"/>
  <c r="M304" i="2"/>
  <c r="M308" i="2"/>
  <c r="M312" i="2"/>
  <c r="M306" i="2"/>
  <c r="M309" i="2"/>
  <c r="M301" i="2"/>
  <c r="M310" i="2"/>
  <c r="M302" i="2"/>
  <c r="M305" i="2"/>
  <c r="M1010" i="2"/>
  <c r="M1009" i="2"/>
  <c r="M1011" i="2"/>
  <c r="M828" i="2"/>
  <c r="M827" i="2"/>
  <c r="M826" i="2"/>
  <c r="M829" i="2"/>
  <c r="M830" i="2"/>
  <c r="M831" i="2"/>
  <c r="M724" i="2"/>
  <c r="M728" i="2"/>
  <c r="M732" i="2"/>
  <c r="M726" i="2"/>
  <c r="M731" i="2"/>
  <c r="M727" i="2"/>
  <c r="M722" i="2"/>
  <c r="M729" i="2"/>
  <c r="M725" i="2"/>
  <c r="M730" i="2"/>
  <c r="M733" i="2"/>
  <c r="M723" i="2"/>
  <c r="M364" i="2"/>
  <c r="M368" i="2"/>
  <c r="M372" i="2"/>
  <c r="M363" i="2"/>
  <c r="M369" i="2"/>
  <c r="M365" i="2"/>
  <c r="M370" i="2"/>
  <c r="M361" i="2"/>
  <c r="M371" i="2"/>
  <c r="M362" i="2"/>
  <c r="M366" i="2"/>
  <c r="M367" i="2"/>
  <c r="M27" i="2"/>
  <c r="M31" i="2"/>
  <c r="M35" i="2"/>
  <c r="M28" i="2"/>
  <c r="M32" i="2"/>
  <c r="M36" i="2"/>
  <c r="M25" i="2"/>
  <c r="M29" i="2"/>
  <c r="M33" i="2"/>
  <c r="M30" i="2"/>
  <c r="M34" i="2"/>
  <c r="M26" i="2"/>
  <c r="M712" i="2"/>
  <c r="M716" i="2"/>
  <c r="M720" i="2"/>
  <c r="M710" i="2"/>
  <c r="M715" i="2"/>
  <c r="M721" i="2"/>
  <c r="M713" i="2"/>
  <c r="M719" i="2"/>
  <c r="M714" i="2"/>
  <c r="M711" i="2"/>
  <c r="M717" i="2"/>
  <c r="M718" i="2"/>
  <c r="M656" i="2"/>
  <c r="M660" i="2"/>
  <c r="M664" i="2"/>
  <c r="M657" i="2"/>
  <c r="M662" i="2"/>
  <c r="M667" i="2"/>
  <c r="M658" i="2"/>
  <c r="M663" i="2"/>
  <c r="M659" i="2"/>
  <c r="M661" i="2"/>
  <c r="M665" i="2"/>
  <c r="M666" i="2"/>
  <c r="M1078" i="2"/>
  <c r="M1082" i="2"/>
  <c r="M1079" i="2"/>
  <c r="M1084" i="2"/>
  <c r="M1080" i="2"/>
  <c r="M1085" i="2"/>
  <c r="M1083" i="2"/>
  <c r="M1076" i="2"/>
  <c r="M1077" i="2"/>
  <c r="M1081" i="2"/>
  <c r="M1206" i="2"/>
  <c r="M1207" i="2"/>
  <c r="M1203" i="2"/>
  <c r="M1208" i="2"/>
  <c r="M1204" i="2"/>
  <c r="M1205" i="2"/>
  <c r="M994" i="2"/>
  <c r="M993" i="2"/>
  <c r="M995" i="2"/>
  <c r="M992" i="2"/>
  <c r="M996" i="2"/>
  <c r="M424" i="2"/>
  <c r="M428" i="2"/>
  <c r="M432" i="2"/>
  <c r="M422" i="2"/>
  <c r="M427" i="2"/>
  <c r="M423" i="2"/>
  <c r="M429" i="2"/>
  <c r="M425" i="2"/>
  <c r="M430" i="2"/>
  <c r="M426" i="2"/>
  <c r="M431" i="2"/>
  <c r="M421" i="2"/>
  <c r="M87" i="2"/>
  <c r="M91" i="2"/>
  <c r="M95" i="2"/>
  <c r="M88" i="2"/>
  <c r="M92" i="2"/>
  <c r="M96" i="2"/>
  <c r="M85" i="2"/>
  <c r="M89" i="2"/>
  <c r="M93" i="2"/>
  <c r="M86" i="2"/>
  <c r="M94" i="2"/>
  <c r="M90" i="2"/>
  <c r="M950" i="2"/>
  <c r="M1340" i="2"/>
  <c r="M1341" i="2"/>
  <c r="M949" i="2"/>
  <c r="M700" i="2"/>
  <c r="M704" i="2"/>
  <c r="M708" i="2"/>
  <c r="M699" i="2"/>
  <c r="M705" i="2"/>
  <c r="M698" i="2"/>
  <c r="M706" i="2"/>
  <c r="M701" i="2"/>
  <c r="M707" i="2"/>
  <c r="M702" i="2"/>
  <c r="M703" i="2"/>
  <c r="M709" i="2"/>
  <c r="M800" i="2"/>
  <c r="M804" i="2"/>
  <c r="M808" i="2"/>
  <c r="M801" i="2"/>
  <c r="M806" i="2"/>
  <c r="M798" i="2"/>
  <c r="M805" i="2"/>
  <c r="M799" i="2"/>
  <c r="M807" i="2"/>
  <c r="M802" i="2"/>
  <c r="M1250" i="2"/>
  <c r="M1254" i="2"/>
  <c r="M1258" i="2"/>
  <c r="M1249" i="2"/>
  <c r="M1255" i="2"/>
  <c r="M1251" i="2"/>
  <c r="M1256" i="2"/>
  <c r="M1253" i="2"/>
  <c r="M1247" i="2"/>
  <c r="M1257" i="2"/>
  <c r="M1248" i="2"/>
  <c r="M1252" i="2"/>
  <c r="M636" i="2"/>
  <c r="M640" i="2"/>
  <c r="M644" i="2"/>
  <c r="M635" i="2"/>
  <c r="M641" i="2"/>
  <c r="M637" i="2"/>
  <c r="M642" i="2"/>
  <c r="M638" i="2"/>
  <c r="M639" i="2"/>
  <c r="M634" i="2"/>
  <c r="M643" i="2"/>
  <c r="M633" i="2"/>
  <c r="M840" i="2"/>
  <c r="M838" i="2"/>
  <c r="M841" i="2"/>
  <c r="M839" i="2"/>
  <c r="M400" i="2"/>
  <c r="M404" i="2"/>
  <c r="M408" i="2"/>
  <c r="M401" i="2"/>
  <c r="M406" i="2"/>
  <c r="M397" i="2"/>
  <c r="M402" i="2"/>
  <c r="M407" i="2"/>
  <c r="M403" i="2"/>
  <c r="M398" i="2"/>
  <c r="M405" i="2"/>
  <c r="M399" i="2"/>
  <c r="M784" i="2"/>
  <c r="M785" i="2"/>
  <c r="M783" i="2"/>
  <c r="M786" i="2"/>
  <c r="M782" i="2"/>
  <c r="M787" i="2"/>
  <c r="M568" i="2"/>
  <c r="M572" i="2"/>
  <c r="M566" i="2"/>
  <c r="M571" i="2"/>
  <c r="M567" i="2"/>
  <c r="M573" i="2"/>
  <c r="M574" i="2"/>
  <c r="M565" i="2"/>
  <c r="M575" i="2"/>
  <c r="M569" i="2"/>
  <c r="M570" i="2"/>
  <c r="M803" i="2"/>
  <c r="M1186" i="2"/>
  <c r="M1190" i="2"/>
  <c r="M1185" i="2"/>
  <c r="M1191" i="2"/>
  <c r="M1187" i="2"/>
  <c r="M1192" i="2"/>
  <c r="M1189" i="2"/>
  <c r="M1193" i="2"/>
  <c r="M1184" i="2"/>
  <c r="M1188" i="2"/>
  <c r="M772" i="2"/>
  <c r="M776" i="2"/>
  <c r="M780" i="2"/>
  <c r="M774" i="2"/>
  <c r="M779" i="2"/>
  <c r="M770" i="2"/>
  <c r="M777" i="2"/>
  <c r="M771" i="2"/>
  <c r="M778" i="2"/>
  <c r="M773" i="2"/>
  <c r="M775" i="2"/>
  <c r="M781" i="2"/>
  <c r="M1098" i="2"/>
  <c r="M1102" i="2"/>
  <c r="M1106" i="2"/>
  <c r="M1100" i="2"/>
  <c r="M1105" i="2"/>
  <c r="M1101" i="2"/>
  <c r="M1107" i="2"/>
  <c r="M1104" i="2"/>
  <c r="M1099" i="2"/>
  <c r="M1103" i="2"/>
  <c r="M1198" i="2"/>
  <c r="M1202" i="2"/>
  <c r="M1201" i="2"/>
  <c r="M1200" i="2"/>
  <c r="M1199" i="2"/>
  <c r="M339" i="2"/>
  <c r="M340" i="2"/>
  <c r="M344" i="2"/>
  <c r="M348" i="2"/>
  <c r="M342" i="2"/>
  <c r="M347" i="2"/>
  <c r="M337" i="2"/>
  <c r="M343" i="2"/>
  <c r="M338" i="2"/>
  <c r="M341" i="2"/>
  <c r="M345" i="2"/>
  <c r="M346" i="2"/>
  <c r="M1342" i="2"/>
  <c r="M867" i="2"/>
  <c r="M866" i="2"/>
  <c r="M1262" i="2"/>
  <c r="M1260" i="2"/>
  <c r="M1261" i="2"/>
  <c r="M1264" i="2"/>
  <c r="M1259" i="2"/>
  <c r="M1263" i="2"/>
  <c r="M844" i="2"/>
  <c r="M848" i="2"/>
  <c r="M852" i="2"/>
  <c r="M843" i="2"/>
  <c r="M849" i="2"/>
  <c r="M847" i="2"/>
  <c r="M842" i="2"/>
  <c r="M850" i="2"/>
  <c r="M853" i="2"/>
  <c r="M845" i="2"/>
  <c r="M846" i="2"/>
  <c r="M851" i="2"/>
</calcChain>
</file>

<file path=xl/comments1.xml><?xml version="1.0" encoding="utf-8"?>
<comments xmlns="http://schemas.openxmlformats.org/spreadsheetml/2006/main">
  <authors>
    <author>tc={BB5DA368-EED2-4547-8826-B8683BBA12F6}</author>
    <author>tc={1FAB2F44-2E45-5E4B-B054-C8DECEF20965}</author>
  </authors>
  <commentList>
    <comment ref="E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Code based on subject instead of course name</t>
        </r>
      </text>
    </comment>
    <comment ref="H1" authorId="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moet nog aangepast worden</t>
        </r>
      </text>
    </comment>
  </commentList>
</comments>
</file>

<file path=xl/sharedStrings.xml><?xml version="1.0" encoding="utf-8"?>
<sst xmlns="http://schemas.openxmlformats.org/spreadsheetml/2006/main" count="2972" uniqueCount="103">
  <si>
    <t>ID</t>
  </si>
  <si>
    <t>CourseID</t>
  </si>
  <si>
    <t>Number</t>
  </si>
  <si>
    <t>SpecificationAbb</t>
  </si>
  <si>
    <t>Code2</t>
  </si>
  <si>
    <t>Alias__</t>
  </si>
  <si>
    <t>Subject</t>
  </si>
  <si>
    <t>Edition</t>
  </si>
  <si>
    <t>EditionOrder</t>
  </si>
  <si>
    <t>Year</t>
  </si>
  <si>
    <t>Type</t>
  </si>
  <si>
    <t>SubjectGroupID__</t>
  </si>
  <si>
    <t>StarValue</t>
  </si>
  <si>
    <t>RR</t>
  </si>
  <si>
    <t>PT</t>
  </si>
  <si>
    <t>MA</t>
  </si>
  <si>
    <t>EN</t>
  </si>
  <si>
    <t>WB</t>
  </si>
  <si>
    <t>LC</t>
  </si>
  <si>
    <t>SC</t>
  </si>
  <si>
    <t>SS</t>
  </si>
  <si>
    <t>BR</t>
  </si>
  <si>
    <t>BA</t>
  </si>
  <si>
    <t>SI</t>
  </si>
  <si>
    <t>GM</t>
  </si>
  <si>
    <t>ES</t>
  </si>
  <si>
    <t>UK</t>
  </si>
  <si>
    <t>WH</t>
  </si>
  <si>
    <t>AL</t>
  </si>
  <si>
    <t>FR</t>
  </si>
  <si>
    <t>RS</t>
  </si>
  <si>
    <t>AA</t>
  </si>
  <si>
    <t>CA</t>
  </si>
  <si>
    <t>ET</t>
  </si>
  <si>
    <t>MU</t>
  </si>
  <si>
    <t>MT</t>
  </si>
  <si>
    <t>SP</t>
  </si>
  <si>
    <t>I9</t>
  </si>
  <si>
    <t>AS</t>
  </si>
  <si>
    <t>BI</t>
  </si>
  <si>
    <t>HE</t>
  </si>
  <si>
    <t>NS</t>
  </si>
  <si>
    <t>WG</t>
  </si>
  <si>
    <t>APv2</t>
  </si>
  <si>
    <t>heeft toets (1 star) en essay (2 stars). Deze regel staat voor de toets</t>
  </si>
  <si>
    <t>Deze heeft ook drie sterren, voor één PACE?</t>
  </si>
  <si>
    <t>AP</t>
  </si>
  <si>
    <t>Apologetics I-A</t>
  </si>
  <si>
    <t>Apologetics I-B</t>
  </si>
  <si>
    <t>6 sterren verdeeld over vier PACEs, vandaar om en om 1 en 2 sterren.</t>
  </si>
  <si>
    <t>MI</t>
  </si>
  <si>
    <t>SL</t>
  </si>
  <si>
    <t>ED</t>
  </si>
  <si>
    <t>GE</t>
  </si>
  <si>
    <t>PS</t>
  </si>
  <si>
    <t>HC</t>
  </si>
  <si>
    <t>CC</t>
  </si>
  <si>
    <t>OT</t>
  </si>
  <si>
    <t>AM</t>
  </si>
  <si>
    <t>BL</t>
  </si>
  <si>
    <t>I1</t>
  </si>
  <si>
    <t>GR</t>
  </si>
  <si>
    <t>CH</t>
  </si>
  <si>
    <t>NC</t>
  </si>
  <si>
    <t>AC</t>
  </si>
  <si>
    <t>CM</t>
  </si>
  <si>
    <t>HM</t>
  </si>
  <si>
    <t>TR</t>
  </si>
  <si>
    <t>EC</t>
  </si>
  <si>
    <t>CP</t>
  </si>
  <si>
    <t>PH</t>
  </si>
  <si>
    <t>AH</t>
  </si>
  <si>
    <t>CE</t>
  </si>
  <si>
    <t>CO</t>
  </si>
  <si>
    <t>UC</t>
  </si>
  <si>
    <t>CG</t>
  </si>
  <si>
    <t>IB</t>
  </si>
  <si>
    <t>US</t>
  </si>
  <si>
    <t>LI</t>
  </si>
  <si>
    <t xml:space="preserve">Did Man Just Happen? Deprecated. </t>
  </si>
  <si>
    <t>AEE Physical Science</t>
  </si>
  <si>
    <t>ICT</t>
  </si>
  <si>
    <t>ICT Digital Savvy</t>
  </si>
  <si>
    <t>1E</t>
  </si>
  <si>
    <t>heeft toets (1 star) en essay (2 stars). Deze regel staat voor het essay</t>
  </si>
  <si>
    <t>97E</t>
  </si>
  <si>
    <t>heeft toets (1 star) en essay (2 stars). ?</t>
  </si>
  <si>
    <t>Poetry 1</t>
  </si>
  <si>
    <t>Poetry 2</t>
  </si>
  <si>
    <t>After the Flood</t>
  </si>
  <si>
    <t>Revision</t>
  </si>
  <si>
    <t>InStock</t>
  </si>
  <si>
    <t>NA</t>
  </si>
  <si>
    <t>EG</t>
  </si>
  <si>
    <t>Remark</t>
  </si>
  <si>
    <t>PACE + Activity Pac</t>
  </si>
  <si>
    <t>Activity Pac only</t>
  </si>
  <si>
    <t>BC</t>
  </si>
  <si>
    <t>COTS</t>
  </si>
  <si>
    <t>Renumbered in 2022 to "10"</t>
  </si>
  <si>
    <t>10a</t>
  </si>
  <si>
    <t>Activity Book</t>
  </si>
  <si>
    <t>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</si>
</sst>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1" fillId="2" borderId="0" xfId="0" applyFont="1" applyFill="1"/>
    <xf numFmtId="0" fontId="1" fillId="3" borderId="0" xfId="0" applyFont="1" applyFill="1"/>
    <xf numFmtId="0" fontId="2" fillId="0" borderId="0" xfId="1" applyAlignment="1">
      <alignment wrapText="1"/>
    </xf>
    <xf numFmtId="0" fontId="0" fillId="0" borderId="0" xfId="0" applyFill="1"/>
    <xf numFmtId="0" fontId="0" fillId="4" borderId="0" xfId="0" applyFill="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ares"/>
      <sheetName val="Progress"/>
      <sheetName val="State"/>
      <sheetName val="Person"/>
      <sheetName val="Transaction"/>
      <sheetName val="Denomination"/>
      <sheetName val="Language"/>
      <sheetName val="Address"/>
      <sheetName val="Date"/>
      <sheetName val="Grade"/>
      <sheetName val="Class"/>
      <sheetName val="SubjectGroup"/>
      <sheetName val="Subject"/>
      <sheetName val="ICCE_Certificate"/>
      <sheetName val="Enrollment"/>
      <sheetName val="Course"/>
      <sheetName val="PaceCourse"/>
      <sheetName val="PACE"/>
      <sheetName val="Links"/>
      <sheetName val="CourseWorkICCE_Certificate"/>
      <sheetName val="EnrollmentCourses__"/>
      <sheetName val="PaceUnitResult"/>
      <sheetName val="OtherCourse"/>
      <sheetName val="OtherCourseUnit"/>
      <sheetName val="OtherUnitResults"/>
      <sheetName val="RecurringCourse"/>
      <sheetName val="RecurringResult"/>
      <sheetName val="DutchCourse"/>
      <sheetName val="DutchCourseUnits"/>
      <sheetName val="DutchUnitResults"/>
      <sheetName val="SubjectCourseEnrolment"/>
      <sheetName val="ExtraCurCourseEnrolment"/>
      <sheetName val="DutchCourseEnrolment"/>
      <sheetName val="Term"/>
      <sheetName val="Y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t="str">
            <v>ID</v>
          </cell>
          <cell r="B1" t="str">
            <v>Name</v>
          </cell>
          <cell r="C1" t="str">
            <v>Alias</v>
          </cell>
          <cell r="D1" t="str">
            <v>ICCE-Alias</v>
          </cell>
          <cell r="E1" t="str">
            <v>Level</v>
          </cell>
          <cell r="F1" t="str">
            <v>PaceNrStart</v>
          </cell>
          <cell r="G1" t="str">
            <v>PaceNrEnd</v>
          </cell>
          <cell r="H1" t="str">
            <v>PaceCount__</v>
          </cell>
          <cell r="I1" t="str">
            <v>StarValue</v>
          </cell>
          <cell r="J1" t="str">
            <v>SubjectID</v>
          </cell>
          <cell r="K1" t="str">
            <v>Subject_temp</v>
          </cell>
          <cell r="L1" t="str">
            <v>SubjectAbb</v>
          </cell>
          <cell r="M1" t="str">
            <v>Remarks</v>
          </cell>
          <cell r="N1" t="str">
            <v>Specification</v>
          </cell>
          <cell r="O1" t="str">
            <v>SubjectGroupID</v>
          </cell>
        </row>
        <row r="2">
          <cell r="A2">
            <v>1</v>
          </cell>
          <cell r="C2" t="str">
            <v>Maths Reading Readiness</v>
          </cell>
          <cell r="E2">
            <v>0</v>
          </cell>
          <cell r="F2">
            <v>1</v>
          </cell>
          <cell r="G2">
            <v>12</v>
          </cell>
          <cell r="H2">
            <v>12</v>
          </cell>
          <cell r="I2">
            <v>12</v>
          </cell>
          <cell r="J2">
            <v>1</v>
          </cell>
          <cell r="K2" t="str">
            <v>Maths</v>
          </cell>
          <cell r="L2" t="str">
            <v>MA</v>
          </cell>
          <cell r="N2" t="str">
            <v>RR</v>
          </cell>
          <cell r="O2">
            <v>2</v>
          </cell>
          <cell r="P2" t="str">
            <v>Core Academic Studies</v>
          </cell>
          <cell r="Q2" t="str">
            <v>Core</v>
          </cell>
          <cell r="R2" t="str">
            <v>Maths Reading Readiness</v>
          </cell>
        </row>
        <row r="3">
          <cell r="A3">
            <v>2</v>
          </cell>
          <cell r="C3" t="str">
            <v>Maths Level 1</v>
          </cell>
          <cell r="E3">
            <v>1</v>
          </cell>
          <cell r="F3">
            <v>1</v>
          </cell>
          <cell r="G3">
            <v>12</v>
          </cell>
          <cell r="H3">
            <v>12</v>
          </cell>
          <cell r="I3">
            <v>12</v>
          </cell>
          <cell r="J3">
            <v>1</v>
          </cell>
          <cell r="K3" t="str">
            <v>Maths</v>
          </cell>
          <cell r="L3" t="str">
            <v>MA</v>
          </cell>
          <cell r="N3" t="str">
            <v>MA</v>
          </cell>
          <cell r="O3">
            <v>2</v>
          </cell>
          <cell r="P3" t="str">
            <v>Core Academic Studies</v>
          </cell>
          <cell r="Q3" t="str">
            <v>Core</v>
          </cell>
          <cell r="R3" t="str">
            <v>Maths Level 1</v>
          </cell>
        </row>
        <row r="4">
          <cell r="A4">
            <v>3</v>
          </cell>
          <cell r="C4" t="str">
            <v>English Level 1</v>
          </cell>
          <cell r="E4">
            <v>1</v>
          </cell>
          <cell r="F4">
            <v>1</v>
          </cell>
          <cell r="G4">
            <v>12</v>
          </cell>
          <cell r="H4">
            <v>12</v>
          </cell>
          <cell r="I4">
            <v>12</v>
          </cell>
          <cell r="J4">
            <v>2</v>
          </cell>
          <cell r="K4" t="str">
            <v>Language</v>
          </cell>
          <cell r="L4" t="str">
            <v>LA</v>
          </cell>
          <cell r="N4" t="str">
            <v>EN</v>
          </cell>
          <cell r="O4">
            <v>2</v>
          </cell>
          <cell r="P4" t="str">
            <v>Core Academic Studies</v>
          </cell>
          <cell r="Q4" t="str">
            <v>Core</v>
          </cell>
          <cell r="R4" t="str">
            <v>English Level 1</v>
          </cell>
        </row>
        <row r="5">
          <cell r="A5">
            <v>4</v>
          </cell>
          <cell r="C5" t="str">
            <v>Word Building Level 1</v>
          </cell>
          <cell r="E5">
            <v>1</v>
          </cell>
          <cell r="F5">
            <v>1</v>
          </cell>
          <cell r="G5">
            <v>12</v>
          </cell>
          <cell r="H5">
            <v>12</v>
          </cell>
          <cell r="I5">
            <v>12</v>
          </cell>
          <cell r="J5">
            <v>3</v>
          </cell>
          <cell r="K5" t="str">
            <v>Word Building</v>
          </cell>
          <cell r="L5" t="str">
            <v>WB</v>
          </cell>
          <cell r="N5" t="str">
            <v>WB</v>
          </cell>
          <cell r="O5">
            <v>2</v>
          </cell>
          <cell r="P5" t="str">
            <v>Core Academic Studies</v>
          </cell>
          <cell r="Q5" t="str">
            <v>Core</v>
          </cell>
          <cell r="R5" t="str">
            <v>Word Building Level 1</v>
          </cell>
        </row>
        <row r="6">
          <cell r="A6">
            <v>5</v>
          </cell>
          <cell r="C6" t="str">
            <v>Literature and Creative Writing Level 1</v>
          </cell>
          <cell r="E6">
            <v>1</v>
          </cell>
          <cell r="F6">
            <v>1</v>
          </cell>
          <cell r="G6">
            <v>12</v>
          </cell>
          <cell r="H6">
            <v>12</v>
          </cell>
          <cell r="I6">
            <v>12</v>
          </cell>
          <cell r="J6">
            <v>4</v>
          </cell>
          <cell r="K6" t="str">
            <v>Literature</v>
          </cell>
          <cell r="L6" t="str">
            <v>LI</v>
          </cell>
          <cell r="N6" t="str">
            <v>LC</v>
          </cell>
          <cell r="O6">
            <v>2</v>
          </cell>
          <cell r="P6" t="str">
            <v>Core Academic Studies</v>
          </cell>
          <cell r="Q6" t="str">
            <v>Core</v>
          </cell>
          <cell r="R6" t="str">
            <v>Literature and Creative Writing Level 1</v>
          </cell>
        </row>
        <row r="7">
          <cell r="A7">
            <v>6</v>
          </cell>
          <cell r="B7" t="str">
            <v>Science 1</v>
          </cell>
          <cell r="C7" t="str">
            <v>Science Level 1</v>
          </cell>
          <cell r="E7">
            <v>1</v>
          </cell>
          <cell r="F7">
            <v>1</v>
          </cell>
          <cell r="G7">
            <v>12</v>
          </cell>
          <cell r="H7">
            <v>12</v>
          </cell>
          <cell r="I7">
            <v>12</v>
          </cell>
          <cell r="J7">
            <v>5</v>
          </cell>
          <cell r="K7" t="str">
            <v>Science</v>
          </cell>
          <cell r="L7" t="str">
            <v>SC</v>
          </cell>
          <cell r="N7" t="str">
            <v>SC</v>
          </cell>
          <cell r="O7">
            <v>2</v>
          </cell>
          <cell r="P7" t="str">
            <v>Core Academic Studies</v>
          </cell>
          <cell r="Q7" t="str">
            <v>Core</v>
          </cell>
          <cell r="R7" t="str">
            <v>Science Level 1</v>
          </cell>
        </row>
        <row r="8">
          <cell r="A8">
            <v>7</v>
          </cell>
          <cell r="C8" t="str">
            <v>Social Studies Level 1</v>
          </cell>
          <cell r="E8">
            <v>1</v>
          </cell>
          <cell r="F8">
            <v>1</v>
          </cell>
          <cell r="G8">
            <v>12</v>
          </cell>
          <cell r="H8">
            <v>12</v>
          </cell>
          <cell r="I8">
            <v>12</v>
          </cell>
          <cell r="J8">
            <v>6</v>
          </cell>
          <cell r="K8" t="str">
            <v>Social Studies</v>
          </cell>
          <cell r="L8" t="str">
            <v>SS</v>
          </cell>
          <cell r="N8" t="str">
            <v>SS</v>
          </cell>
          <cell r="O8">
            <v>2</v>
          </cell>
          <cell r="P8" t="str">
            <v>Core Academic Studies</v>
          </cell>
          <cell r="Q8" t="str">
            <v>Core</v>
          </cell>
          <cell r="R8" t="str">
            <v>Social Studies Level 1</v>
          </cell>
        </row>
        <row r="9">
          <cell r="A9">
            <v>8</v>
          </cell>
          <cell r="C9" t="str">
            <v>Bible Reading Level 1</v>
          </cell>
          <cell r="E9">
            <v>1</v>
          </cell>
          <cell r="F9">
            <v>1</v>
          </cell>
          <cell r="G9">
            <v>12</v>
          </cell>
          <cell r="H9">
            <v>12</v>
          </cell>
          <cell r="I9">
            <v>12</v>
          </cell>
          <cell r="J9">
            <v>7</v>
          </cell>
          <cell r="K9" t="str">
            <v>Biblical Studies</v>
          </cell>
          <cell r="L9" t="str">
            <v>BS</v>
          </cell>
          <cell r="N9" t="str">
            <v>BR</v>
          </cell>
          <cell r="O9">
            <v>1</v>
          </cell>
          <cell r="P9" t="str">
            <v>Christian Studies</v>
          </cell>
          <cell r="Q9" t="str">
            <v>Core</v>
          </cell>
          <cell r="R9" t="str">
            <v>Bible Reading Level 1</v>
          </cell>
        </row>
        <row r="10">
          <cell r="A10">
            <v>9</v>
          </cell>
          <cell r="C10" t="str">
            <v>Maths Level 2</v>
          </cell>
          <cell r="E10">
            <v>2</v>
          </cell>
          <cell r="F10">
            <v>13</v>
          </cell>
          <cell r="G10">
            <v>24</v>
          </cell>
          <cell r="H10">
            <v>12</v>
          </cell>
          <cell r="I10">
            <v>12</v>
          </cell>
          <cell r="J10">
            <v>1</v>
          </cell>
          <cell r="K10" t="str">
            <v>Maths</v>
          </cell>
          <cell r="L10" t="str">
            <v>MA</v>
          </cell>
          <cell r="N10" t="str">
            <v>MA</v>
          </cell>
          <cell r="O10">
            <v>2</v>
          </cell>
          <cell r="P10" t="str">
            <v>Core Academic Studies</v>
          </cell>
          <cell r="Q10" t="str">
            <v>Core</v>
          </cell>
          <cell r="R10" t="str">
            <v>Maths Level 2</v>
          </cell>
        </row>
        <row r="11">
          <cell r="A11">
            <v>10</v>
          </cell>
          <cell r="C11" t="str">
            <v>English Level 2</v>
          </cell>
          <cell r="E11">
            <v>2</v>
          </cell>
          <cell r="F11">
            <v>13</v>
          </cell>
          <cell r="G11">
            <v>24</v>
          </cell>
          <cell r="H11">
            <v>12</v>
          </cell>
          <cell r="I11">
            <v>12</v>
          </cell>
          <cell r="J11">
            <v>2</v>
          </cell>
          <cell r="K11" t="str">
            <v>Language</v>
          </cell>
          <cell r="L11" t="str">
            <v>LA</v>
          </cell>
          <cell r="N11" t="str">
            <v>EN</v>
          </cell>
          <cell r="O11">
            <v>2</v>
          </cell>
          <cell r="P11" t="str">
            <v>Core Academic Studies</v>
          </cell>
          <cell r="Q11" t="str">
            <v>Core</v>
          </cell>
          <cell r="R11" t="str">
            <v>English Level 2</v>
          </cell>
        </row>
        <row r="12">
          <cell r="A12">
            <v>11</v>
          </cell>
          <cell r="C12" t="str">
            <v>Word Building Level 2</v>
          </cell>
          <cell r="E12">
            <v>2</v>
          </cell>
          <cell r="F12">
            <v>13</v>
          </cell>
          <cell r="G12">
            <v>24</v>
          </cell>
          <cell r="H12">
            <v>12</v>
          </cell>
          <cell r="I12">
            <v>12</v>
          </cell>
          <cell r="J12">
            <v>3</v>
          </cell>
          <cell r="K12" t="str">
            <v>Word Building</v>
          </cell>
          <cell r="L12" t="str">
            <v>WB</v>
          </cell>
          <cell r="N12" t="str">
            <v>WB</v>
          </cell>
          <cell r="O12">
            <v>2</v>
          </cell>
          <cell r="P12" t="str">
            <v>Core Academic Studies</v>
          </cell>
          <cell r="Q12" t="str">
            <v>Core</v>
          </cell>
          <cell r="R12" t="str">
            <v>Word Building Level 2</v>
          </cell>
        </row>
        <row r="13">
          <cell r="A13">
            <v>12</v>
          </cell>
          <cell r="C13" t="str">
            <v>Literature and Creative Writing Level 2</v>
          </cell>
          <cell r="E13">
            <v>2</v>
          </cell>
          <cell r="F13">
            <v>13</v>
          </cell>
          <cell r="G13">
            <v>24</v>
          </cell>
          <cell r="H13">
            <v>12</v>
          </cell>
          <cell r="I13">
            <v>12</v>
          </cell>
          <cell r="J13">
            <v>4</v>
          </cell>
          <cell r="K13" t="str">
            <v>Literature</v>
          </cell>
          <cell r="L13" t="str">
            <v>LI</v>
          </cell>
          <cell r="N13" t="str">
            <v>LC</v>
          </cell>
          <cell r="O13">
            <v>2</v>
          </cell>
          <cell r="P13" t="str">
            <v>Core Academic Studies</v>
          </cell>
          <cell r="Q13" t="str">
            <v>Core</v>
          </cell>
          <cell r="R13" t="str">
            <v>Literature and Creative Writing Level 2</v>
          </cell>
        </row>
        <row r="14">
          <cell r="A14">
            <v>13</v>
          </cell>
          <cell r="B14" t="str">
            <v>Science 2</v>
          </cell>
          <cell r="C14" t="str">
            <v>Science Level 2</v>
          </cell>
          <cell r="E14">
            <v>2</v>
          </cell>
          <cell r="F14">
            <v>13</v>
          </cell>
          <cell r="G14">
            <v>24</v>
          </cell>
          <cell r="H14">
            <v>12</v>
          </cell>
          <cell r="I14">
            <v>12</v>
          </cell>
          <cell r="J14">
            <v>5</v>
          </cell>
          <cell r="K14" t="str">
            <v>Science</v>
          </cell>
          <cell r="L14" t="str">
            <v>SC</v>
          </cell>
          <cell r="N14" t="str">
            <v>SC</v>
          </cell>
          <cell r="O14">
            <v>2</v>
          </cell>
          <cell r="P14" t="str">
            <v>Core Academic Studies</v>
          </cell>
          <cell r="Q14" t="str">
            <v>Core</v>
          </cell>
          <cell r="R14" t="str">
            <v>Science Level 2</v>
          </cell>
        </row>
        <row r="15">
          <cell r="A15">
            <v>14</v>
          </cell>
          <cell r="C15" t="str">
            <v>Social Studies Level 2</v>
          </cell>
          <cell r="E15">
            <v>2</v>
          </cell>
          <cell r="F15">
            <v>13</v>
          </cell>
          <cell r="G15">
            <v>24</v>
          </cell>
          <cell r="H15">
            <v>12</v>
          </cell>
          <cell r="I15">
            <v>12</v>
          </cell>
          <cell r="J15">
            <v>6</v>
          </cell>
          <cell r="K15" t="str">
            <v>Social Studies</v>
          </cell>
          <cell r="L15" t="str">
            <v>SS</v>
          </cell>
          <cell r="N15" t="str">
            <v>SS</v>
          </cell>
          <cell r="O15">
            <v>2</v>
          </cell>
          <cell r="P15" t="str">
            <v>Core Academic Studies</v>
          </cell>
          <cell r="Q15" t="str">
            <v>Core</v>
          </cell>
          <cell r="R15" t="str">
            <v>Social Studies Level 2</v>
          </cell>
        </row>
        <row r="16">
          <cell r="A16">
            <v>15</v>
          </cell>
          <cell r="C16" t="str">
            <v>Bible Reading Level 2</v>
          </cell>
          <cell r="E16">
            <v>2</v>
          </cell>
          <cell r="F16">
            <v>13</v>
          </cell>
          <cell r="G16">
            <v>24</v>
          </cell>
          <cell r="H16">
            <v>12</v>
          </cell>
          <cell r="I16">
            <v>12</v>
          </cell>
          <cell r="J16">
            <v>7</v>
          </cell>
          <cell r="K16" t="str">
            <v>Biblical Studies</v>
          </cell>
          <cell r="L16" t="str">
            <v>BS</v>
          </cell>
          <cell r="N16" t="str">
            <v>BR</v>
          </cell>
          <cell r="O16">
            <v>1</v>
          </cell>
          <cell r="P16" t="str">
            <v>Christian Studies</v>
          </cell>
          <cell r="Q16" t="str">
            <v>Core</v>
          </cell>
          <cell r="R16" t="str">
            <v>Bible Reading Level 2</v>
          </cell>
        </row>
        <row r="17">
          <cell r="A17">
            <v>16</v>
          </cell>
          <cell r="C17" t="str">
            <v>Maths Level 3</v>
          </cell>
          <cell r="E17">
            <v>3</v>
          </cell>
          <cell r="F17">
            <v>25</v>
          </cell>
          <cell r="G17">
            <v>36</v>
          </cell>
          <cell r="H17">
            <v>12</v>
          </cell>
          <cell r="I17">
            <v>12</v>
          </cell>
          <cell r="J17">
            <v>1</v>
          </cell>
          <cell r="K17" t="str">
            <v>Maths</v>
          </cell>
          <cell r="L17" t="str">
            <v>MA</v>
          </cell>
          <cell r="N17" t="str">
            <v>MA</v>
          </cell>
          <cell r="O17">
            <v>2</v>
          </cell>
          <cell r="P17" t="str">
            <v>Core Academic Studies</v>
          </cell>
          <cell r="Q17" t="str">
            <v>Core</v>
          </cell>
          <cell r="R17" t="str">
            <v>Maths Level 3</v>
          </cell>
        </row>
        <row r="18">
          <cell r="A18">
            <v>17</v>
          </cell>
          <cell r="C18" t="str">
            <v>English Level 3</v>
          </cell>
          <cell r="E18">
            <v>3</v>
          </cell>
          <cell r="F18">
            <v>25</v>
          </cell>
          <cell r="G18">
            <v>36</v>
          </cell>
          <cell r="H18">
            <v>12</v>
          </cell>
          <cell r="I18">
            <v>12</v>
          </cell>
          <cell r="J18">
            <v>2</v>
          </cell>
          <cell r="K18" t="str">
            <v>Language</v>
          </cell>
          <cell r="L18" t="str">
            <v>LA</v>
          </cell>
          <cell r="N18" t="str">
            <v>EN</v>
          </cell>
          <cell r="O18">
            <v>2</v>
          </cell>
          <cell r="P18" t="str">
            <v>Core Academic Studies</v>
          </cell>
          <cell r="Q18" t="str">
            <v>Core</v>
          </cell>
          <cell r="R18" t="str">
            <v>English Level 3</v>
          </cell>
        </row>
        <row r="19">
          <cell r="A19">
            <v>18</v>
          </cell>
          <cell r="C19" t="str">
            <v>Word Building Level 3</v>
          </cell>
          <cell r="E19">
            <v>3</v>
          </cell>
          <cell r="F19">
            <v>25</v>
          </cell>
          <cell r="G19">
            <v>36</v>
          </cell>
          <cell r="H19">
            <v>12</v>
          </cell>
          <cell r="I19">
            <v>12</v>
          </cell>
          <cell r="J19">
            <v>3</v>
          </cell>
          <cell r="K19" t="str">
            <v>Word Building</v>
          </cell>
          <cell r="L19" t="str">
            <v>WB</v>
          </cell>
          <cell r="N19" t="str">
            <v>WB</v>
          </cell>
          <cell r="O19">
            <v>2</v>
          </cell>
          <cell r="P19" t="str">
            <v>Core Academic Studies</v>
          </cell>
          <cell r="Q19" t="str">
            <v>Core</v>
          </cell>
          <cell r="R19" t="str">
            <v>Word Building Level 3</v>
          </cell>
        </row>
        <row r="20">
          <cell r="A20">
            <v>19</v>
          </cell>
          <cell r="C20" t="str">
            <v>Literature and Creative Writing Level 3</v>
          </cell>
          <cell r="E20">
            <v>3</v>
          </cell>
          <cell r="F20">
            <v>25</v>
          </cell>
          <cell r="G20">
            <v>36</v>
          </cell>
          <cell r="H20">
            <v>12</v>
          </cell>
          <cell r="I20">
            <v>12</v>
          </cell>
          <cell r="J20">
            <v>4</v>
          </cell>
          <cell r="K20" t="str">
            <v>Literature</v>
          </cell>
          <cell r="L20" t="str">
            <v>LI</v>
          </cell>
          <cell r="N20" t="str">
            <v>LC</v>
          </cell>
          <cell r="O20">
            <v>2</v>
          </cell>
          <cell r="P20" t="str">
            <v>Core Academic Studies</v>
          </cell>
          <cell r="Q20" t="str">
            <v>Core</v>
          </cell>
          <cell r="R20" t="str">
            <v>Literature and Creative Writing Level 3</v>
          </cell>
        </row>
        <row r="21">
          <cell r="A21">
            <v>20</v>
          </cell>
          <cell r="B21" t="str">
            <v>Science 3</v>
          </cell>
          <cell r="C21" t="str">
            <v>Science Level 3</v>
          </cell>
          <cell r="E21">
            <v>3</v>
          </cell>
          <cell r="F21">
            <v>25</v>
          </cell>
          <cell r="G21">
            <v>36</v>
          </cell>
          <cell r="H21">
            <v>12</v>
          </cell>
          <cell r="I21">
            <v>12</v>
          </cell>
          <cell r="J21">
            <v>5</v>
          </cell>
          <cell r="K21" t="str">
            <v>Science</v>
          </cell>
          <cell r="L21" t="str">
            <v>SC</v>
          </cell>
          <cell r="N21" t="str">
            <v>SC</v>
          </cell>
          <cell r="O21">
            <v>2</v>
          </cell>
          <cell r="P21" t="str">
            <v>Core Academic Studies</v>
          </cell>
          <cell r="Q21" t="str">
            <v>Core</v>
          </cell>
          <cell r="R21" t="str">
            <v>Science Level 3</v>
          </cell>
        </row>
        <row r="22">
          <cell r="A22">
            <v>21</v>
          </cell>
          <cell r="C22" t="str">
            <v>Social Studies Level 3</v>
          </cell>
          <cell r="E22">
            <v>3</v>
          </cell>
          <cell r="F22">
            <v>25</v>
          </cell>
          <cell r="G22">
            <v>36</v>
          </cell>
          <cell r="H22">
            <v>12</v>
          </cell>
          <cell r="I22">
            <v>12</v>
          </cell>
          <cell r="J22">
            <v>6</v>
          </cell>
          <cell r="K22" t="str">
            <v>Social Studies</v>
          </cell>
          <cell r="L22" t="str">
            <v>SS</v>
          </cell>
          <cell r="N22" t="str">
            <v>SS</v>
          </cell>
          <cell r="O22">
            <v>2</v>
          </cell>
          <cell r="P22" t="str">
            <v>Core Academic Studies</v>
          </cell>
          <cell r="Q22" t="str">
            <v>Core</v>
          </cell>
          <cell r="R22" t="str">
            <v>Social Studies Level 3</v>
          </cell>
        </row>
        <row r="23">
          <cell r="A23">
            <v>22</v>
          </cell>
          <cell r="C23" t="str">
            <v>Bible Reading Level 3</v>
          </cell>
          <cell r="E23">
            <v>3</v>
          </cell>
          <cell r="F23">
            <v>25</v>
          </cell>
          <cell r="G23">
            <v>36</v>
          </cell>
          <cell r="H23">
            <v>12</v>
          </cell>
          <cell r="I23">
            <v>12</v>
          </cell>
          <cell r="J23">
            <v>7</v>
          </cell>
          <cell r="K23" t="str">
            <v>Biblical Studies</v>
          </cell>
          <cell r="L23" t="str">
            <v>BS</v>
          </cell>
          <cell r="N23" t="str">
            <v>BR</v>
          </cell>
          <cell r="O23">
            <v>1</v>
          </cell>
          <cell r="P23" t="str">
            <v>Christian Studies</v>
          </cell>
          <cell r="Q23" t="str">
            <v>Core</v>
          </cell>
          <cell r="R23" t="str">
            <v>Bible Reading Level 3</v>
          </cell>
        </row>
        <row r="24">
          <cell r="A24">
            <v>23</v>
          </cell>
          <cell r="C24" t="str">
            <v>Maths Level 4</v>
          </cell>
          <cell r="E24">
            <v>4</v>
          </cell>
          <cell r="F24">
            <v>37</v>
          </cell>
          <cell r="G24">
            <v>48</v>
          </cell>
          <cell r="H24">
            <v>12</v>
          </cell>
          <cell r="I24">
            <v>12</v>
          </cell>
          <cell r="J24">
            <v>1</v>
          </cell>
          <cell r="K24" t="str">
            <v>Maths</v>
          </cell>
          <cell r="L24" t="str">
            <v>MA</v>
          </cell>
          <cell r="N24" t="str">
            <v>MA</v>
          </cell>
          <cell r="O24">
            <v>2</v>
          </cell>
          <cell r="P24" t="str">
            <v>Core Academic Studies</v>
          </cell>
          <cell r="Q24" t="str">
            <v>Core</v>
          </cell>
          <cell r="R24" t="str">
            <v>Maths Level 4</v>
          </cell>
        </row>
        <row r="25">
          <cell r="A25">
            <v>24</v>
          </cell>
          <cell r="C25" t="str">
            <v>English Level 4</v>
          </cell>
          <cell r="E25">
            <v>4</v>
          </cell>
          <cell r="F25">
            <v>37</v>
          </cell>
          <cell r="G25">
            <v>48</v>
          </cell>
          <cell r="H25">
            <v>12</v>
          </cell>
          <cell r="I25">
            <v>12</v>
          </cell>
          <cell r="J25">
            <v>2</v>
          </cell>
          <cell r="K25" t="str">
            <v>Language</v>
          </cell>
          <cell r="L25" t="str">
            <v>LA</v>
          </cell>
          <cell r="N25" t="str">
            <v>EN</v>
          </cell>
          <cell r="O25">
            <v>2</v>
          </cell>
          <cell r="P25" t="str">
            <v>Core Academic Studies</v>
          </cell>
          <cell r="Q25" t="str">
            <v>Core</v>
          </cell>
          <cell r="R25" t="str">
            <v>English Level 4</v>
          </cell>
        </row>
        <row r="26">
          <cell r="A26">
            <v>25</v>
          </cell>
          <cell r="C26" t="str">
            <v>Word Building Level 4</v>
          </cell>
          <cell r="E26">
            <v>4</v>
          </cell>
          <cell r="F26">
            <v>37</v>
          </cell>
          <cell r="G26">
            <v>48</v>
          </cell>
          <cell r="H26">
            <v>12</v>
          </cell>
          <cell r="I26">
            <v>12</v>
          </cell>
          <cell r="J26">
            <v>3</v>
          </cell>
          <cell r="K26" t="str">
            <v>Word Building</v>
          </cell>
          <cell r="L26" t="str">
            <v>WB</v>
          </cell>
          <cell r="N26" t="str">
            <v>WB</v>
          </cell>
          <cell r="O26">
            <v>2</v>
          </cell>
          <cell r="P26" t="str">
            <v>Core Academic Studies</v>
          </cell>
          <cell r="Q26" t="str">
            <v>Core</v>
          </cell>
          <cell r="R26" t="str">
            <v>Word Building Level 4</v>
          </cell>
        </row>
        <row r="27">
          <cell r="A27">
            <v>26</v>
          </cell>
          <cell r="C27" t="str">
            <v>Literature and Creative Writing Level 4</v>
          </cell>
          <cell r="E27">
            <v>4</v>
          </cell>
          <cell r="F27">
            <v>37</v>
          </cell>
          <cell r="G27">
            <v>48</v>
          </cell>
          <cell r="H27">
            <v>12</v>
          </cell>
          <cell r="I27">
            <v>12</v>
          </cell>
          <cell r="J27">
            <v>4</v>
          </cell>
          <cell r="K27" t="str">
            <v>Literature</v>
          </cell>
          <cell r="L27" t="str">
            <v>LI</v>
          </cell>
          <cell r="N27" t="str">
            <v>LC</v>
          </cell>
          <cell r="O27">
            <v>2</v>
          </cell>
          <cell r="P27" t="str">
            <v>Core Academic Studies</v>
          </cell>
          <cell r="Q27" t="str">
            <v>Core</v>
          </cell>
          <cell r="R27" t="str">
            <v>Literature and Creative Writing Level 4</v>
          </cell>
        </row>
        <row r="28">
          <cell r="A28">
            <v>27</v>
          </cell>
          <cell r="B28" t="str">
            <v>Science 4</v>
          </cell>
          <cell r="C28" t="str">
            <v>Science Level 4</v>
          </cell>
          <cell r="E28">
            <v>4</v>
          </cell>
          <cell r="F28">
            <v>37</v>
          </cell>
          <cell r="G28">
            <v>48</v>
          </cell>
          <cell r="H28">
            <v>12</v>
          </cell>
          <cell r="I28">
            <v>12</v>
          </cell>
          <cell r="J28">
            <v>5</v>
          </cell>
          <cell r="K28" t="str">
            <v>Science</v>
          </cell>
          <cell r="L28" t="str">
            <v>SC</v>
          </cell>
          <cell r="N28" t="str">
            <v>SC</v>
          </cell>
          <cell r="O28">
            <v>2</v>
          </cell>
          <cell r="P28" t="str">
            <v>Core Academic Studies</v>
          </cell>
          <cell r="Q28" t="str">
            <v>Core</v>
          </cell>
          <cell r="R28" t="str">
            <v>Science Level 4</v>
          </cell>
        </row>
        <row r="29">
          <cell r="A29">
            <v>28</v>
          </cell>
          <cell r="C29" t="str">
            <v>Social Studies Level 4</v>
          </cell>
          <cell r="E29">
            <v>4</v>
          </cell>
          <cell r="F29">
            <v>37</v>
          </cell>
          <cell r="G29">
            <v>48</v>
          </cell>
          <cell r="H29">
            <v>12</v>
          </cell>
          <cell r="I29">
            <v>12</v>
          </cell>
          <cell r="J29">
            <v>6</v>
          </cell>
          <cell r="K29" t="str">
            <v>Social Studies</v>
          </cell>
          <cell r="L29" t="str">
            <v>SS</v>
          </cell>
          <cell r="N29" t="str">
            <v>SS</v>
          </cell>
          <cell r="O29">
            <v>2</v>
          </cell>
          <cell r="P29" t="str">
            <v>Core Academic Studies</v>
          </cell>
          <cell r="Q29" t="str">
            <v>Core</v>
          </cell>
          <cell r="R29" t="str">
            <v>Social Studies Level 4</v>
          </cell>
        </row>
        <row r="30">
          <cell r="A30">
            <v>29</v>
          </cell>
          <cell r="C30" t="str">
            <v>Bible Reading Level 4</v>
          </cell>
          <cell r="E30">
            <v>4</v>
          </cell>
          <cell r="F30">
            <v>37</v>
          </cell>
          <cell r="G30">
            <v>48</v>
          </cell>
          <cell r="H30">
            <v>12</v>
          </cell>
          <cell r="I30">
            <v>12</v>
          </cell>
          <cell r="J30">
            <v>7</v>
          </cell>
          <cell r="K30" t="str">
            <v>Biblical Studies</v>
          </cell>
          <cell r="L30" t="str">
            <v>BS</v>
          </cell>
          <cell r="N30" t="str">
            <v>BR</v>
          </cell>
          <cell r="O30">
            <v>1</v>
          </cell>
          <cell r="P30" t="str">
            <v>Christian Studies</v>
          </cell>
          <cell r="Q30" t="str">
            <v>Core</v>
          </cell>
          <cell r="R30" t="str">
            <v>Bible Reading Level 4</v>
          </cell>
        </row>
        <row r="31">
          <cell r="A31">
            <v>30</v>
          </cell>
          <cell r="C31" t="str">
            <v>Maths Level 5</v>
          </cell>
          <cell r="E31">
            <v>5</v>
          </cell>
          <cell r="F31">
            <v>49</v>
          </cell>
          <cell r="G31">
            <v>60</v>
          </cell>
          <cell r="H31">
            <v>12</v>
          </cell>
          <cell r="I31">
            <v>12</v>
          </cell>
          <cell r="J31">
            <v>1</v>
          </cell>
          <cell r="K31" t="str">
            <v>Maths</v>
          </cell>
          <cell r="L31" t="str">
            <v>MA</v>
          </cell>
          <cell r="N31" t="str">
            <v>MA</v>
          </cell>
          <cell r="O31">
            <v>2</v>
          </cell>
          <cell r="P31" t="str">
            <v>Core Academic Studies</v>
          </cell>
          <cell r="Q31" t="str">
            <v>Core</v>
          </cell>
          <cell r="R31" t="str">
            <v>Maths Level 5</v>
          </cell>
        </row>
        <row r="32">
          <cell r="A32">
            <v>31</v>
          </cell>
          <cell r="C32" t="str">
            <v>English Level 5</v>
          </cell>
          <cell r="E32">
            <v>5</v>
          </cell>
          <cell r="F32">
            <v>49</v>
          </cell>
          <cell r="G32">
            <v>60</v>
          </cell>
          <cell r="H32">
            <v>12</v>
          </cell>
          <cell r="I32">
            <v>12</v>
          </cell>
          <cell r="J32">
            <v>2</v>
          </cell>
          <cell r="K32" t="str">
            <v>Language</v>
          </cell>
          <cell r="L32" t="str">
            <v>LA</v>
          </cell>
          <cell r="N32" t="str">
            <v>EN</v>
          </cell>
          <cell r="O32">
            <v>2</v>
          </cell>
          <cell r="P32" t="str">
            <v>Core Academic Studies</v>
          </cell>
          <cell r="Q32" t="str">
            <v>Core</v>
          </cell>
          <cell r="R32" t="str">
            <v>English Level 5</v>
          </cell>
        </row>
        <row r="33">
          <cell r="A33">
            <v>32</v>
          </cell>
          <cell r="C33" t="str">
            <v>Word Building Level 5</v>
          </cell>
          <cell r="E33">
            <v>5</v>
          </cell>
          <cell r="F33">
            <v>49</v>
          </cell>
          <cell r="G33">
            <v>60</v>
          </cell>
          <cell r="H33">
            <v>12</v>
          </cell>
          <cell r="I33">
            <v>12</v>
          </cell>
          <cell r="J33">
            <v>3</v>
          </cell>
          <cell r="K33" t="str">
            <v>Word Building</v>
          </cell>
          <cell r="L33" t="str">
            <v>WB</v>
          </cell>
          <cell r="N33" t="str">
            <v>WB</v>
          </cell>
          <cell r="O33">
            <v>2</v>
          </cell>
          <cell r="P33" t="str">
            <v>Core Academic Studies</v>
          </cell>
          <cell r="Q33" t="str">
            <v>Core</v>
          </cell>
          <cell r="R33" t="str">
            <v>Word Building Level 5</v>
          </cell>
        </row>
        <row r="34">
          <cell r="A34">
            <v>33</v>
          </cell>
          <cell r="C34" t="str">
            <v>Literature and Creative Writing Level 5</v>
          </cell>
          <cell r="E34">
            <v>5</v>
          </cell>
          <cell r="F34">
            <v>49</v>
          </cell>
          <cell r="G34">
            <v>60</v>
          </cell>
          <cell r="H34">
            <v>12</v>
          </cell>
          <cell r="I34">
            <v>12</v>
          </cell>
          <cell r="J34">
            <v>4</v>
          </cell>
          <cell r="K34" t="str">
            <v>Literature</v>
          </cell>
          <cell r="L34" t="str">
            <v>LI</v>
          </cell>
          <cell r="N34" t="str">
            <v>LC</v>
          </cell>
          <cell r="O34">
            <v>2</v>
          </cell>
          <cell r="P34" t="str">
            <v>Core Academic Studies</v>
          </cell>
          <cell r="Q34" t="str">
            <v>Core</v>
          </cell>
          <cell r="R34" t="str">
            <v>Literature and Creative Writing Level 5</v>
          </cell>
        </row>
        <row r="35">
          <cell r="A35">
            <v>34</v>
          </cell>
          <cell r="B35" t="str">
            <v>Science 5</v>
          </cell>
          <cell r="C35" t="str">
            <v>Science Level 5</v>
          </cell>
          <cell r="E35">
            <v>5</v>
          </cell>
          <cell r="F35">
            <v>49</v>
          </cell>
          <cell r="G35">
            <v>60</v>
          </cell>
          <cell r="H35">
            <v>12</v>
          </cell>
          <cell r="I35">
            <v>12</v>
          </cell>
          <cell r="J35">
            <v>5</v>
          </cell>
          <cell r="K35" t="str">
            <v>Science</v>
          </cell>
          <cell r="L35" t="str">
            <v>SC</v>
          </cell>
          <cell r="N35" t="str">
            <v>SC</v>
          </cell>
          <cell r="O35">
            <v>2</v>
          </cell>
          <cell r="P35" t="str">
            <v>Core Academic Studies</v>
          </cell>
          <cell r="Q35" t="str">
            <v>Core</v>
          </cell>
          <cell r="R35" t="str">
            <v>Science Level 5</v>
          </cell>
        </row>
        <row r="36">
          <cell r="A36">
            <v>35</v>
          </cell>
          <cell r="C36" t="str">
            <v>Social Studies Level 5</v>
          </cell>
          <cell r="E36">
            <v>5</v>
          </cell>
          <cell r="F36">
            <v>49</v>
          </cell>
          <cell r="G36">
            <v>60</v>
          </cell>
          <cell r="H36">
            <v>12</v>
          </cell>
          <cell r="I36">
            <v>12</v>
          </cell>
          <cell r="J36">
            <v>6</v>
          </cell>
          <cell r="K36" t="str">
            <v>Social Studies</v>
          </cell>
          <cell r="L36" t="str">
            <v>SS</v>
          </cell>
          <cell r="N36" t="str">
            <v>SS</v>
          </cell>
          <cell r="O36">
            <v>2</v>
          </cell>
          <cell r="P36" t="str">
            <v>Core Academic Studies</v>
          </cell>
          <cell r="Q36" t="str">
            <v>Core</v>
          </cell>
          <cell r="R36" t="str">
            <v>Social Studies Level 5</v>
          </cell>
        </row>
        <row r="37">
          <cell r="A37">
            <v>36</v>
          </cell>
          <cell r="C37" t="str">
            <v>Bible Reading Level 5</v>
          </cell>
          <cell r="E37">
            <v>5</v>
          </cell>
          <cell r="F37">
            <v>49</v>
          </cell>
          <cell r="G37">
            <v>60</v>
          </cell>
          <cell r="H37">
            <v>12</v>
          </cell>
          <cell r="I37">
            <v>12</v>
          </cell>
          <cell r="J37">
            <v>7</v>
          </cell>
          <cell r="K37" t="str">
            <v>Biblical Studies</v>
          </cell>
          <cell r="L37" t="str">
            <v>BS</v>
          </cell>
          <cell r="N37" t="str">
            <v>BR</v>
          </cell>
          <cell r="O37">
            <v>1</v>
          </cell>
          <cell r="P37" t="str">
            <v>Christian Studies</v>
          </cell>
          <cell r="Q37" t="str">
            <v>Core</v>
          </cell>
          <cell r="R37" t="str">
            <v>Bible Reading Level 5</v>
          </cell>
        </row>
        <row r="38">
          <cell r="A38">
            <v>37</v>
          </cell>
          <cell r="C38" t="str">
            <v>Maths Level 6</v>
          </cell>
          <cell r="E38">
            <v>6</v>
          </cell>
          <cell r="F38">
            <v>61</v>
          </cell>
          <cell r="G38">
            <v>72</v>
          </cell>
          <cell r="H38">
            <v>12</v>
          </cell>
          <cell r="I38">
            <v>12</v>
          </cell>
          <cell r="J38">
            <v>1</v>
          </cell>
          <cell r="K38" t="str">
            <v>Maths</v>
          </cell>
          <cell r="L38" t="str">
            <v>MA</v>
          </cell>
          <cell r="N38" t="str">
            <v>MA</v>
          </cell>
          <cell r="O38">
            <v>2</v>
          </cell>
          <cell r="P38" t="str">
            <v>Core Academic Studies</v>
          </cell>
          <cell r="Q38" t="str">
            <v>Core</v>
          </cell>
          <cell r="R38" t="str">
            <v>Maths Level 6</v>
          </cell>
        </row>
        <row r="39">
          <cell r="A39">
            <v>38</v>
          </cell>
          <cell r="C39" t="str">
            <v>English Level 6</v>
          </cell>
          <cell r="E39">
            <v>6</v>
          </cell>
          <cell r="F39">
            <v>61</v>
          </cell>
          <cell r="G39">
            <v>72</v>
          </cell>
          <cell r="H39">
            <v>12</v>
          </cell>
          <cell r="I39">
            <v>12</v>
          </cell>
          <cell r="J39">
            <v>2</v>
          </cell>
          <cell r="K39" t="str">
            <v>Language</v>
          </cell>
          <cell r="L39" t="str">
            <v>LA</v>
          </cell>
          <cell r="N39" t="str">
            <v>EN</v>
          </cell>
          <cell r="O39">
            <v>2</v>
          </cell>
          <cell r="P39" t="str">
            <v>Core Academic Studies</v>
          </cell>
          <cell r="Q39" t="str">
            <v>Core</v>
          </cell>
          <cell r="R39" t="str">
            <v>English Level 6</v>
          </cell>
        </row>
        <row r="40">
          <cell r="A40">
            <v>39</v>
          </cell>
          <cell r="C40" t="str">
            <v>Word Building Level 6</v>
          </cell>
          <cell r="E40">
            <v>6</v>
          </cell>
          <cell r="F40">
            <v>61</v>
          </cell>
          <cell r="G40">
            <v>72</v>
          </cell>
          <cell r="H40">
            <v>12</v>
          </cell>
          <cell r="I40">
            <v>12</v>
          </cell>
          <cell r="J40">
            <v>3</v>
          </cell>
          <cell r="K40" t="str">
            <v>Word Building</v>
          </cell>
          <cell r="L40" t="str">
            <v>WB</v>
          </cell>
          <cell r="N40" t="str">
            <v>WB</v>
          </cell>
          <cell r="O40">
            <v>2</v>
          </cell>
          <cell r="P40" t="str">
            <v>Core Academic Studies</v>
          </cell>
          <cell r="Q40" t="str">
            <v>Core</v>
          </cell>
          <cell r="R40" t="str">
            <v>Word Building Level 6</v>
          </cell>
        </row>
        <row r="41">
          <cell r="A41">
            <v>40</v>
          </cell>
          <cell r="C41" t="str">
            <v>Literature and Creative Writing Level 6</v>
          </cell>
          <cell r="E41">
            <v>6</v>
          </cell>
          <cell r="F41">
            <v>61</v>
          </cell>
          <cell r="G41">
            <v>72</v>
          </cell>
          <cell r="H41">
            <v>12</v>
          </cell>
          <cell r="I41">
            <v>12</v>
          </cell>
          <cell r="J41">
            <v>4</v>
          </cell>
          <cell r="K41" t="str">
            <v>Literature</v>
          </cell>
          <cell r="L41" t="str">
            <v>LI</v>
          </cell>
          <cell r="N41" t="str">
            <v>LC</v>
          </cell>
          <cell r="O41">
            <v>2</v>
          </cell>
          <cell r="P41" t="str">
            <v>Core Academic Studies</v>
          </cell>
          <cell r="Q41" t="str">
            <v>Core</v>
          </cell>
          <cell r="R41" t="str">
            <v>Literature and Creative Writing Level 6</v>
          </cell>
        </row>
        <row r="42">
          <cell r="A42">
            <v>41</v>
          </cell>
          <cell r="B42" t="str">
            <v>Science 6</v>
          </cell>
          <cell r="C42" t="str">
            <v>Science Level 6</v>
          </cell>
          <cell r="E42">
            <v>6</v>
          </cell>
          <cell r="F42">
            <v>61</v>
          </cell>
          <cell r="G42">
            <v>72</v>
          </cell>
          <cell r="H42">
            <v>12</v>
          </cell>
          <cell r="I42">
            <v>12</v>
          </cell>
          <cell r="J42">
            <v>5</v>
          </cell>
          <cell r="K42" t="str">
            <v>Science</v>
          </cell>
          <cell r="L42" t="str">
            <v>SC</v>
          </cell>
          <cell r="N42" t="str">
            <v>SC</v>
          </cell>
          <cell r="O42">
            <v>2</v>
          </cell>
          <cell r="P42" t="str">
            <v>Core Academic Studies</v>
          </cell>
          <cell r="Q42" t="str">
            <v>Core</v>
          </cell>
          <cell r="R42" t="str">
            <v>Science Level 6</v>
          </cell>
        </row>
        <row r="43">
          <cell r="A43">
            <v>42</v>
          </cell>
          <cell r="C43" t="str">
            <v>Social Studies Level 6</v>
          </cell>
          <cell r="E43">
            <v>6</v>
          </cell>
          <cell r="F43">
            <v>61</v>
          </cell>
          <cell r="G43">
            <v>72</v>
          </cell>
          <cell r="H43">
            <v>12</v>
          </cell>
          <cell r="I43">
            <v>12</v>
          </cell>
          <cell r="J43">
            <v>6</v>
          </cell>
          <cell r="K43" t="str">
            <v>Social Studies</v>
          </cell>
          <cell r="L43" t="str">
            <v>SS</v>
          </cell>
          <cell r="N43" t="str">
            <v>SS</v>
          </cell>
          <cell r="O43">
            <v>2</v>
          </cell>
          <cell r="P43" t="str">
            <v>Core Academic Studies</v>
          </cell>
          <cell r="Q43" t="str">
            <v>Core</v>
          </cell>
          <cell r="R43" t="str">
            <v>Social Studies Level 6</v>
          </cell>
        </row>
        <row r="44">
          <cell r="A44">
            <v>43</v>
          </cell>
          <cell r="C44" t="str">
            <v>Bible Reading Level 6</v>
          </cell>
          <cell r="E44">
            <v>6</v>
          </cell>
          <cell r="F44">
            <v>61</v>
          </cell>
          <cell r="G44">
            <v>72</v>
          </cell>
          <cell r="H44">
            <v>12</v>
          </cell>
          <cell r="I44">
            <v>12</v>
          </cell>
          <cell r="J44">
            <v>7</v>
          </cell>
          <cell r="K44" t="str">
            <v>Biblical Studies</v>
          </cell>
          <cell r="L44" t="str">
            <v>BS</v>
          </cell>
          <cell r="N44" t="str">
            <v>BR</v>
          </cell>
          <cell r="O44">
            <v>1</v>
          </cell>
          <cell r="P44" t="str">
            <v>Christian Studies</v>
          </cell>
          <cell r="Q44" t="str">
            <v>Core</v>
          </cell>
          <cell r="R44" t="str">
            <v>Bible Reading Level 6</v>
          </cell>
        </row>
        <row r="45">
          <cell r="A45">
            <v>44</v>
          </cell>
          <cell r="C45" t="str">
            <v>Maths Level 7</v>
          </cell>
          <cell r="E45">
            <v>7</v>
          </cell>
          <cell r="F45">
            <v>73</v>
          </cell>
          <cell r="G45">
            <v>84</v>
          </cell>
          <cell r="H45">
            <v>12</v>
          </cell>
          <cell r="I45">
            <v>12</v>
          </cell>
          <cell r="J45">
            <v>1</v>
          </cell>
          <cell r="K45" t="str">
            <v>Maths</v>
          </cell>
          <cell r="L45" t="str">
            <v>MA</v>
          </cell>
          <cell r="N45" t="str">
            <v>MA</v>
          </cell>
          <cell r="O45">
            <v>2</v>
          </cell>
          <cell r="P45" t="str">
            <v>Core Academic Studies</v>
          </cell>
          <cell r="Q45" t="str">
            <v>Core</v>
          </cell>
          <cell r="R45" t="str">
            <v>Maths Level 7</v>
          </cell>
        </row>
        <row r="46">
          <cell r="A46">
            <v>45</v>
          </cell>
          <cell r="C46" t="str">
            <v>English Level 7</v>
          </cell>
          <cell r="E46">
            <v>7</v>
          </cell>
          <cell r="F46">
            <v>73</v>
          </cell>
          <cell r="G46">
            <v>84</v>
          </cell>
          <cell r="H46">
            <v>12</v>
          </cell>
          <cell r="I46">
            <v>12</v>
          </cell>
          <cell r="J46">
            <v>2</v>
          </cell>
          <cell r="K46" t="str">
            <v>Language</v>
          </cell>
          <cell r="L46" t="str">
            <v>LA</v>
          </cell>
          <cell r="N46" t="str">
            <v>EN</v>
          </cell>
          <cell r="O46">
            <v>2</v>
          </cell>
          <cell r="P46" t="str">
            <v>Core Academic Studies</v>
          </cell>
          <cell r="Q46" t="str">
            <v>Core</v>
          </cell>
          <cell r="R46" t="str">
            <v>English Level 7</v>
          </cell>
        </row>
        <row r="47">
          <cell r="A47">
            <v>46</v>
          </cell>
          <cell r="C47" t="str">
            <v>Beginning Art</v>
          </cell>
          <cell r="E47">
            <v>7</v>
          </cell>
          <cell r="F47">
            <v>73</v>
          </cell>
          <cell r="G47">
            <v>84</v>
          </cell>
          <cell r="H47">
            <v>12</v>
          </cell>
          <cell r="I47">
            <v>12</v>
          </cell>
          <cell r="J47">
            <v>3</v>
          </cell>
          <cell r="K47" t="str">
            <v>Word Building</v>
          </cell>
          <cell r="L47" t="str">
            <v>WB</v>
          </cell>
          <cell r="N47" t="str">
            <v>BA</v>
          </cell>
          <cell r="O47">
            <v>2</v>
          </cell>
          <cell r="P47" t="str">
            <v>Core Academic Studies</v>
          </cell>
          <cell r="Q47" t="str">
            <v>Core</v>
          </cell>
          <cell r="R47" t="str">
            <v>Beginning Art</v>
          </cell>
        </row>
        <row r="48">
          <cell r="A48">
            <v>47</v>
          </cell>
          <cell r="C48" t="str">
            <v>Word Building Level 7</v>
          </cell>
          <cell r="E48">
            <v>7</v>
          </cell>
          <cell r="F48">
            <v>73</v>
          </cell>
          <cell r="G48">
            <v>84</v>
          </cell>
          <cell r="H48">
            <v>12</v>
          </cell>
          <cell r="I48">
            <v>12</v>
          </cell>
          <cell r="J48">
            <v>3</v>
          </cell>
          <cell r="K48" t="str">
            <v>Word Building</v>
          </cell>
          <cell r="L48" t="str">
            <v>WB</v>
          </cell>
          <cell r="N48" t="str">
            <v>WB</v>
          </cell>
          <cell r="O48">
            <v>2</v>
          </cell>
          <cell r="P48" t="str">
            <v>Core Academic Studies</v>
          </cell>
          <cell r="Q48" t="str">
            <v>Core</v>
          </cell>
          <cell r="R48" t="str">
            <v>Word Building Level 7</v>
          </cell>
        </row>
        <row r="49">
          <cell r="A49">
            <v>48</v>
          </cell>
          <cell r="C49" t="str">
            <v>Literature Level 7</v>
          </cell>
          <cell r="E49">
            <v>7</v>
          </cell>
          <cell r="F49">
            <v>73</v>
          </cell>
          <cell r="G49">
            <v>84</v>
          </cell>
          <cell r="H49">
            <v>12</v>
          </cell>
          <cell r="I49" t="str">
            <v>?</v>
          </cell>
          <cell r="J49">
            <v>4</v>
          </cell>
          <cell r="K49" t="str">
            <v>Literature</v>
          </cell>
          <cell r="L49" t="str">
            <v>LI</v>
          </cell>
          <cell r="M49" t="str">
            <v>Alleen even getallen hebben PACE beschikbaar</v>
          </cell>
          <cell r="N49" t="str">
            <v>LC</v>
          </cell>
          <cell r="O49">
            <v>2</v>
          </cell>
          <cell r="P49" t="str">
            <v>Core Academic Studies</v>
          </cell>
          <cell r="Q49" t="str">
            <v>Core</v>
          </cell>
          <cell r="R49" t="str">
            <v>Literature Level 7</v>
          </cell>
        </row>
        <row r="50">
          <cell r="A50">
            <v>49</v>
          </cell>
          <cell r="B50" t="str">
            <v>Science 7</v>
          </cell>
          <cell r="C50" t="str">
            <v>Science Level 7</v>
          </cell>
          <cell r="E50">
            <v>7</v>
          </cell>
          <cell r="F50">
            <v>73</v>
          </cell>
          <cell r="G50">
            <v>84</v>
          </cell>
          <cell r="H50">
            <v>12</v>
          </cell>
          <cell r="I50">
            <v>12</v>
          </cell>
          <cell r="J50">
            <v>5</v>
          </cell>
          <cell r="K50" t="str">
            <v>Science</v>
          </cell>
          <cell r="L50" t="str">
            <v>SC</v>
          </cell>
          <cell r="N50" t="str">
            <v>SC</v>
          </cell>
          <cell r="O50">
            <v>2</v>
          </cell>
          <cell r="P50" t="str">
            <v>Core Academic Studies</v>
          </cell>
          <cell r="Q50" t="str">
            <v>Core</v>
          </cell>
          <cell r="R50" t="str">
            <v>Science Level 7</v>
          </cell>
        </row>
        <row r="51">
          <cell r="A51">
            <v>50</v>
          </cell>
          <cell r="C51" t="str">
            <v>Social Studies Level 7</v>
          </cell>
          <cell r="E51">
            <v>7</v>
          </cell>
          <cell r="F51">
            <v>73</v>
          </cell>
          <cell r="G51">
            <v>78</v>
          </cell>
          <cell r="H51">
            <v>6</v>
          </cell>
          <cell r="I51">
            <v>6</v>
          </cell>
          <cell r="J51">
            <v>6</v>
          </cell>
          <cell r="K51" t="str">
            <v>Social Studies</v>
          </cell>
          <cell r="L51" t="str">
            <v>SS</v>
          </cell>
          <cell r="M51" t="str">
            <v>Deze zes PACEs gaan over "Career" en de volgende zes (79-84) over "American Constitution", maar die worden niet gedaan in Nederland. In plaats daarvan worden drie PACEs "Staatsinrichting" gedaan.</v>
          </cell>
          <cell r="N51" t="str">
            <v>SS</v>
          </cell>
          <cell r="O51">
            <v>2</v>
          </cell>
          <cell r="P51" t="str">
            <v>Core Academic Studies</v>
          </cell>
          <cell r="Q51" t="str">
            <v>Core</v>
          </cell>
          <cell r="R51" t="str">
            <v>Social Studies Level 7</v>
          </cell>
        </row>
        <row r="52">
          <cell r="A52">
            <v>51</v>
          </cell>
          <cell r="C52" t="str">
            <v>Staatsinrichting</v>
          </cell>
          <cell r="E52">
            <v>7</v>
          </cell>
          <cell r="F52">
            <v>1</v>
          </cell>
          <cell r="G52">
            <v>3</v>
          </cell>
          <cell r="H52">
            <v>3</v>
          </cell>
          <cell r="I52">
            <v>3</v>
          </cell>
          <cell r="J52">
            <v>6</v>
          </cell>
          <cell r="K52" t="str">
            <v>Social Studies</v>
          </cell>
          <cell r="L52" t="str">
            <v>SS</v>
          </cell>
          <cell r="M52" t="str">
            <v xml:space="preserve">Bij bestellen rekening houden dat dit 1 boek is. </v>
          </cell>
          <cell r="N52" t="str">
            <v>SI</v>
          </cell>
          <cell r="O52">
            <v>2</v>
          </cell>
          <cell r="P52" t="str">
            <v>Core Academic Studies</v>
          </cell>
          <cell r="Q52" t="str">
            <v>Core</v>
          </cell>
          <cell r="R52" t="str">
            <v>Staatsinrichting</v>
          </cell>
        </row>
        <row r="53">
          <cell r="A53">
            <v>52</v>
          </cell>
          <cell r="C53" t="str">
            <v>Bible Reading Level 7</v>
          </cell>
          <cell r="E53">
            <v>7</v>
          </cell>
          <cell r="F53">
            <v>73</v>
          </cell>
          <cell r="G53">
            <v>84</v>
          </cell>
          <cell r="H53">
            <v>12</v>
          </cell>
          <cell r="I53">
            <v>12</v>
          </cell>
          <cell r="J53">
            <v>7</v>
          </cell>
          <cell r="K53" t="str">
            <v>Biblical Studies</v>
          </cell>
          <cell r="L53" t="str">
            <v>BS</v>
          </cell>
          <cell r="M53" t="str">
            <v xml:space="preserve">Dit bestaat nog niet. Misschien komt er later nog materiaal beschikbaar voor dit niveau. </v>
          </cell>
          <cell r="N53" t="str">
            <v>BR</v>
          </cell>
          <cell r="O53">
            <v>2</v>
          </cell>
          <cell r="P53" t="str">
            <v>Core Academic Studies</v>
          </cell>
          <cell r="Q53" t="str">
            <v>Core</v>
          </cell>
          <cell r="R53" t="str">
            <v>Bible Reading Level 7</v>
          </cell>
        </row>
        <row r="54">
          <cell r="A54">
            <v>53</v>
          </cell>
          <cell r="C54" t="str">
            <v>General Maths</v>
          </cell>
          <cell r="E54">
            <v>8</v>
          </cell>
          <cell r="F54">
            <v>85</v>
          </cell>
          <cell r="G54">
            <v>96</v>
          </cell>
          <cell r="H54">
            <v>12</v>
          </cell>
          <cell r="I54">
            <v>12</v>
          </cell>
          <cell r="J54">
            <v>1</v>
          </cell>
          <cell r="K54" t="str">
            <v>Maths</v>
          </cell>
          <cell r="L54" t="str">
            <v>MA</v>
          </cell>
          <cell r="N54" t="str">
            <v>GM</v>
          </cell>
          <cell r="O54">
            <v>2</v>
          </cell>
          <cell r="P54" t="str">
            <v>Core Academic Studies</v>
          </cell>
          <cell r="Q54" t="str">
            <v>Core</v>
          </cell>
          <cell r="R54" t="str">
            <v>General Maths</v>
          </cell>
        </row>
        <row r="55">
          <cell r="A55">
            <v>54</v>
          </cell>
          <cell r="C55" t="str">
            <v>General English</v>
          </cell>
          <cell r="E55">
            <v>8</v>
          </cell>
          <cell r="F55">
            <v>85</v>
          </cell>
          <cell r="G55">
            <v>96</v>
          </cell>
          <cell r="H55">
            <v>12</v>
          </cell>
          <cell r="I55">
            <v>12</v>
          </cell>
          <cell r="J55">
            <v>2</v>
          </cell>
          <cell r="K55" t="str">
            <v>Language</v>
          </cell>
          <cell r="L55" t="str">
            <v>LA</v>
          </cell>
          <cell r="N55" t="str">
            <v>EN</v>
          </cell>
          <cell r="O55">
            <v>1</v>
          </cell>
          <cell r="P55" t="str">
            <v>Christian Studies</v>
          </cell>
          <cell r="Q55" t="str">
            <v>Core</v>
          </cell>
          <cell r="R55" t="str">
            <v>General English</v>
          </cell>
        </row>
        <row r="56">
          <cell r="A56">
            <v>55</v>
          </cell>
          <cell r="C56" t="str">
            <v>Word Building Level 8</v>
          </cell>
          <cell r="E56">
            <v>8</v>
          </cell>
          <cell r="F56">
            <v>85</v>
          </cell>
          <cell r="G56">
            <v>96</v>
          </cell>
          <cell r="H56">
            <v>12</v>
          </cell>
          <cell r="I56">
            <v>12</v>
          </cell>
          <cell r="J56">
            <v>3</v>
          </cell>
          <cell r="K56" t="str">
            <v>Word Building</v>
          </cell>
          <cell r="L56" t="str">
            <v>WB</v>
          </cell>
          <cell r="N56" t="str">
            <v>WB</v>
          </cell>
          <cell r="O56">
            <v>1</v>
          </cell>
          <cell r="P56" t="str">
            <v>Christian Studies</v>
          </cell>
          <cell r="Q56" t="str">
            <v>Core</v>
          </cell>
          <cell r="R56" t="str">
            <v>Word Building Level 8</v>
          </cell>
        </row>
        <row r="57">
          <cell r="A57">
            <v>56</v>
          </cell>
          <cell r="C57" t="str">
            <v>Literature Level 8</v>
          </cell>
          <cell r="E57">
            <v>8</v>
          </cell>
          <cell r="F57">
            <v>86</v>
          </cell>
          <cell r="G57">
            <v>96</v>
          </cell>
          <cell r="H57">
            <v>11</v>
          </cell>
          <cell r="I57" t="str">
            <v>?</v>
          </cell>
          <cell r="J57">
            <v>4</v>
          </cell>
          <cell r="K57" t="str">
            <v>Literature</v>
          </cell>
          <cell r="L57" t="str">
            <v>LI</v>
          </cell>
          <cell r="M57" t="str">
            <v>Alleen even getallen hebben PACE beschikbaar</v>
          </cell>
          <cell r="N57" t="str">
            <v>LC</v>
          </cell>
          <cell r="O57">
            <v>1</v>
          </cell>
          <cell r="P57" t="str">
            <v>Christian Studies</v>
          </cell>
          <cell r="Q57" t="str">
            <v>Core</v>
          </cell>
          <cell r="R57" t="str">
            <v>Literature Level 8</v>
          </cell>
        </row>
        <row r="58">
          <cell r="A58">
            <v>57</v>
          </cell>
          <cell r="B58" t="str">
            <v>Science 8</v>
          </cell>
          <cell r="C58" t="str">
            <v>Earth Science</v>
          </cell>
          <cell r="E58">
            <v>8</v>
          </cell>
          <cell r="F58">
            <v>85</v>
          </cell>
          <cell r="G58">
            <v>96</v>
          </cell>
          <cell r="H58">
            <v>12</v>
          </cell>
          <cell r="I58">
            <v>12</v>
          </cell>
          <cell r="J58">
            <v>5</v>
          </cell>
          <cell r="K58" t="str">
            <v>Science</v>
          </cell>
          <cell r="L58" t="str">
            <v>SC</v>
          </cell>
          <cell r="N58" t="str">
            <v>ES</v>
          </cell>
          <cell r="O58">
            <v>2</v>
          </cell>
          <cell r="P58" t="str">
            <v>Core Academic Studies</v>
          </cell>
          <cell r="Q58" t="str">
            <v>Core</v>
          </cell>
          <cell r="R58" t="str">
            <v>Science Level 8</v>
          </cell>
        </row>
        <row r="59">
          <cell r="A59">
            <v>58</v>
          </cell>
          <cell r="C59" t="str">
            <v>British and European History</v>
          </cell>
          <cell r="D59" t="str">
            <v>Social Studies I-B</v>
          </cell>
          <cell r="E59">
            <v>8</v>
          </cell>
          <cell r="F59">
            <v>97</v>
          </cell>
          <cell r="G59">
            <v>108</v>
          </cell>
          <cell r="H59">
            <v>12</v>
          </cell>
          <cell r="I59">
            <v>12</v>
          </cell>
          <cell r="J59">
            <v>6</v>
          </cell>
          <cell r="K59" t="str">
            <v>Social Studies</v>
          </cell>
          <cell r="L59" t="str">
            <v>SS</v>
          </cell>
          <cell r="M59" t="str">
            <v>SS Level 8 bestaat uit History en Geography. Binnen History moet gekozen worden voor dit vak (British European) OF voor American History. Daarna volgt World Geography</v>
          </cell>
          <cell r="N59" t="str">
            <v>UK</v>
          </cell>
          <cell r="O59">
            <v>1</v>
          </cell>
          <cell r="P59" t="str">
            <v>Christian Studies</v>
          </cell>
          <cell r="Q59" t="str">
            <v>Further Credit Option</v>
          </cell>
          <cell r="R59" t="str">
            <v>Social Studies Level 8 British and European History</v>
          </cell>
        </row>
        <row r="60">
          <cell r="A60">
            <v>59</v>
          </cell>
          <cell r="B60" t="str">
            <v>World History</v>
          </cell>
          <cell r="C60" t="str">
            <v>World History</v>
          </cell>
          <cell r="D60" t="str">
            <v>Social Studies II-B</v>
          </cell>
          <cell r="E60">
            <v>10</v>
          </cell>
          <cell r="F60">
            <v>97</v>
          </cell>
          <cell r="G60">
            <v>108</v>
          </cell>
          <cell r="H60">
            <v>12</v>
          </cell>
          <cell r="I60">
            <v>12</v>
          </cell>
          <cell r="J60">
            <v>6</v>
          </cell>
          <cell r="K60" t="str">
            <v>Social Studies</v>
          </cell>
          <cell r="L60" t="str">
            <v>SS</v>
          </cell>
          <cell r="M60" t="str">
            <v>Dit was tot 1/1/2024 een optie voor het Enrollment-Course "British and European History /  World History" binnen General (level 8), waarbij de leerling mag kiezen tussen Eur. of World History (alleen de 3rd Edition mocht dan gebruikt worden). Na deze periode is dit een keuzevak geworden binnen Intermediate (level 10) en alleen met de 4th Editions.</v>
          </cell>
          <cell r="N60" t="str">
            <v>WH</v>
          </cell>
          <cell r="O60">
            <v>1</v>
          </cell>
          <cell r="P60" t="str">
            <v>Christian Studies</v>
          </cell>
          <cell r="Q60" t="str">
            <v>Further Credit Option</v>
          </cell>
          <cell r="R60" t="str">
            <v>Social Studies Level 9 World History</v>
          </cell>
        </row>
        <row r="61">
          <cell r="A61">
            <v>60</v>
          </cell>
          <cell r="B61" t="str">
            <v>Biblical Studies I: New Testament Survey</v>
          </cell>
          <cell r="C61" t="str">
            <v>New Testament Survey</v>
          </cell>
          <cell r="E61">
            <v>8</v>
          </cell>
          <cell r="F61">
            <v>97</v>
          </cell>
          <cell r="G61">
            <v>108</v>
          </cell>
          <cell r="H61">
            <v>12</v>
          </cell>
          <cell r="I61">
            <v>12</v>
          </cell>
          <cell r="J61">
            <v>7</v>
          </cell>
          <cell r="K61" t="str">
            <v>Biblical Studies</v>
          </cell>
          <cell r="L61" t="str">
            <v>BS</v>
          </cell>
          <cell r="N61" t="str">
            <v>NT</v>
          </cell>
          <cell r="O61">
            <v>1</v>
          </cell>
          <cell r="P61" t="str">
            <v>Christian Studies</v>
          </cell>
          <cell r="Q61" t="str">
            <v>Core</v>
          </cell>
          <cell r="R61" t="str">
            <v>New Testament Survey</v>
          </cell>
        </row>
        <row r="62">
          <cell r="A62">
            <v>61</v>
          </cell>
          <cell r="C62" t="str">
            <v>Algebra I</v>
          </cell>
          <cell r="D62" t="str">
            <v>Mathematics-IA</v>
          </cell>
          <cell r="E62">
            <v>9</v>
          </cell>
          <cell r="F62">
            <v>97</v>
          </cell>
          <cell r="G62">
            <v>108</v>
          </cell>
          <cell r="H62">
            <v>12</v>
          </cell>
          <cell r="I62">
            <v>12</v>
          </cell>
          <cell r="J62">
            <v>1</v>
          </cell>
          <cell r="K62" t="str">
            <v>Maths</v>
          </cell>
          <cell r="L62" t="str">
            <v>MA</v>
          </cell>
          <cell r="N62" t="str">
            <v>AL</v>
          </cell>
          <cell r="O62">
            <v>1</v>
          </cell>
          <cell r="P62" t="str">
            <v>Christian Studies</v>
          </cell>
          <cell r="Q62" t="str">
            <v>Core</v>
          </cell>
          <cell r="R62" t="str">
            <v>Algebra I</v>
          </cell>
        </row>
        <row r="63">
          <cell r="A63">
            <v>62</v>
          </cell>
          <cell r="C63" t="str">
            <v>English I</v>
          </cell>
          <cell r="E63">
            <v>9</v>
          </cell>
          <cell r="F63">
            <v>97</v>
          </cell>
          <cell r="G63">
            <v>108</v>
          </cell>
          <cell r="H63">
            <v>12</v>
          </cell>
          <cell r="I63">
            <v>12</v>
          </cell>
          <cell r="J63">
            <v>2</v>
          </cell>
          <cell r="K63" t="str">
            <v>Language</v>
          </cell>
          <cell r="L63" t="str">
            <v>LA</v>
          </cell>
          <cell r="N63" t="str">
            <v>EN</v>
          </cell>
          <cell r="O63">
            <v>1</v>
          </cell>
          <cell r="P63" t="str">
            <v>Christian Studies</v>
          </cell>
          <cell r="Q63" t="str">
            <v>Core</v>
          </cell>
          <cell r="R63" t="str">
            <v>English I</v>
          </cell>
        </row>
        <row r="64">
          <cell r="A64">
            <v>63</v>
          </cell>
          <cell r="C64" t="str">
            <v>French I</v>
          </cell>
          <cell r="E64">
            <v>9</v>
          </cell>
          <cell r="F64">
            <v>97</v>
          </cell>
          <cell r="G64">
            <v>108</v>
          </cell>
          <cell r="H64">
            <v>12</v>
          </cell>
          <cell r="I64">
            <v>12</v>
          </cell>
          <cell r="J64">
            <v>2</v>
          </cell>
          <cell r="K64" t="str">
            <v>Language</v>
          </cell>
          <cell r="L64" t="str">
            <v>LA</v>
          </cell>
          <cell r="N64" t="str">
            <v>FR</v>
          </cell>
          <cell r="O64">
            <v>1</v>
          </cell>
          <cell r="P64" t="str">
            <v>Christian Studies</v>
          </cell>
          <cell r="Q64" t="str">
            <v>Further Credit Option</v>
          </cell>
          <cell r="R64" t="str">
            <v>French I</v>
          </cell>
        </row>
        <row r="65">
          <cell r="A65">
            <v>64</v>
          </cell>
          <cell r="C65" t="str">
            <v>Rosetta Stone Level 9</v>
          </cell>
          <cell r="E65">
            <v>9</v>
          </cell>
          <cell r="F65">
            <v>1</v>
          </cell>
          <cell r="G65">
            <v>2</v>
          </cell>
          <cell r="H65">
            <v>2</v>
          </cell>
          <cell r="J65">
            <v>2</v>
          </cell>
          <cell r="K65" t="str">
            <v>Language</v>
          </cell>
          <cell r="L65" t="str">
            <v>LA</v>
          </cell>
          <cell r="M65" t="str">
            <v>Extended Levels only</v>
          </cell>
          <cell r="N65" t="str">
            <v>RS</v>
          </cell>
          <cell r="O65">
            <v>1</v>
          </cell>
          <cell r="P65" t="str">
            <v>Christian Studies</v>
          </cell>
          <cell r="Q65" t="str">
            <v>Further Credit Option</v>
          </cell>
          <cell r="R65" t="str">
            <v>Rosetta Stone Level 9</v>
          </cell>
        </row>
        <row r="66">
          <cell r="A66">
            <v>65</v>
          </cell>
          <cell r="C66" t="str">
            <v>Spanish I</v>
          </cell>
          <cell r="E66">
            <v>9</v>
          </cell>
          <cell r="F66">
            <v>1</v>
          </cell>
          <cell r="G66">
            <v>12</v>
          </cell>
          <cell r="H66">
            <v>12</v>
          </cell>
          <cell r="I66">
            <v>12</v>
          </cell>
          <cell r="J66">
            <v>2</v>
          </cell>
          <cell r="K66" t="str">
            <v>Language</v>
          </cell>
          <cell r="L66" t="str">
            <v>LA</v>
          </cell>
          <cell r="N66" t="str">
            <v>ES</v>
          </cell>
          <cell r="O66">
            <v>1</v>
          </cell>
          <cell r="P66" t="str">
            <v>Christian Studies</v>
          </cell>
          <cell r="Q66" t="str">
            <v>Further Credit Option</v>
          </cell>
          <cell r="R66" t="str">
            <v>Spanish I</v>
          </cell>
        </row>
        <row r="67">
          <cell r="A67">
            <v>66</v>
          </cell>
          <cell r="C67" t="str">
            <v>Advanced Art</v>
          </cell>
          <cell r="E67">
            <v>9</v>
          </cell>
          <cell r="F67">
            <v>97</v>
          </cell>
          <cell r="G67">
            <v>108</v>
          </cell>
          <cell r="H67">
            <v>12</v>
          </cell>
          <cell r="I67">
            <v>12</v>
          </cell>
          <cell r="J67">
            <v>10</v>
          </cell>
          <cell r="K67" t="str">
            <v>Supplementary</v>
          </cell>
          <cell r="L67" t="str">
            <v>SU</v>
          </cell>
          <cell r="N67" t="str">
            <v>AA</v>
          </cell>
          <cell r="O67">
            <v>2</v>
          </cell>
          <cell r="P67" t="str">
            <v>Core Academic Studies</v>
          </cell>
          <cell r="Q67" t="str">
            <v>Further Credit Option</v>
          </cell>
          <cell r="R67" t="str">
            <v>Advanced Art</v>
          </cell>
        </row>
        <row r="68">
          <cell r="A68">
            <v>67</v>
          </cell>
          <cell r="C68" t="str">
            <v>Complete Art</v>
          </cell>
          <cell r="E68">
            <v>9</v>
          </cell>
          <cell r="F68">
            <v>1</v>
          </cell>
          <cell r="G68">
            <v>10</v>
          </cell>
          <cell r="H68">
            <v>10</v>
          </cell>
          <cell r="J68">
            <v>10</v>
          </cell>
          <cell r="K68" t="str">
            <v>Supplementary</v>
          </cell>
          <cell r="L68" t="str">
            <v>SU</v>
          </cell>
          <cell r="N68" t="str">
            <v>CA</v>
          </cell>
          <cell r="O68">
            <v>2</v>
          </cell>
          <cell r="P68" t="str">
            <v>Core Academic Studies</v>
          </cell>
          <cell r="Q68" t="str">
            <v>Further Credit Option</v>
          </cell>
          <cell r="R68" t="str">
            <v>Complete Art</v>
          </cell>
        </row>
        <row r="69">
          <cell r="A69">
            <v>68</v>
          </cell>
          <cell r="C69" t="str">
            <v>Word Building / Etymology</v>
          </cell>
          <cell r="E69">
            <v>9</v>
          </cell>
          <cell r="F69">
            <v>97</v>
          </cell>
          <cell r="G69">
            <v>108</v>
          </cell>
          <cell r="H69">
            <v>12</v>
          </cell>
          <cell r="I69">
            <v>12</v>
          </cell>
          <cell r="J69">
            <v>3</v>
          </cell>
          <cell r="K69" t="str">
            <v>Word Building</v>
          </cell>
          <cell r="L69" t="str">
            <v>WB</v>
          </cell>
          <cell r="N69" t="str">
            <v>ET</v>
          </cell>
          <cell r="O69">
            <v>1</v>
          </cell>
          <cell r="P69" t="str">
            <v>Christian Studies</v>
          </cell>
          <cell r="Q69" t="str">
            <v>Core</v>
          </cell>
          <cell r="R69" t="str">
            <v>Word Building Level 9</v>
          </cell>
        </row>
        <row r="70">
          <cell r="A70">
            <v>69</v>
          </cell>
          <cell r="C70" t="str">
            <v>Music</v>
          </cell>
          <cell r="E70">
            <v>9</v>
          </cell>
          <cell r="F70">
            <v>1</v>
          </cell>
          <cell r="G70">
            <v>6</v>
          </cell>
          <cell r="H70">
            <v>6</v>
          </cell>
          <cell r="J70">
            <v>10</v>
          </cell>
          <cell r="K70" t="str">
            <v>Supplementary</v>
          </cell>
          <cell r="L70" t="str">
            <v>SU</v>
          </cell>
          <cell r="N70" t="str">
            <v>MU</v>
          </cell>
          <cell r="O70">
            <v>3</v>
          </cell>
          <cell r="P70" t="str">
            <v>Core Expanded Studies</v>
          </cell>
          <cell r="Q70" t="str">
            <v>Further Credit Option</v>
          </cell>
          <cell r="R70" t="str">
            <v>Music</v>
          </cell>
        </row>
        <row r="71">
          <cell r="A71">
            <v>70</v>
          </cell>
          <cell r="C71" t="str">
            <v>Music Theory/Performance Grade 5</v>
          </cell>
          <cell r="E71">
            <v>9</v>
          </cell>
          <cell r="F71">
            <v>5</v>
          </cell>
          <cell r="G71">
            <v>6</v>
          </cell>
          <cell r="H71">
            <v>2</v>
          </cell>
          <cell r="I71">
            <v>12</v>
          </cell>
          <cell r="J71">
            <v>10</v>
          </cell>
          <cell r="K71" t="str">
            <v>Supplementary</v>
          </cell>
          <cell r="L71" t="str">
            <v>SU</v>
          </cell>
          <cell r="N71" t="str">
            <v>MT</v>
          </cell>
          <cell r="O71">
            <v>3</v>
          </cell>
          <cell r="P71" t="str">
            <v>Core Expanded Studies</v>
          </cell>
          <cell r="Q71" t="str">
            <v>Further Credit Option</v>
          </cell>
          <cell r="R71" t="str">
            <v>Music Theory/Performance Grade 5</v>
          </cell>
        </row>
        <row r="72">
          <cell r="A72">
            <v>71</v>
          </cell>
          <cell r="C72" t="str">
            <v>Music Theory/Performance</v>
          </cell>
          <cell r="E72">
            <v>9</v>
          </cell>
          <cell r="F72">
            <v>5</v>
          </cell>
          <cell r="G72">
            <v>6</v>
          </cell>
          <cell r="H72">
            <v>2</v>
          </cell>
          <cell r="I72">
            <v>12</v>
          </cell>
          <cell r="J72">
            <v>10</v>
          </cell>
          <cell r="K72" t="str">
            <v>Supplementary</v>
          </cell>
          <cell r="L72" t="str">
            <v>SU</v>
          </cell>
          <cell r="M72" t="str">
            <v>Is duplicate of 70? Or perhaps the other one is theory and this one is performance</v>
          </cell>
          <cell r="N72" t="str">
            <v>MT</v>
          </cell>
          <cell r="O72">
            <v>3</v>
          </cell>
          <cell r="P72" t="str">
            <v>Core Expanded Studies</v>
          </cell>
          <cell r="Q72" t="str">
            <v>Further Credit Option</v>
          </cell>
          <cell r="R72" t="str">
            <v>Music Theory/Performance</v>
          </cell>
        </row>
        <row r="73">
          <cell r="A73">
            <v>72</v>
          </cell>
          <cell r="C73" t="str">
            <v>Speech</v>
          </cell>
          <cell r="E73">
            <v>9</v>
          </cell>
          <cell r="F73">
            <v>1</v>
          </cell>
          <cell r="G73">
            <v>6</v>
          </cell>
          <cell r="H73">
            <v>6</v>
          </cell>
          <cell r="J73">
            <v>3</v>
          </cell>
          <cell r="K73" t="str">
            <v>Word Building</v>
          </cell>
          <cell r="L73" t="str">
            <v>WB</v>
          </cell>
          <cell r="N73" t="str">
            <v>SP</v>
          </cell>
          <cell r="O73">
            <v>3</v>
          </cell>
          <cell r="P73" t="str">
            <v>Core Expanded Studies</v>
          </cell>
          <cell r="Q73" t="str">
            <v>Core</v>
          </cell>
          <cell r="R73" t="str">
            <v>Speech</v>
          </cell>
        </row>
        <row r="74">
          <cell r="A74">
            <v>73</v>
          </cell>
          <cell r="C74" t="str">
            <v>ICCE Literature Level 9</v>
          </cell>
          <cell r="E74">
            <v>9</v>
          </cell>
          <cell r="F74">
            <v>1</v>
          </cell>
          <cell r="G74">
            <v>4</v>
          </cell>
          <cell r="H74">
            <v>4</v>
          </cell>
          <cell r="I74">
            <v>6</v>
          </cell>
          <cell r="J74">
            <v>4</v>
          </cell>
          <cell r="K74" t="str">
            <v>Literature</v>
          </cell>
          <cell r="L74" t="str">
            <v>LI</v>
          </cell>
          <cell r="M74" t="str">
            <v>Voor Essays vanaf een bepaald niveau worden er geen sterren gegeven. Dit vak heeft geen lesmateriaal. Het zijn gewoon vier boeken waar een essay voor moet worden geschreven.</v>
          </cell>
          <cell r="N74" t="str">
            <v>I9</v>
          </cell>
          <cell r="O74">
            <v>2</v>
          </cell>
          <cell r="P74" t="str">
            <v>Core Academic Studies</v>
          </cell>
          <cell r="Q74" t="str">
            <v>Core</v>
          </cell>
          <cell r="R74" t="str">
            <v>ICCE Literature Level 9</v>
          </cell>
        </row>
        <row r="75">
          <cell r="A75">
            <v>74</v>
          </cell>
          <cell r="C75" t="str">
            <v>Astronomy</v>
          </cell>
          <cell r="E75">
            <v>9</v>
          </cell>
          <cell r="F75">
            <v>1</v>
          </cell>
          <cell r="G75">
            <v>5</v>
          </cell>
          <cell r="H75">
            <v>5</v>
          </cell>
          <cell r="J75">
            <v>5</v>
          </cell>
          <cell r="K75" t="str">
            <v>Science</v>
          </cell>
          <cell r="L75" t="str">
            <v>SC</v>
          </cell>
          <cell r="N75" t="str">
            <v>AS</v>
          </cell>
          <cell r="O75">
            <v>2</v>
          </cell>
          <cell r="P75" t="str">
            <v>Core Academic Studies</v>
          </cell>
          <cell r="Q75" t="str">
            <v>Further Credit Option</v>
          </cell>
          <cell r="R75" t="str">
            <v>Astronomy</v>
          </cell>
        </row>
        <row r="76">
          <cell r="A76">
            <v>75</v>
          </cell>
          <cell r="B76" t="str">
            <v>Science 9</v>
          </cell>
          <cell r="C76" t="str">
            <v>Biology / Science Level 9</v>
          </cell>
          <cell r="E76">
            <v>9</v>
          </cell>
          <cell r="F76">
            <v>97</v>
          </cell>
          <cell r="G76">
            <v>108</v>
          </cell>
          <cell r="H76">
            <v>12</v>
          </cell>
          <cell r="I76">
            <v>12</v>
          </cell>
          <cell r="J76">
            <v>5</v>
          </cell>
          <cell r="K76" t="str">
            <v>Science</v>
          </cell>
          <cell r="L76" t="str">
            <v>SC</v>
          </cell>
          <cell r="N76" t="str">
            <v>BI</v>
          </cell>
          <cell r="O76">
            <v>2</v>
          </cell>
          <cell r="P76" t="str">
            <v>Core Academic Studies</v>
          </cell>
          <cell r="Q76" t="str">
            <v>Core</v>
          </cell>
          <cell r="R76" t="str">
            <v>Science Level 9</v>
          </cell>
        </row>
        <row r="77">
          <cell r="A77">
            <v>76</v>
          </cell>
          <cell r="C77" t="str">
            <v>Health</v>
          </cell>
          <cell r="E77">
            <v>9</v>
          </cell>
          <cell r="F77">
            <v>1</v>
          </cell>
          <cell r="G77">
            <v>6</v>
          </cell>
          <cell r="H77">
            <v>6</v>
          </cell>
          <cell r="J77">
            <v>5</v>
          </cell>
          <cell r="K77" t="str">
            <v>Science</v>
          </cell>
          <cell r="L77" t="str">
            <v>SC</v>
          </cell>
          <cell r="N77" t="str">
            <v>HE</v>
          </cell>
          <cell r="O77">
            <v>2</v>
          </cell>
          <cell r="P77" t="str">
            <v>Core Academic Studies</v>
          </cell>
          <cell r="Q77" t="str">
            <v>Further Credit Option</v>
          </cell>
          <cell r="R77" t="str">
            <v>Health</v>
          </cell>
        </row>
        <row r="78">
          <cell r="A78">
            <v>77</v>
          </cell>
          <cell r="C78" t="str">
            <v>Nutrition Science</v>
          </cell>
          <cell r="E78">
            <v>9</v>
          </cell>
          <cell r="F78">
            <v>1</v>
          </cell>
          <cell r="G78">
            <v>6</v>
          </cell>
          <cell r="H78">
            <v>6</v>
          </cell>
          <cell r="J78">
            <v>5</v>
          </cell>
          <cell r="K78" t="str">
            <v>Science</v>
          </cell>
          <cell r="L78" t="str">
            <v>SC</v>
          </cell>
          <cell r="N78" t="str">
            <v>NS</v>
          </cell>
          <cell r="O78">
            <v>2</v>
          </cell>
          <cell r="P78" t="str">
            <v>Core Academic Studies</v>
          </cell>
          <cell r="Q78" t="str">
            <v>Further Credit Option</v>
          </cell>
          <cell r="R78" t="str">
            <v>Nutrition Science</v>
          </cell>
        </row>
        <row r="79">
          <cell r="A79">
            <v>78</v>
          </cell>
          <cell r="C79" t="str">
            <v>Sport + Health</v>
          </cell>
          <cell r="E79">
            <v>9</v>
          </cell>
          <cell r="F79">
            <v>1</v>
          </cell>
          <cell r="G79">
            <v>4</v>
          </cell>
          <cell r="H79">
            <v>4</v>
          </cell>
          <cell r="I79">
            <v>12</v>
          </cell>
          <cell r="J79">
            <v>5</v>
          </cell>
          <cell r="K79" t="str">
            <v>Science</v>
          </cell>
          <cell r="L79" t="str">
            <v>SC</v>
          </cell>
          <cell r="M79" t="str">
            <v>Is een combinatie vak dat alleen met Health samen gedaan kan worden? ON HOLD Informatie moet nog bevestigd worden</v>
          </cell>
          <cell r="N79" t="str">
            <v>SP</v>
          </cell>
          <cell r="O79">
            <v>3</v>
          </cell>
          <cell r="P79" t="str">
            <v>Core Expanded Studies</v>
          </cell>
          <cell r="Q79" t="str">
            <v>Further Credit Option</v>
          </cell>
          <cell r="R79" t="str">
            <v>Sport + Health</v>
          </cell>
        </row>
        <row r="80">
          <cell r="A80">
            <v>79</v>
          </cell>
          <cell r="C80" t="str">
            <v>A.C.E. Training</v>
          </cell>
          <cell r="E80">
            <v>9</v>
          </cell>
          <cell r="H80">
            <v>1</v>
          </cell>
          <cell r="I80">
            <v>6</v>
          </cell>
          <cell r="J80">
            <v>10</v>
          </cell>
          <cell r="K80" t="str">
            <v>Supplementary</v>
          </cell>
          <cell r="L80" t="str">
            <v>SU</v>
          </cell>
          <cell r="N80" t="str">
            <v>AC</v>
          </cell>
          <cell r="O80">
            <v>4</v>
          </cell>
          <cell r="P80" t="str">
            <v>Applied Studies</v>
          </cell>
          <cell r="Q80" t="str">
            <v>Further Credit Option</v>
          </cell>
          <cell r="R80" t="str">
            <v>A.C.E. Training</v>
          </cell>
        </row>
        <row r="81">
          <cell r="A81">
            <v>80</v>
          </cell>
          <cell r="C81" t="str">
            <v>World Geography</v>
          </cell>
          <cell r="D81" t="str">
            <v>Social Studies I-C</v>
          </cell>
          <cell r="E81">
            <v>9</v>
          </cell>
          <cell r="F81">
            <v>97</v>
          </cell>
          <cell r="G81">
            <v>108</v>
          </cell>
          <cell r="H81">
            <v>12</v>
          </cell>
          <cell r="I81">
            <v>12</v>
          </cell>
          <cell r="J81">
            <v>6</v>
          </cell>
          <cell r="K81" t="str">
            <v>Social Studies</v>
          </cell>
          <cell r="L81" t="str">
            <v>SS</v>
          </cell>
          <cell r="N81" t="str">
            <v>WG</v>
          </cell>
          <cell r="O81">
            <v>2</v>
          </cell>
          <cell r="P81" t="str">
            <v>Core Academic Studies</v>
          </cell>
          <cell r="Q81" t="str">
            <v>Core</v>
          </cell>
          <cell r="R81" t="str">
            <v>Social Studies Level 9 World Geography</v>
          </cell>
        </row>
        <row r="82">
          <cell r="A82">
            <v>81</v>
          </cell>
          <cell r="C82" t="str">
            <v>Apologetics I</v>
          </cell>
          <cell r="D82" t="str">
            <v>Apologetics I-A (2022)</v>
          </cell>
          <cell r="E82">
            <v>9</v>
          </cell>
          <cell r="F82">
            <v>1</v>
          </cell>
          <cell r="G82">
            <v>2</v>
          </cell>
          <cell r="H82">
            <v>2</v>
          </cell>
          <cell r="I82">
            <v>3</v>
          </cell>
          <cell r="J82">
            <v>7</v>
          </cell>
          <cell r="K82" t="str">
            <v>Biblical Studies</v>
          </cell>
          <cell r="L82" t="str">
            <v>BS</v>
          </cell>
          <cell r="M82" t="str">
            <v>Dit zijn resp. PACE's 97,102 in de oude editie (2018). 2 sterren voor de twee toetsen, en 1 ster voor het essay</v>
          </cell>
          <cell r="N82" t="str">
            <v>AP</v>
          </cell>
          <cell r="O82">
            <v>1</v>
          </cell>
          <cell r="P82" t="str">
            <v>Christian Studies</v>
          </cell>
          <cell r="Q82" t="str">
            <v>Core</v>
          </cell>
          <cell r="R82" t="str">
            <v>Apologetics I</v>
          </cell>
        </row>
        <row r="83">
          <cell r="A83">
            <v>82</v>
          </cell>
          <cell r="C83" t="str">
            <v>Missions</v>
          </cell>
          <cell r="E83">
            <v>9</v>
          </cell>
          <cell r="F83">
            <v>1</v>
          </cell>
          <cell r="G83">
            <v>6</v>
          </cell>
          <cell r="H83">
            <v>6</v>
          </cell>
          <cell r="I83">
            <v>6</v>
          </cell>
          <cell r="J83">
            <v>7</v>
          </cell>
          <cell r="K83" t="str">
            <v>Biblical Studies</v>
          </cell>
          <cell r="L83" t="str">
            <v>BS</v>
          </cell>
          <cell r="N83" t="str">
            <v>MI</v>
          </cell>
          <cell r="O83">
            <v>1</v>
          </cell>
          <cell r="P83" t="str">
            <v>Christian Studies</v>
          </cell>
          <cell r="Q83" t="str">
            <v>Further Credit Option</v>
          </cell>
          <cell r="R83" t="str">
            <v>Missions</v>
          </cell>
        </row>
        <row r="84">
          <cell r="A84">
            <v>83</v>
          </cell>
          <cell r="B84" t="str">
            <v>Successful Living</v>
          </cell>
          <cell r="C84" t="str">
            <v>Successful Living</v>
          </cell>
          <cell r="E84">
            <v>9</v>
          </cell>
          <cell r="F84">
            <v>1</v>
          </cell>
          <cell r="G84">
            <v>12</v>
          </cell>
          <cell r="H84">
            <v>12</v>
          </cell>
          <cell r="I84">
            <v>12</v>
          </cell>
          <cell r="J84">
            <v>7</v>
          </cell>
          <cell r="K84" t="str">
            <v>Biblical Studies</v>
          </cell>
          <cell r="L84" t="str">
            <v>BS</v>
          </cell>
          <cell r="M84" t="str">
            <v>Vroeger kwam dit na BS Level 9 (NTS). Dit is vanaf 2024-01 een keuze voor General en Intermediate geworden (verplichting is vervallen). In plaats daarvan is ICCE Phys Science verplicht geworden in Level 9.</v>
          </cell>
          <cell r="N84" t="str">
            <v>SL</v>
          </cell>
          <cell r="O84">
            <v>1</v>
          </cell>
          <cell r="P84" t="str">
            <v>Christian Studies</v>
          </cell>
          <cell r="Q84" t="str">
            <v>Core</v>
          </cell>
          <cell r="R84" t="str">
            <v>Successful Living</v>
          </cell>
        </row>
        <row r="85">
          <cell r="A85">
            <v>84</v>
          </cell>
          <cell r="C85" t="str">
            <v>A.C.E. Training + 30 hours of service</v>
          </cell>
          <cell r="E85">
            <v>9</v>
          </cell>
          <cell r="H85">
            <v>1</v>
          </cell>
          <cell r="I85">
            <v>12</v>
          </cell>
          <cell r="J85">
            <v>10</v>
          </cell>
          <cell r="K85" t="str">
            <v>Supplementary</v>
          </cell>
          <cell r="L85" t="str">
            <v>SU</v>
          </cell>
          <cell r="N85" t="str">
            <v>AT</v>
          </cell>
          <cell r="O85">
            <v>4</v>
          </cell>
          <cell r="P85" t="str">
            <v>Applied Studies</v>
          </cell>
          <cell r="Q85" t="str">
            <v>Further Credit Option</v>
          </cell>
          <cell r="R85" t="str">
            <v>A.C.E. Training + 30 hours of service</v>
          </cell>
        </row>
        <row r="86">
          <cell r="A86">
            <v>85</v>
          </cell>
          <cell r="C86" t="str">
            <v>ECDL Course</v>
          </cell>
          <cell r="E86">
            <v>9</v>
          </cell>
          <cell r="F86">
            <v>1</v>
          </cell>
          <cell r="G86">
            <v>8</v>
          </cell>
          <cell r="H86">
            <v>8</v>
          </cell>
          <cell r="J86">
            <v>10</v>
          </cell>
          <cell r="K86" t="str">
            <v>Supplementary</v>
          </cell>
          <cell r="L86" t="str">
            <v>SU</v>
          </cell>
          <cell r="M86" t="str">
            <v xml:space="preserve">Wat is dit? </v>
          </cell>
          <cell r="N86" t="str">
            <v>ED</v>
          </cell>
          <cell r="O86">
            <v>3</v>
          </cell>
          <cell r="P86" t="str">
            <v>Core Expanded Studies</v>
          </cell>
          <cell r="Q86" t="str">
            <v>Core</v>
          </cell>
          <cell r="R86" t="str">
            <v>ECDL Course</v>
          </cell>
        </row>
        <row r="87">
          <cell r="A87">
            <v>86</v>
          </cell>
          <cell r="C87" t="str">
            <v>Geometry</v>
          </cell>
          <cell r="D87" t="str">
            <v>Mathematics-IIA</v>
          </cell>
          <cell r="E87">
            <v>10</v>
          </cell>
          <cell r="F87">
            <v>109</v>
          </cell>
          <cell r="G87">
            <v>120</v>
          </cell>
          <cell r="H87">
            <v>12</v>
          </cell>
          <cell r="I87">
            <v>12</v>
          </cell>
          <cell r="J87">
            <v>1</v>
          </cell>
          <cell r="K87" t="str">
            <v>Maths</v>
          </cell>
          <cell r="L87" t="str">
            <v>MA</v>
          </cell>
          <cell r="N87" t="str">
            <v>GE</v>
          </cell>
          <cell r="O87">
            <v>2</v>
          </cell>
          <cell r="P87" t="str">
            <v>Core Academic Studies</v>
          </cell>
          <cell r="Q87" t="str">
            <v>Core</v>
          </cell>
          <cell r="R87" t="str">
            <v>Geometry</v>
          </cell>
        </row>
        <row r="88">
          <cell r="A88">
            <v>87</v>
          </cell>
          <cell r="C88" t="str">
            <v>English II</v>
          </cell>
          <cell r="E88">
            <v>10</v>
          </cell>
          <cell r="F88">
            <v>109</v>
          </cell>
          <cell r="G88">
            <v>120</v>
          </cell>
          <cell r="H88">
            <v>12</v>
          </cell>
          <cell r="I88">
            <v>12</v>
          </cell>
          <cell r="J88">
            <v>2</v>
          </cell>
          <cell r="K88" t="str">
            <v>Language</v>
          </cell>
          <cell r="L88" t="str">
            <v>LA</v>
          </cell>
          <cell r="N88" t="str">
            <v>EN</v>
          </cell>
          <cell r="O88">
            <v>2</v>
          </cell>
          <cell r="P88" t="str">
            <v>Core Academic Studies</v>
          </cell>
          <cell r="Q88" t="str">
            <v>Core</v>
          </cell>
          <cell r="R88" t="str">
            <v>English II</v>
          </cell>
        </row>
        <row r="89">
          <cell r="A89">
            <v>88</v>
          </cell>
          <cell r="C89" t="str">
            <v>Rosetta Stone Level 10</v>
          </cell>
          <cell r="E89">
            <v>10</v>
          </cell>
          <cell r="F89">
            <v>3</v>
          </cell>
          <cell r="G89">
            <v>5</v>
          </cell>
          <cell r="H89">
            <v>3</v>
          </cell>
          <cell r="I89">
            <v>6</v>
          </cell>
          <cell r="J89">
            <v>2</v>
          </cell>
          <cell r="K89" t="str">
            <v>Language</v>
          </cell>
          <cell r="L89" t="str">
            <v>LA</v>
          </cell>
          <cell r="M89" t="str">
            <v>Each six stars</v>
          </cell>
          <cell r="N89" t="str">
            <v>RS</v>
          </cell>
          <cell r="O89">
            <v>2</v>
          </cell>
          <cell r="P89" t="str">
            <v>Core Academic Studies</v>
          </cell>
          <cell r="Q89" t="str">
            <v>Further Credit Option</v>
          </cell>
          <cell r="R89" t="str">
            <v>Rosetta Stone Level 10</v>
          </cell>
        </row>
        <row r="90">
          <cell r="A90">
            <v>89</v>
          </cell>
          <cell r="C90" t="str">
            <v>Music Theory/Performance Grade 6</v>
          </cell>
          <cell r="E90">
            <v>10</v>
          </cell>
          <cell r="H90">
            <v>1</v>
          </cell>
          <cell r="I90">
            <v>12</v>
          </cell>
          <cell r="J90">
            <v>10</v>
          </cell>
          <cell r="K90" t="str">
            <v>Supplementary</v>
          </cell>
          <cell r="L90" t="str">
            <v>SU</v>
          </cell>
          <cell r="N90" t="str">
            <v>MT</v>
          </cell>
          <cell r="O90">
            <v>3</v>
          </cell>
          <cell r="P90" t="str">
            <v>Core Expanded Studies</v>
          </cell>
          <cell r="Q90" t="str">
            <v>Further Credit Option</v>
          </cell>
          <cell r="R90" t="str">
            <v>Music Theory/Performance Grade 6</v>
          </cell>
        </row>
        <row r="91">
          <cell r="A91">
            <v>90</v>
          </cell>
          <cell r="B91" t="str">
            <v>Science 10</v>
          </cell>
          <cell r="C91" t="str">
            <v>Physical Science</v>
          </cell>
          <cell r="E91">
            <v>10</v>
          </cell>
          <cell r="F91">
            <v>109</v>
          </cell>
          <cell r="G91">
            <v>120</v>
          </cell>
          <cell r="H91">
            <v>12</v>
          </cell>
          <cell r="I91">
            <v>12</v>
          </cell>
          <cell r="J91">
            <v>5</v>
          </cell>
          <cell r="K91" t="str">
            <v>Science</v>
          </cell>
          <cell r="L91" t="str">
            <v>SC</v>
          </cell>
          <cell r="M91" t="str">
            <v>Dat klopt</v>
          </cell>
          <cell r="N91" t="str">
            <v>PS</v>
          </cell>
          <cell r="O91">
            <v>2</v>
          </cell>
          <cell r="P91" t="str">
            <v>Core Academic Studies</v>
          </cell>
          <cell r="Q91" t="str">
            <v>Core</v>
          </cell>
          <cell r="R91" t="str">
            <v>Science Level 10</v>
          </cell>
        </row>
        <row r="92">
          <cell r="A92">
            <v>91</v>
          </cell>
          <cell r="B92" t="str">
            <v>History of Civilisation I</v>
          </cell>
          <cell r="C92" t="str">
            <v>History of Civilisation I</v>
          </cell>
          <cell r="D92" t="str">
            <v>Social Studies II-B</v>
          </cell>
          <cell r="E92">
            <v>10</v>
          </cell>
          <cell r="F92">
            <v>1</v>
          </cell>
          <cell r="G92">
            <v>10</v>
          </cell>
          <cell r="H92">
            <v>10</v>
          </cell>
          <cell r="I92">
            <v>12</v>
          </cell>
          <cell r="J92">
            <v>6</v>
          </cell>
          <cell r="K92" t="str">
            <v>Social Studies</v>
          </cell>
          <cell r="L92" t="str">
            <v>SS</v>
          </cell>
          <cell r="N92" t="str">
            <v>HC</v>
          </cell>
          <cell r="O92">
            <v>2</v>
          </cell>
          <cell r="P92" t="str">
            <v>Core Academic Studies</v>
          </cell>
          <cell r="Q92" t="str">
            <v>Core</v>
          </cell>
          <cell r="R92" t="str">
            <v>Social Studies Level 10</v>
          </cell>
        </row>
        <row r="93">
          <cell r="A93">
            <v>92</v>
          </cell>
          <cell r="C93" t="str">
            <v>Apologetics II</v>
          </cell>
          <cell r="D93" t="str">
            <v>Apologetics I-B (2022)</v>
          </cell>
          <cell r="E93">
            <v>10</v>
          </cell>
          <cell r="F93">
            <v>7</v>
          </cell>
          <cell r="G93">
            <v>10</v>
          </cell>
          <cell r="H93">
            <v>4</v>
          </cell>
          <cell r="I93">
            <v>3</v>
          </cell>
          <cell r="J93">
            <v>7</v>
          </cell>
          <cell r="K93" t="str">
            <v>Biblical Studies</v>
          </cell>
          <cell r="L93" t="str">
            <v>BS</v>
          </cell>
          <cell r="M93" t="str">
            <v>De oude nummering hiervan is resp. PACE's 98-101 (nu dus 7-10). Hier mag gekozen worden voor Apologetics II (i.e. boekjes 3 en 4) of uit Groep 1 (i.e. Christian Studies, van Intermediate). Klopt deze laatste opmerking (keuze uit Groep 1)? Er is geen toets bij Apologetics II, maar wel een essay, waar drie sterren voor worden gegeven.</v>
          </cell>
          <cell r="N93" t="str">
            <v>AP</v>
          </cell>
          <cell r="O93">
            <v>1</v>
          </cell>
          <cell r="P93" t="str">
            <v>Christian Studies</v>
          </cell>
          <cell r="Q93" t="str">
            <v>Further Credit Option</v>
          </cell>
          <cell r="R93" t="str">
            <v>Apologetics II</v>
          </cell>
        </row>
        <row r="94">
          <cell r="A94">
            <v>93</v>
          </cell>
          <cell r="C94" t="str">
            <v>Christian Counselling I</v>
          </cell>
          <cell r="E94">
            <v>10</v>
          </cell>
          <cell r="F94">
            <v>1</v>
          </cell>
          <cell r="G94">
            <v>5</v>
          </cell>
          <cell r="H94">
            <v>5</v>
          </cell>
          <cell r="I94">
            <v>6</v>
          </cell>
          <cell r="J94">
            <v>7</v>
          </cell>
          <cell r="K94" t="str">
            <v>Biblical Studies</v>
          </cell>
          <cell r="L94" t="str">
            <v>BS</v>
          </cell>
          <cell r="M94" t="str">
            <v>Correct gespeld? Is Amerikaans materiaal maar Britse spelling?</v>
          </cell>
          <cell r="N94" t="str">
            <v>CC</v>
          </cell>
          <cell r="O94">
            <v>1</v>
          </cell>
          <cell r="P94" t="str">
            <v>Christian Studies</v>
          </cell>
          <cell r="Q94" t="str">
            <v>Further Credit Option</v>
          </cell>
          <cell r="R94" t="str">
            <v>Christian Counselling I</v>
          </cell>
        </row>
        <row r="95">
          <cell r="A95">
            <v>94</v>
          </cell>
          <cell r="C95" t="str">
            <v>Life of Christ I</v>
          </cell>
          <cell r="E95">
            <v>10</v>
          </cell>
          <cell r="F95">
            <v>133</v>
          </cell>
          <cell r="G95">
            <v>138</v>
          </cell>
          <cell r="H95">
            <v>6</v>
          </cell>
          <cell r="J95">
            <v>7</v>
          </cell>
          <cell r="K95" t="str">
            <v>Biblical Studies</v>
          </cell>
          <cell r="L95" t="str">
            <v>BS</v>
          </cell>
          <cell r="N95" t="str">
            <v>LC</v>
          </cell>
          <cell r="O95">
            <v>1</v>
          </cell>
          <cell r="P95" t="str">
            <v>Christian Studies</v>
          </cell>
          <cell r="Q95" t="str">
            <v>Further Credit Option</v>
          </cell>
          <cell r="R95" t="str">
            <v>Life of Christ I</v>
          </cell>
        </row>
        <row r="96">
          <cell r="A96">
            <v>95</v>
          </cell>
          <cell r="B96" t="str">
            <v>Biblical Studies II</v>
          </cell>
          <cell r="C96" t="str">
            <v>Old Testament Survey</v>
          </cell>
          <cell r="D96" t="str">
            <v>Biblical Studies II: Old Testament Survey ICCE-C25</v>
          </cell>
          <cell r="E96">
            <v>10</v>
          </cell>
          <cell r="F96">
            <v>109</v>
          </cell>
          <cell r="G96">
            <v>120</v>
          </cell>
          <cell r="H96">
            <v>12</v>
          </cell>
          <cell r="I96">
            <v>12</v>
          </cell>
          <cell r="J96">
            <v>7</v>
          </cell>
          <cell r="K96" t="str">
            <v>Biblical Studies</v>
          </cell>
          <cell r="L96" t="str">
            <v>BS</v>
          </cell>
          <cell r="M96" t="str">
            <v>Ik kan alleen PACEs 1-10 vinden, zijn waarschijnlijk oude edities</v>
          </cell>
          <cell r="N96" t="str">
            <v>OT</v>
          </cell>
          <cell r="O96">
            <v>1</v>
          </cell>
          <cell r="P96" t="str">
            <v>Christian Studies</v>
          </cell>
          <cell r="Q96" t="str">
            <v>Core</v>
          </cell>
          <cell r="R96" t="str">
            <v>Old Testament Survey</v>
          </cell>
        </row>
        <row r="97">
          <cell r="A97">
            <v>96</v>
          </cell>
          <cell r="C97" t="str">
            <v>Auto Mechanics</v>
          </cell>
          <cell r="E97">
            <v>10</v>
          </cell>
          <cell r="F97">
            <v>109</v>
          </cell>
          <cell r="G97">
            <v>114</v>
          </cell>
          <cell r="H97">
            <v>6</v>
          </cell>
          <cell r="J97">
            <v>10</v>
          </cell>
          <cell r="K97" t="str">
            <v>Supplementary</v>
          </cell>
          <cell r="L97" t="str">
            <v>SU</v>
          </cell>
          <cell r="N97" t="str">
            <v>AM</v>
          </cell>
          <cell r="O97">
            <v>3</v>
          </cell>
          <cell r="P97" t="str">
            <v>Core Expanded Studies</v>
          </cell>
          <cell r="Q97" t="str">
            <v>Further Credit Option</v>
          </cell>
          <cell r="R97" t="str">
            <v>Auto Mechanics</v>
          </cell>
        </row>
        <row r="98">
          <cell r="A98">
            <v>97</v>
          </cell>
          <cell r="C98" t="str">
            <v>ICT Course</v>
          </cell>
          <cell r="E98">
            <v>10</v>
          </cell>
          <cell r="H98">
            <v>1</v>
          </cell>
          <cell r="I98">
            <v>12</v>
          </cell>
          <cell r="J98">
            <v>10</v>
          </cell>
          <cell r="K98" t="str">
            <v>Supplementary</v>
          </cell>
          <cell r="L98" t="str">
            <v>SU</v>
          </cell>
          <cell r="M98" t="str">
            <v>From approved list</v>
          </cell>
          <cell r="N98" t="str">
            <v>IC</v>
          </cell>
          <cell r="O98">
            <v>3</v>
          </cell>
          <cell r="P98" t="str">
            <v>Core Expanded Studies</v>
          </cell>
          <cell r="Q98" t="str">
            <v>Further Credit Option</v>
          </cell>
          <cell r="R98" t="str">
            <v>ICT Course</v>
          </cell>
        </row>
        <row r="99">
          <cell r="A99">
            <v>98</v>
          </cell>
          <cell r="C99" t="str">
            <v>Algebra II</v>
          </cell>
          <cell r="E99">
            <v>11</v>
          </cell>
          <cell r="F99">
            <v>121</v>
          </cell>
          <cell r="G99">
            <v>132</v>
          </cell>
          <cell r="H99">
            <v>12</v>
          </cell>
          <cell r="I99">
            <v>12</v>
          </cell>
          <cell r="J99">
            <v>1</v>
          </cell>
          <cell r="K99" t="str">
            <v>Maths</v>
          </cell>
          <cell r="L99" t="str">
            <v>MA</v>
          </cell>
          <cell r="N99" t="str">
            <v>AL</v>
          </cell>
          <cell r="O99">
            <v>2</v>
          </cell>
          <cell r="P99" t="str">
            <v>Core Academic Studies</v>
          </cell>
          <cell r="Q99" t="str">
            <v>Core</v>
          </cell>
          <cell r="R99" t="str">
            <v>Algebra II</v>
          </cell>
        </row>
        <row r="100">
          <cell r="A100">
            <v>99</v>
          </cell>
          <cell r="C100" t="str">
            <v>British Literature</v>
          </cell>
          <cell r="E100">
            <v>11</v>
          </cell>
          <cell r="F100">
            <v>1</v>
          </cell>
          <cell r="G100">
            <v>5</v>
          </cell>
          <cell r="H100">
            <v>5</v>
          </cell>
          <cell r="I100" t="str">
            <v>?</v>
          </cell>
          <cell r="J100">
            <v>4</v>
          </cell>
          <cell r="K100" t="str">
            <v>Literature</v>
          </cell>
          <cell r="L100" t="str">
            <v>LI</v>
          </cell>
          <cell r="N100" t="str">
            <v>BL</v>
          </cell>
          <cell r="O100">
            <v>2</v>
          </cell>
          <cell r="P100" t="str">
            <v>Core Academic Studies</v>
          </cell>
          <cell r="Q100" t="str">
            <v>Core</v>
          </cell>
          <cell r="R100" t="str">
            <v>British Literature</v>
          </cell>
        </row>
        <row r="101">
          <cell r="A101">
            <v>100</v>
          </cell>
          <cell r="C101" t="str">
            <v>Dutch Language Staatsexamen HAVO</v>
          </cell>
          <cell r="E101">
            <v>11</v>
          </cell>
          <cell r="H101">
            <v>1</v>
          </cell>
          <cell r="I101">
            <v>18</v>
          </cell>
          <cell r="J101">
            <v>2</v>
          </cell>
          <cell r="K101" t="str">
            <v>Language</v>
          </cell>
          <cell r="L101" t="str">
            <v>LA</v>
          </cell>
          <cell r="M101" t="str">
            <v>Staatsexamen Havo, where is VWO?</v>
          </cell>
          <cell r="N101" t="str">
            <v>NL</v>
          </cell>
          <cell r="O101">
            <v>2</v>
          </cell>
          <cell r="P101" t="str">
            <v>Core Academic Studies</v>
          </cell>
          <cell r="Q101" t="str">
            <v>Core</v>
          </cell>
          <cell r="R101" t="str">
            <v>Dutch Language Staatsexamen HAVO</v>
          </cell>
        </row>
        <row r="102">
          <cell r="A102">
            <v>101</v>
          </cell>
          <cell r="C102" t="str">
            <v>English III</v>
          </cell>
          <cell r="E102">
            <v>11</v>
          </cell>
          <cell r="F102">
            <v>121</v>
          </cell>
          <cell r="G102">
            <v>132</v>
          </cell>
          <cell r="H102">
            <v>12</v>
          </cell>
          <cell r="I102">
            <v>12</v>
          </cell>
          <cell r="J102">
            <v>2</v>
          </cell>
          <cell r="K102" t="str">
            <v>Language</v>
          </cell>
          <cell r="L102" t="str">
            <v>LA</v>
          </cell>
          <cell r="N102" t="str">
            <v>EN</v>
          </cell>
          <cell r="O102">
            <v>2</v>
          </cell>
          <cell r="P102" t="str">
            <v>Core Academic Studies</v>
          </cell>
          <cell r="Q102" t="str">
            <v>Core</v>
          </cell>
          <cell r="R102" t="str">
            <v>English III</v>
          </cell>
        </row>
        <row r="103">
          <cell r="A103">
            <v>102</v>
          </cell>
          <cell r="C103" t="str">
            <v>ICCE Literature 10 Part 1</v>
          </cell>
          <cell r="E103">
            <v>10</v>
          </cell>
          <cell r="F103">
            <v>1</v>
          </cell>
          <cell r="G103">
            <v>3</v>
          </cell>
          <cell r="H103">
            <v>3</v>
          </cell>
          <cell r="I103">
            <v>6</v>
          </cell>
          <cell r="J103">
            <v>4</v>
          </cell>
          <cell r="K103" t="str">
            <v>Literature</v>
          </cell>
          <cell r="L103" t="str">
            <v>LI</v>
          </cell>
          <cell r="M103" t="str">
            <v xml:space="preserve">Beide vakken hebben dezelfde naam. Specification is niet duidelijk, is moeilijk met twee karakters. Beter is "I10" vs "I09". </v>
          </cell>
          <cell r="N103" t="str">
            <v>I1</v>
          </cell>
          <cell r="O103">
            <v>2</v>
          </cell>
          <cell r="P103" t="str">
            <v>Core Academic Studies</v>
          </cell>
          <cell r="Q103" t="str">
            <v>Further Credit Option</v>
          </cell>
          <cell r="R103" t="str">
            <v>ICCE Literature 10 Part 1</v>
          </cell>
        </row>
        <row r="104">
          <cell r="A104">
            <v>103</v>
          </cell>
          <cell r="C104" t="str">
            <v>ICCE Literature 10</v>
          </cell>
          <cell r="E104">
            <v>10</v>
          </cell>
          <cell r="F104">
            <v>1</v>
          </cell>
          <cell r="G104">
            <v>6</v>
          </cell>
          <cell r="H104">
            <v>6</v>
          </cell>
          <cell r="I104">
            <v>12</v>
          </cell>
          <cell r="J104">
            <v>4</v>
          </cell>
          <cell r="K104" t="str">
            <v>Literature</v>
          </cell>
          <cell r="L104" t="str">
            <v>LI</v>
          </cell>
          <cell r="M104" t="str">
            <v>Overlap with the previous one and the same name</v>
          </cell>
          <cell r="N104" t="str">
            <v>I1</v>
          </cell>
          <cell r="O104">
            <v>2</v>
          </cell>
          <cell r="P104" t="str">
            <v>Core Academic Studies</v>
          </cell>
          <cell r="Q104" t="str">
            <v>Further Credit Option</v>
          </cell>
          <cell r="R104" t="str">
            <v>ICCE Literature 10</v>
          </cell>
        </row>
        <row r="105">
          <cell r="A105">
            <v>104</v>
          </cell>
          <cell r="C105" t="str">
            <v>N.T. Greek I</v>
          </cell>
          <cell r="E105">
            <v>11</v>
          </cell>
          <cell r="F105">
            <v>121</v>
          </cell>
          <cell r="G105">
            <v>132</v>
          </cell>
          <cell r="H105">
            <v>12</v>
          </cell>
          <cell r="I105">
            <v>12</v>
          </cell>
          <cell r="J105">
            <v>2</v>
          </cell>
          <cell r="K105" t="str">
            <v>Language</v>
          </cell>
          <cell r="L105" t="str">
            <v>LA</v>
          </cell>
          <cell r="N105" t="str">
            <v>GR</v>
          </cell>
          <cell r="O105">
            <v>2</v>
          </cell>
          <cell r="P105" t="str">
            <v>Core Academic Studies</v>
          </cell>
          <cell r="Q105" t="str">
            <v>Further Credit Option</v>
          </cell>
          <cell r="R105" t="str">
            <v>N.T. Greek I</v>
          </cell>
        </row>
        <row r="106">
          <cell r="A106">
            <v>105</v>
          </cell>
          <cell r="B106" t="str">
            <v>Science 11</v>
          </cell>
          <cell r="C106" t="str">
            <v>Chemistry</v>
          </cell>
          <cell r="E106">
            <v>11</v>
          </cell>
          <cell r="F106">
            <v>121</v>
          </cell>
          <cell r="G106">
            <v>132</v>
          </cell>
          <cell r="H106">
            <v>12</v>
          </cell>
          <cell r="I106">
            <v>12</v>
          </cell>
          <cell r="J106">
            <v>5</v>
          </cell>
          <cell r="K106" t="str">
            <v>Science</v>
          </cell>
          <cell r="L106" t="str">
            <v>SC</v>
          </cell>
          <cell r="N106" t="str">
            <v>CH</v>
          </cell>
          <cell r="O106">
            <v>2</v>
          </cell>
          <cell r="P106" t="str">
            <v>Core Academic Studies</v>
          </cell>
          <cell r="Q106" t="str">
            <v>Core</v>
          </cell>
          <cell r="R106" t="str">
            <v>Science Level 11</v>
          </cell>
        </row>
        <row r="107">
          <cell r="A107">
            <v>106</v>
          </cell>
          <cell r="B107" t="str">
            <v>Basic New Testament Church History</v>
          </cell>
          <cell r="C107" t="str">
            <v>New Testament Church History</v>
          </cell>
          <cell r="D107" t="str">
            <v>ICCE-C26</v>
          </cell>
          <cell r="E107">
            <v>12</v>
          </cell>
          <cell r="F107">
            <v>121</v>
          </cell>
          <cell r="G107">
            <v>132</v>
          </cell>
          <cell r="H107">
            <v>12</v>
          </cell>
          <cell r="I107">
            <v>12</v>
          </cell>
          <cell r="J107">
            <v>7</v>
          </cell>
          <cell r="K107" t="str">
            <v>Biblical Studies</v>
          </cell>
          <cell r="L107" t="str">
            <v>BS</v>
          </cell>
          <cell r="N107" t="str">
            <v>NC</v>
          </cell>
          <cell r="O107">
            <v>1</v>
          </cell>
          <cell r="P107" t="str">
            <v>Christian Studies</v>
          </cell>
          <cell r="Q107" t="str">
            <v>Core</v>
          </cell>
          <cell r="R107" t="str">
            <v>New Testament Church History</v>
          </cell>
        </row>
        <row r="108">
          <cell r="A108">
            <v>107</v>
          </cell>
          <cell r="C108" t="str">
            <v>Accounting (US)</v>
          </cell>
          <cell r="E108">
            <v>12</v>
          </cell>
          <cell r="F108">
            <v>121</v>
          </cell>
          <cell r="G108">
            <v>132</v>
          </cell>
          <cell r="H108">
            <v>12</v>
          </cell>
          <cell r="I108">
            <v>12</v>
          </cell>
          <cell r="J108">
            <v>1</v>
          </cell>
          <cell r="K108" t="str">
            <v>Maths</v>
          </cell>
          <cell r="L108" t="str">
            <v>MA</v>
          </cell>
          <cell r="N108" t="str">
            <v>AC</v>
          </cell>
          <cell r="O108">
            <v>3</v>
          </cell>
          <cell r="P108" t="str">
            <v>Core Expanded Studies</v>
          </cell>
          <cell r="Q108" t="str">
            <v>Further Credit Option</v>
          </cell>
          <cell r="R108" t="str">
            <v>Accounting (US)</v>
          </cell>
        </row>
        <row r="109">
          <cell r="A109">
            <v>108</v>
          </cell>
          <cell r="B109" t="str">
            <v>Basic Mathematics I</v>
          </cell>
          <cell r="C109" t="str">
            <v>College Maths I</v>
          </cell>
          <cell r="E109">
            <v>12</v>
          </cell>
          <cell r="F109">
            <v>1</v>
          </cell>
          <cell r="G109">
            <v>10</v>
          </cell>
          <cell r="H109">
            <v>10</v>
          </cell>
          <cell r="I109" t="str">
            <v>?</v>
          </cell>
          <cell r="J109">
            <v>1</v>
          </cell>
          <cell r="K109" t="str">
            <v>Maths</v>
          </cell>
          <cell r="L109" t="str">
            <v>MA</v>
          </cell>
          <cell r="N109" t="str">
            <v>CM</v>
          </cell>
          <cell r="O109">
            <v>2</v>
          </cell>
          <cell r="P109" t="str">
            <v>Core Academic Studies</v>
          </cell>
          <cell r="Q109" t="str">
            <v>Further Credit Option</v>
          </cell>
          <cell r="R109" t="str">
            <v>College Maths I</v>
          </cell>
        </row>
        <row r="110">
          <cell r="A110">
            <v>109</v>
          </cell>
          <cell r="B110" t="str">
            <v>Basic Mathematics II Precalculus</v>
          </cell>
          <cell r="C110" t="str">
            <v>College Maths II</v>
          </cell>
          <cell r="E110">
            <v>12</v>
          </cell>
          <cell r="F110">
            <v>11</v>
          </cell>
          <cell r="G110">
            <v>20</v>
          </cell>
          <cell r="H110">
            <v>10</v>
          </cell>
          <cell r="I110" t="str">
            <v>?</v>
          </cell>
          <cell r="J110">
            <v>1</v>
          </cell>
          <cell r="K110" t="str">
            <v>Maths</v>
          </cell>
          <cell r="L110" t="str">
            <v>MA</v>
          </cell>
          <cell r="N110" t="str">
            <v>CM</v>
          </cell>
          <cell r="O110">
            <v>2</v>
          </cell>
          <cell r="P110" t="str">
            <v>Core Academic Studies</v>
          </cell>
          <cell r="Q110" t="str">
            <v>Further Credit Option</v>
          </cell>
          <cell r="R110" t="str">
            <v>College Maths II</v>
          </cell>
        </row>
        <row r="111">
          <cell r="A111">
            <v>110</v>
          </cell>
          <cell r="C111" t="str">
            <v>Higher Maths</v>
          </cell>
          <cell r="E111">
            <v>12</v>
          </cell>
          <cell r="F111">
            <v>139</v>
          </cell>
          <cell r="G111">
            <v>144</v>
          </cell>
          <cell r="H111">
            <v>6</v>
          </cell>
          <cell r="I111" t="str">
            <v>?</v>
          </cell>
          <cell r="J111">
            <v>1</v>
          </cell>
          <cell r="K111" t="str">
            <v>Maths</v>
          </cell>
          <cell r="L111" t="str">
            <v>MA</v>
          </cell>
          <cell r="N111" t="str">
            <v>HM</v>
          </cell>
          <cell r="O111">
            <v>2</v>
          </cell>
          <cell r="P111" t="str">
            <v>Core Academic Studies</v>
          </cell>
          <cell r="Q111" t="str">
            <v>Further Credit Option</v>
          </cell>
          <cell r="R111" t="str">
            <v>Higher Maths</v>
          </cell>
        </row>
        <row r="112">
          <cell r="A112">
            <v>111</v>
          </cell>
          <cell r="C112" t="str">
            <v>Trigonometry</v>
          </cell>
          <cell r="E112">
            <v>12</v>
          </cell>
          <cell r="F112">
            <v>133</v>
          </cell>
          <cell r="G112">
            <v>138</v>
          </cell>
          <cell r="H112">
            <v>6</v>
          </cell>
          <cell r="I112" t="str">
            <v>?</v>
          </cell>
          <cell r="J112">
            <v>1</v>
          </cell>
          <cell r="K112" t="str">
            <v>Maths</v>
          </cell>
          <cell r="L112" t="str">
            <v>MA</v>
          </cell>
          <cell r="N112" t="str">
            <v>TR</v>
          </cell>
          <cell r="O112">
            <v>2</v>
          </cell>
          <cell r="P112" t="str">
            <v>Core Academic Studies</v>
          </cell>
          <cell r="Q112" t="str">
            <v>Further Credit Option</v>
          </cell>
          <cell r="R112" t="str">
            <v>Trigonometry</v>
          </cell>
        </row>
        <row r="113">
          <cell r="A113">
            <v>112</v>
          </cell>
          <cell r="C113" t="str">
            <v>English Composition II</v>
          </cell>
          <cell r="E113">
            <v>12</v>
          </cell>
          <cell r="F113">
            <v>1</v>
          </cell>
          <cell r="G113">
            <v>10</v>
          </cell>
          <cell r="H113">
            <v>10</v>
          </cell>
          <cell r="J113">
            <v>2</v>
          </cell>
          <cell r="K113" t="str">
            <v>Language</v>
          </cell>
          <cell r="L113" t="str">
            <v>LA</v>
          </cell>
          <cell r="M113" t="str">
            <v>Where is English Composition I?</v>
          </cell>
          <cell r="N113" t="str">
            <v>EC</v>
          </cell>
          <cell r="O113">
            <v>2</v>
          </cell>
          <cell r="P113" t="str">
            <v>Core Academic Studies</v>
          </cell>
          <cell r="Q113" t="str">
            <v>Further Credit Option</v>
          </cell>
          <cell r="R113" t="str">
            <v>English Composition II</v>
          </cell>
        </row>
        <row r="114">
          <cell r="A114">
            <v>113</v>
          </cell>
          <cell r="C114" t="str">
            <v>English IV</v>
          </cell>
          <cell r="E114">
            <v>12</v>
          </cell>
          <cell r="F114">
            <v>133</v>
          </cell>
          <cell r="G114">
            <v>144</v>
          </cell>
          <cell r="H114">
            <v>12</v>
          </cell>
          <cell r="I114">
            <v>12</v>
          </cell>
          <cell r="J114">
            <v>2</v>
          </cell>
          <cell r="K114" t="str">
            <v>Language</v>
          </cell>
          <cell r="L114" t="str">
            <v>LA</v>
          </cell>
          <cell r="M114" t="str">
            <v xml:space="preserve">mogelijk English IV te kiezen als III nog niet gedaan is? </v>
          </cell>
          <cell r="N114" t="str">
            <v>EN</v>
          </cell>
          <cell r="O114">
            <v>2</v>
          </cell>
          <cell r="P114" t="str">
            <v>Core Academic Studies</v>
          </cell>
          <cell r="Q114" t="str">
            <v>Core</v>
          </cell>
          <cell r="R114" t="str">
            <v>English IV</v>
          </cell>
        </row>
        <row r="115">
          <cell r="A115">
            <v>114</v>
          </cell>
          <cell r="C115" t="str">
            <v>N.T. Greek II</v>
          </cell>
          <cell r="E115">
            <v>12</v>
          </cell>
          <cell r="F115">
            <v>11</v>
          </cell>
          <cell r="G115">
            <v>20</v>
          </cell>
          <cell r="H115">
            <v>10</v>
          </cell>
          <cell r="J115">
            <v>2</v>
          </cell>
          <cell r="K115" t="str">
            <v>Language</v>
          </cell>
          <cell r="L115" t="str">
            <v>LA</v>
          </cell>
          <cell r="M115" t="str">
            <v>Nieuwe nummering?</v>
          </cell>
          <cell r="N115" t="str">
            <v>GR</v>
          </cell>
          <cell r="O115">
            <v>2</v>
          </cell>
          <cell r="P115" t="str">
            <v>Core Academic Studies</v>
          </cell>
          <cell r="Q115" t="str">
            <v>Further Credit Option</v>
          </cell>
          <cell r="R115" t="str">
            <v>N.T. Greek II</v>
          </cell>
        </row>
        <row r="116">
          <cell r="A116">
            <v>115</v>
          </cell>
          <cell r="C116" t="str">
            <v>Music Theory/Performance Grade 7/8</v>
          </cell>
          <cell r="E116">
            <v>12</v>
          </cell>
          <cell r="F116">
            <v>7</v>
          </cell>
          <cell r="G116">
            <v>8</v>
          </cell>
          <cell r="H116">
            <v>2</v>
          </cell>
          <cell r="J116">
            <v>10</v>
          </cell>
          <cell r="K116" t="str">
            <v>Supplementary</v>
          </cell>
          <cell r="L116" t="str">
            <v>SU</v>
          </cell>
          <cell r="N116" t="str">
            <v>MT</v>
          </cell>
          <cell r="O116">
            <v>3</v>
          </cell>
          <cell r="P116" t="str">
            <v>Core Expanded Studies</v>
          </cell>
          <cell r="Q116" t="str">
            <v>Further Credit Option</v>
          </cell>
          <cell r="R116" t="str">
            <v>Music Theory/Performance Grade 7/8</v>
          </cell>
        </row>
        <row r="117">
          <cell r="A117">
            <v>116</v>
          </cell>
          <cell r="B117" t="str">
            <v>Basic Intro. to Physical Science</v>
          </cell>
          <cell r="C117" t="str">
            <v>College Physical Science</v>
          </cell>
          <cell r="E117">
            <v>12</v>
          </cell>
          <cell r="F117">
            <v>1</v>
          </cell>
          <cell r="G117">
            <v>10</v>
          </cell>
          <cell r="H117">
            <v>10</v>
          </cell>
          <cell r="I117">
            <v>12</v>
          </cell>
          <cell r="J117">
            <v>5</v>
          </cell>
          <cell r="K117" t="str">
            <v>Science</v>
          </cell>
          <cell r="L117" t="str">
            <v>SC</v>
          </cell>
          <cell r="N117" t="str">
            <v>CP</v>
          </cell>
          <cell r="O117">
            <v>2</v>
          </cell>
          <cell r="P117" t="str">
            <v>Core Academic Studies</v>
          </cell>
          <cell r="Q117" t="str">
            <v>Further Credit Option</v>
          </cell>
          <cell r="R117" t="str">
            <v>College Physical Science</v>
          </cell>
        </row>
        <row r="118">
          <cell r="A118">
            <v>117</v>
          </cell>
          <cell r="B118" t="str">
            <v>Science 12</v>
          </cell>
          <cell r="C118" t="str">
            <v>Physics</v>
          </cell>
          <cell r="E118">
            <v>12</v>
          </cell>
          <cell r="F118">
            <v>133</v>
          </cell>
          <cell r="G118">
            <v>144</v>
          </cell>
          <cell r="H118">
            <v>12</v>
          </cell>
          <cell r="I118">
            <v>12</v>
          </cell>
          <cell r="J118">
            <v>5</v>
          </cell>
          <cell r="K118" t="str">
            <v>Science</v>
          </cell>
          <cell r="L118" t="str">
            <v>SC</v>
          </cell>
          <cell r="N118" t="str">
            <v>PH</v>
          </cell>
          <cell r="O118">
            <v>2</v>
          </cell>
          <cell r="P118" t="str">
            <v>Core Academic Studies</v>
          </cell>
          <cell r="Q118" t="str">
            <v>Further Credit Option</v>
          </cell>
          <cell r="R118" t="str">
            <v>Science Level 12</v>
          </cell>
        </row>
        <row r="119">
          <cell r="A119">
            <v>118</v>
          </cell>
          <cell r="C119" t="str">
            <v>American History</v>
          </cell>
          <cell r="D119" t="str">
            <v>Social Studies I-A</v>
          </cell>
          <cell r="E119">
            <v>8</v>
          </cell>
          <cell r="F119">
            <v>85</v>
          </cell>
          <cell r="G119">
            <v>96</v>
          </cell>
          <cell r="H119">
            <v>12</v>
          </cell>
          <cell r="I119">
            <v>12</v>
          </cell>
          <cell r="J119">
            <v>6</v>
          </cell>
          <cell r="K119" t="str">
            <v>Social Studies</v>
          </cell>
          <cell r="L119" t="str">
            <v>SS</v>
          </cell>
          <cell r="M119" t="str">
            <v>Credit Option</v>
          </cell>
          <cell r="N119" t="str">
            <v>AH</v>
          </cell>
          <cell r="O119">
            <v>2</v>
          </cell>
          <cell r="P119" t="str">
            <v>Core Academic Studies</v>
          </cell>
          <cell r="Q119" t="str">
            <v>Further Credit Option</v>
          </cell>
          <cell r="R119" t="str">
            <v>Social Studies Level 8 American History</v>
          </cell>
        </row>
        <row r="120">
          <cell r="A120">
            <v>119</v>
          </cell>
          <cell r="B120" t="str">
            <v>Civics and Economics</v>
          </cell>
          <cell r="C120" t="str">
            <v>Civics and Economics</v>
          </cell>
          <cell r="E120">
            <v>12</v>
          </cell>
          <cell r="F120">
            <v>133</v>
          </cell>
          <cell r="G120">
            <v>144</v>
          </cell>
          <cell r="H120">
            <v>12</v>
          </cell>
          <cell r="I120">
            <v>12</v>
          </cell>
          <cell r="J120">
            <v>6</v>
          </cell>
          <cell r="K120" t="str">
            <v>Social Studies</v>
          </cell>
          <cell r="L120" t="str">
            <v>SS</v>
          </cell>
          <cell r="M120" t="str">
            <v>Is een combinatie van twee vakken</v>
          </cell>
          <cell r="N120" t="str">
            <v>CE</v>
          </cell>
          <cell r="O120">
            <v>2</v>
          </cell>
          <cell r="P120" t="str">
            <v>Core Academic Studies</v>
          </cell>
          <cell r="Q120" t="str">
            <v>Further Credit Option</v>
          </cell>
          <cell r="R120" t="str">
            <v>Social Studies Level 12</v>
          </cell>
        </row>
        <row r="121">
          <cell r="A121">
            <v>120</v>
          </cell>
          <cell r="C121" t="str">
            <v>Collectivism</v>
          </cell>
          <cell r="E121">
            <v>12</v>
          </cell>
          <cell r="F121">
            <v>133</v>
          </cell>
          <cell r="G121">
            <v>138</v>
          </cell>
          <cell r="H121">
            <v>6</v>
          </cell>
          <cell r="I121">
            <v>6</v>
          </cell>
          <cell r="J121">
            <v>6</v>
          </cell>
          <cell r="K121" t="str">
            <v>Social Studies</v>
          </cell>
          <cell r="L121" t="str">
            <v>SS</v>
          </cell>
          <cell r="M121" t="str">
            <v>Over communisme en zo</v>
          </cell>
          <cell r="N121" t="str">
            <v>CO</v>
          </cell>
          <cell r="O121">
            <v>1</v>
          </cell>
          <cell r="P121" t="str">
            <v>Christian Studies</v>
          </cell>
          <cell r="Q121" t="str">
            <v>Further Credit Option</v>
          </cell>
          <cell r="R121" t="str">
            <v>Social Studies Level 12 Collectivism</v>
          </cell>
        </row>
        <row r="122">
          <cell r="A122">
            <v>121</v>
          </cell>
          <cell r="B122" t="str">
            <v>History of Civilisation II</v>
          </cell>
          <cell r="C122" t="str">
            <v>History of Civilisation II</v>
          </cell>
          <cell r="E122">
            <v>11</v>
          </cell>
          <cell r="F122">
            <v>11</v>
          </cell>
          <cell r="G122">
            <v>20</v>
          </cell>
          <cell r="H122">
            <v>10</v>
          </cell>
          <cell r="I122">
            <v>12</v>
          </cell>
          <cell r="J122">
            <v>6</v>
          </cell>
          <cell r="K122" t="str">
            <v>Social Studies</v>
          </cell>
          <cell r="L122" t="str">
            <v>SS</v>
          </cell>
          <cell r="M122" t="str">
            <v>Dit staat ook onder FCO, maar is verplicht!?</v>
          </cell>
          <cell r="N122" t="str">
            <v>HC</v>
          </cell>
          <cell r="O122">
            <v>2</v>
          </cell>
          <cell r="P122" t="str">
            <v>Core Academic Studies</v>
          </cell>
          <cell r="Q122" t="str">
            <v>Core</v>
          </cell>
          <cell r="R122" t="str">
            <v>Social Studies Level 11</v>
          </cell>
        </row>
        <row r="123">
          <cell r="A123">
            <v>122</v>
          </cell>
          <cell r="C123" t="str">
            <v>US Constitution</v>
          </cell>
          <cell r="E123">
            <v>12</v>
          </cell>
          <cell r="F123">
            <v>133</v>
          </cell>
          <cell r="G123">
            <v>136</v>
          </cell>
          <cell r="H123">
            <v>4</v>
          </cell>
          <cell r="I123">
            <v>6</v>
          </cell>
          <cell r="J123">
            <v>6</v>
          </cell>
          <cell r="K123" t="str">
            <v>Social Studies</v>
          </cell>
          <cell r="L123" t="str">
            <v>SS</v>
          </cell>
          <cell r="N123" t="str">
            <v>UC</v>
          </cell>
          <cell r="O123">
            <v>2</v>
          </cell>
          <cell r="P123" t="str">
            <v>Core Academic Studies</v>
          </cell>
          <cell r="Q123" t="str">
            <v>Further Credit Option</v>
          </cell>
          <cell r="R123" t="str">
            <v>Social Studies Level 12 US Constitution</v>
          </cell>
        </row>
        <row r="124">
          <cell r="A124">
            <v>123</v>
          </cell>
          <cell r="C124" t="str">
            <v>Christian Counselling II</v>
          </cell>
          <cell r="E124">
            <v>12</v>
          </cell>
          <cell r="F124">
            <v>6</v>
          </cell>
          <cell r="G124">
            <v>10</v>
          </cell>
          <cell r="H124">
            <v>5</v>
          </cell>
          <cell r="I124">
            <v>6</v>
          </cell>
          <cell r="J124">
            <v>7</v>
          </cell>
          <cell r="K124" t="str">
            <v>Biblical Studies</v>
          </cell>
          <cell r="L124" t="str">
            <v>BS</v>
          </cell>
          <cell r="M124" t="str">
            <v>Apologetics option only?</v>
          </cell>
          <cell r="N124" t="str">
            <v>CC</v>
          </cell>
          <cell r="O124">
            <v>1</v>
          </cell>
          <cell r="P124" t="str">
            <v>Christian Studies</v>
          </cell>
          <cell r="Q124" t="str">
            <v>Further Credit Option</v>
          </cell>
          <cell r="R124" t="str">
            <v>Christian Counselling II</v>
          </cell>
        </row>
        <row r="125">
          <cell r="A125">
            <v>124</v>
          </cell>
          <cell r="B125" t="str">
            <v>Basic Christian Growth</v>
          </cell>
          <cell r="C125" t="str">
            <v>Christian Growth</v>
          </cell>
          <cell r="D125" t="str">
            <v>ICCE-C48</v>
          </cell>
          <cell r="E125">
            <v>12</v>
          </cell>
          <cell r="F125">
            <v>133</v>
          </cell>
          <cell r="G125">
            <v>138</v>
          </cell>
          <cell r="H125">
            <v>6</v>
          </cell>
          <cell r="I125">
            <v>6</v>
          </cell>
          <cell r="J125">
            <v>7</v>
          </cell>
          <cell r="K125" t="str">
            <v>Biblical Studies</v>
          </cell>
          <cell r="L125" t="str">
            <v>BS</v>
          </cell>
          <cell r="N125" t="str">
            <v>CG</v>
          </cell>
          <cell r="O125">
            <v>1</v>
          </cell>
          <cell r="P125" t="str">
            <v>Christian Studies</v>
          </cell>
          <cell r="Q125" t="str">
            <v>Further Credit Option</v>
          </cell>
          <cell r="R125" t="str">
            <v>Christian Growth</v>
          </cell>
        </row>
        <row r="126">
          <cell r="A126">
            <v>125</v>
          </cell>
          <cell r="C126" t="str">
            <v>Life of Christ II</v>
          </cell>
          <cell r="E126">
            <v>12</v>
          </cell>
          <cell r="F126">
            <v>139</v>
          </cell>
          <cell r="G126">
            <v>144</v>
          </cell>
          <cell r="H126">
            <v>6</v>
          </cell>
          <cell r="J126">
            <v>7</v>
          </cell>
          <cell r="K126" t="str">
            <v>Biblical Studies</v>
          </cell>
          <cell r="L126" t="str">
            <v>BS</v>
          </cell>
          <cell r="M126" t="str">
            <v>Only possible to choose this as an option for Apologetics III</v>
          </cell>
          <cell r="N126" t="str">
            <v>LC</v>
          </cell>
          <cell r="O126">
            <v>1</v>
          </cell>
          <cell r="P126" t="str">
            <v>Christian Studies</v>
          </cell>
          <cell r="Q126" t="str">
            <v>Further Credit Option</v>
          </cell>
          <cell r="R126" t="str">
            <v>Life of Christ II</v>
          </cell>
        </row>
        <row r="127">
          <cell r="A127">
            <v>126</v>
          </cell>
          <cell r="B127" t="str">
            <v>Basic New Testament Church History</v>
          </cell>
          <cell r="C127" t="str">
            <v>New Testament Church History II</v>
          </cell>
          <cell r="E127">
            <v>12</v>
          </cell>
          <cell r="F127">
            <v>127</v>
          </cell>
          <cell r="G127">
            <v>132</v>
          </cell>
          <cell r="H127">
            <v>6</v>
          </cell>
          <cell r="I127">
            <v>6</v>
          </cell>
          <cell r="J127">
            <v>7</v>
          </cell>
          <cell r="K127" t="str">
            <v>Biblical Studies</v>
          </cell>
          <cell r="L127" t="str">
            <v>BS</v>
          </cell>
          <cell r="M127" t="str">
            <v>Only possible to choose this as an option for Apologetics III</v>
          </cell>
          <cell r="N127" t="str">
            <v>NC</v>
          </cell>
          <cell r="O127">
            <v>1</v>
          </cell>
          <cell r="P127" t="str">
            <v>Christian Studies</v>
          </cell>
          <cell r="Q127" t="str">
            <v>Further Credit Option</v>
          </cell>
          <cell r="R127" t="str">
            <v>New Testament Church History II</v>
          </cell>
        </row>
        <row r="128">
          <cell r="A128">
            <v>127</v>
          </cell>
          <cell r="C128" t="str">
            <v>English Composition I</v>
          </cell>
          <cell r="E128">
            <v>10</v>
          </cell>
          <cell r="F128">
            <v>1</v>
          </cell>
          <cell r="G128">
            <v>10</v>
          </cell>
          <cell r="H128">
            <v>10</v>
          </cell>
          <cell r="J128">
            <v>2</v>
          </cell>
          <cell r="K128" t="str">
            <v>Language</v>
          </cell>
          <cell r="L128" t="str">
            <v>LA</v>
          </cell>
          <cell r="M128" t="str">
            <v>Welk level? Staat niet op het blad</v>
          </cell>
          <cell r="N128" t="str">
            <v>EC</v>
          </cell>
          <cell r="O128">
            <v>2</v>
          </cell>
          <cell r="P128" t="str">
            <v>Core Academic Studies</v>
          </cell>
          <cell r="Q128" t="str">
            <v>Core</v>
          </cell>
          <cell r="R128" t="str">
            <v>English Composition I</v>
          </cell>
        </row>
        <row r="129">
          <cell r="A129">
            <v>128</v>
          </cell>
        </row>
        <row r="130">
          <cell r="A130">
            <v>129</v>
          </cell>
          <cell r="C130" t="str">
            <v>ICCE Biology</v>
          </cell>
          <cell r="E130">
            <v>9</v>
          </cell>
          <cell r="F130">
            <v>1</v>
          </cell>
          <cell r="G130">
            <v>6</v>
          </cell>
          <cell r="H130">
            <v>6</v>
          </cell>
          <cell r="J130">
            <v>5</v>
          </cell>
          <cell r="K130" t="str">
            <v>Science</v>
          </cell>
          <cell r="L130" t="str">
            <v>SC</v>
          </cell>
          <cell r="N130" t="str">
            <v>IB</v>
          </cell>
          <cell r="O130">
            <v>2</v>
          </cell>
          <cell r="P130" t="str">
            <v>Core Academic Studies</v>
          </cell>
          <cell r="Q130" t="str">
            <v>Further Credit Option</v>
          </cell>
          <cell r="R130" t="str">
            <v>ICCE Biology</v>
          </cell>
        </row>
        <row r="131">
          <cell r="A131">
            <v>130</v>
          </cell>
          <cell r="C131" t="str">
            <v>Biology Apologia</v>
          </cell>
          <cell r="E131">
            <v>10</v>
          </cell>
          <cell r="F131">
            <v>1</v>
          </cell>
          <cell r="G131">
            <v>16</v>
          </cell>
          <cell r="H131">
            <v>16</v>
          </cell>
          <cell r="J131">
            <v>5</v>
          </cell>
          <cell r="K131" t="str">
            <v>Science</v>
          </cell>
          <cell r="L131" t="str">
            <v>SC</v>
          </cell>
          <cell r="N131" t="str">
            <v>BA</v>
          </cell>
          <cell r="O131">
            <v>2</v>
          </cell>
          <cell r="P131" t="str">
            <v>Core Academic Studies</v>
          </cell>
          <cell r="Q131" t="str">
            <v>Further Credit Option</v>
          </cell>
          <cell r="R131" t="str">
            <v>Biology Apologia</v>
          </cell>
        </row>
        <row r="132">
          <cell r="A132">
            <v>131</v>
          </cell>
          <cell r="C132" t="str">
            <v>Life of Christ</v>
          </cell>
          <cell r="E132">
            <v>12</v>
          </cell>
          <cell r="F132">
            <v>133</v>
          </cell>
          <cell r="G132">
            <v>144</v>
          </cell>
          <cell r="H132">
            <v>12</v>
          </cell>
          <cell r="I132">
            <v>12</v>
          </cell>
          <cell r="J132">
            <v>7</v>
          </cell>
          <cell r="K132" t="str">
            <v>Biblical Studies</v>
          </cell>
          <cell r="L132" t="str">
            <v>BS</v>
          </cell>
          <cell r="N132" t="str">
            <v>LC</v>
          </cell>
          <cell r="O132">
            <v>1</v>
          </cell>
          <cell r="P132" t="str">
            <v>Christian Studies</v>
          </cell>
          <cell r="Q132" t="str">
            <v>Further Credit Option</v>
          </cell>
          <cell r="R132" t="str">
            <v>Life of Christ</v>
          </cell>
        </row>
        <row r="133">
          <cell r="A133">
            <v>132</v>
          </cell>
          <cell r="C133" t="str">
            <v>Dutch Language Staatsexamen VMBO</v>
          </cell>
          <cell r="E133">
            <v>9</v>
          </cell>
          <cell r="H133">
            <v>1</v>
          </cell>
          <cell r="I133">
            <v>12</v>
          </cell>
          <cell r="J133">
            <v>2</v>
          </cell>
          <cell r="K133" t="str">
            <v>Language</v>
          </cell>
          <cell r="L133" t="str">
            <v>LA</v>
          </cell>
          <cell r="N133" t="str">
            <v>NL</v>
          </cell>
          <cell r="O133">
            <v>2</v>
          </cell>
          <cell r="P133" t="str">
            <v>Core Academic Studies</v>
          </cell>
          <cell r="Q133" t="str">
            <v>Further Credit Option</v>
          </cell>
          <cell r="R133" t="str">
            <v>Dutch Language Staatsexamen VMBO</v>
          </cell>
        </row>
        <row r="134">
          <cell r="A134">
            <v>133</v>
          </cell>
          <cell r="C134" t="str">
            <v>Social Studies Essay General</v>
          </cell>
          <cell r="E134">
            <v>9</v>
          </cell>
          <cell r="H134">
            <v>1</v>
          </cell>
          <cell r="I134">
            <v>3</v>
          </cell>
          <cell r="J134">
            <v>6</v>
          </cell>
          <cell r="K134" t="str">
            <v>Social Studies</v>
          </cell>
          <cell r="L134" t="str">
            <v>SS</v>
          </cell>
          <cell r="N134" t="str">
            <v>ES</v>
          </cell>
          <cell r="O134">
            <v>7</v>
          </cell>
          <cell r="P134" t="str">
            <v>Coursework</v>
          </cell>
          <cell r="Q134" t="str">
            <v>CourseWork</v>
          </cell>
          <cell r="R134" t="str">
            <v>Social Studies Essay General</v>
          </cell>
        </row>
        <row r="135">
          <cell r="A135">
            <v>134</v>
          </cell>
          <cell r="C135" t="str">
            <v>Science Essay General</v>
          </cell>
          <cell r="E135">
            <v>9</v>
          </cell>
          <cell r="H135">
            <v>1</v>
          </cell>
          <cell r="I135">
            <v>3</v>
          </cell>
          <cell r="J135">
            <v>5</v>
          </cell>
          <cell r="K135" t="str">
            <v>Science</v>
          </cell>
          <cell r="L135" t="str">
            <v>SC</v>
          </cell>
          <cell r="N135" t="str">
            <v>ES</v>
          </cell>
          <cell r="O135">
            <v>7</v>
          </cell>
          <cell r="P135" t="str">
            <v>Coursework</v>
          </cell>
          <cell r="Q135" t="str">
            <v>CourseWork</v>
          </cell>
          <cell r="R135" t="str">
            <v>Science Essay General</v>
          </cell>
        </row>
        <row r="136">
          <cell r="A136">
            <v>135</v>
          </cell>
          <cell r="C136" t="str">
            <v>Biblical Studies Essay Intermediate</v>
          </cell>
          <cell r="E136">
            <v>10</v>
          </cell>
          <cell r="H136">
            <v>1</v>
          </cell>
          <cell r="I136">
            <v>2</v>
          </cell>
          <cell r="J136">
            <v>7</v>
          </cell>
          <cell r="K136" t="str">
            <v>Biblical Studies</v>
          </cell>
          <cell r="L136" t="str">
            <v>BS</v>
          </cell>
          <cell r="N136" t="str">
            <v>ES</v>
          </cell>
          <cell r="O136">
            <v>7</v>
          </cell>
          <cell r="P136" t="str">
            <v>Coursework</v>
          </cell>
          <cell r="Q136" t="str">
            <v>CourseWork</v>
          </cell>
          <cell r="R136" t="str">
            <v>Biblical Studies Essay Intermediate</v>
          </cell>
        </row>
        <row r="137">
          <cell r="A137">
            <v>136</v>
          </cell>
          <cell r="C137" t="str">
            <v>English Essay Intermediate</v>
          </cell>
          <cell r="E137">
            <v>10</v>
          </cell>
          <cell r="H137">
            <v>1</v>
          </cell>
          <cell r="I137">
            <v>2</v>
          </cell>
          <cell r="J137">
            <v>2</v>
          </cell>
          <cell r="K137" t="str">
            <v>Language</v>
          </cell>
          <cell r="L137" t="str">
            <v>LA</v>
          </cell>
          <cell r="N137" t="str">
            <v>ES</v>
          </cell>
          <cell r="O137">
            <v>7</v>
          </cell>
          <cell r="P137" t="str">
            <v>Coursework</v>
          </cell>
          <cell r="Q137" t="str">
            <v>CourseWork</v>
          </cell>
          <cell r="R137" t="str">
            <v>English Essay Intermediate</v>
          </cell>
        </row>
        <row r="138">
          <cell r="A138">
            <v>137</v>
          </cell>
          <cell r="C138" t="str">
            <v>Social Studies Essay Intermediate</v>
          </cell>
          <cell r="E138">
            <v>10</v>
          </cell>
          <cell r="H138">
            <v>1</v>
          </cell>
          <cell r="I138">
            <v>2</v>
          </cell>
          <cell r="J138">
            <v>6</v>
          </cell>
          <cell r="K138" t="str">
            <v>Social Studies</v>
          </cell>
          <cell r="L138" t="str">
            <v>SS</v>
          </cell>
          <cell r="N138" t="str">
            <v>ES</v>
          </cell>
          <cell r="O138">
            <v>7</v>
          </cell>
          <cell r="P138" t="str">
            <v>Coursework</v>
          </cell>
          <cell r="Q138" t="str">
            <v>CourseWork</v>
          </cell>
          <cell r="R138" t="str">
            <v>Social Studies Essay Intermediate</v>
          </cell>
        </row>
        <row r="139">
          <cell r="A139">
            <v>138</v>
          </cell>
          <cell r="C139" t="str">
            <v>Science Essay Intermediate</v>
          </cell>
          <cell r="E139">
            <v>10</v>
          </cell>
          <cell r="H139">
            <v>1</v>
          </cell>
          <cell r="I139">
            <v>2</v>
          </cell>
          <cell r="J139">
            <v>5</v>
          </cell>
          <cell r="K139" t="str">
            <v>Science</v>
          </cell>
          <cell r="L139" t="str">
            <v>SC</v>
          </cell>
          <cell r="N139" t="str">
            <v>ES</v>
          </cell>
          <cell r="O139">
            <v>7</v>
          </cell>
          <cell r="P139" t="str">
            <v>Coursework</v>
          </cell>
          <cell r="Q139" t="str">
            <v>CourseWork</v>
          </cell>
          <cell r="R139" t="str">
            <v>Science Essay Intermediate</v>
          </cell>
        </row>
        <row r="140">
          <cell r="A140">
            <v>139</v>
          </cell>
          <cell r="C140" t="str">
            <v>Biblical Studies Essay Advanced</v>
          </cell>
          <cell r="E140">
            <v>12</v>
          </cell>
          <cell r="H140">
            <v>1</v>
          </cell>
          <cell r="I140">
            <v>2</v>
          </cell>
          <cell r="J140">
            <v>7</v>
          </cell>
          <cell r="K140" t="str">
            <v>Biblical Studies</v>
          </cell>
          <cell r="L140" t="str">
            <v>BS</v>
          </cell>
          <cell r="N140" t="str">
            <v>ES</v>
          </cell>
          <cell r="O140">
            <v>7</v>
          </cell>
          <cell r="P140" t="str">
            <v>Coursework</v>
          </cell>
          <cell r="Q140" t="str">
            <v>CourseWork</v>
          </cell>
          <cell r="R140" t="str">
            <v>Biblical Studies Essay Advanced</v>
          </cell>
        </row>
        <row r="141">
          <cell r="A141">
            <v>140</v>
          </cell>
          <cell r="C141" t="str">
            <v>Maths Paper Advanced</v>
          </cell>
          <cell r="E141">
            <v>12</v>
          </cell>
          <cell r="H141">
            <v>1</v>
          </cell>
          <cell r="I141">
            <v>2</v>
          </cell>
          <cell r="J141">
            <v>1</v>
          </cell>
          <cell r="K141" t="str">
            <v>Maths</v>
          </cell>
          <cell r="L141" t="str">
            <v>MA</v>
          </cell>
          <cell r="N141" t="str">
            <v>ES</v>
          </cell>
          <cell r="O141">
            <v>7</v>
          </cell>
          <cell r="P141" t="str">
            <v>Coursework</v>
          </cell>
          <cell r="Q141" t="str">
            <v>CourseWork</v>
          </cell>
          <cell r="R141" t="str">
            <v>Maths Paper Advanced</v>
          </cell>
        </row>
        <row r="142">
          <cell r="A142">
            <v>141</v>
          </cell>
          <cell r="C142" t="str">
            <v>English Essay Advanced</v>
          </cell>
          <cell r="E142">
            <v>12</v>
          </cell>
          <cell r="H142">
            <v>1</v>
          </cell>
          <cell r="I142">
            <v>2</v>
          </cell>
          <cell r="J142">
            <v>2</v>
          </cell>
          <cell r="K142" t="str">
            <v>Language</v>
          </cell>
          <cell r="L142" t="str">
            <v>LA</v>
          </cell>
          <cell r="N142" t="str">
            <v>ES</v>
          </cell>
          <cell r="O142">
            <v>7</v>
          </cell>
          <cell r="P142" t="str">
            <v>Coursework</v>
          </cell>
          <cell r="Q142" t="str">
            <v>CourseWork</v>
          </cell>
          <cell r="R142" t="str">
            <v>English Essay Advanced</v>
          </cell>
        </row>
        <row r="143">
          <cell r="A143">
            <v>142</v>
          </cell>
          <cell r="C143" t="str">
            <v>Social Studies Essay Advanced</v>
          </cell>
          <cell r="E143">
            <v>12</v>
          </cell>
          <cell r="H143">
            <v>1</v>
          </cell>
          <cell r="I143">
            <v>2</v>
          </cell>
          <cell r="J143">
            <v>6</v>
          </cell>
          <cell r="K143" t="str">
            <v>Social Studies</v>
          </cell>
          <cell r="L143" t="str">
            <v>SS</v>
          </cell>
          <cell r="N143" t="str">
            <v>ES</v>
          </cell>
          <cell r="O143">
            <v>7</v>
          </cell>
          <cell r="P143" t="str">
            <v>Coursework</v>
          </cell>
          <cell r="Q143" t="str">
            <v>CourseWork</v>
          </cell>
          <cell r="R143" t="str">
            <v>Social Studies Essay Advanced</v>
          </cell>
        </row>
        <row r="144">
          <cell r="A144">
            <v>143</v>
          </cell>
          <cell r="C144" t="str">
            <v>Sciences Project Advanced</v>
          </cell>
          <cell r="E144">
            <v>12</v>
          </cell>
          <cell r="H144">
            <v>1</v>
          </cell>
          <cell r="I144">
            <v>2</v>
          </cell>
          <cell r="J144">
            <v>5</v>
          </cell>
          <cell r="K144" t="str">
            <v>Science</v>
          </cell>
          <cell r="L144" t="str">
            <v>SC</v>
          </cell>
          <cell r="N144" t="str">
            <v>PR</v>
          </cell>
          <cell r="O144">
            <v>7</v>
          </cell>
          <cell r="P144" t="str">
            <v>Coursework</v>
          </cell>
          <cell r="Q144" t="str">
            <v>CourseWork</v>
          </cell>
          <cell r="R144" t="str">
            <v>Sciences Project Advanced</v>
          </cell>
        </row>
        <row r="145">
          <cell r="A145">
            <v>144</v>
          </cell>
          <cell r="C145" t="str">
            <v>Sciences Essay Advanced</v>
          </cell>
          <cell r="E145">
            <v>12</v>
          </cell>
          <cell r="H145">
            <v>1</v>
          </cell>
          <cell r="I145">
            <v>2</v>
          </cell>
          <cell r="J145">
            <v>5</v>
          </cell>
          <cell r="K145" t="str">
            <v>Science</v>
          </cell>
          <cell r="L145" t="str">
            <v>SC</v>
          </cell>
          <cell r="N145" t="str">
            <v>ES</v>
          </cell>
          <cell r="O145">
            <v>7</v>
          </cell>
          <cell r="P145" t="str">
            <v>Coursework</v>
          </cell>
          <cell r="Q145" t="str">
            <v>CourseWork</v>
          </cell>
          <cell r="R145" t="str">
            <v>Sciences Essay Advanced</v>
          </cell>
        </row>
        <row r="146">
          <cell r="A146">
            <v>145</v>
          </cell>
          <cell r="C146" t="str">
            <v>English III Dissertation</v>
          </cell>
          <cell r="E146">
            <v>12</v>
          </cell>
          <cell r="H146">
            <v>1</v>
          </cell>
          <cell r="I146">
            <v>2</v>
          </cell>
          <cell r="J146">
            <v>2</v>
          </cell>
          <cell r="K146" t="str">
            <v>Language</v>
          </cell>
          <cell r="L146" t="str">
            <v>LA</v>
          </cell>
          <cell r="N146" t="str">
            <v>DS</v>
          </cell>
          <cell r="O146">
            <v>7</v>
          </cell>
          <cell r="P146" t="str">
            <v>Coursework</v>
          </cell>
          <cell r="Q146" t="str">
            <v>CourseWork</v>
          </cell>
          <cell r="R146" t="str">
            <v>English III Dissertation</v>
          </cell>
        </row>
        <row r="147">
          <cell r="A147">
            <v>146</v>
          </cell>
          <cell r="C147" t="str">
            <v>Literature Level 9</v>
          </cell>
          <cell r="E147">
            <v>9</v>
          </cell>
          <cell r="F147">
            <v>98</v>
          </cell>
          <cell r="G147">
            <v>108</v>
          </cell>
          <cell r="H147">
            <v>11</v>
          </cell>
          <cell r="I147">
            <v>6</v>
          </cell>
          <cell r="J147">
            <v>4</v>
          </cell>
          <cell r="K147" t="str">
            <v>Literature</v>
          </cell>
          <cell r="L147" t="str">
            <v>LI</v>
          </cell>
          <cell r="M147" t="str">
            <v xml:space="preserve">Alleen even getallen hebben PACE beschikbaar. 106 is niet meer te verkrijgen, dus is vervangen door Poetry of After the Flood. Daarom staat er ipv 106 "106P". Er moeten zes PACEs in totaal worden gedaan met de keuze uit deze vijf beschikbare, of Poetry 1 of 2, of After the Flood. </v>
          </cell>
          <cell r="N147" t="str">
            <v>LC</v>
          </cell>
          <cell r="O147">
            <v>2</v>
          </cell>
          <cell r="P147" t="str">
            <v>Core Academic Studies</v>
          </cell>
          <cell r="Q147" t="str">
            <v>Core</v>
          </cell>
          <cell r="R147" t="str">
            <v>Literature Level 9</v>
          </cell>
        </row>
        <row r="148">
          <cell r="A148">
            <v>147</v>
          </cell>
          <cell r="C148" t="str">
            <v>UK Social Studies</v>
          </cell>
          <cell r="E148">
            <v>5</v>
          </cell>
          <cell r="F148">
            <v>49</v>
          </cell>
          <cell r="G148">
            <v>60</v>
          </cell>
          <cell r="H148">
            <v>12</v>
          </cell>
          <cell r="I148">
            <v>12</v>
          </cell>
          <cell r="J148">
            <v>6</v>
          </cell>
          <cell r="K148" t="str">
            <v>Social Studies</v>
          </cell>
          <cell r="L148" t="str">
            <v>SS</v>
          </cell>
          <cell r="N148" t="str">
            <v>UK</v>
          </cell>
          <cell r="O148">
            <v>2</v>
          </cell>
          <cell r="P148" t="str">
            <v>Core Academic Studies</v>
          </cell>
          <cell r="Q148" t="str">
            <v>Core</v>
          </cell>
          <cell r="R148" t="str">
            <v>Social Studies Level 5 UK</v>
          </cell>
        </row>
        <row r="149">
          <cell r="A149">
            <v>148</v>
          </cell>
          <cell r="C149" t="str">
            <v>US History</v>
          </cell>
          <cell r="E149">
            <v>10</v>
          </cell>
          <cell r="F149">
            <v>109</v>
          </cell>
          <cell r="G149">
            <v>120</v>
          </cell>
          <cell r="H149">
            <v>12</v>
          </cell>
          <cell r="I149">
            <v>12</v>
          </cell>
          <cell r="J149">
            <v>6</v>
          </cell>
          <cell r="K149" t="str">
            <v>Social Studies</v>
          </cell>
          <cell r="L149" t="str">
            <v>SS</v>
          </cell>
          <cell r="N149" t="str">
            <v>UH</v>
          </cell>
          <cell r="O149">
            <v>2</v>
          </cell>
          <cell r="P149" t="str">
            <v>Core Academic Studies</v>
          </cell>
          <cell r="Q149" t="str">
            <v>Further Credit Option</v>
          </cell>
          <cell r="R149" t="str">
            <v>Social Studies Level 10 American History</v>
          </cell>
        </row>
        <row r="150">
          <cell r="A150">
            <v>149</v>
          </cell>
          <cell r="C150" t="str">
            <v>Animal Science</v>
          </cell>
          <cell r="E150">
            <v>2</v>
          </cell>
          <cell r="F150">
            <v>13</v>
          </cell>
          <cell r="G150">
            <v>24</v>
          </cell>
          <cell r="H150">
            <v>12</v>
          </cell>
          <cell r="I150">
            <v>12</v>
          </cell>
          <cell r="J150">
            <v>5</v>
          </cell>
          <cell r="K150" t="str">
            <v>Science</v>
          </cell>
          <cell r="L150" t="str">
            <v>SC</v>
          </cell>
          <cell r="N150" t="str">
            <v>AS</v>
          </cell>
          <cell r="O150">
            <v>2</v>
          </cell>
          <cell r="P150" t="str">
            <v>Core Academic Studies</v>
          </cell>
          <cell r="Q150" t="str">
            <v>Core</v>
          </cell>
          <cell r="R150" t="str">
            <v>Science Level 2 Animal</v>
          </cell>
        </row>
        <row r="151">
          <cell r="A151">
            <v>150</v>
          </cell>
          <cell r="B151" t="str">
            <v>English Grammar</v>
          </cell>
          <cell r="C151" t="str">
            <v>Grammar</v>
          </cell>
          <cell r="E151">
            <v>6</v>
          </cell>
          <cell r="F151">
            <v>1</v>
          </cell>
          <cell r="G151">
            <v>6</v>
          </cell>
          <cell r="H151">
            <v>6</v>
          </cell>
          <cell r="I151">
            <v>6</v>
          </cell>
          <cell r="J151">
            <v>2</v>
          </cell>
          <cell r="K151" t="str">
            <v>Language</v>
          </cell>
          <cell r="L151" t="str">
            <v>GR</v>
          </cell>
          <cell r="M151" t="str">
            <v>Elective</v>
          </cell>
          <cell r="N151" t="str">
            <v>EG</v>
          </cell>
          <cell r="O151">
            <v>2</v>
          </cell>
          <cell r="P151" t="str">
            <v>Core Academic Studies</v>
          </cell>
          <cell r="Q151" t="str">
            <v>Further Credit Option</v>
          </cell>
          <cell r="R151" t="str">
            <v>English Grammar</v>
          </cell>
        </row>
        <row r="152">
          <cell r="A152">
            <v>151</v>
          </cell>
          <cell r="C152" t="str">
            <v>Apologetics I</v>
          </cell>
          <cell r="D152" t="str">
            <v>Apologetics I-A (2019)</v>
          </cell>
          <cell r="E152">
            <v>9</v>
          </cell>
          <cell r="F152">
            <v>97</v>
          </cell>
          <cell r="G152">
            <v>102</v>
          </cell>
          <cell r="H152">
            <v>2</v>
          </cell>
          <cell r="I152">
            <v>6</v>
          </cell>
          <cell r="J152">
            <v>7</v>
          </cell>
          <cell r="K152" t="str">
            <v>Biblical Studies</v>
          </cell>
          <cell r="L152" t="str">
            <v>BS</v>
          </cell>
          <cell r="M152" t="str">
            <v>Dit zijn alleen twee PACE's 97,102. Vroeger waren dit aparte PACEs, maar nu gebundeld in één PACE "Apologetics 01".</v>
          </cell>
          <cell r="N152" t="str">
            <v>AP</v>
          </cell>
          <cell r="O152">
            <v>1</v>
          </cell>
          <cell r="P152" t="str">
            <v>Christian Studies</v>
          </cell>
          <cell r="Q152" t="str">
            <v>Core</v>
          </cell>
        </row>
        <row r="153">
          <cell r="A153">
            <v>152</v>
          </cell>
          <cell r="C153" t="str">
            <v>Apologetics II</v>
          </cell>
          <cell r="D153" t="str">
            <v>Apologetics I-B (2019)</v>
          </cell>
          <cell r="E153">
            <v>10</v>
          </cell>
          <cell r="F153">
            <v>98</v>
          </cell>
          <cell r="G153">
            <v>101</v>
          </cell>
          <cell r="H153">
            <v>4</v>
          </cell>
          <cell r="I153">
            <v>6</v>
          </cell>
          <cell r="J153">
            <v>7</v>
          </cell>
          <cell r="K153" t="str">
            <v>Biblical Studies</v>
          </cell>
          <cell r="L153" t="str">
            <v>BS</v>
          </cell>
          <cell r="M153" t="str">
            <v>Dit zijn alleen vier PACE's 98-101. De sterren worden niet gegeven voor de toetsen maar voor de essays voor de boeken die ze moeten lezen. Vroeger waren dit aparte PACEs, maar nu gebundeld in één PACE "Apologetics 02".</v>
          </cell>
          <cell r="N153" t="str">
            <v>AP</v>
          </cell>
          <cell r="O153">
            <v>1</v>
          </cell>
          <cell r="P153" t="str">
            <v>Christian Studies</v>
          </cell>
          <cell r="Q153" t="str">
            <v>Core</v>
          </cell>
        </row>
        <row r="154">
          <cell r="A154">
            <v>153</v>
          </cell>
          <cell r="B154" t="str">
            <v>World History</v>
          </cell>
          <cell r="C154" t="str">
            <v>World History</v>
          </cell>
          <cell r="E154">
            <v>10</v>
          </cell>
          <cell r="F154">
            <v>97</v>
          </cell>
          <cell r="G154">
            <v>108</v>
          </cell>
          <cell r="H154">
            <v>12</v>
          </cell>
          <cell r="I154">
            <v>12</v>
          </cell>
          <cell r="J154">
            <v>6</v>
          </cell>
          <cell r="K154" t="str">
            <v>Social Studies</v>
          </cell>
          <cell r="L154" t="str">
            <v>SS</v>
          </cell>
          <cell r="M154" t="str">
            <v xml:space="preserve">Dit lijkt op ID59 maar zie opmerking daar. Dit valt ook onder een andere SubjectGroupID (klopt dat?). </v>
          </cell>
          <cell r="N154" t="str">
            <v>WH</v>
          </cell>
          <cell r="O154">
            <v>2</v>
          </cell>
          <cell r="P154" t="str">
            <v>Core Academic Studies</v>
          </cell>
          <cell r="Q154" t="str">
            <v>Core</v>
          </cell>
          <cell r="R154" t="str">
            <v>Social Studies Level 12 World History</v>
          </cell>
        </row>
        <row r="155">
          <cell r="A155">
            <v>154</v>
          </cell>
          <cell r="C155" t="str">
            <v>Algebra I &amp; Geometry I</v>
          </cell>
          <cell r="D155" t="str">
            <v>Mathematics-IB</v>
          </cell>
          <cell r="E155">
            <v>12</v>
          </cell>
          <cell r="H155">
            <v>12</v>
          </cell>
          <cell r="I155">
            <v>2</v>
          </cell>
          <cell r="J155">
            <v>1</v>
          </cell>
          <cell r="K155" t="str">
            <v>Maths</v>
          </cell>
          <cell r="L155" t="str">
            <v>MA</v>
          </cell>
          <cell r="M155" t="str">
            <v xml:space="preserve">Dit is een nieuwe optie waarbij de leerling de eerste helft van Algebra 1 en Geometry I mag doen, en dan bij Intermediate de tweede helft van Algebra 1 en Geometry. </v>
          </cell>
          <cell r="N155" t="str">
            <v>MA</v>
          </cell>
          <cell r="O155">
            <v>2</v>
          </cell>
          <cell r="P155" t="str">
            <v>Core Academic Studies</v>
          </cell>
          <cell r="Q155" t="str">
            <v>Core</v>
          </cell>
          <cell r="R155" t="str">
            <v>Algebra I &amp; Geometry I</v>
          </cell>
        </row>
        <row r="156">
          <cell r="A156">
            <v>155</v>
          </cell>
          <cell r="C156" t="str">
            <v>Algebra I &amp; Geometry II</v>
          </cell>
          <cell r="D156" t="str">
            <v>Mathematics-IIB</v>
          </cell>
          <cell r="E156">
            <v>12</v>
          </cell>
          <cell r="H156">
            <v>12</v>
          </cell>
          <cell r="I156">
            <v>2</v>
          </cell>
          <cell r="J156">
            <v>1</v>
          </cell>
          <cell r="K156" t="str">
            <v>Maths</v>
          </cell>
          <cell r="L156" t="str">
            <v>MA</v>
          </cell>
          <cell r="M156" t="str">
            <v>De naamgeving is misleidend, er staat "Geometry II" maar hiermee wordt bedoeld de tweede helft van Geometry</v>
          </cell>
          <cell r="N156" t="str">
            <v>MA</v>
          </cell>
          <cell r="O156">
            <v>2</v>
          </cell>
          <cell r="P156" t="str">
            <v>Core Academic Studies</v>
          </cell>
          <cell r="Q156" t="str">
            <v>Core</v>
          </cell>
          <cell r="R156" t="str">
            <v>Algebra I &amp; Geometry II</v>
          </cell>
        </row>
        <row r="157">
          <cell r="A157">
            <v>159</v>
          </cell>
          <cell r="C157" t="str">
            <v>ICCE Physical Science</v>
          </cell>
          <cell r="D157" t="str">
            <v>AEE Physical Science I-B (part 1)</v>
          </cell>
          <cell r="E157">
            <v>9</v>
          </cell>
          <cell r="F157">
            <v>85</v>
          </cell>
          <cell r="G157">
            <v>88</v>
          </cell>
          <cell r="H157">
            <v>4</v>
          </cell>
          <cell r="I157">
            <v>6</v>
          </cell>
          <cell r="J157">
            <v>5</v>
          </cell>
          <cell r="K157" t="str">
            <v>Science</v>
          </cell>
          <cell r="L157" t="str">
            <v>SC</v>
          </cell>
          <cell r="M157" t="str">
            <v xml:space="preserve">Dit is verplicht vanaf 2024-01 voor General. De formele naam is "ICCE …" maar de publisher is "AEE", dit is samen met vak ID=160 één vak. </v>
          </cell>
          <cell r="N157" t="str">
            <v>SC</v>
          </cell>
          <cell r="O157">
            <v>2</v>
          </cell>
          <cell r="P157" t="str">
            <v>Core Academic Studies</v>
          </cell>
          <cell r="Q157" t="str">
            <v>Core</v>
          </cell>
          <cell r="R157" t="str">
            <v>AEE Physical Science</v>
          </cell>
        </row>
        <row r="158">
          <cell r="A158">
            <v>160</v>
          </cell>
          <cell r="C158" t="str">
            <v>ICCE Physical Science</v>
          </cell>
          <cell r="D158" t="str">
            <v>AEE Physical Science I-B (part 2)</v>
          </cell>
          <cell r="E158">
            <v>9</v>
          </cell>
          <cell r="F158">
            <v>97</v>
          </cell>
          <cell r="G158">
            <v>100</v>
          </cell>
          <cell r="H158">
            <v>4</v>
          </cell>
          <cell r="I158">
            <v>6</v>
          </cell>
          <cell r="J158">
            <v>5</v>
          </cell>
          <cell r="K158" t="str">
            <v>Science</v>
          </cell>
          <cell r="L158" t="str">
            <v>SC</v>
          </cell>
          <cell r="M158" t="str">
            <v xml:space="preserve">Dit is verplicht vanaf 2024-01 voor General. De formele naam is "ICCE …" maar de publisher is "AEE", dit is samen met vak ID=159 één vak. </v>
          </cell>
          <cell r="N158" t="str">
            <v>SC</v>
          </cell>
          <cell r="O158">
            <v>2</v>
          </cell>
          <cell r="P158" t="str">
            <v>Core Academic Studies</v>
          </cell>
          <cell r="Q158" t="str">
            <v>Core</v>
          </cell>
          <cell r="R158" t="str">
            <v>AEE Physical Science</v>
          </cell>
        </row>
        <row r="159">
          <cell r="A159">
            <v>999</v>
          </cell>
          <cell r="C159" t="str">
            <v>Rosetta Stone Language X</v>
          </cell>
          <cell r="K159" t="str">
            <v>Language</v>
          </cell>
          <cell r="L159" t="e">
            <v>#N/A</v>
          </cell>
          <cell r="M159" t="str">
            <v>Moet ik dit toevoegen voor elke unit en taal?</v>
          </cell>
          <cell r="N159" t="str">
            <v>RS</v>
          </cell>
          <cell r="O159">
            <v>2</v>
          </cell>
          <cell r="P159" t="str">
            <v>Core Academic Studies</v>
          </cell>
          <cell r="Q159" t="str">
            <v>Core</v>
          </cell>
        </row>
        <row r="160">
          <cell r="A160">
            <v>161</v>
          </cell>
          <cell r="B160" t="str">
            <v>Basic New Testament Church History</v>
          </cell>
          <cell r="C160" t="str">
            <v>New Testament Church History I</v>
          </cell>
          <cell r="E160">
            <v>12</v>
          </cell>
          <cell r="F160">
            <v>121</v>
          </cell>
          <cell r="G160">
            <v>126</v>
          </cell>
          <cell r="H160">
            <v>6</v>
          </cell>
          <cell r="I160">
            <v>6</v>
          </cell>
          <cell r="J160">
            <v>7</v>
          </cell>
          <cell r="K160" t="str">
            <v>Biblical Studies</v>
          </cell>
          <cell r="L160" t="str">
            <v>BS</v>
          </cell>
          <cell r="M160" t="str">
            <v>Only possible to choose this as an option for Apologetics II</v>
          </cell>
          <cell r="N160" t="str">
            <v>NC</v>
          </cell>
          <cell r="O160">
            <v>1</v>
          </cell>
          <cell r="P160" t="str">
            <v>Christian Studies</v>
          </cell>
          <cell r="Q160" t="str">
            <v>Further Credit Option</v>
          </cell>
          <cell r="R160" t="str">
            <v>New Testament Church History I</v>
          </cell>
        </row>
        <row r="161">
          <cell r="A161">
            <v>162</v>
          </cell>
          <cell r="B161" t="str">
            <v>Basic Biographies of Christians</v>
          </cell>
          <cell r="C161" t="str">
            <v>Biographies of Christians</v>
          </cell>
          <cell r="E161">
            <v>12</v>
          </cell>
          <cell r="F161">
            <v>1</v>
          </cell>
          <cell r="G161">
            <v>10</v>
          </cell>
          <cell r="H161">
            <v>10</v>
          </cell>
          <cell r="I161">
            <v>12</v>
          </cell>
          <cell r="J161">
            <v>7</v>
          </cell>
          <cell r="K161" t="str">
            <v>Biblical Studies</v>
          </cell>
          <cell r="L161" t="str">
            <v>BS</v>
          </cell>
          <cell r="N161" t="str">
            <v>BC</v>
          </cell>
          <cell r="O161">
            <v>1</v>
          </cell>
          <cell r="P161" t="str">
            <v>Christian Studies</v>
          </cell>
          <cell r="Q161" t="str">
            <v>Further Credit Option</v>
          </cell>
          <cell r="R161" t="str">
            <v>Biographies of Christians</v>
          </cell>
        </row>
        <row r="162">
          <cell r="A162">
            <v>163</v>
          </cell>
          <cell r="B162" t="str">
            <v>College Basic Old Testament Survey</v>
          </cell>
          <cell r="C162" t="str">
            <v>College Old Testament Survey</v>
          </cell>
          <cell r="E162">
            <v>12</v>
          </cell>
          <cell r="F162">
            <v>1</v>
          </cell>
          <cell r="G162">
            <v>10</v>
          </cell>
          <cell r="H162">
            <v>10</v>
          </cell>
          <cell r="I162">
            <v>12</v>
          </cell>
          <cell r="J162">
            <v>7</v>
          </cell>
          <cell r="K162" t="str">
            <v>Biblical Studies</v>
          </cell>
          <cell r="L162" t="str">
            <v>BS</v>
          </cell>
          <cell r="N162" t="str">
            <v>COTS</v>
          </cell>
          <cell r="O162">
            <v>1</v>
          </cell>
          <cell r="P162" t="str">
            <v>Christian Studies</v>
          </cell>
          <cell r="Q162" t="str">
            <v>Further Credit Option</v>
          </cell>
          <cell r="R162" t="str">
            <v>College Old Testament Survey</v>
          </cell>
        </row>
        <row r="163">
          <cell r="A163">
            <v>164</v>
          </cell>
          <cell r="B163" t="str">
            <v>U.S. Civics</v>
          </cell>
          <cell r="C163" t="str">
            <v>Civics</v>
          </cell>
          <cell r="E163">
            <v>12</v>
          </cell>
          <cell r="F163">
            <v>133</v>
          </cell>
          <cell r="G163">
            <v>138</v>
          </cell>
          <cell r="H163">
            <v>6</v>
          </cell>
          <cell r="I163">
            <v>6</v>
          </cell>
          <cell r="J163">
            <v>6</v>
          </cell>
          <cell r="K163" t="str">
            <v>Social Studies</v>
          </cell>
          <cell r="L163" t="str">
            <v>SS</v>
          </cell>
          <cell r="N163" t="str">
            <v>USCI</v>
          </cell>
          <cell r="O163">
            <v>2</v>
          </cell>
          <cell r="P163" t="str">
            <v>Core Academic Studies</v>
          </cell>
          <cell r="Q163" t="str">
            <v>Further Credit Option</v>
          </cell>
          <cell r="R163" t="str">
            <v>Social Studies Level 12</v>
          </cell>
        </row>
        <row r="164">
          <cell r="A164">
            <v>165</v>
          </cell>
          <cell r="B164" t="str">
            <v>Economics</v>
          </cell>
          <cell r="C164" t="str">
            <v>Economics</v>
          </cell>
          <cell r="E164">
            <v>12</v>
          </cell>
          <cell r="F164">
            <v>139</v>
          </cell>
          <cell r="G164">
            <v>144</v>
          </cell>
          <cell r="H164">
            <v>6</v>
          </cell>
          <cell r="I164">
            <v>6</v>
          </cell>
          <cell r="J164">
            <v>6</v>
          </cell>
          <cell r="K164" t="str">
            <v>Social Studies</v>
          </cell>
          <cell r="L164" t="str">
            <v>SS</v>
          </cell>
          <cell r="N164" t="str">
            <v>ECON</v>
          </cell>
          <cell r="O164">
            <v>2</v>
          </cell>
          <cell r="P164" t="str">
            <v>Core Academic Studies</v>
          </cell>
          <cell r="Q164" t="str">
            <v>Further Credit Option</v>
          </cell>
          <cell r="R164" t="str">
            <v>Social Studies Level 12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1:Q1371"/>
  <sheetViews>
    <sheetView tabSelected="1" workbookViewId="0">
      <pane xSplit="3" ySplit="1" topLeftCell="D666" activePane="bottomRight" state="frozen"/>
      <selection pane="topRight" activeCell="D1" sqref="D1"/>
      <selection pane="bottomLeft" activeCell="A2" sqref="A2"/>
      <selection pane="bottomRight" activeCell="K696" sqref="K696"/>
    </sheetView>
  </sheetViews>
  <sheetFormatPr defaultColWidth="8.85546875" defaultRowHeight="15" x14ac:dyDescent="0.25"/>
  <cols>
    <col min="1" max="1" width="5.28515625" bestFit="1" customWidth="1"/>
    <col min="2" max="2" width="10.42578125" bestFit="1" customWidth="1"/>
    <col min="3" max="3" width="9.85546875" bestFit="1" customWidth="1"/>
    <col min="4" max="4" width="16.42578125" bestFit="1" customWidth="1"/>
    <col min="5" max="5" width="12.5703125" bestFit="1" customWidth="1"/>
    <col min="6" max="6" width="37.7109375" bestFit="1" customWidth="1"/>
    <col min="7" max="7" width="12.7109375" bestFit="1" customWidth="1"/>
    <col min="8" max="8" width="9.140625" bestFit="1" customWidth="1"/>
    <col min="9" max="13" width="13.85546875" customWidth="1"/>
    <col min="14" max="14" width="7.28515625" bestFit="1" customWidth="1"/>
    <col min="15" max="15" width="17.7109375" bestFit="1" customWidth="1"/>
    <col min="16" max="16" width="11.140625" bestFit="1" customWidth="1"/>
    <col min="17" max="17" width="51.85546875" customWidth="1"/>
  </cols>
  <sheetData>
    <row r="1" spans="1:17" s="1" customFormat="1" x14ac:dyDescent="0.25">
      <c r="A1" s="1" t="s">
        <v>0</v>
      </c>
      <c r="B1" s="1" t="s">
        <v>1</v>
      </c>
      <c r="C1" s="1" t="s">
        <v>2</v>
      </c>
      <c r="D1" s="1" t="s">
        <v>3</v>
      </c>
      <c r="E1" s="2" t="s">
        <v>4</v>
      </c>
      <c r="F1" s="1" t="s">
        <v>5</v>
      </c>
      <c r="G1" s="1" t="s">
        <v>6</v>
      </c>
      <c r="H1" s="3" t="s">
        <v>7</v>
      </c>
      <c r="I1" s="3" t="s">
        <v>8</v>
      </c>
      <c r="J1" s="3" t="s">
        <v>9</v>
      </c>
      <c r="K1" s="3" t="s">
        <v>90</v>
      </c>
      <c r="L1" s="3" t="s">
        <v>91</v>
      </c>
      <c r="M1" s="3" t="s">
        <v>6</v>
      </c>
      <c r="N1" s="1" t="s">
        <v>10</v>
      </c>
      <c r="O1" s="1" t="s">
        <v>11</v>
      </c>
      <c r="P1" s="1" t="s">
        <v>12</v>
      </c>
      <c r="Q1" s="1" t="s">
        <v>94</v>
      </c>
    </row>
    <row r="2" spans="1:17" x14ac:dyDescent="0.25">
      <c r="A2">
        <v>1</v>
      </c>
      <c r="B2">
        <v>1</v>
      </c>
      <c r="C2">
        <v>2</v>
      </c>
      <c r="D2" t="s">
        <v>13</v>
      </c>
      <c r="E2" t="str">
        <f>UPPER(LEFT(G2,2)) &amp; RIGHT("00" &amp; C2, 3) &amp; D2 &amp; RIGHT("0" &amp; H2, 2) &amp; N2</f>
        <v>12002RR03PT</v>
      </c>
      <c r="F2">
        <f>VLOOKUP(B2,[1]Course!$A$2:$R$329,2,FALSE)</f>
        <v>0</v>
      </c>
      <c r="G2">
        <f>VLOOKUP(B2, [1]Course!$A$2:$L$950, 8, FALSE)</f>
        <v>12</v>
      </c>
      <c r="H2">
        <v>3</v>
      </c>
      <c r="I2">
        <v>1</v>
      </c>
      <c r="M2" t="str">
        <f>VLOOKUP(B2, [1]Course!$A$1:$O$933, 12, FALSE)</f>
        <v>MA</v>
      </c>
      <c r="N2" t="s">
        <v>14</v>
      </c>
      <c r="O2" t="str">
        <f>VLOOKUP(B2, [1]Course!$A$1:$O$933, 14, FALSE)</f>
        <v>RR</v>
      </c>
      <c r="P2">
        <v>1</v>
      </c>
    </row>
    <row r="3" spans="1:17" x14ac:dyDescent="0.25">
      <c r="A3">
        <v>2</v>
      </c>
      <c r="B3">
        <v>1</v>
      </c>
      <c r="C3">
        <v>3</v>
      </c>
      <c r="D3" t="s">
        <v>13</v>
      </c>
      <c r="E3" t="str">
        <f t="shared" ref="E3:E66" si="0">UPPER(LEFT(G3,2)) &amp; RIGHT("0" &amp; C3, 2) &amp; D3 &amp; RIGHT("0" &amp; H3, 2) &amp; N3</f>
        <v>1203RR03PT</v>
      </c>
      <c r="F3">
        <f>VLOOKUP(B3,[1]Course!$A$2:$R$329,2,FALSE)</f>
        <v>0</v>
      </c>
      <c r="G3">
        <f>VLOOKUP(B3, [1]Course!$A$2:$L$950, 8, FALSE)</f>
        <v>12</v>
      </c>
      <c r="H3">
        <v>3</v>
      </c>
      <c r="I3">
        <v>1</v>
      </c>
      <c r="M3" t="str">
        <f>VLOOKUP(B3, [1]Course!$A$1:$O$933, 12, FALSE)</f>
        <v>MA</v>
      </c>
      <c r="N3" t="s">
        <v>14</v>
      </c>
      <c r="O3" t="str">
        <f>VLOOKUP(B3, [1]Course!$A$1:$O$933, 14, FALSE)</f>
        <v>RR</v>
      </c>
      <c r="P3">
        <v>1</v>
      </c>
    </row>
    <row r="4" spans="1:17" x14ac:dyDescent="0.25">
      <c r="A4">
        <v>3</v>
      </c>
      <c r="B4">
        <v>1</v>
      </c>
      <c r="C4">
        <v>4</v>
      </c>
      <c r="D4" t="s">
        <v>13</v>
      </c>
      <c r="E4" t="str">
        <f t="shared" si="0"/>
        <v>1204RR03PT</v>
      </c>
      <c r="F4">
        <f>VLOOKUP(B4,[1]Course!$A$2:$R$329,2,FALSE)</f>
        <v>0</v>
      </c>
      <c r="G4">
        <f>VLOOKUP(B4, [1]Course!$A$2:$L$950, 8, FALSE)</f>
        <v>12</v>
      </c>
      <c r="H4">
        <v>3</v>
      </c>
      <c r="I4">
        <v>1</v>
      </c>
      <c r="M4" t="str">
        <f>VLOOKUP(B4, [1]Course!$A$1:$O$933, 12, FALSE)</f>
        <v>MA</v>
      </c>
      <c r="N4" t="s">
        <v>14</v>
      </c>
      <c r="O4" t="str">
        <f>VLOOKUP(B4, [1]Course!$A$1:$O$933, 14, FALSE)</f>
        <v>RR</v>
      </c>
      <c r="P4">
        <v>1</v>
      </c>
    </row>
    <row r="5" spans="1:17" x14ac:dyDescent="0.25">
      <c r="A5">
        <v>4</v>
      </c>
      <c r="B5">
        <v>1</v>
      </c>
      <c r="C5">
        <v>5</v>
      </c>
      <c r="D5" t="s">
        <v>13</v>
      </c>
      <c r="E5" t="str">
        <f t="shared" si="0"/>
        <v>1205RR03PT</v>
      </c>
      <c r="F5">
        <f>VLOOKUP(B5,[1]Course!$A$2:$R$329,2,FALSE)</f>
        <v>0</v>
      </c>
      <c r="G5">
        <f>VLOOKUP(B5, [1]Course!$A$2:$L$950, 8, FALSE)</f>
        <v>12</v>
      </c>
      <c r="H5">
        <v>3</v>
      </c>
      <c r="I5">
        <v>1</v>
      </c>
      <c r="M5" t="str">
        <f>VLOOKUP(B5, [1]Course!$A$1:$O$933, 12, FALSE)</f>
        <v>MA</v>
      </c>
      <c r="N5" t="s">
        <v>14</v>
      </c>
      <c r="O5" t="str">
        <f>VLOOKUP(B5, [1]Course!$A$1:$O$933, 14, FALSE)</f>
        <v>RR</v>
      </c>
      <c r="P5">
        <v>1</v>
      </c>
    </row>
    <row r="6" spans="1:17" x14ac:dyDescent="0.25">
      <c r="A6">
        <v>5</v>
      </c>
      <c r="B6">
        <v>1</v>
      </c>
      <c r="C6">
        <v>6</v>
      </c>
      <c r="D6" t="s">
        <v>13</v>
      </c>
      <c r="E6" t="str">
        <f t="shared" si="0"/>
        <v>1206RR03PT</v>
      </c>
      <c r="F6">
        <f>VLOOKUP(B6,[1]Course!$A$2:$R$329,2,FALSE)</f>
        <v>0</v>
      </c>
      <c r="G6">
        <f>VLOOKUP(B6, [1]Course!$A$2:$L$950, 8, FALSE)</f>
        <v>12</v>
      </c>
      <c r="H6">
        <v>3</v>
      </c>
      <c r="I6">
        <v>1</v>
      </c>
      <c r="M6" t="str">
        <f>VLOOKUP(B6, [1]Course!$A$1:$O$933, 12, FALSE)</f>
        <v>MA</v>
      </c>
      <c r="N6" t="s">
        <v>14</v>
      </c>
      <c r="O6" t="str">
        <f>VLOOKUP(B6, [1]Course!$A$1:$O$933, 14, FALSE)</f>
        <v>RR</v>
      </c>
      <c r="P6">
        <v>1</v>
      </c>
    </row>
    <row r="7" spans="1:17" x14ac:dyDescent="0.25">
      <c r="A7">
        <v>6</v>
      </c>
      <c r="B7">
        <v>1</v>
      </c>
      <c r="C7">
        <v>7</v>
      </c>
      <c r="D7" t="s">
        <v>13</v>
      </c>
      <c r="E7" t="str">
        <f t="shared" si="0"/>
        <v>1207RR03PT</v>
      </c>
      <c r="F7">
        <f>VLOOKUP(B7,[1]Course!$A$2:$R$329,2,FALSE)</f>
        <v>0</v>
      </c>
      <c r="G7">
        <f>VLOOKUP(B7, [1]Course!$A$2:$L$950, 8, FALSE)</f>
        <v>12</v>
      </c>
      <c r="H7">
        <v>3</v>
      </c>
      <c r="I7">
        <v>1</v>
      </c>
      <c r="M7" t="str">
        <f>VLOOKUP(B7, [1]Course!$A$1:$O$933, 12, FALSE)</f>
        <v>MA</v>
      </c>
      <c r="N7" t="s">
        <v>14</v>
      </c>
      <c r="O7" t="str">
        <f>VLOOKUP(B7, [1]Course!$A$1:$O$933, 14, FALSE)</f>
        <v>RR</v>
      </c>
      <c r="P7">
        <v>1</v>
      </c>
    </row>
    <row r="8" spans="1:17" x14ac:dyDescent="0.25">
      <c r="A8">
        <v>7</v>
      </c>
      <c r="B8">
        <v>1</v>
      </c>
      <c r="C8">
        <v>8</v>
      </c>
      <c r="D8" t="s">
        <v>13</v>
      </c>
      <c r="E8" t="str">
        <f t="shared" si="0"/>
        <v>1208RR03PT</v>
      </c>
      <c r="F8">
        <f>VLOOKUP(B8,[1]Course!$A$2:$R$329,2,FALSE)</f>
        <v>0</v>
      </c>
      <c r="G8">
        <f>VLOOKUP(B8, [1]Course!$A$2:$L$950, 8, FALSE)</f>
        <v>12</v>
      </c>
      <c r="H8">
        <v>3</v>
      </c>
      <c r="I8">
        <v>1</v>
      </c>
      <c r="M8" t="str">
        <f>VLOOKUP(B8, [1]Course!$A$1:$O$933, 12, FALSE)</f>
        <v>MA</v>
      </c>
      <c r="N8" t="s">
        <v>14</v>
      </c>
      <c r="O8" t="str">
        <f>VLOOKUP(B8, [1]Course!$A$1:$O$933, 14, FALSE)</f>
        <v>RR</v>
      </c>
      <c r="P8">
        <v>1</v>
      </c>
    </row>
    <row r="9" spans="1:17" x14ac:dyDescent="0.25">
      <c r="A9">
        <v>8</v>
      </c>
      <c r="B9">
        <v>1</v>
      </c>
      <c r="C9">
        <v>9</v>
      </c>
      <c r="D9" t="s">
        <v>13</v>
      </c>
      <c r="E9" t="str">
        <f t="shared" si="0"/>
        <v>1209RR03PT</v>
      </c>
      <c r="F9">
        <f>VLOOKUP(B9,[1]Course!$A$2:$R$329,2,FALSE)</f>
        <v>0</v>
      </c>
      <c r="G9">
        <f>VLOOKUP(B9, [1]Course!$A$2:$L$950, 8, FALSE)</f>
        <v>12</v>
      </c>
      <c r="H9">
        <v>3</v>
      </c>
      <c r="I9">
        <v>1</v>
      </c>
      <c r="M9" t="str">
        <f>VLOOKUP(B9, [1]Course!$A$1:$O$933, 12, FALSE)</f>
        <v>MA</v>
      </c>
      <c r="N9" t="s">
        <v>14</v>
      </c>
      <c r="O9" t="str">
        <f>VLOOKUP(B9, [1]Course!$A$1:$O$933, 14, FALSE)</f>
        <v>RR</v>
      </c>
      <c r="P9">
        <v>1</v>
      </c>
    </row>
    <row r="10" spans="1:17" x14ac:dyDescent="0.25">
      <c r="A10">
        <v>9</v>
      </c>
      <c r="B10">
        <v>1</v>
      </c>
      <c r="C10">
        <v>10</v>
      </c>
      <c r="D10" t="s">
        <v>13</v>
      </c>
      <c r="E10" t="str">
        <f t="shared" si="0"/>
        <v>1210RR03PT</v>
      </c>
      <c r="F10">
        <f>VLOOKUP(B10,[1]Course!$A$2:$R$329,2,FALSE)</f>
        <v>0</v>
      </c>
      <c r="G10">
        <f>VLOOKUP(B10, [1]Course!$A$2:$L$950, 8, FALSE)</f>
        <v>12</v>
      </c>
      <c r="H10">
        <v>3</v>
      </c>
      <c r="I10">
        <v>1</v>
      </c>
      <c r="M10" t="str">
        <f>VLOOKUP(B10, [1]Course!$A$1:$O$933, 12, FALSE)</f>
        <v>MA</v>
      </c>
      <c r="N10" t="s">
        <v>14</v>
      </c>
      <c r="O10" t="str">
        <f>VLOOKUP(B10, [1]Course!$A$1:$O$933, 14, FALSE)</f>
        <v>RR</v>
      </c>
      <c r="P10">
        <v>1</v>
      </c>
    </row>
    <row r="11" spans="1:17" x14ac:dyDescent="0.25">
      <c r="A11">
        <v>10</v>
      </c>
      <c r="B11">
        <v>1</v>
      </c>
      <c r="C11">
        <v>11</v>
      </c>
      <c r="D11" t="s">
        <v>13</v>
      </c>
      <c r="E11" t="str">
        <f t="shared" si="0"/>
        <v>1211RR03PT</v>
      </c>
      <c r="F11">
        <f>VLOOKUP(B11,[1]Course!$A$2:$R$329,2,FALSE)</f>
        <v>0</v>
      </c>
      <c r="G11">
        <f>VLOOKUP(B11, [1]Course!$A$2:$L$950, 8, FALSE)</f>
        <v>12</v>
      </c>
      <c r="H11">
        <v>3</v>
      </c>
      <c r="I11">
        <v>3</v>
      </c>
      <c r="M11" t="str">
        <f>VLOOKUP(B11, [1]Course!$A$1:$O$933, 12, FALSE)</f>
        <v>MA</v>
      </c>
      <c r="N11" t="s">
        <v>14</v>
      </c>
      <c r="O11" t="str">
        <f>VLOOKUP(B11, [1]Course!$A$1:$O$933, 14, FALSE)</f>
        <v>RR</v>
      </c>
      <c r="P11">
        <v>1</v>
      </c>
    </row>
    <row r="12" spans="1:17" x14ac:dyDescent="0.25">
      <c r="A12">
        <v>11</v>
      </c>
      <c r="B12">
        <v>1</v>
      </c>
      <c r="C12">
        <v>12</v>
      </c>
      <c r="D12" t="s">
        <v>13</v>
      </c>
      <c r="E12" t="str">
        <f t="shared" si="0"/>
        <v>1212RR03PT</v>
      </c>
      <c r="F12">
        <f>VLOOKUP(B12,[1]Course!$A$2:$R$329,2,FALSE)</f>
        <v>0</v>
      </c>
      <c r="G12">
        <f>VLOOKUP(B12, [1]Course!$A$2:$L$950, 8, FALSE)</f>
        <v>12</v>
      </c>
      <c r="H12">
        <v>3</v>
      </c>
      <c r="I12">
        <v>2</v>
      </c>
      <c r="M12" t="str">
        <f>VLOOKUP(B12, [1]Course!$A$1:$O$933, 12, FALSE)</f>
        <v>MA</v>
      </c>
      <c r="N12" t="s">
        <v>14</v>
      </c>
      <c r="O12" t="str">
        <f>VLOOKUP(B12, [1]Course!$A$1:$O$933, 14, FALSE)</f>
        <v>RR</v>
      </c>
      <c r="P12">
        <v>1</v>
      </c>
    </row>
    <row r="13" spans="1:17" x14ac:dyDescent="0.25">
      <c r="A13">
        <v>12</v>
      </c>
      <c r="B13">
        <v>2</v>
      </c>
      <c r="C13">
        <v>1</v>
      </c>
      <c r="D13" t="s">
        <v>15</v>
      </c>
      <c r="E13" t="str">
        <f t="shared" si="0"/>
        <v>1201MA03PT</v>
      </c>
      <c r="F13">
        <f>VLOOKUP(B13,[1]Course!$A$2:$R$329,2,FALSE)</f>
        <v>0</v>
      </c>
      <c r="G13">
        <f>VLOOKUP(B13, [1]Course!$A$2:$L$950, 8, FALSE)</f>
        <v>12</v>
      </c>
      <c r="H13">
        <v>3</v>
      </c>
      <c r="I13">
        <v>1</v>
      </c>
      <c r="M13" t="str">
        <f>VLOOKUP(B13, [1]Course!$A$1:$O$933, 12, FALSE)</f>
        <v>MA</v>
      </c>
      <c r="N13" t="s">
        <v>14</v>
      </c>
      <c r="O13" t="str">
        <f>VLOOKUP(B13, [1]Course!$A$1:$O$933, 14, FALSE)</f>
        <v>MA</v>
      </c>
      <c r="P13">
        <v>1</v>
      </c>
    </row>
    <row r="14" spans="1:17" x14ac:dyDescent="0.25">
      <c r="A14">
        <v>13</v>
      </c>
      <c r="B14">
        <v>2</v>
      </c>
      <c r="C14">
        <v>2</v>
      </c>
      <c r="D14" t="s">
        <v>15</v>
      </c>
      <c r="E14" t="str">
        <f t="shared" si="0"/>
        <v>1202MA03PT</v>
      </c>
      <c r="F14">
        <f>VLOOKUP(B14,[1]Course!$A$2:$R$329,2,FALSE)</f>
        <v>0</v>
      </c>
      <c r="G14">
        <f>VLOOKUP(B14, [1]Course!$A$2:$L$950, 8, FALSE)</f>
        <v>12</v>
      </c>
      <c r="H14">
        <v>3</v>
      </c>
      <c r="I14">
        <v>2</v>
      </c>
      <c r="M14" t="str">
        <f>VLOOKUP(B14, [1]Course!$A$1:$O$933, 12, FALSE)</f>
        <v>MA</v>
      </c>
      <c r="N14" t="s">
        <v>14</v>
      </c>
      <c r="O14" t="str">
        <f>VLOOKUP(B14, [1]Course!$A$1:$O$933, 14, FALSE)</f>
        <v>MA</v>
      </c>
      <c r="P14">
        <v>1</v>
      </c>
    </row>
    <row r="15" spans="1:17" x14ac:dyDescent="0.25">
      <c r="A15">
        <v>14</v>
      </c>
      <c r="B15">
        <v>2</v>
      </c>
      <c r="C15">
        <v>3</v>
      </c>
      <c r="D15" t="s">
        <v>15</v>
      </c>
      <c r="E15" t="str">
        <f t="shared" si="0"/>
        <v>1203MA03PT</v>
      </c>
      <c r="F15">
        <f>VLOOKUP(B15,[1]Course!$A$2:$R$329,2,FALSE)</f>
        <v>0</v>
      </c>
      <c r="G15">
        <f>VLOOKUP(B15, [1]Course!$A$2:$L$950, 8, FALSE)</f>
        <v>12</v>
      </c>
      <c r="H15">
        <v>3</v>
      </c>
      <c r="I15">
        <v>2</v>
      </c>
      <c r="M15" t="str">
        <f>VLOOKUP(B15, [1]Course!$A$1:$O$933, 12, FALSE)</f>
        <v>MA</v>
      </c>
      <c r="N15" t="s">
        <v>14</v>
      </c>
      <c r="O15" t="str">
        <f>VLOOKUP(B15, [1]Course!$A$1:$O$933, 14, FALSE)</f>
        <v>MA</v>
      </c>
      <c r="P15">
        <v>1</v>
      </c>
    </row>
    <row r="16" spans="1:17" x14ac:dyDescent="0.25">
      <c r="A16">
        <v>15</v>
      </c>
      <c r="B16">
        <v>2</v>
      </c>
      <c r="C16">
        <v>4</v>
      </c>
      <c r="D16" t="s">
        <v>15</v>
      </c>
      <c r="E16" t="str">
        <f t="shared" si="0"/>
        <v>1204MA03PT</v>
      </c>
      <c r="F16">
        <f>VLOOKUP(B16,[1]Course!$A$2:$R$329,2,FALSE)</f>
        <v>0</v>
      </c>
      <c r="G16">
        <f>VLOOKUP(B16, [1]Course!$A$2:$L$950, 8, FALSE)</f>
        <v>12</v>
      </c>
      <c r="H16">
        <v>3</v>
      </c>
      <c r="I16">
        <v>2</v>
      </c>
      <c r="M16" t="str">
        <f>VLOOKUP(B16, [1]Course!$A$1:$O$933, 12, FALSE)</f>
        <v>MA</v>
      </c>
      <c r="N16" t="s">
        <v>14</v>
      </c>
      <c r="O16" t="str">
        <f>VLOOKUP(B16, [1]Course!$A$1:$O$933, 14, FALSE)</f>
        <v>MA</v>
      </c>
      <c r="P16">
        <v>1</v>
      </c>
    </row>
    <row r="17" spans="1:17" x14ac:dyDescent="0.25">
      <c r="A17">
        <v>16</v>
      </c>
      <c r="B17">
        <v>2</v>
      </c>
      <c r="C17">
        <v>5</v>
      </c>
      <c r="D17" t="s">
        <v>15</v>
      </c>
      <c r="E17" t="str">
        <f t="shared" si="0"/>
        <v>1205MA03PT</v>
      </c>
      <c r="F17">
        <f>VLOOKUP(B17,[1]Course!$A$2:$R$329,2,FALSE)</f>
        <v>0</v>
      </c>
      <c r="G17">
        <f>VLOOKUP(B17, [1]Course!$A$2:$L$950, 8, FALSE)</f>
        <v>12</v>
      </c>
      <c r="H17">
        <v>3</v>
      </c>
      <c r="I17">
        <v>2</v>
      </c>
      <c r="M17" t="str">
        <f>VLOOKUP(B17, [1]Course!$A$1:$O$933, 12, FALSE)</f>
        <v>MA</v>
      </c>
      <c r="N17" t="s">
        <v>14</v>
      </c>
      <c r="O17" t="str">
        <f>VLOOKUP(B17, [1]Course!$A$1:$O$933, 14, FALSE)</f>
        <v>MA</v>
      </c>
      <c r="P17">
        <v>1</v>
      </c>
    </row>
    <row r="18" spans="1:17" x14ac:dyDescent="0.25">
      <c r="A18">
        <v>17</v>
      </c>
      <c r="B18">
        <v>2</v>
      </c>
      <c r="C18">
        <v>6</v>
      </c>
      <c r="D18" t="s">
        <v>15</v>
      </c>
      <c r="E18" t="str">
        <f t="shared" si="0"/>
        <v>1206MA03PT</v>
      </c>
      <c r="F18">
        <f>VLOOKUP(B18,[1]Course!$A$2:$R$329,2,FALSE)</f>
        <v>0</v>
      </c>
      <c r="G18">
        <f>VLOOKUP(B18, [1]Course!$A$2:$L$950, 8, FALSE)</f>
        <v>12</v>
      </c>
      <c r="H18">
        <v>3</v>
      </c>
      <c r="I18">
        <v>2</v>
      </c>
      <c r="M18" t="str">
        <f>VLOOKUP(B18, [1]Course!$A$1:$O$933, 12, FALSE)</f>
        <v>MA</v>
      </c>
      <c r="N18" t="s">
        <v>14</v>
      </c>
      <c r="O18" t="str">
        <f>VLOOKUP(B18, [1]Course!$A$1:$O$933, 14, FALSE)</f>
        <v>MA</v>
      </c>
      <c r="P18">
        <v>1</v>
      </c>
    </row>
    <row r="19" spans="1:17" x14ac:dyDescent="0.25">
      <c r="A19">
        <v>18</v>
      </c>
      <c r="B19">
        <v>2</v>
      </c>
      <c r="C19">
        <v>7</v>
      </c>
      <c r="D19" t="s">
        <v>15</v>
      </c>
      <c r="E19" t="str">
        <f t="shared" si="0"/>
        <v>1207MA03PT</v>
      </c>
      <c r="F19">
        <f>VLOOKUP(B19,[1]Course!$A$2:$R$329,2,FALSE)</f>
        <v>0</v>
      </c>
      <c r="G19">
        <f>VLOOKUP(B19, [1]Course!$A$2:$L$950, 8, FALSE)</f>
        <v>12</v>
      </c>
      <c r="H19">
        <v>3</v>
      </c>
      <c r="I19">
        <v>2</v>
      </c>
      <c r="M19" t="str">
        <f>VLOOKUP(B19, [1]Course!$A$1:$O$933, 12, FALSE)</f>
        <v>MA</v>
      </c>
      <c r="N19" t="s">
        <v>14</v>
      </c>
      <c r="O19" t="str">
        <f>VLOOKUP(B19, [1]Course!$A$1:$O$933, 14, FALSE)</f>
        <v>MA</v>
      </c>
      <c r="P19">
        <v>1</v>
      </c>
    </row>
    <row r="20" spans="1:17" x14ac:dyDescent="0.25">
      <c r="A20">
        <v>19</v>
      </c>
      <c r="B20">
        <v>2</v>
      </c>
      <c r="C20">
        <v>8</v>
      </c>
      <c r="D20" t="s">
        <v>15</v>
      </c>
      <c r="E20" t="str">
        <f t="shared" si="0"/>
        <v>1208MA03PT</v>
      </c>
      <c r="F20">
        <f>VLOOKUP(B20,[1]Course!$A$2:$R$329,2,FALSE)</f>
        <v>0</v>
      </c>
      <c r="G20">
        <f>VLOOKUP(B20, [1]Course!$A$2:$L$950, 8, FALSE)</f>
        <v>12</v>
      </c>
      <c r="H20">
        <v>3</v>
      </c>
      <c r="I20">
        <v>2</v>
      </c>
      <c r="M20" t="str">
        <f>VLOOKUP(B20, [1]Course!$A$1:$O$933, 12, FALSE)</f>
        <v>MA</v>
      </c>
      <c r="N20" t="s">
        <v>14</v>
      </c>
      <c r="O20" t="str">
        <f>VLOOKUP(B20, [1]Course!$A$1:$O$933, 14, FALSE)</f>
        <v>MA</v>
      </c>
      <c r="P20">
        <v>1</v>
      </c>
    </row>
    <row r="21" spans="1:17" x14ac:dyDescent="0.25">
      <c r="A21">
        <v>20</v>
      </c>
      <c r="B21">
        <v>2</v>
      </c>
      <c r="C21">
        <v>9</v>
      </c>
      <c r="D21" t="s">
        <v>15</v>
      </c>
      <c r="E21" t="str">
        <f t="shared" si="0"/>
        <v>1209MA03PT</v>
      </c>
      <c r="F21">
        <f>VLOOKUP(B21,[1]Course!$A$2:$R$329,2,FALSE)</f>
        <v>0</v>
      </c>
      <c r="G21">
        <f>VLOOKUP(B21, [1]Course!$A$2:$L$950, 8, FALSE)</f>
        <v>12</v>
      </c>
      <c r="H21">
        <v>3</v>
      </c>
      <c r="I21">
        <v>2</v>
      </c>
      <c r="M21" t="str">
        <f>VLOOKUP(B21, [1]Course!$A$1:$O$933, 12, FALSE)</f>
        <v>MA</v>
      </c>
      <c r="N21" t="s">
        <v>14</v>
      </c>
      <c r="O21" t="str">
        <f>VLOOKUP(B21, [1]Course!$A$1:$O$933, 14, FALSE)</f>
        <v>MA</v>
      </c>
      <c r="P21">
        <v>1</v>
      </c>
    </row>
    <row r="22" spans="1:17" x14ac:dyDescent="0.25">
      <c r="A22">
        <v>21</v>
      </c>
      <c r="B22">
        <v>2</v>
      </c>
      <c r="C22">
        <v>10</v>
      </c>
      <c r="D22" t="s">
        <v>15</v>
      </c>
      <c r="E22" t="str">
        <f t="shared" si="0"/>
        <v>1210MA03PT</v>
      </c>
      <c r="F22">
        <f>VLOOKUP(B22,[1]Course!$A$2:$R$329,2,FALSE)</f>
        <v>0</v>
      </c>
      <c r="G22">
        <f>VLOOKUP(B22, [1]Course!$A$2:$L$950, 8, FALSE)</f>
        <v>12</v>
      </c>
      <c r="H22">
        <v>3</v>
      </c>
      <c r="I22">
        <v>2</v>
      </c>
      <c r="M22" t="str">
        <f>VLOOKUP(B22, [1]Course!$A$1:$O$933, 12, FALSE)</f>
        <v>MA</v>
      </c>
      <c r="N22" t="s">
        <v>14</v>
      </c>
      <c r="O22" t="str">
        <f>VLOOKUP(B22, [1]Course!$A$1:$O$933, 14, FALSE)</f>
        <v>MA</v>
      </c>
      <c r="P22">
        <v>1</v>
      </c>
    </row>
    <row r="23" spans="1:17" x14ac:dyDescent="0.25">
      <c r="A23">
        <v>22</v>
      </c>
      <c r="B23">
        <v>2</v>
      </c>
      <c r="C23">
        <v>11</v>
      </c>
      <c r="D23" t="s">
        <v>15</v>
      </c>
      <c r="E23" t="str">
        <f t="shared" si="0"/>
        <v>1211MA03PT</v>
      </c>
      <c r="F23">
        <f>VLOOKUP(B23,[1]Course!$A$2:$R$329,2,FALSE)</f>
        <v>0</v>
      </c>
      <c r="G23">
        <f>VLOOKUP(B23, [1]Course!$A$2:$L$950, 8, FALSE)</f>
        <v>12</v>
      </c>
      <c r="H23">
        <v>3</v>
      </c>
      <c r="I23">
        <v>2</v>
      </c>
      <c r="M23" t="str">
        <f>VLOOKUP(B23, [1]Course!$A$1:$O$933, 12, FALSE)</f>
        <v>MA</v>
      </c>
      <c r="N23" t="s">
        <v>14</v>
      </c>
      <c r="O23" t="str">
        <f>VLOOKUP(B23, [1]Course!$A$1:$O$933, 14, FALSE)</f>
        <v>MA</v>
      </c>
      <c r="P23">
        <v>1</v>
      </c>
    </row>
    <row r="24" spans="1:17" x14ac:dyDescent="0.25">
      <c r="A24">
        <v>23</v>
      </c>
      <c r="B24">
        <v>2</v>
      </c>
      <c r="C24">
        <v>12</v>
      </c>
      <c r="D24" t="s">
        <v>15</v>
      </c>
      <c r="E24" t="str">
        <f t="shared" si="0"/>
        <v>1212MA03PT</v>
      </c>
      <c r="F24">
        <f>VLOOKUP(B24,[1]Course!$A$2:$R$329,2,FALSE)</f>
        <v>0</v>
      </c>
      <c r="G24">
        <f>VLOOKUP(B24, [1]Course!$A$2:$L$950, 8, FALSE)</f>
        <v>12</v>
      </c>
      <c r="H24">
        <v>3</v>
      </c>
      <c r="I24">
        <v>2</v>
      </c>
      <c r="M24" t="str">
        <f>VLOOKUP(B24, [1]Course!$A$1:$O$933, 12, FALSE)</f>
        <v>MA</v>
      </c>
      <c r="N24" t="s">
        <v>14</v>
      </c>
      <c r="O24" t="str">
        <f>VLOOKUP(B24, [1]Course!$A$1:$O$933, 14, FALSE)</f>
        <v>MA</v>
      </c>
      <c r="P24">
        <v>1</v>
      </c>
      <c r="Q24" s="4"/>
    </row>
    <row r="25" spans="1:17" x14ac:dyDescent="0.25">
      <c r="A25">
        <v>24</v>
      </c>
      <c r="B25">
        <v>3</v>
      </c>
      <c r="C25">
        <v>1</v>
      </c>
      <c r="D25" t="s">
        <v>16</v>
      </c>
      <c r="E25" t="str">
        <f t="shared" si="0"/>
        <v>1201EN03PT</v>
      </c>
      <c r="F25">
        <f>VLOOKUP(B25,[1]Course!$A$2:$R$329,2,FALSE)</f>
        <v>0</v>
      </c>
      <c r="G25">
        <f>VLOOKUP(B25, [1]Course!$A$2:$L$950, 8, FALSE)</f>
        <v>12</v>
      </c>
      <c r="H25">
        <v>3</v>
      </c>
      <c r="I25">
        <v>3</v>
      </c>
      <c r="M25" t="str">
        <f>VLOOKUP(B25, [1]Course!$A$1:$O$933, 12, FALSE)</f>
        <v>LA</v>
      </c>
      <c r="N25" t="s">
        <v>14</v>
      </c>
      <c r="O25" t="str">
        <f>VLOOKUP(B25, [1]Course!$A$1:$O$933, 14, FALSE)</f>
        <v>EN</v>
      </c>
      <c r="P25">
        <v>1</v>
      </c>
    </row>
    <row r="26" spans="1:17" x14ac:dyDescent="0.25">
      <c r="A26">
        <v>25</v>
      </c>
      <c r="B26">
        <v>3</v>
      </c>
      <c r="C26">
        <v>2</v>
      </c>
      <c r="D26" t="s">
        <v>16</v>
      </c>
      <c r="E26" t="str">
        <f t="shared" si="0"/>
        <v>1202EN03PT</v>
      </c>
      <c r="F26">
        <f>VLOOKUP(B26,[1]Course!$A$2:$R$329,2,FALSE)</f>
        <v>0</v>
      </c>
      <c r="G26">
        <f>VLOOKUP(B26, [1]Course!$A$2:$L$950, 8, FALSE)</f>
        <v>12</v>
      </c>
      <c r="H26">
        <v>3</v>
      </c>
      <c r="I26">
        <v>2</v>
      </c>
      <c r="M26" t="str">
        <f>VLOOKUP(B26, [1]Course!$A$1:$O$933, 12, FALSE)</f>
        <v>LA</v>
      </c>
      <c r="N26" t="s">
        <v>14</v>
      </c>
      <c r="O26" t="str">
        <f>VLOOKUP(B26, [1]Course!$A$1:$O$933, 14, FALSE)</f>
        <v>EN</v>
      </c>
      <c r="P26">
        <v>1</v>
      </c>
    </row>
    <row r="27" spans="1:17" x14ac:dyDescent="0.25">
      <c r="A27">
        <v>26</v>
      </c>
      <c r="B27">
        <v>3</v>
      </c>
      <c r="C27">
        <v>3</v>
      </c>
      <c r="D27" t="s">
        <v>16</v>
      </c>
      <c r="E27" t="str">
        <f t="shared" si="0"/>
        <v>1203EN03PT</v>
      </c>
      <c r="F27">
        <f>VLOOKUP(B27,[1]Course!$A$2:$R$329,2,FALSE)</f>
        <v>0</v>
      </c>
      <c r="G27">
        <f>VLOOKUP(B27, [1]Course!$A$2:$L$950, 8, FALSE)</f>
        <v>12</v>
      </c>
      <c r="H27">
        <v>3</v>
      </c>
      <c r="I27">
        <v>2</v>
      </c>
      <c r="M27" t="str">
        <f>VLOOKUP(B27, [1]Course!$A$1:$O$933, 12, FALSE)</f>
        <v>LA</v>
      </c>
      <c r="N27" t="s">
        <v>14</v>
      </c>
      <c r="O27" t="str">
        <f>VLOOKUP(B27, [1]Course!$A$1:$O$933, 14, FALSE)</f>
        <v>EN</v>
      </c>
      <c r="P27">
        <v>1</v>
      </c>
    </row>
    <row r="28" spans="1:17" x14ac:dyDescent="0.25">
      <c r="A28">
        <v>27</v>
      </c>
      <c r="B28">
        <v>3</v>
      </c>
      <c r="C28">
        <v>4</v>
      </c>
      <c r="D28" t="s">
        <v>16</v>
      </c>
      <c r="E28" t="str">
        <f t="shared" si="0"/>
        <v>1204EN03PT</v>
      </c>
      <c r="F28">
        <f>VLOOKUP(B28,[1]Course!$A$2:$R$329,2,FALSE)</f>
        <v>0</v>
      </c>
      <c r="G28">
        <f>VLOOKUP(B28, [1]Course!$A$2:$L$950, 8, FALSE)</f>
        <v>12</v>
      </c>
      <c r="H28">
        <v>3</v>
      </c>
      <c r="I28">
        <v>2</v>
      </c>
      <c r="M28" t="str">
        <f>VLOOKUP(B28, [1]Course!$A$1:$O$933, 12, FALSE)</f>
        <v>LA</v>
      </c>
      <c r="N28" t="s">
        <v>14</v>
      </c>
      <c r="O28" t="str">
        <f>VLOOKUP(B28, [1]Course!$A$1:$O$933, 14, FALSE)</f>
        <v>EN</v>
      </c>
      <c r="P28">
        <v>1</v>
      </c>
    </row>
    <row r="29" spans="1:17" x14ac:dyDescent="0.25">
      <c r="A29">
        <v>28</v>
      </c>
      <c r="B29">
        <v>3</v>
      </c>
      <c r="C29">
        <v>5</v>
      </c>
      <c r="D29" t="s">
        <v>16</v>
      </c>
      <c r="E29" t="str">
        <f t="shared" si="0"/>
        <v>1205EN03PT</v>
      </c>
      <c r="F29">
        <f>VLOOKUP(B29,[1]Course!$A$2:$R$329,2,FALSE)</f>
        <v>0</v>
      </c>
      <c r="G29">
        <f>VLOOKUP(B29, [1]Course!$A$2:$L$950, 8, FALSE)</f>
        <v>12</v>
      </c>
      <c r="H29">
        <v>3</v>
      </c>
      <c r="I29">
        <v>2</v>
      </c>
      <c r="M29" t="str">
        <f>VLOOKUP(B29, [1]Course!$A$1:$O$933, 12, FALSE)</f>
        <v>LA</v>
      </c>
      <c r="N29" t="s">
        <v>14</v>
      </c>
      <c r="O29" t="str">
        <f>VLOOKUP(B29, [1]Course!$A$1:$O$933, 14, FALSE)</f>
        <v>EN</v>
      </c>
      <c r="P29">
        <v>1</v>
      </c>
    </row>
    <row r="30" spans="1:17" x14ac:dyDescent="0.25">
      <c r="A30">
        <v>29</v>
      </c>
      <c r="B30">
        <v>3</v>
      </c>
      <c r="C30">
        <v>6</v>
      </c>
      <c r="D30" t="s">
        <v>16</v>
      </c>
      <c r="E30" t="str">
        <f t="shared" si="0"/>
        <v>1206EN03PT</v>
      </c>
      <c r="F30">
        <f>VLOOKUP(B30,[1]Course!$A$2:$R$329,2,FALSE)</f>
        <v>0</v>
      </c>
      <c r="G30">
        <f>VLOOKUP(B30, [1]Course!$A$2:$L$950, 8, FALSE)</f>
        <v>12</v>
      </c>
      <c r="H30">
        <v>3</v>
      </c>
      <c r="I30">
        <v>2</v>
      </c>
      <c r="M30" t="str">
        <f>VLOOKUP(B30, [1]Course!$A$1:$O$933, 12, FALSE)</f>
        <v>LA</v>
      </c>
      <c r="N30" t="s">
        <v>14</v>
      </c>
      <c r="O30" t="str">
        <f>VLOOKUP(B30, [1]Course!$A$1:$O$933, 14, FALSE)</f>
        <v>EN</v>
      </c>
      <c r="P30">
        <v>1</v>
      </c>
    </row>
    <row r="31" spans="1:17" x14ac:dyDescent="0.25">
      <c r="A31">
        <v>30</v>
      </c>
      <c r="B31">
        <v>3</v>
      </c>
      <c r="C31">
        <v>7</v>
      </c>
      <c r="D31" t="s">
        <v>16</v>
      </c>
      <c r="E31" t="str">
        <f t="shared" si="0"/>
        <v>1207EN03PT</v>
      </c>
      <c r="F31">
        <f>VLOOKUP(B31,[1]Course!$A$2:$R$329,2,FALSE)</f>
        <v>0</v>
      </c>
      <c r="G31">
        <f>VLOOKUP(B31, [1]Course!$A$2:$L$950, 8, FALSE)</f>
        <v>12</v>
      </c>
      <c r="H31">
        <v>3</v>
      </c>
      <c r="I31">
        <v>2</v>
      </c>
      <c r="M31" t="str">
        <f>VLOOKUP(B31, [1]Course!$A$1:$O$933, 12, FALSE)</f>
        <v>LA</v>
      </c>
      <c r="N31" t="s">
        <v>14</v>
      </c>
      <c r="O31" t="str">
        <f>VLOOKUP(B31, [1]Course!$A$1:$O$933, 14, FALSE)</f>
        <v>EN</v>
      </c>
      <c r="P31">
        <v>1</v>
      </c>
    </row>
    <row r="32" spans="1:17" x14ac:dyDescent="0.25">
      <c r="A32">
        <v>31</v>
      </c>
      <c r="B32">
        <v>3</v>
      </c>
      <c r="C32">
        <v>8</v>
      </c>
      <c r="D32" t="s">
        <v>16</v>
      </c>
      <c r="E32" t="str">
        <f t="shared" si="0"/>
        <v>1208EN03PT</v>
      </c>
      <c r="F32">
        <f>VLOOKUP(B32,[1]Course!$A$2:$R$329,2,FALSE)</f>
        <v>0</v>
      </c>
      <c r="G32">
        <f>VLOOKUP(B32, [1]Course!$A$2:$L$950, 8, FALSE)</f>
        <v>12</v>
      </c>
      <c r="H32">
        <v>3</v>
      </c>
      <c r="I32">
        <v>2</v>
      </c>
      <c r="M32" t="str">
        <f>VLOOKUP(B32, [1]Course!$A$1:$O$933, 12, FALSE)</f>
        <v>LA</v>
      </c>
      <c r="N32" t="s">
        <v>14</v>
      </c>
      <c r="O32" t="str">
        <f>VLOOKUP(B32, [1]Course!$A$1:$O$933, 14, FALSE)</f>
        <v>EN</v>
      </c>
      <c r="P32">
        <v>1</v>
      </c>
    </row>
    <row r="33" spans="1:16" x14ac:dyDescent="0.25">
      <c r="A33">
        <v>32</v>
      </c>
      <c r="B33">
        <v>3</v>
      </c>
      <c r="C33">
        <v>9</v>
      </c>
      <c r="D33" t="s">
        <v>16</v>
      </c>
      <c r="E33" t="str">
        <f t="shared" si="0"/>
        <v>1209EN03PT</v>
      </c>
      <c r="F33">
        <f>VLOOKUP(B33,[1]Course!$A$2:$R$329,2,FALSE)</f>
        <v>0</v>
      </c>
      <c r="G33">
        <f>VLOOKUP(B33, [1]Course!$A$2:$L$950, 8, FALSE)</f>
        <v>12</v>
      </c>
      <c r="H33">
        <v>3</v>
      </c>
      <c r="I33">
        <v>2</v>
      </c>
      <c r="M33" t="str">
        <f>VLOOKUP(B33, [1]Course!$A$1:$O$933, 12, FALSE)</f>
        <v>LA</v>
      </c>
      <c r="N33" t="s">
        <v>14</v>
      </c>
      <c r="O33" t="str">
        <f>VLOOKUP(B33, [1]Course!$A$1:$O$933, 14, FALSE)</f>
        <v>EN</v>
      </c>
      <c r="P33">
        <v>1</v>
      </c>
    </row>
    <row r="34" spans="1:16" x14ac:dyDescent="0.25">
      <c r="A34">
        <v>33</v>
      </c>
      <c r="B34">
        <v>3</v>
      </c>
      <c r="C34">
        <v>10</v>
      </c>
      <c r="D34" t="s">
        <v>16</v>
      </c>
      <c r="E34" t="str">
        <f t="shared" si="0"/>
        <v>1210EN03PT</v>
      </c>
      <c r="F34">
        <f>VLOOKUP(B34,[1]Course!$A$2:$R$329,2,FALSE)</f>
        <v>0</v>
      </c>
      <c r="G34">
        <f>VLOOKUP(B34, [1]Course!$A$2:$L$950, 8, FALSE)</f>
        <v>12</v>
      </c>
      <c r="H34">
        <v>3</v>
      </c>
      <c r="I34">
        <v>2</v>
      </c>
      <c r="M34" t="str">
        <f>VLOOKUP(B34, [1]Course!$A$1:$O$933, 12, FALSE)</f>
        <v>LA</v>
      </c>
      <c r="N34" t="s">
        <v>14</v>
      </c>
      <c r="O34" t="str">
        <f>VLOOKUP(B34, [1]Course!$A$1:$O$933, 14, FALSE)</f>
        <v>EN</v>
      </c>
      <c r="P34">
        <v>1</v>
      </c>
    </row>
    <row r="35" spans="1:16" x14ac:dyDescent="0.25">
      <c r="A35">
        <v>34</v>
      </c>
      <c r="B35">
        <v>3</v>
      </c>
      <c r="C35">
        <v>11</v>
      </c>
      <c r="D35" t="s">
        <v>16</v>
      </c>
      <c r="E35" t="str">
        <f t="shared" si="0"/>
        <v>1211EN03PT</v>
      </c>
      <c r="F35">
        <f>VLOOKUP(B35,[1]Course!$A$2:$R$329,2,FALSE)</f>
        <v>0</v>
      </c>
      <c r="G35">
        <f>VLOOKUP(B35, [1]Course!$A$2:$L$950, 8, FALSE)</f>
        <v>12</v>
      </c>
      <c r="H35">
        <v>3</v>
      </c>
      <c r="I35">
        <v>2</v>
      </c>
      <c r="M35" t="str">
        <f>VLOOKUP(B35, [1]Course!$A$1:$O$933, 12, FALSE)</f>
        <v>LA</v>
      </c>
      <c r="N35" t="s">
        <v>14</v>
      </c>
      <c r="O35" t="str">
        <f>VLOOKUP(B35, [1]Course!$A$1:$O$933, 14, FALSE)</f>
        <v>EN</v>
      </c>
      <c r="P35">
        <v>1</v>
      </c>
    </row>
    <row r="36" spans="1:16" x14ac:dyDescent="0.25">
      <c r="A36">
        <v>35</v>
      </c>
      <c r="B36">
        <v>3</v>
      </c>
      <c r="C36">
        <v>12</v>
      </c>
      <c r="D36" t="s">
        <v>16</v>
      </c>
      <c r="E36" t="str">
        <f t="shared" si="0"/>
        <v>1212EN03PT</v>
      </c>
      <c r="F36">
        <f>VLOOKUP(B36,[1]Course!$A$2:$R$329,2,FALSE)</f>
        <v>0</v>
      </c>
      <c r="G36">
        <f>VLOOKUP(B36, [1]Course!$A$2:$L$950, 8, FALSE)</f>
        <v>12</v>
      </c>
      <c r="H36">
        <v>3</v>
      </c>
      <c r="I36">
        <v>2</v>
      </c>
      <c r="M36" t="str">
        <f>VLOOKUP(B36, [1]Course!$A$1:$O$933, 12, FALSE)</f>
        <v>LA</v>
      </c>
      <c r="N36" t="s">
        <v>14</v>
      </c>
      <c r="O36" t="str">
        <f>VLOOKUP(B36, [1]Course!$A$1:$O$933, 14, FALSE)</f>
        <v>EN</v>
      </c>
      <c r="P36">
        <v>1</v>
      </c>
    </row>
    <row r="37" spans="1:16" x14ac:dyDescent="0.25">
      <c r="A37">
        <v>36</v>
      </c>
      <c r="B37">
        <v>4</v>
      </c>
      <c r="C37">
        <v>1</v>
      </c>
      <c r="D37" t="s">
        <v>17</v>
      </c>
      <c r="E37" t="str">
        <f t="shared" si="0"/>
        <v>1201WB03PT</v>
      </c>
      <c r="F37">
        <f>VLOOKUP(B37,[1]Course!$A$2:$R$329,2,FALSE)</f>
        <v>0</v>
      </c>
      <c r="G37">
        <f>VLOOKUP(B37, [1]Course!$A$2:$L$950, 8, FALSE)</f>
        <v>12</v>
      </c>
      <c r="H37">
        <v>3</v>
      </c>
      <c r="I37">
        <v>3</v>
      </c>
      <c r="M37" t="str">
        <f>VLOOKUP(B37, [1]Course!$A$1:$O$933, 12, FALSE)</f>
        <v>WB</v>
      </c>
      <c r="N37" t="s">
        <v>14</v>
      </c>
      <c r="O37" t="str">
        <f>VLOOKUP(B37, [1]Course!$A$1:$O$933, 14, FALSE)</f>
        <v>WB</v>
      </c>
      <c r="P37">
        <v>1</v>
      </c>
    </row>
    <row r="38" spans="1:16" x14ac:dyDescent="0.25">
      <c r="A38">
        <v>37</v>
      </c>
      <c r="B38">
        <v>4</v>
      </c>
      <c r="C38">
        <v>2</v>
      </c>
      <c r="D38" t="s">
        <v>17</v>
      </c>
      <c r="E38" t="str">
        <f t="shared" si="0"/>
        <v>1202WB03PT</v>
      </c>
      <c r="F38">
        <f>VLOOKUP(B38,[1]Course!$A$2:$R$329,2,FALSE)</f>
        <v>0</v>
      </c>
      <c r="G38">
        <f>VLOOKUP(B38, [1]Course!$A$2:$L$950, 8, FALSE)</f>
        <v>12</v>
      </c>
      <c r="H38">
        <v>3</v>
      </c>
      <c r="I38">
        <v>2</v>
      </c>
      <c r="M38" t="str">
        <f>VLOOKUP(B38, [1]Course!$A$1:$O$933, 12, FALSE)</f>
        <v>WB</v>
      </c>
      <c r="N38" t="s">
        <v>14</v>
      </c>
      <c r="O38" t="str">
        <f>VLOOKUP(B38, [1]Course!$A$1:$O$933, 14, FALSE)</f>
        <v>WB</v>
      </c>
      <c r="P38">
        <v>1</v>
      </c>
    </row>
    <row r="39" spans="1:16" x14ac:dyDescent="0.25">
      <c r="A39">
        <v>38</v>
      </c>
      <c r="B39">
        <v>4</v>
      </c>
      <c r="C39">
        <v>3</v>
      </c>
      <c r="D39" t="s">
        <v>17</v>
      </c>
      <c r="E39" t="str">
        <f t="shared" si="0"/>
        <v>1203WB03PT</v>
      </c>
      <c r="F39">
        <f>VLOOKUP(B39,[1]Course!$A$2:$R$329,2,FALSE)</f>
        <v>0</v>
      </c>
      <c r="G39">
        <f>VLOOKUP(B39, [1]Course!$A$2:$L$950, 8, FALSE)</f>
        <v>12</v>
      </c>
      <c r="H39">
        <v>3</v>
      </c>
      <c r="I39">
        <v>2</v>
      </c>
      <c r="M39" t="str">
        <f>VLOOKUP(B39, [1]Course!$A$1:$O$933, 12, FALSE)</f>
        <v>WB</v>
      </c>
      <c r="N39" t="s">
        <v>14</v>
      </c>
      <c r="O39" t="str">
        <f>VLOOKUP(B39, [1]Course!$A$1:$O$933, 14, FALSE)</f>
        <v>WB</v>
      </c>
      <c r="P39">
        <v>1</v>
      </c>
    </row>
    <row r="40" spans="1:16" x14ac:dyDescent="0.25">
      <c r="A40">
        <v>39</v>
      </c>
      <c r="B40">
        <v>4</v>
      </c>
      <c r="C40">
        <v>4</v>
      </c>
      <c r="D40" t="s">
        <v>17</v>
      </c>
      <c r="E40" t="str">
        <f t="shared" si="0"/>
        <v>1204WB03PT</v>
      </c>
      <c r="F40">
        <f>VLOOKUP(B40,[1]Course!$A$2:$R$329,2,FALSE)</f>
        <v>0</v>
      </c>
      <c r="G40">
        <f>VLOOKUP(B40, [1]Course!$A$2:$L$950, 8, FALSE)</f>
        <v>12</v>
      </c>
      <c r="H40">
        <v>3</v>
      </c>
      <c r="I40">
        <v>2</v>
      </c>
      <c r="M40" t="str">
        <f>VLOOKUP(B40, [1]Course!$A$1:$O$933, 12, FALSE)</f>
        <v>WB</v>
      </c>
      <c r="N40" t="s">
        <v>14</v>
      </c>
      <c r="O40" t="str">
        <f>VLOOKUP(B40, [1]Course!$A$1:$O$933, 14, FALSE)</f>
        <v>WB</v>
      </c>
      <c r="P40">
        <v>1</v>
      </c>
    </row>
    <row r="41" spans="1:16" x14ac:dyDescent="0.25">
      <c r="A41">
        <v>40</v>
      </c>
      <c r="B41">
        <v>4</v>
      </c>
      <c r="C41">
        <v>5</v>
      </c>
      <c r="D41" t="s">
        <v>17</v>
      </c>
      <c r="E41" t="str">
        <f t="shared" si="0"/>
        <v>1205WB03PT</v>
      </c>
      <c r="F41">
        <f>VLOOKUP(B41,[1]Course!$A$2:$R$329,2,FALSE)</f>
        <v>0</v>
      </c>
      <c r="G41">
        <f>VLOOKUP(B41, [1]Course!$A$2:$L$950, 8, FALSE)</f>
        <v>12</v>
      </c>
      <c r="H41">
        <v>3</v>
      </c>
      <c r="I41">
        <v>2</v>
      </c>
      <c r="M41" t="str">
        <f>VLOOKUP(B41, [1]Course!$A$1:$O$933, 12, FALSE)</f>
        <v>WB</v>
      </c>
      <c r="N41" t="s">
        <v>14</v>
      </c>
      <c r="O41" t="str">
        <f>VLOOKUP(B41, [1]Course!$A$1:$O$933, 14, FALSE)</f>
        <v>WB</v>
      </c>
      <c r="P41">
        <v>1</v>
      </c>
    </row>
    <row r="42" spans="1:16" x14ac:dyDescent="0.25">
      <c r="A42">
        <v>41</v>
      </c>
      <c r="B42">
        <v>4</v>
      </c>
      <c r="C42">
        <v>6</v>
      </c>
      <c r="D42" t="s">
        <v>17</v>
      </c>
      <c r="E42" t="str">
        <f t="shared" si="0"/>
        <v>1206WB03PT</v>
      </c>
      <c r="F42">
        <f>VLOOKUP(B42,[1]Course!$A$2:$R$329,2,FALSE)</f>
        <v>0</v>
      </c>
      <c r="G42">
        <f>VLOOKUP(B42, [1]Course!$A$2:$L$950, 8, FALSE)</f>
        <v>12</v>
      </c>
      <c r="H42">
        <v>3</v>
      </c>
      <c r="I42">
        <v>2</v>
      </c>
      <c r="M42" t="str">
        <f>VLOOKUP(B42, [1]Course!$A$1:$O$933, 12, FALSE)</f>
        <v>WB</v>
      </c>
      <c r="N42" t="s">
        <v>14</v>
      </c>
      <c r="O42" t="str">
        <f>VLOOKUP(B42, [1]Course!$A$1:$O$933, 14, FALSE)</f>
        <v>WB</v>
      </c>
      <c r="P42">
        <v>1</v>
      </c>
    </row>
    <row r="43" spans="1:16" x14ac:dyDescent="0.25">
      <c r="A43">
        <v>42</v>
      </c>
      <c r="B43">
        <v>4</v>
      </c>
      <c r="C43">
        <v>7</v>
      </c>
      <c r="D43" t="s">
        <v>17</v>
      </c>
      <c r="E43" t="str">
        <f t="shared" si="0"/>
        <v>1207WB03PT</v>
      </c>
      <c r="F43">
        <f>VLOOKUP(B43,[1]Course!$A$2:$R$329,2,FALSE)</f>
        <v>0</v>
      </c>
      <c r="G43">
        <f>VLOOKUP(B43, [1]Course!$A$2:$L$950, 8, FALSE)</f>
        <v>12</v>
      </c>
      <c r="H43">
        <v>3</v>
      </c>
      <c r="I43">
        <v>2</v>
      </c>
      <c r="M43" t="str">
        <f>VLOOKUP(B43, [1]Course!$A$1:$O$933, 12, FALSE)</f>
        <v>WB</v>
      </c>
      <c r="N43" t="s">
        <v>14</v>
      </c>
      <c r="O43" t="str">
        <f>VLOOKUP(B43, [1]Course!$A$1:$O$933, 14, FALSE)</f>
        <v>WB</v>
      </c>
      <c r="P43">
        <v>1</v>
      </c>
    </row>
    <row r="44" spans="1:16" x14ac:dyDescent="0.25">
      <c r="A44">
        <v>43</v>
      </c>
      <c r="B44">
        <v>4</v>
      </c>
      <c r="C44">
        <v>8</v>
      </c>
      <c r="D44" t="s">
        <v>17</v>
      </c>
      <c r="E44" t="str">
        <f t="shared" si="0"/>
        <v>1208WB03PT</v>
      </c>
      <c r="F44">
        <f>VLOOKUP(B44,[1]Course!$A$2:$R$329,2,FALSE)</f>
        <v>0</v>
      </c>
      <c r="G44">
        <f>VLOOKUP(B44, [1]Course!$A$2:$L$950, 8, FALSE)</f>
        <v>12</v>
      </c>
      <c r="H44">
        <v>3</v>
      </c>
      <c r="I44">
        <v>2</v>
      </c>
      <c r="M44" t="str">
        <f>VLOOKUP(B44, [1]Course!$A$1:$O$933, 12, FALSE)</f>
        <v>WB</v>
      </c>
      <c r="N44" t="s">
        <v>14</v>
      </c>
      <c r="O44" t="str">
        <f>VLOOKUP(B44, [1]Course!$A$1:$O$933, 14, FALSE)</f>
        <v>WB</v>
      </c>
      <c r="P44">
        <v>1</v>
      </c>
    </row>
    <row r="45" spans="1:16" x14ac:dyDescent="0.25">
      <c r="A45">
        <v>44</v>
      </c>
      <c r="B45">
        <v>4</v>
      </c>
      <c r="C45">
        <v>9</v>
      </c>
      <c r="D45" t="s">
        <v>17</v>
      </c>
      <c r="E45" t="str">
        <f t="shared" si="0"/>
        <v>1209WB03PT</v>
      </c>
      <c r="F45">
        <f>VLOOKUP(B45,[1]Course!$A$2:$R$329,2,FALSE)</f>
        <v>0</v>
      </c>
      <c r="G45">
        <f>VLOOKUP(B45, [1]Course!$A$2:$L$950, 8, FALSE)</f>
        <v>12</v>
      </c>
      <c r="H45">
        <v>3</v>
      </c>
      <c r="I45">
        <v>2</v>
      </c>
      <c r="M45" t="str">
        <f>VLOOKUP(B45, [1]Course!$A$1:$O$933, 12, FALSE)</f>
        <v>WB</v>
      </c>
      <c r="N45" t="s">
        <v>14</v>
      </c>
      <c r="O45" t="str">
        <f>VLOOKUP(B45, [1]Course!$A$1:$O$933, 14, FALSE)</f>
        <v>WB</v>
      </c>
      <c r="P45">
        <v>1</v>
      </c>
    </row>
    <row r="46" spans="1:16" x14ac:dyDescent="0.25">
      <c r="A46">
        <v>45</v>
      </c>
      <c r="B46">
        <v>4</v>
      </c>
      <c r="C46">
        <v>10</v>
      </c>
      <c r="D46" t="s">
        <v>17</v>
      </c>
      <c r="E46" t="str">
        <f t="shared" si="0"/>
        <v>1210WB03PT</v>
      </c>
      <c r="F46">
        <f>VLOOKUP(B46,[1]Course!$A$2:$R$329,2,FALSE)</f>
        <v>0</v>
      </c>
      <c r="G46">
        <f>VLOOKUP(B46, [1]Course!$A$2:$L$950, 8, FALSE)</f>
        <v>12</v>
      </c>
      <c r="H46">
        <v>3</v>
      </c>
      <c r="I46">
        <v>2</v>
      </c>
      <c r="M46" t="str">
        <f>VLOOKUP(B46, [1]Course!$A$1:$O$933, 12, FALSE)</f>
        <v>WB</v>
      </c>
      <c r="N46" t="s">
        <v>14</v>
      </c>
      <c r="O46" t="str">
        <f>VLOOKUP(B46, [1]Course!$A$1:$O$933, 14, FALSE)</f>
        <v>WB</v>
      </c>
      <c r="P46">
        <v>1</v>
      </c>
    </row>
    <row r="47" spans="1:16" x14ac:dyDescent="0.25">
      <c r="A47">
        <v>46</v>
      </c>
      <c r="B47">
        <v>4</v>
      </c>
      <c r="C47">
        <v>11</v>
      </c>
      <c r="D47" t="s">
        <v>17</v>
      </c>
      <c r="E47" t="str">
        <f t="shared" si="0"/>
        <v>1211WB03PT</v>
      </c>
      <c r="F47">
        <f>VLOOKUP(B47,[1]Course!$A$2:$R$329,2,FALSE)</f>
        <v>0</v>
      </c>
      <c r="G47">
        <f>VLOOKUP(B47, [1]Course!$A$2:$L$950, 8, FALSE)</f>
        <v>12</v>
      </c>
      <c r="H47">
        <v>3</v>
      </c>
      <c r="I47">
        <v>2</v>
      </c>
      <c r="M47" t="str">
        <f>VLOOKUP(B47, [1]Course!$A$1:$O$933, 12, FALSE)</f>
        <v>WB</v>
      </c>
      <c r="N47" t="s">
        <v>14</v>
      </c>
      <c r="O47" t="str">
        <f>VLOOKUP(B47, [1]Course!$A$1:$O$933, 14, FALSE)</f>
        <v>WB</v>
      </c>
      <c r="P47">
        <v>1</v>
      </c>
    </row>
    <row r="48" spans="1:16" x14ac:dyDescent="0.25">
      <c r="A48">
        <v>47</v>
      </c>
      <c r="B48">
        <v>4</v>
      </c>
      <c r="C48">
        <v>12</v>
      </c>
      <c r="D48" t="s">
        <v>17</v>
      </c>
      <c r="E48" t="str">
        <f t="shared" si="0"/>
        <v>1212WB03PT</v>
      </c>
      <c r="F48">
        <f>VLOOKUP(B48,[1]Course!$A$2:$R$329,2,FALSE)</f>
        <v>0</v>
      </c>
      <c r="G48">
        <f>VLOOKUP(B48, [1]Course!$A$2:$L$950, 8, FALSE)</f>
        <v>12</v>
      </c>
      <c r="H48">
        <v>3</v>
      </c>
      <c r="I48">
        <v>2</v>
      </c>
      <c r="M48" t="str">
        <f>VLOOKUP(B48, [1]Course!$A$1:$O$933, 12, FALSE)</f>
        <v>WB</v>
      </c>
      <c r="N48" t="s">
        <v>14</v>
      </c>
      <c r="O48" t="str">
        <f>VLOOKUP(B48, [1]Course!$A$1:$O$933, 14, FALSE)</f>
        <v>WB</v>
      </c>
      <c r="P48">
        <v>1</v>
      </c>
    </row>
    <row r="49" spans="1:16" x14ac:dyDescent="0.25">
      <c r="A49">
        <v>48</v>
      </c>
      <c r="B49">
        <v>5</v>
      </c>
      <c r="C49">
        <v>1</v>
      </c>
      <c r="D49" t="s">
        <v>18</v>
      </c>
      <c r="E49" t="str">
        <f t="shared" si="0"/>
        <v>1201LC03PT</v>
      </c>
      <c r="F49">
        <f>VLOOKUP(B49,[1]Course!$A$2:$R$329,2,FALSE)</f>
        <v>0</v>
      </c>
      <c r="G49">
        <f>VLOOKUP(B49, [1]Course!$A$2:$L$950, 8, FALSE)</f>
        <v>12</v>
      </c>
      <c r="H49">
        <v>3</v>
      </c>
      <c r="I49">
        <v>2</v>
      </c>
      <c r="M49" t="str">
        <f>VLOOKUP(B49, [1]Course!$A$1:$O$933, 12, FALSE)</f>
        <v>LI</v>
      </c>
      <c r="N49" t="s">
        <v>14</v>
      </c>
      <c r="O49" t="str">
        <f>VLOOKUP(B49, [1]Course!$A$1:$O$933, 14, FALSE)</f>
        <v>LC</v>
      </c>
      <c r="P49">
        <v>1</v>
      </c>
    </row>
    <row r="50" spans="1:16" x14ac:dyDescent="0.25">
      <c r="A50">
        <v>49</v>
      </c>
      <c r="B50">
        <v>5</v>
      </c>
      <c r="C50">
        <v>2</v>
      </c>
      <c r="D50" t="s">
        <v>18</v>
      </c>
      <c r="E50" t="str">
        <f t="shared" si="0"/>
        <v>1202LC03PT</v>
      </c>
      <c r="F50">
        <f>VLOOKUP(B50,[1]Course!$A$2:$R$329,2,FALSE)</f>
        <v>0</v>
      </c>
      <c r="G50">
        <f>VLOOKUP(B50, [1]Course!$A$2:$L$950, 8, FALSE)</f>
        <v>12</v>
      </c>
      <c r="H50">
        <v>3</v>
      </c>
      <c r="I50">
        <v>2</v>
      </c>
      <c r="M50" t="str">
        <f>VLOOKUP(B50, [1]Course!$A$1:$O$933, 12, FALSE)</f>
        <v>LI</v>
      </c>
      <c r="N50" t="s">
        <v>14</v>
      </c>
      <c r="O50" t="str">
        <f>VLOOKUP(B50, [1]Course!$A$1:$O$933, 14, FALSE)</f>
        <v>LC</v>
      </c>
      <c r="P50">
        <v>1</v>
      </c>
    </row>
    <row r="51" spans="1:16" x14ac:dyDescent="0.25">
      <c r="A51">
        <v>50</v>
      </c>
      <c r="B51">
        <v>5</v>
      </c>
      <c r="C51">
        <v>3</v>
      </c>
      <c r="D51" t="s">
        <v>18</v>
      </c>
      <c r="E51" t="str">
        <f t="shared" si="0"/>
        <v>1203LC03PT</v>
      </c>
      <c r="F51">
        <f>VLOOKUP(B51,[1]Course!$A$2:$R$329,2,FALSE)</f>
        <v>0</v>
      </c>
      <c r="G51">
        <f>VLOOKUP(B51, [1]Course!$A$2:$L$950, 8, FALSE)</f>
        <v>12</v>
      </c>
      <c r="H51">
        <v>3</v>
      </c>
      <c r="I51">
        <v>2</v>
      </c>
      <c r="M51" t="str">
        <f>VLOOKUP(B51, [1]Course!$A$1:$O$933, 12, FALSE)</f>
        <v>LI</v>
      </c>
      <c r="N51" t="s">
        <v>14</v>
      </c>
      <c r="O51" t="str">
        <f>VLOOKUP(B51, [1]Course!$A$1:$O$933, 14, FALSE)</f>
        <v>LC</v>
      </c>
      <c r="P51">
        <v>1</v>
      </c>
    </row>
    <row r="52" spans="1:16" x14ac:dyDescent="0.25">
      <c r="A52">
        <v>51</v>
      </c>
      <c r="B52">
        <v>5</v>
      </c>
      <c r="C52">
        <v>4</v>
      </c>
      <c r="D52" t="s">
        <v>18</v>
      </c>
      <c r="E52" t="str">
        <f t="shared" si="0"/>
        <v>1204LC03PT</v>
      </c>
      <c r="F52">
        <f>VLOOKUP(B52,[1]Course!$A$2:$R$329,2,FALSE)</f>
        <v>0</v>
      </c>
      <c r="G52">
        <f>VLOOKUP(B52, [1]Course!$A$2:$L$950, 8, FALSE)</f>
        <v>12</v>
      </c>
      <c r="H52">
        <v>3</v>
      </c>
      <c r="I52">
        <v>2</v>
      </c>
      <c r="M52" t="str">
        <f>VLOOKUP(B52, [1]Course!$A$1:$O$933, 12, FALSE)</f>
        <v>LI</v>
      </c>
      <c r="N52" t="s">
        <v>14</v>
      </c>
      <c r="O52" t="str">
        <f>VLOOKUP(B52, [1]Course!$A$1:$O$933, 14, FALSE)</f>
        <v>LC</v>
      </c>
      <c r="P52">
        <v>1</v>
      </c>
    </row>
    <row r="53" spans="1:16" x14ac:dyDescent="0.25">
      <c r="A53">
        <v>52</v>
      </c>
      <c r="B53">
        <v>5</v>
      </c>
      <c r="C53">
        <v>5</v>
      </c>
      <c r="D53" t="s">
        <v>18</v>
      </c>
      <c r="E53" t="str">
        <f t="shared" si="0"/>
        <v>1205LC03PT</v>
      </c>
      <c r="F53">
        <f>VLOOKUP(B53,[1]Course!$A$2:$R$329,2,FALSE)</f>
        <v>0</v>
      </c>
      <c r="G53">
        <f>VLOOKUP(B53, [1]Course!$A$2:$L$950, 8, FALSE)</f>
        <v>12</v>
      </c>
      <c r="H53">
        <v>3</v>
      </c>
      <c r="I53">
        <v>2</v>
      </c>
      <c r="M53" t="str">
        <f>VLOOKUP(B53, [1]Course!$A$1:$O$933, 12, FALSE)</f>
        <v>LI</v>
      </c>
      <c r="N53" t="s">
        <v>14</v>
      </c>
      <c r="O53" t="str">
        <f>VLOOKUP(B53, [1]Course!$A$1:$O$933, 14, FALSE)</f>
        <v>LC</v>
      </c>
      <c r="P53">
        <v>1</v>
      </c>
    </row>
    <row r="54" spans="1:16" x14ac:dyDescent="0.25">
      <c r="A54">
        <v>53</v>
      </c>
      <c r="B54">
        <v>5</v>
      </c>
      <c r="C54">
        <v>6</v>
      </c>
      <c r="D54" t="s">
        <v>18</v>
      </c>
      <c r="E54" t="str">
        <f t="shared" si="0"/>
        <v>1206LC03PT</v>
      </c>
      <c r="F54">
        <f>VLOOKUP(B54,[1]Course!$A$2:$R$329,2,FALSE)</f>
        <v>0</v>
      </c>
      <c r="G54">
        <f>VLOOKUP(B54, [1]Course!$A$2:$L$950, 8, FALSE)</f>
        <v>12</v>
      </c>
      <c r="H54">
        <v>3</v>
      </c>
      <c r="I54">
        <v>2</v>
      </c>
      <c r="M54" t="str">
        <f>VLOOKUP(B54, [1]Course!$A$1:$O$933, 12, FALSE)</f>
        <v>LI</v>
      </c>
      <c r="N54" t="s">
        <v>14</v>
      </c>
      <c r="O54" t="str">
        <f>VLOOKUP(B54, [1]Course!$A$1:$O$933, 14, FALSE)</f>
        <v>LC</v>
      </c>
      <c r="P54">
        <v>1</v>
      </c>
    </row>
    <row r="55" spans="1:16" x14ac:dyDescent="0.25">
      <c r="A55">
        <v>54</v>
      </c>
      <c r="B55">
        <v>5</v>
      </c>
      <c r="C55">
        <v>7</v>
      </c>
      <c r="D55" t="s">
        <v>18</v>
      </c>
      <c r="E55" t="str">
        <f t="shared" si="0"/>
        <v>1207LC03PT</v>
      </c>
      <c r="F55">
        <f>VLOOKUP(B55,[1]Course!$A$2:$R$329,2,FALSE)</f>
        <v>0</v>
      </c>
      <c r="G55">
        <f>VLOOKUP(B55, [1]Course!$A$2:$L$950, 8, FALSE)</f>
        <v>12</v>
      </c>
      <c r="H55">
        <v>3</v>
      </c>
      <c r="I55">
        <v>2</v>
      </c>
      <c r="M55" t="str">
        <f>VLOOKUP(B55, [1]Course!$A$1:$O$933, 12, FALSE)</f>
        <v>LI</v>
      </c>
      <c r="N55" t="s">
        <v>14</v>
      </c>
      <c r="O55" t="str">
        <f>VLOOKUP(B55, [1]Course!$A$1:$O$933, 14, FALSE)</f>
        <v>LC</v>
      </c>
      <c r="P55">
        <v>1</v>
      </c>
    </row>
    <row r="56" spans="1:16" x14ac:dyDescent="0.25">
      <c r="A56">
        <v>55</v>
      </c>
      <c r="B56">
        <v>5</v>
      </c>
      <c r="C56">
        <v>8</v>
      </c>
      <c r="D56" t="s">
        <v>18</v>
      </c>
      <c r="E56" t="str">
        <f t="shared" si="0"/>
        <v>1208LC03PT</v>
      </c>
      <c r="F56">
        <f>VLOOKUP(B56,[1]Course!$A$2:$R$329,2,FALSE)</f>
        <v>0</v>
      </c>
      <c r="G56">
        <f>VLOOKUP(B56, [1]Course!$A$2:$L$950, 8, FALSE)</f>
        <v>12</v>
      </c>
      <c r="H56">
        <v>3</v>
      </c>
      <c r="I56">
        <v>2</v>
      </c>
      <c r="M56" t="str">
        <f>VLOOKUP(B56, [1]Course!$A$1:$O$933, 12, FALSE)</f>
        <v>LI</v>
      </c>
      <c r="N56" t="s">
        <v>14</v>
      </c>
      <c r="O56" t="str">
        <f>VLOOKUP(B56, [1]Course!$A$1:$O$933, 14, FALSE)</f>
        <v>LC</v>
      </c>
      <c r="P56">
        <v>1</v>
      </c>
    </row>
    <row r="57" spans="1:16" x14ac:dyDescent="0.25">
      <c r="A57">
        <v>56</v>
      </c>
      <c r="B57">
        <v>5</v>
      </c>
      <c r="C57">
        <v>9</v>
      </c>
      <c r="D57" t="s">
        <v>18</v>
      </c>
      <c r="E57" t="str">
        <f t="shared" si="0"/>
        <v>1209LC03PT</v>
      </c>
      <c r="F57">
        <f>VLOOKUP(B57,[1]Course!$A$2:$R$329,2,FALSE)</f>
        <v>0</v>
      </c>
      <c r="G57">
        <f>VLOOKUP(B57, [1]Course!$A$2:$L$950, 8, FALSE)</f>
        <v>12</v>
      </c>
      <c r="H57">
        <v>3</v>
      </c>
      <c r="I57">
        <v>2</v>
      </c>
      <c r="M57" t="str">
        <f>VLOOKUP(B57, [1]Course!$A$1:$O$933, 12, FALSE)</f>
        <v>LI</v>
      </c>
      <c r="N57" t="s">
        <v>14</v>
      </c>
      <c r="O57" t="str">
        <f>VLOOKUP(B57, [1]Course!$A$1:$O$933, 14, FALSE)</f>
        <v>LC</v>
      </c>
      <c r="P57">
        <v>1</v>
      </c>
    </row>
    <row r="58" spans="1:16" x14ac:dyDescent="0.25">
      <c r="A58">
        <v>57</v>
      </c>
      <c r="B58">
        <v>5</v>
      </c>
      <c r="C58">
        <v>10</v>
      </c>
      <c r="D58" t="s">
        <v>18</v>
      </c>
      <c r="E58" t="str">
        <f t="shared" si="0"/>
        <v>1210LC03PT</v>
      </c>
      <c r="F58">
        <f>VLOOKUP(B58,[1]Course!$A$2:$R$329,2,FALSE)</f>
        <v>0</v>
      </c>
      <c r="G58">
        <f>VLOOKUP(B58, [1]Course!$A$2:$L$950, 8, FALSE)</f>
        <v>12</v>
      </c>
      <c r="H58">
        <v>3</v>
      </c>
      <c r="I58">
        <v>2</v>
      </c>
      <c r="M58" t="str">
        <f>VLOOKUP(B58, [1]Course!$A$1:$O$933, 12, FALSE)</f>
        <v>LI</v>
      </c>
      <c r="N58" t="s">
        <v>14</v>
      </c>
      <c r="O58" t="str">
        <f>VLOOKUP(B58, [1]Course!$A$1:$O$933, 14, FALSE)</f>
        <v>LC</v>
      </c>
      <c r="P58">
        <v>1</v>
      </c>
    </row>
    <row r="59" spans="1:16" x14ac:dyDescent="0.25">
      <c r="A59">
        <v>58</v>
      </c>
      <c r="B59">
        <v>5</v>
      </c>
      <c r="C59">
        <v>11</v>
      </c>
      <c r="D59" t="s">
        <v>18</v>
      </c>
      <c r="E59" t="str">
        <f t="shared" si="0"/>
        <v>1211LC03PT</v>
      </c>
      <c r="F59">
        <f>VLOOKUP(B59,[1]Course!$A$2:$R$329,2,FALSE)</f>
        <v>0</v>
      </c>
      <c r="G59">
        <f>VLOOKUP(B59, [1]Course!$A$2:$L$950, 8, FALSE)</f>
        <v>12</v>
      </c>
      <c r="H59">
        <v>3</v>
      </c>
      <c r="I59">
        <v>2</v>
      </c>
      <c r="M59" t="str">
        <f>VLOOKUP(B59, [1]Course!$A$1:$O$933, 12, FALSE)</f>
        <v>LI</v>
      </c>
      <c r="N59" t="s">
        <v>14</v>
      </c>
      <c r="O59" t="str">
        <f>VLOOKUP(B59, [1]Course!$A$1:$O$933, 14, FALSE)</f>
        <v>LC</v>
      </c>
      <c r="P59">
        <v>1</v>
      </c>
    </row>
    <row r="60" spans="1:16" x14ac:dyDescent="0.25">
      <c r="A60">
        <v>59</v>
      </c>
      <c r="B60">
        <v>5</v>
      </c>
      <c r="C60">
        <v>12</v>
      </c>
      <c r="D60" t="s">
        <v>18</v>
      </c>
      <c r="E60" t="str">
        <f t="shared" si="0"/>
        <v>1212LC03PT</v>
      </c>
      <c r="F60">
        <f>VLOOKUP(B60,[1]Course!$A$2:$R$329,2,FALSE)</f>
        <v>0</v>
      </c>
      <c r="G60">
        <f>VLOOKUP(B60, [1]Course!$A$2:$L$950, 8, FALSE)</f>
        <v>12</v>
      </c>
      <c r="H60">
        <v>3</v>
      </c>
      <c r="I60">
        <v>2</v>
      </c>
      <c r="M60" t="str">
        <f>VLOOKUP(B60, [1]Course!$A$1:$O$933, 12, FALSE)</f>
        <v>LI</v>
      </c>
      <c r="N60" t="s">
        <v>14</v>
      </c>
      <c r="O60" t="str">
        <f>VLOOKUP(B60, [1]Course!$A$1:$O$933, 14, FALSE)</f>
        <v>LC</v>
      </c>
      <c r="P60">
        <v>1</v>
      </c>
    </row>
    <row r="61" spans="1:16" x14ac:dyDescent="0.25">
      <c r="A61">
        <v>60</v>
      </c>
      <c r="B61">
        <v>6</v>
      </c>
      <c r="C61">
        <v>1</v>
      </c>
      <c r="D61" t="s">
        <v>19</v>
      </c>
      <c r="E61" t="str">
        <f t="shared" si="0"/>
        <v>1201SC03PT</v>
      </c>
      <c r="F61" t="str">
        <f>VLOOKUP(B61,[1]Course!$A$2:$R$329,2,FALSE)</f>
        <v>Science 1</v>
      </c>
      <c r="G61">
        <f>VLOOKUP(B61, [1]Course!$A$2:$L$950, 8, FALSE)</f>
        <v>12</v>
      </c>
      <c r="H61">
        <v>3</v>
      </c>
      <c r="I61">
        <v>2</v>
      </c>
      <c r="M61" t="str">
        <f>VLOOKUP(B61, [1]Course!$A$1:$O$933, 12, FALSE)</f>
        <v>SC</v>
      </c>
      <c r="N61" t="s">
        <v>14</v>
      </c>
      <c r="O61" t="str">
        <f>VLOOKUP(B61, [1]Course!$A$1:$O$933, 14, FALSE)</f>
        <v>SC</v>
      </c>
      <c r="P61">
        <v>1</v>
      </c>
    </row>
    <row r="62" spans="1:16" x14ac:dyDescent="0.25">
      <c r="A62">
        <v>61</v>
      </c>
      <c r="B62">
        <v>6</v>
      </c>
      <c r="C62">
        <v>2</v>
      </c>
      <c r="D62" t="s">
        <v>19</v>
      </c>
      <c r="E62" t="str">
        <f t="shared" si="0"/>
        <v>1202SC03PT</v>
      </c>
      <c r="F62" t="str">
        <f>VLOOKUP(B62,[1]Course!$A$2:$R$329,2,FALSE)</f>
        <v>Science 1</v>
      </c>
      <c r="G62">
        <f>VLOOKUP(B62, [1]Course!$A$2:$L$950, 8, FALSE)</f>
        <v>12</v>
      </c>
      <c r="H62">
        <v>3</v>
      </c>
      <c r="I62">
        <v>2</v>
      </c>
      <c r="M62" t="str">
        <f>VLOOKUP(B62, [1]Course!$A$1:$O$933, 12, FALSE)</f>
        <v>SC</v>
      </c>
      <c r="N62" t="s">
        <v>14</v>
      </c>
      <c r="O62" t="str">
        <f>VLOOKUP(B62, [1]Course!$A$1:$O$933, 14, FALSE)</f>
        <v>SC</v>
      </c>
      <c r="P62">
        <v>1</v>
      </c>
    </row>
    <row r="63" spans="1:16" x14ac:dyDescent="0.25">
      <c r="A63">
        <v>62</v>
      </c>
      <c r="B63">
        <v>6</v>
      </c>
      <c r="C63">
        <v>3</v>
      </c>
      <c r="D63" t="s">
        <v>19</v>
      </c>
      <c r="E63" t="str">
        <f t="shared" si="0"/>
        <v>1203SC03PT</v>
      </c>
      <c r="F63" t="str">
        <f>VLOOKUP(B63,[1]Course!$A$2:$R$329,2,FALSE)</f>
        <v>Science 1</v>
      </c>
      <c r="G63">
        <f>VLOOKUP(B63, [1]Course!$A$2:$L$950, 8, FALSE)</f>
        <v>12</v>
      </c>
      <c r="H63">
        <v>3</v>
      </c>
      <c r="I63">
        <v>2</v>
      </c>
      <c r="M63" t="str">
        <f>VLOOKUP(B63, [1]Course!$A$1:$O$933, 12, FALSE)</f>
        <v>SC</v>
      </c>
      <c r="N63" t="s">
        <v>14</v>
      </c>
      <c r="O63" t="str">
        <f>VLOOKUP(B63, [1]Course!$A$1:$O$933, 14, FALSE)</f>
        <v>SC</v>
      </c>
      <c r="P63">
        <v>1</v>
      </c>
    </row>
    <row r="64" spans="1:16" x14ac:dyDescent="0.25">
      <c r="A64">
        <v>63</v>
      </c>
      <c r="B64">
        <v>6</v>
      </c>
      <c r="C64">
        <v>4</v>
      </c>
      <c r="D64" t="s">
        <v>19</v>
      </c>
      <c r="E64" t="str">
        <f t="shared" si="0"/>
        <v>1204SC03PT</v>
      </c>
      <c r="F64" t="str">
        <f>VLOOKUP(B64,[1]Course!$A$2:$R$329,2,FALSE)</f>
        <v>Science 1</v>
      </c>
      <c r="G64">
        <f>VLOOKUP(B64, [1]Course!$A$2:$L$950, 8, FALSE)</f>
        <v>12</v>
      </c>
      <c r="H64">
        <v>3</v>
      </c>
      <c r="I64">
        <v>2</v>
      </c>
      <c r="M64" t="str">
        <f>VLOOKUP(B64, [1]Course!$A$1:$O$933, 12, FALSE)</f>
        <v>SC</v>
      </c>
      <c r="N64" t="s">
        <v>14</v>
      </c>
      <c r="O64" t="str">
        <f>VLOOKUP(B64, [1]Course!$A$1:$O$933, 14, FALSE)</f>
        <v>SC</v>
      </c>
      <c r="P64">
        <v>1</v>
      </c>
    </row>
    <row r="65" spans="1:16" x14ac:dyDescent="0.25">
      <c r="A65">
        <v>64</v>
      </c>
      <c r="B65">
        <v>6</v>
      </c>
      <c r="C65">
        <v>5</v>
      </c>
      <c r="D65" t="s">
        <v>19</v>
      </c>
      <c r="E65" t="str">
        <f t="shared" si="0"/>
        <v>1205SC03PT</v>
      </c>
      <c r="F65" t="str">
        <f>VLOOKUP(B65,[1]Course!$A$2:$R$329,2,FALSE)</f>
        <v>Science 1</v>
      </c>
      <c r="G65">
        <f>VLOOKUP(B65, [1]Course!$A$2:$L$950, 8, FALSE)</f>
        <v>12</v>
      </c>
      <c r="H65">
        <v>3</v>
      </c>
      <c r="I65">
        <v>2</v>
      </c>
      <c r="M65" t="str">
        <f>VLOOKUP(B65, [1]Course!$A$1:$O$933, 12, FALSE)</f>
        <v>SC</v>
      </c>
      <c r="N65" t="s">
        <v>14</v>
      </c>
      <c r="O65" t="str">
        <f>VLOOKUP(B65, [1]Course!$A$1:$O$933, 14, FALSE)</f>
        <v>SC</v>
      </c>
      <c r="P65">
        <v>1</v>
      </c>
    </row>
    <row r="66" spans="1:16" x14ac:dyDescent="0.25">
      <c r="A66">
        <v>65</v>
      </c>
      <c r="B66">
        <v>6</v>
      </c>
      <c r="C66">
        <v>6</v>
      </c>
      <c r="D66" t="s">
        <v>19</v>
      </c>
      <c r="E66" t="str">
        <f t="shared" si="0"/>
        <v>1206SC03PT</v>
      </c>
      <c r="F66" t="str">
        <f>VLOOKUP(B66,[1]Course!$A$2:$R$329,2,FALSE)</f>
        <v>Science 1</v>
      </c>
      <c r="G66">
        <f>VLOOKUP(B66, [1]Course!$A$2:$L$950, 8, FALSE)</f>
        <v>12</v>
      </c>
      <c r="H66">
        <v>3</v>
      </c>
      <c r="I66">
        <v>2</v>
      </c>
      <c r="M66" t="str">
        <f>VLOOKUP(B66, [1]Course!$A$1:$O$933, 12, FALSE)</f>
        <v>SC</v>
      </c>
      <c r="N66" t="s">
        <v>14</v>
      </c>
      <c r="O66" t="str">
        <f>VLOOKUP(B66, [1]Course!$A$1:$O$933, 14, FALSE)</f>
        <v>SC</v>
      </c>
      <c r="P66">
        <v>1</v>
      </c>
    </row>
    <row r="67" spans="1:16" x14ac:dyDescent="0.25">
      <c r="A67">
        <v>66</v>
      </c>
      <c r="B67">
        <v>6</v>
      </c>
      <c r="C67">
        <v>7</v>
      </c>
      <c r="D67" t="s">
        <v>19</v>
      </c>
      <c r="E67" t="str">
        <f t="shared" ref="E67:E130" si="1">UPPER(LEFT(G67,2)) &amp; RIGHT("0" &amp; C67, 2) &amp; D67 &amp; RIGHT("0" &amp; H67, 2) &amp; N67</f>
        <v>1207SC03PT</v>
      </c>
      <c r="F67" t="str">
        <f>VLOOKUP(B67,[1]Course!$A$2:$R$329,2,FALSE)</f>
        <v>Science 1</v>
      </c>
      <c r="G67">
        <f>VLOOKUP(B67, [1]Course!$A$2:$L$950, 8, FALSE)</f>
        <v>12</v>
      </c>
      <c r="H67">
        <v>3</v>
      </c>
      <c r="I67">
        <v>2</v>
      </c>
      <c r="M67" t="str">
        <f>VLOOKUP(B67, [1]Course!$A$1:$O$933, 12, FALSE)</f>
        <v>SC</v>
      </c>
      <c r="N67" t="s">
        <v>14</v>
      </c>
      <c r="O67" t="str">
        <f>VLOOKUP(B67, [1]Course!$A$1:$O$933, 14, FALSE)</f>
        <v>SC</v>
      </c>
      <c r="P67">
        <v>1</v>
      </c>
    </row>
    <row r="68" spans="1:16" x14ac:dyDescent="0.25">
      <c r="A68">
        <v>67</v>
      </c>
      <c r="B68">
        <v>6</v>
      </c>
      <c r="C68">
        <v>8</v>
      </c>
      <c r="D68" t="s">
        <v>19</v>
      </c>
      <c r="E68" t="str">
        <f t="shared" si="1"/>
        <v>1208SC03PT</v>
      </c>
      <c r="F68" t="str">
        <f>VLOOKUP(B68,[1]Course!$A$2:$R$329,2,FALSE)</f>
        <v>Science 1</v>
      </c>
      <c r="G68">
        <f>VLOOKUP(B68, [1]Course!$A$2:$L$950, 8, FALSE)</f>
        <v>12</v>
      </c>
      <c r="H68">
        <v>3</v>
      </c>
      <c r="I68">
        <v>2</v>
      </c>
      <c r="M68" t="str">
        <f>VLOOKUP(B68, [1]Course!$A$1:$O$933, 12, FALSE)</f>
        <v>SC</v>
      </c>
      <c r="N68" t="s">
        <v>14</v>
      </c>
      <c r="O68" t="str">
        <f>VLOOKUP(B68, [1]Course!$A$1:$O$933, 14, FALSE)</f>
        <v>SC</v>
      </c>
      <c r="P68">
        <v>1</v>
      </c>
    </row>
    <row r="69" spans="1:16" x14ac:dyDescent="0.25">
      <c r="A69">
        <v>68</v>
      </c>
      <c r="B69">
        <v>6</v>
      </c>
      <c r="C69">
        <v>9</v>
      </c>
      <c r="D69" t="s">
        <v>19</v>
      </c>
      <c r="E69" t="str">
        <f t="shared" si="1"/>
        <v>1209SC03PT</v>
      </c>
      <c r="F69" t="str">
        <f>VLOOKUP(B69,[1]Course!$A$2:$R$329,2,FALSE)</f>
        <v>Science 1</v>
      </c>
      <c r="G69">
        <f>VLOOKUP(B69, [1]Course!$A$2:$L$950, 8, FALSE)</f>
        <v>12</v>
      </c>
      <c r="H69">
        <v>3</v>
      </c>
      <c r="I69">
        <v>2</v>
      </c>
      <c r="M69" t="str">
        <f>VLOOKUP(B69, [1]Course!$A$1:$O$933, 12, FALSE)</f>
        <v>SC</v>
      </c>
      <c r="N69" t="s">
        <v>14</v>
      </c>
      <c r="O69" t="str">
        <f>VLOOKUP(B69, [1]Course!$A$1:$O$933, 14, FALSE)</f>
        <v>SC</v>
      </c>
      <c r="P69">
        <v>1</v>
      </c>
    </row>
    <row r="70" spans="1:16" x14ac:dyDescent="0.25">
      <c r="A70">
        <v>69</v>
      </c>
      <c r="B70">
        <v>6</v>
      </c>
      <c r="C70">
        <v>10</v>
      </c>
      <c r="D70" t="s">
        <v>19</v>
      </c>
      <c r="E70" t="str">
        <f t="shared" si="1"/>
        <v>1210SC03PT</v>
      </c>
      <c r="F70" t="str">
        <f>VLOOKUP(B70,[1]Course!$A$2:$R$329,2,FALSE)</f>
        <v>Science 1</v>
      </c>
      <c r="G70">
        <f>VLOOKUP(B70, [1]Course!$A$2:$L$950, 8, FALSE)</f>
        <v>12</v>
      </c>
      <c r="H70">
        <v>3</v>
      </c>
      <c r="I70">
        <v>2</v>
      </c>
      <c r="M70" t="str">
        <f>VLOOKUP(B70, [1]Course!$A$1:$O$933, 12, FALSE)</f>
        <v>SC</v>
      </c>
      <c r="N70" t="s">
        <v>14</v>
      </c>
      <c r="O70" t="str">
        <f>VLOOKUP(B70, [1]Course!$A$1:$O$933, 14, FALSE)</f>
        <v>SC</v>
      </c>
      <c r="P70">
        <v>1</v>
      </c>
    </row>
    <row r="71" spans="1:16" x14ac:dyDescent="0.25">
      <c r="A71">
        <v>70</v>
      </c>
      <c r="B71">
        <v>6</v>
      </c>
      <c r="C71">
        <v>11</v>
      </c>
      <c r="D71" t="s">
        <v>19</v>
      </c>
      <c r="E71" t="str">
        <f t="shared" si="1"/>
        <v>1211SC03PT</v>
      </c>
      <c r="F71" t="str">
        <f>VLOOKUP(B71,[1]Course!$A$2:$R$329,2,FALSE)</f>
        <v>Science 1</v>
      </c>
      <c r="G71">
        <f>VLOOKUP(B71, [1]Course!$A$2:$L$950, 8, FALSE)</f>
        <v>12</v>
      </c>
      <c r="H71">
        <v>3</v>
      </c>
      <c r="I71">
        <v>2</v>
      </c>
      <c r="M71" t="str">
        <f>VLOOKUP(B71, [1]Course!$A$1:$O$933, 12, FALSE)</f>
        <v>SC</v>
      </c>
      <c r="N71" t="s">
        <v>14</v>
      </c>
      <c r="O71" t="str">
        <f>VLOOKUP(B71, [1]Course!$A$1:$O$933, 14, FALSE)</f>
        <v>SC</v>
      </c>
      <c r="P71">
        <v>1</v>
      </c>
    </row>
    <row r="72" spans="1:16" x14ac:dyDescent="0.25">
      <c r="A72">
        <v>71</v>
      </c>
      <c r="B72">
        <v>6</v>
      </c>
      <c r="C72">
        <v>12</v>
      </c>
      <c r="D72" t="s">
        <v>19</v>
      </c>
      <c r="E72" t="str">
        <f t="shared" si="1"/>
        <v>1212SC03PT</v>
      </c>
      <c r="F72" t="str">
        <f>VLOOKUP(B72,[1]Course!$A$2:$R$329,2,FALSE)</f>
        <v>Science 1</v>
      </c>
      <c r="G72">
        <f>VLOOKUP(B72, [1]Course!$A$2:$L$950, 8, FALSE)</f>
        <v>12</v>
      </c>
      <c r="H72">
        <v>3</v>
      </c>
      <c r="I72">
        <v>2</v>
      </c>
      <c r="M72" t="str">
        <f>VLOOKUP(B72, [1]Course!$A$1:$O$933, 12, FALSE)</f>
        <v>SC</v>
      </c>
      <c r="N72" t="s">
        <v>14</v>
      </c>
      <c r="O72" t="str">
        <f>VLOOKUP(B72, [1]Course!$A$1:$O$933, 14, FALSE)</f>
        <v>SC</v>
      </c>
      <c r="P72">
        <v>1</v>
      </c>
    </row>
    <row r="73" spans="1:16" x14ac:dyDescent="0.25">
      <c r="A73">
        <v>72</v>
      </c>
      <c r="B73">
        <v>7</v>
      </c>
      <c r="C73">
        <v>1</v>
      </c>
      <c r="D73" t="s">
        <v>20</v>
      </c>
      <c r="E73" t="str">
        <f t="shared" si="1"/>
        <v>1201SS03PT</v>
      </c>
      <c r="F73">
        <f>VLOOKUP(B73,[1]Course!$A$2:$R$329,2,FALSE)</f>
        <v>0</v>
      </c>
      <c r="G73">
        <f>VLOOKUP(B73, [1]Course!$A$2:$L$950, 8, FALSE)</f>
        <v>12</v>
      </c>
      <c r="H73">
        <v>3</v>
      </c>
      <c r="I73">
        <v>2</v>
      </c>
      <c r="M73" t="str">
        <f>VLOOKUP(B73, [1]Course!$A$1:$O$933, 12, FALSE)</f>
        <v>SS</v>
      </c>
      <c r="N73" t="s">
        <v>14</v>
      </c>
      <c r="O73" t="str">
        <f>VLOOKUP(B73, [1]Course!$A$1:$O$933, 14, FALSE)</f>
        <v>SS</v>
      </c>
      <c r="P73">
        <v>1</v>
      </c>
    </row>
    <row r="74" spans="1:16" x14ac:dyDescent="0.25">
      <c r="A74">
        <v>73</v>
      </c>
      <c r="B74">
        <v>7</v>
      </c>
      <c r="C74">
        <v>2</v>
      </c>
      <c r="D74" t="s">
        <v>20</v>
      </c>
      <c r="E74" t="str">
        <f t="shared" si="1"/>
        <v>1202SS03PT</v>
      </c>
      <c r="F74">
        <f>VLOOKUP(B74,[1]Course!$A$2:$R$329,2,FALSE)</f>
        <v>0</v>
      </c>
      <c r="G74">
        <f>VLOOKUP(B74, [1]Course!$A$2:$L$950, 8, FALSE)</f>
        <v>12</v>
      </c>
      <c r="H74">
        <v>3</v>
      </c>
      <c r="I74">
        <v>2</v>
      </c>
      <c r="M74" t="str">
        <f>VLOOKUP(B74, [1]Course!$A$1:$O$933, 12, FALSE)</f>
        <v>SS</v>
      </c>
      <c r="N74" t="s">
        <v>14</v>
      </c>
      <c r="O74" t="str">
        <f>VLOOKUP(B74, [1]Course!$A$1:$O$933, 14, FALSE)</f>
        <v>SS</v>
      </c>
      <c r="P74">
        <v>1</v>
      </c>
    </row>
    <row r="75" spans="1:16" x14ac:dyDescent="0.25">
      <c r="A75">
        <v>74</v>
      </c>
      <c r="B75">
        <v>7</v>
      </c>
      <c r="C75">
        <v>3</v>
      </c>
      <c r="D75" t="s">
        <v>20</v>
      </c>
      <c r="E75" t="str">
        <f t="shared" si="1"/>
        <v>1203SS03PT</v>
      </c>
      <c r="F75">
        <f>VLOOKUP(B75,[1]Course!$A$2:$R$329,2,FALSE)</f>
        <v>0</v>
      </c>
      <c r="G75">
        <f>VLOOKUP(B75, [1]Course!$A$2:$L$950, 8, FALSE)</f>
        <v>12</v>
      </c>
      <c r="H75">
        <v>3</v>
      </c>
      <c r="I75">
        <v>2</v>
      </c>
      <c r="M75" t="str">
        <f>VLOOKUP(B75, [1]Course!$A$1:$O$933, 12, FALSE)</f>
        <v>SS</v>
      </c>
      <c r="N75" t="s">
        <v>14</v>
      </c>
      <c r="O75" t="str">
        <f>VLOOKUP(B75, [1]Course!$A$1:$O$933, 14, FALSE)</f>
        <v>SS</v>
      </c>
      <c r="P75">
        <v>1</v>
      </c>
    </row>
    <row r="76" spans="1:16" x14ac:dyDescent="0.25">
      <c r="A76">
        <v>75</v>
      </c>
      <c r="B76">
        <v>7</v>
      </c>
      <c r="C76">
        <v>4</v>
      </c>
      <c r="D76" t="s">
        <v>20</v>
      </c>
      <c r="E76" t="str">
        <f t="shared" si="1"/>
        <v>1204SS03PT</v>
      </c>
      <c r="F76">
        <f>VLOOKUP(B76,[1]Course!$A$2:$R$329,2,FALSE)</f>
        <v>0</v>
      </c>
      <c r="G76">
        <f>VLOOKUP(B76, [1]Course!$A$2:$L$950, 8, FALSE)</f>
        <v>12</v>
      </c>
      <c r="H76">
        <v>3</v>
      </c>
      <c r="I76">
        <v>2</v>
      </c>
      <c r="M76" t="str">
        <f>VLOOKUP(B76, [1]Course!$A$1:$O$933, 12, FALSE)</f>
        <v>SS</v>
      </c>
      <c r="N76" t="s">
        <v>14</v>
      </c>
      <c r="O76" t="str">
        <f>VLOOKUP(B76, [1]Course!$A$1:$O$933, 14, FALSE)</f>
        <v>SS</v>
      </c>
      <c r="P76">
        <v>1</v>
      </c>
    </row>
    <row r="77" spans="1:16" x14ac:dyDescent="0.25">
      <c r="A77">
        <v>76</v>
      </c>
      <c r="B77">
        <v>7</v>
      </c>
      <c r="C77">
        <v>5</v>
      </c>
      <c r="D77" t="s">
        <v>20</v>
      </c>
      <c r="E77" t="str">
        <f t="shared" si="1"/>
        <v>1205SS03PT</v>
      </c>
      <c r="F77">
        <f>VLOOKUP(B77,[1]Course!$A$2:$R$329,2,FALSE)</f>
        <v>0</v>
      </c>
      <c r="G77">
        <f>VLOOKUP(B77, [1]Course!$A$2:$L$950, 8, FALSE)</f>
        <v>12</v>
      </c>
      <c r="H77">
        <v>3</v>
      </c>
      <c r="I77">
        <v>2</v>
      </c>
      <c r="M77" t="str">
        <f>VLOOKUP(B77, [1]Course!$A$1:$O$933, 12, FALSE)</f>
        <v>SS</v>
      </c>
      <c r="N77" t="s">
        <v>14</v>
      </c>
      <c r="O77" t="str">
        <f>VLOOKUP(B77, [1]Course!$A$1:$O$933, 14, FALSE)</f>
        <v>SS</v>
      </c>
      <c r="P77">
        <v>1</v>
      </c>
    </row>
    <row r="78" spans="1:16" x14ac:dyDescent="0.25">
      <c r="A78">
        <v>77</v>
      </c>
      <c r="B78">
        <v>7</v>
      </c>
      <c r="C78">
        <v>6</v>
      </c>
      <c r="D78" t="s">
        <v>20</v>
      </c>
      <c r="E78" t="str">
        <f t="shared" si="1"/>
        <v>1206SS03PT</v>
      </c>
      <c r="F78">
        <f>VLOOKUP(B78,[1]Course!$A$2:$R$329,2,FALSE)</f>
        <v>0</v>
      </c>
      <c r="G78">
        <f>VLOOKUP(B78, [1]Course!$A$2:$L$950, 8, FALSE)</f>
        <v>12</v>
      </c>
      <c r="H78">
        <v>3</v>
      </c>
      <c r="I78">
        <v>2</v>
      </c>
      <c r="M78" t="str">
        <f>VLOOKUP(B78, [1]Course!$A$1:$O$933, 12, FALSE)</f>
        <v>SS</v>
      </c>
      <c r="N78" t="s">
        <v>14</v>
      </c>
      <c r="O78" t="str">
        <f>VLOOKUP(B78, [1]Course!$A$1:$O$933, 14, FALSE)</f>
        <v>SS</v>
      </c>
      <c r="P78">
        <v>1</v>
      </c>
    </row>
    <row r="79" spans="1:16" x14ac:dyDescent="0.25">
      <c r="A79">
        <v>78</v>
      </c>
      <c r="B79">
        <v>7</v>
      </c>
      <c r="C79">
        <v>7</v>
      </c>
      <c r="D79" t="s">
        <v>20</v>
      </c>
      <c r="E79" t="str">
        <f t="shared" si="1"/>
        <v>1207SS03PT</v>
      </c>
      <c r="F79">
        <f>VLOOKUP(B79,[1]Course!$A$2:$R$329,2,FALSE)</f>
        <v>0</v>
      </c>
      <c r="G79">
        <f>VLOOKUP(B79, [1]Course!$A$2:$L$950, 8, FALSE)</f>
        <v>12</v>
      </c>
      <c r="H79">
        <v>3</v>
      </c>
      <c r="I79">
        <v>2</v>
      </c>
      <c r="M79" t="str">
        <f>VLOOKUP(B79, [1]Course!$A$1:$O$933, 12, FALSE)</f>
        <v>SS</v>
      </c>
      <c r="N79" t="s">
        <v>14</v>
      </c>
      <c r="O79" t="str">
        <f>VLOOKUP(B79, [1]Course!$A$1:$O$933, 14, FALSE)</f>
        <v>SS</v>
      </c>
      <c r="P79">
        <v>1</v>
      </c>
    </row>
    <row r="80" spans="1:16" x14ac:dyDescent="0.25">
      <c r="A80">
        <v>79</v>
      </c>
      <c r="B80">
        <v>7</v>
      </c>
      <c r="C80">
        <v>8</v>
      </c>
      <c r="D80" t="s">
        <v>20</v>
      </c>
      <c r="E80" t="str">
        <f t="shared" si="1"/>
        <v>1208SS03PT</v>
      </c>
      <c r="F80">
        <f>VLOOKUP(B80,[1]Course!$A$2:$R$329,2,FALSE)</f>
        <v>0</v>
      </c>
      <c r="G80">
        <f>VLOOKUP(B80, [1]Course!$A$2:$L$950, 8, FALSE)</f>
        <v>12</v>
      </c>
      <c r="H80">
        <v>3</v>
      </c>
      <c r="I80">
        <v>2</v>
      </c>
      <c r="M80" t="str">
        <f>VLOOKUP(B80, [1]Course!$A$1:$O$933, 12, FALSE)</f>
        <v>SS</v>
      </c>
      <c r="N80" t="s">
        <v>14</v>
      </c>
      <c r="O80" t="str">
        <f>VLOOKUP(B80, [1]Course!$A$1:$O$933, 14, FALSE)</f>
        <v>SS</v>
      </c>
      <c r="P80">
        <v>1</v>
      </c>
    </row>
    <row r="81" spans="1:16" x14ac:dyDescent="0.25">
      <c r="A81">
        <v>80</v>
      </c>
      <c r="B81">
        <v>7</v>
      </c>
      <c r="C81">
        <v>9</v>
      </c>
      <c r="D81" t="s">
        <v>20</v>
      </c>
      <c r="E81" t="str">
        <f t="shared" si="1"/>
        <v>1209SS03PT</v>
      </c>
      <c r="F81">
        <f>VLOOKUP(B81,[1]Course!$A$2:$R$329,2,FALSE)</f>
        <v>0</v>
      </c>
      <c r="G81">
        <f>VLOOKUP(B81, [1]Course!$A$2:$L$950, 8, FALSE)</f>
        <v>12</v>
      </c>
      <c r="H81">
        <v>3</v>
      </c>
      <c r="I81">
        <v>2</v>
      </c>
      <c r="M81" t="str">
        <f>VLOOKUP(B81, [1]Course!$A$1:$O$933, 12, FALSE)</f>
        <v>SS</v>
      </c>
      <c r="N81" t="s">
        <v>14</v>
      </c>
      <c r="O81" t="str">
        <f>VLOOKUP(B81, [1]Course!$A$1:$O$933, 14, FALSE)</f>
        <v>SS</v>
      </c>
      <c r="P81">
        <v>1</v>
      </c>
    </row>
    <row r="82" spans="1:16" x14ac:dyDescent="0.25">
      <c r="A82">
        <v>81</v>
      </c>
      <c r="B82">
        <v>7</v>
      </c>
      <c r="C82">
        <v>10</v>
      </c>
      <c r="D82" t="s">
        <v>20</v>
      </c>
      <c r="E82" t="str">
        <f t="shared" si="1"/>
        <v>1210SS03PT</v>
      </c>
      <c r="F82">
        <f>VLOOKUP(B82,[1]Course!$A$2:$R$329,2,FALSE)</f>
        <v>0</v>
      </c>
      <c r="G82">
        <f>VLOOKUP(B82, [1]Course!$A$2:$L$950, 8, FALSE)</f>
        <v>12</v>
      </c>
      <c r="H82">
        <v>3</v>
      </c>
      <c r="I82">
        <v>2</v>
      </c>
      <c r="M82" t="str">
        <f>VLOOKUP(B82, [1]Course!$A$1:$O$933, 12, FALSE)</f>
        <v>SS</v>
      </c>
      <c r="N82" t="s">
        <v>14</v>
      </c>
      <c r="O82" t="str">
        <f>VLOOKUP(B82, [1]Course!$A$1:$O$933, 14, FALSE)</f>
        <v>SS</v>
      </c>
      <c r="P82">
        <v>1</v>
      </c>
    </row>
    <row r="83" spans="1:16" x14ac:dyDescent="0.25">
      <c r="A83">
        <v>82</v>
      </c>
      <c r="B83">
        <v>7</v>
      </c>
      <c r="C83">
        <v>11</v>
      </c>
      <c r="D83" t="s">
        <v>20</v>
      </c>
      <c r="E83" t="str">
        <f t="shared" si="1"/>
        <v>1211SS03PT</v>
      </c>
      <c r="F83">
        <f>VLOOKUP(B83,[1]Course!$A$2:$R$329,2,FALSE)</f>
        <v>0</v>
      </c>
      <c r="G83">
        <f>VLOOKUP(B83, [1]Course!$A$2:$L$950, 8, FALSE)</f>
        <v>12</v>
      </c>
      <c r="H83">
        <v>3</v>
      </c>
      <c r="I83">
        <v>2</v>
      </c>
      <c r="M83" t="str">
        <f>VLOOKUP(B83, [1]Course!$A$1:$O$933, 12, FALSE)</f>
        <v>SS</v>
      </c>
      <c r="N83" t="s">
        <v>14</v>
      </c>
      <c r="O83" t="str">
        <f>VLOOKUP(B83, [1]Course!$A$1:$O$933, 14, FALSE)</f>
        <v>SS</v>
      </c>
      <c r="P83">
        <v>1</v>
      </c>
    </row>
    <row r="84" spans="1:16" x14ac:dyDescent="0.25">
      <c r="A84">
        <v>83</v>
      </c>
      <c r="B84">
        <v>7</v>
      </c>
      <c r="C84">
        <v>12</v>
      </c>
      <c r="D84" t="s">
        <v>20</v>
      </c>
      <c r="E84" t="str">
        <f t="shared" si="1"/>
        <v>1212SS03PT</v>
      </c>
      <c r="F84">
        <f>VLOOKUP(B84,[1]Course!$A$2:$R$329,2,FALSE)</f>
        <v>0</v>
      </c>
      <c r="G84">
        <f>VLOOKUP(B84, [1]Course!$A$2:$L$950, 8, FALSE)</f>
        <v>12</v>
      </c>
      <c r="H84">
        <v>3</v>
      </c>
      <c r="I84">
        <v>2</v>
      </c>
      <c r="M84" t="str">
        <f>VLOOKUP(B84, [1]Course!$A$1:$O$933, 12, FALSE)</f>
        <v>SS</v>
      </c>
      <c r="N84" t="s">
        <v>14</v>
      </c>
      <c r="O84" t="str">
        <f>VLOOKUP(B84, [1]Course!$A$1:$O$933, 14, FALSE)</f>
        <v>SS</v>
      </c>
      <c r="P84">
        <v>1</v>
      </c>
    </row>
    <row r="85" spans="1:16" x14ac:dyDescent="0.25">
      <c r="A85">
        <v>84</v>
      </c>
      <c r="B85">
        <v>8</v>
      </c>
      <c r="C85">
        <v>1</v>
      </c>
      <c r="D85" t="s">
        <v>21</v>
      </c>
      <c r="E85" t="str">
        <f t="shared" si="1"/>
        <v>1201BR03PT</v>
      </c>
      <c r="F85">
        <f>VLOOKUP(B85,[1]Course!$A$2:$R$329,2,FALSE)</f>
        <v>0</v>
      </c>
      <c r="G85">
        <f>VLOOKUP(B85, [1]Course!$A$2:$L$950, 8, FALSE)</f>
        <v>12</v>
      </c>
      <c r="H85">
        <v>3</v>
      </c>
      <c r="I85">
        <v>2</v>
      </c>
      <c r="M85" t="str">
        <f>VLOOKUP(B85, [1]Course!$A$1:$O$933, 12, FALSE)</f>
        <v>BS</v>
      </c>
      <c r="N85" t="s">
        <v>14</v>
      </c>
      <c r="O85" t="str">
        <f>VLOOKUP(B85, [1]Course!$A$1:$O$933, 14, FALSE)</f>
        <v>BR</v>
      </c>
      <c r="P85">
        <v>1</v>
      </c>
    </row>
    <row r="86" spans="1:16" x14ac:dyDescent="0.25">
      <c r="A86">
        <v>85</v>
      </c>
      <c r="B86">
        <v>8</v>
      </c>
      <c r="C86">
        <v>2</v>
      </c>
      <c r="D86" t="s">
        <v>21</v>
      </c>
      <c r="E86" t="str">
        <f t="shared" si="1"/>
        <v>1202BR03PT</v>
      </c>
      <c r="F86">
        <f>VLOOKUP(B86,[1]Course!$A$2:$R$329,2,FALSE)</f>
        <v>0</v>
      </c>
      <c r="G86">
        <f>VLOOKUP(B86, [1]Course!$A$2:$L$950, 8, FALSE)</f>
        <v>12</v>
      </c>
      <c r="H86">
        <v>3</v>
      </c>
      <c r="I86">
        <v>2</v>
      </c>
      <c r="M86" t="str">
        <f>VLOOKUP(B86, [1]Course!$A$1:$O$933, 12, FALSE)</f>
        <v>BS</v>
      </c>
      <c r="N86" t="s">
        <v>14</v>
      </c>
      <c r="O86" t="str">
        <f>VLOOKUP(B86, [1]Course!$A$1:$O$933, 14, FALSE)</f>
        <v>BR</v>
      </c>
      <c r="P86">
        <v>1</v>
      </c>
    </row>
    <row r="87" spans="1:16" x14ac:dyDescent="0.25">
      <c r="A87">
        <v>86</v>
      </c>
      <c r="B87">
        <v>8</v>
      </c>
      <c r="C87">
        <v>3</v>
      </c>
      <c r="D87" t="s">
        <v>21</v>
      </c>
      <c r="E87" t="str">
        <f t="shared" si="1"/>
        <v>1203BR03PT</v>
      </c>
      <c r="F87">
        <f>VLOOKUP(B87,[1]Course!$A$2:$R$329,2,FALSE)</f>
        <v>0</v>
      </c>
      <c r="G87">
        <f>VLOOKUP(B87, [1]Course!$A$2:$L$950, 8, FALSE)</f>
        <v>12</v>
      </c>
      <c r="H87">
        <v>3</v>
      </c>
      <c r="I87">
        <v>2</v>
      </c>
      <c r="M87" t="str">
        <f>VLOOKUP(B87, [1]Course!$A$1:$O$933, 12, FALSE)</f>
        <v>BS</v>
      </c>
      <c r="N87" t="s">
        <v>14</v>
      </c>
      <c r="O87" t="str">
        <f>VLOOKUP(B87, [1]Course!$A$1:$O$933, 14, FALSE)</f>
        <v>BR</v>
      </c>
      <c r="P87">
        <v>1</v>
      </c>
    </row>
    <row r="88" spans="1:16" x14ac:dyDescent="0.25">
      <c r="A88">
        <v>87</v>
      </c>
      <c r="B88">
        <v>8</v>
      </c>
      <c r="C88">
        <v>4</v>
      </c>
      <c r="D88" t="s">
        <v>21</v>
      </c>
      <c r="E88" t="str">
        <f t="shared" si="1"/>
        <v>1204BR03PT</v>
      </c>
      <c r="F88">
        <f>VLOOKUP(B88,[1]Course!$A$2:$R$329,2,FALSE)</f>
        <v>0</v>
      </c>
      <c r="G88">
        <f>VLOOKUP(B88, [1]Course!$A$2:$L$950, 8, FALSE)</f>
        <v>12</v>
      </c>
      <c r="H88">
        <v>3</v>
      </c>
      <c r="I88">
        <v>2</v>
      </c>
      <c r="M88" t="str">
        <f>VLOOKUP(B88, [1]Course!$A$1:$O$933, 12, FALSE)</f>
        <v>BS</v>
      </c>
      <c r="N88" t="s">
        <v>14</v>
      </c>
      <c r="O88" t="str">
        <f>VLOOKUP(B88, [1]Course!$A$1:$O$933, 14, FALSE)</f>
        <v>BR</v>
      </c>
      <c r="P88">
        <v>1</v>
      </c>
    </row>
    <row r="89" spans="1:16" x14ac:dyDescent="0.25">
      <c r="A89">
        <v>88</v>
      </c>
      <c r="B89">
        <v>8</v>
      </c>
      <c r="C89">
        <v>5</v>
      </c>
      <c r="D89" t="s">
        <v>21</v>
      </c>
      <c r="E89" t="str">
        <f t="shared" si="1"/>
        <v>1205BR03PT</v>
      </c>
      <c r="F89">
        <f>VLOOKUP(B89,[1]Course!$A$2:$R$329,2,FALSE)</f>
        <v>0</v>
      </c>
      <c r="G89">
        <f>VLOOKUP(B89, [1]Course!$A$2:$L$950, 8, FALSE)</f>
        <v>12</v>
      </c>
      <c r="H89">
        <v>3</v>
      </c>
      <c r="I89">
        <v>2</v>
      </c>
      <c r="M89" t="str">
        <f>VLOOKUP(B89, [1]Course!$A$1:$O$933, 12, FALSE)</f>
        <v>BS</v>
      </c>
      <c r="N89" t="s">
        <v>14</v>
      </c>
      <c r="O89" t="str">
        <f>VLOOKUP(B89, [1]Course!$A$1:$O$933, 14, FALSE)</f>
        <v>BR</v>
      </c>
      <c r="P89">
        <v>1</v>
      </c>
    </row>
    <row r="90" spans="1:16" x14ac:dyDescent="0.25">
      <c r="A90">
        <v>89</v>
      </c>
      <c r="B90">
        <v>8</v>
      </c>
      <c r="C90">
        <v>6</v>
      </c>
      <c r="D90" t="s">
        <v>21</v>
      </c>
      <c r="E90" t="str">
        <f t="shared" si="1"/>
        <v>1206BR03PT</v>
      </c>
      <c r="F90">
        <f>VLOOKUP(B90,[1]Course!$A$2:$R$329,2,FALSE)</f>
        <v>0</v>
      </c>
      <c r="G90">
        <f>VLOOKUP(B90, [1]Course!$A$2:$L$950, 8, FALSE)</f>
        <v>12</v>
      </c>
      <c r="H90">
        <v>3</v>
      </c>
      <c r="I90">
        <v>2</v>
      </c>
      <c r="M90" t="str">
        <f>VLOOKUP(B90, [1]Course!$A$1:$O$933, 12, FALSE)</f>
        <v>BS</v>
      </c>
      <c r="N90" t="s">
        <v>14</v>
      </c>
      <c r="O90" t="str">
        <f>VLOOKUP(B90, [1]Course!$A$1:$O$933, 14, FALSE)</f>
        <v>BR</v>
      </c>
      <c r="P90">
        <v>1</v>
      </c>
    </row>
    <row r="91" spans="1:16" x14ac:dyDescent="0.25">
      <c r="A91">
        <v>90</v>
      </c>
      <c r="B91">
        <v>8</v>
      </c>
      <c r="C91">
        <v>7</v>
      </c>
      <c r="D91" t="s">
        <v>21</v>
      </c>
      <c r="E91" t="str">
        <f t="shared" si="1"/>
        <v>1207BR03PT</v>
      </c>
      <c r="F91">
        <f>VLOOKUP(B91,[1]Course!$A$2:$R$329,2,FALSE)</f>
        <v>0</v>
      </c>
      <c r="G91">
        <f>VLOOKUP(B91, [1]Course!$A$2:$L$950, 8, FALSE)</f>
        <v>12</v>
      </c>
      <c r="H91">
        <v>3</v>
      </c>
      <c r="I91">
        <v>2</v>
      </c>
      <c r="M91" t="str">
        <f>VLOOKUP(B91, [1]Course!$A$1:$O$933, 12, FALSE)</f>
        <v>BS</v>
      </c>
      <c r="N91" t="s">
        <v>14</v>
      </c>
      <c r="O91" t="str">
        <f>VLOOKUP(B91, [1]Course!$A$1:$O$933, 14, FALSE)</f>
        <v>BR</v>
      </c>
      <c r="P91">
        <v>1</v>
      </c>
    </row>
    <row r="92" spans="1:16" x14ac:dyDescent="0.25">
      <c r="A92">
        <v>91</v>
      </c>
      <c r="B92">
        <v>8</v>
      </c>
      <c r="C92">
        <v>8</v>
      </c>
      <c r="D92" t="s">
        <v>21</v>
      </c>
      <c r="E92" t="str">
        <f t="shared" si="1"/>
        <v>1208BR03PT</v>
      </c>
      <c r="F92">
        <f>VLOOKUP(B92,[1]Course!$A$2:$R$329,2,FALSE)</f>
        <v>0</v>
      </c>
      <c r="G92">
        <f>VLOOKUP(B92, [1]Course!$A$2:$L$950, 8, FALSE)</f>
        <v>12</v>
      </c>
      <c r="H92">
        <v>3</v>
      </c>
      <c r="I92">
        <v>2</v>
      </c>
      <c r="M92" t="str">
        <f>VLOOKUP(B92, [1]Course!$A$1:$O$933, 12, FALSE)</f>
        <v>BS</v>
      </c>
      <c r="N92" t="s">
        <v>14</v>
      </c>
      <c r="O92" t="str">
        <f>VLOOKUP(B92, [1]Course!$A$1:$O$933, 14, FALSE)</f>
        <v>BR</v>
      </c>
      <c r="P92">
        <v>1</v>
      </c>
    </row>
    <row r="93" spans="1:16" x14ac:dyDescent="0.25">
      <c r="A93">
        <v>92</v>
      </c>
      <c r="B93">
        <v>8</v>
      </c>
      <c r="C93">
        <v>9</v>
      </c>
      <c r="D93" t="s">
        <v>21</v>
      </c>
      <c r="E93" t="str">
        <f t="shared" si="1"/>
        <v>1209BR03PT</v>
      </c>
      <c r="F93">
        <f>VLOOKUP(B93,[1]Course!$A$2:$R$329,2,FALSE)</f>
        <v>0</v>
      </c>
      <c r="G93">
        <f>VLOOKUP(B93, [1]Course!$A$2:$L$950, 8, FALSE)</f>
        <v>12</v>
      </c>
      <c r="H93">
        <v>3</v>
      </c>
      <c r="I93">
        <v>2</v>
      </c>
      <c r="M93" t="str">
        <f>VLOOKUP(B93, [1]Course!$A$1:$O$933, 12, FALSE)</f>
        <v>BS</v>
      </c>
      <c r="N93" t="s">
        <v>14</v>
      </c>
      <c r="O93" t="str">
        <f>VLOOKUP(B93, [1]Course!$A$1:$O$933, 14, FALSE)</f>
        <v>BR</v>
      </c>
      <c r="P93">
        <v>1</v>
      </c>
    </row>
    <row r="94" spans="1:16" x14ac:dyDescent="0.25">
      <c r="A94">
        <v>93</v>
      </c>
      <c r="B94">
        <v>8</v>
      </c>
      <c r="C94">
        <v>10</v>
      </c>
      <c r="D94" t="s">
        <v>21</v>
      </c>
      <c r="E94" t="str">
        <f t="shared" si="1"/>
        <v>1210BR03PT</v>
      </c>
      <c r="F94">
        <f>VLOOKUP(B94,[1]Course!$A$2:$R$329,2,FALSE)</f>
        <v>0</v>
      </c>
      <c r="G94">
        <f>VLOOKUP(B94, [1]Course!$A$2:$L$950, 8, FALSE)</f>
        <v>12</v>
      </c>
      <c r="H94">
        <v>3</v>
      </c>
      <c r="I94">
        <v>2</v>
      </c>
      <c r="M94" t="str">
        <f>VLOOKUP(B94, [1]Course!$A$1:$O$933, 12, FALSE)</f>
        <v>BS</v>
      </c>
      <c r="N94" t="s">
        <v>14</v>
      </c>
      <c r="O94" t="str">
        <f>VLOOKUP(B94, [1]Course!$A$1:$O$933, 14, FALSE)</f>
        <v>BR</v>
      </c>
      <c r="P94">
        <v>1</v>
      </c>
    </row>
    <row r="95" spans="1:16" x14ac:dyDescent="0.25">
      <c r="A95">
        <v>94</v>
      </c>
      <c r="B95">
        <v>8</v>
      </c>
      <c r="C95">
        <v>11</v>
      </c>
      <c r="D95" t="s">
        <v>21</v>
      </c>
      <c r="E95" t="str">
        <f t="shared" si="1"/>
        <v>1211BR03PT</v>
      </c>
      <c r="F95">
        <f>VLOOKUP(B95,[1]Course!$A$2:$R$329,2,FALSE)</f>
        <v>0</v>
      </c>
      <c r="G95">
        <f>VLOOKUP(B95, [1]Course!$A$2:$L$950, 8, FALSE)</f>
        <v>12</v>
      </c>
      <c r="H95">
        <v>3</v>
      </c>
      <c r="I95">
        <v>2</v>
      </c>
      <c r="M95" t="str">
        <f>VLOOKUP(B95, [1]Course!$A$1:$O$933, 12, FALSE)</f>
        <v>BS</v>
      </c>
      <c r="N95" t="s">
        <v>14</v>
      </c>
      <c r="O95" t="str">
        <f>VLOOKUP(B95, [1]Course!$A$1:$O$933, 14, FALSE)</f>
        <v>BR</v>
      </c>
      <c r="P95">
        <v>1</v>
      </c>
    </row>
    <row r="96" spans="1:16" x14ac:dyDescent="0.25">
      <c r="A96">
        <v>95</v>
      </c>
      <c r="B96">
        <v>8</v>
      </c>
      <c r="C96">
        <v>12</v>
      </c>
      <c r="D96" t="s">
        <v>21</v>
      </c>
      <c r="E96" t="str">
        <f t="shared" si="1"/>
        <v>1212BR03PT</v>
      </c>
      <c r="F96">
        <f>VLOOKUP(B96,[1]Course!$A$2:$R$329,2,FALSE)</f>
        <v>0</v>
      </c>
      <c r="G96">
        <f>VLOOKUP(B96, [1]Course!$A$2:$L$950, 8, FALSE)</f>
        <v>12</v>
      </c>
      <c r="H96">
        <v>3</v>
      </c>
      <c r="I96">
        <v>2</v>
      </c>
      <c r="M96" t="str">
        <f>VLOOKUP(B96, [1]Course!$A$1:$O$933, 12, FALSE)</f>
        <v>BS</v>
      </c>
      <c r="N96" t="s">
        <v>14</v>
      </c>
      <c r="O96" t="str">
        <f>VLOOKUP(B96, [1]Course!$A$1:$O$933, 14, FALSE)</f>
        <v>BR</v>
      </c>
      <c r="P96">
        <v>1</v>
      </c>
    </row>
    <row r="97" spans="1:16" x14ac:dyDescent="0.25">
      <c r="A97">
        <v>96</v>
      </c>
      <c r="B97">
        <v>9</v>
      </c>
      <c r="C97">
        <v>13</v>
      </c>
      <c r="D97" t="s">
        <v>15</v>
      </c>
      <c r="E97" t="str">
        <f t="shared" si="1"/>
        <v>1213MA03PT</v>
      </c>
      <c r="F97">
        <f>VLOOKUP(B97,[1]Course!$A$2:$R$329,2,FALSE)</f>
        <v>0</v>
      </c>
      <c r="G97">
        <f>VLOOKUP(B97, [1]Course!$A$2:$L$950, 8, FALSE)</f>
        <v>12</v>
      </c>
      <c r="H97">
        <v>3</v>
      </c>
      <c r="I97">
        <v>2</v>
      </c>
      <c r="M97" t="str">
        <f>VLOOKUP(B97, [1]Course!$A$1:$O$933, 12, FALSE)</f>
        <v>MA</v>
      </c>
      <c r="N97" t="s">
        <v>14</v>
      </c>
      <c r="O97" t="str">
        <f>VLOOKUP(B97, [1]Course!$A$1:$O$933, 14, FALSE)</f>
        <v>MA</v>
      </c>
      <c r="P97">
        <v>1</v>
      </c>
    </row>
    <row r="98" spans="1:16" x14ac:dyDescent="0.25">
      <c r="A98">
        <v>97</v>
      </c>
      <c r="B98">
        <v>9</v>
      </c>
      <c r="C98">
        <v>14</v>
      </c>
      <c r="D98" t="s">
        <v>15</v>
      </c>
      <c r="E98" t="str">
        <f t="shared" si="1"/>
        <v>1214MA03PT</v>
      </c>
      <c r="F98">
        <f>VLOOKUP(B98,[1]Course!$A$2:$R$329,2,FALSE)</f>
        <v>0</v>
      </c>
      <c r="G98">
        <f>VLOOKUP(B98, [1]Course!$A$2:$L$950, 8, FALSE)</f>
        <v>12</v>
      </c>
      <c r="H98">
        <v>3</v>
      </c>
      <c r="I98">
        <v>1</v>
      </c>
      <c r="M98" t="str">
        <f>VLOOKUP(B98, [1]Course!$A$1:$O$933, 12, FALSE)</f>
        <v>MA</v>
      </c>
      <c r="N98" t="s">
        <v>14</v>
      </c>
      <c r="O98" t="str">
        <f>VLOOKUP(B98, [1]Course!$A$1:$O$933, 14, FALSE)</f>
        <v>MA</v>
      </c>
      <c r="P98">
        <v>1</v>
      </c>
    </row>
    <row r="99" spans="1:16" x14ac:dyDescent="0.25">
      <c r="A99">
        <v>98</v>
      </c>
      <c r="B99">
        <v>9</v>
      </c>
      <c r="C99">
        <v>15</v>
      </c>
      <c r="D99" t="s">
        <v>15</v>
      </c>
      <c r="E99" t="str">
        <f t="shared" si="1"/>
        <v>1215MA03PT</v>
      </c>
      <c r="F99">
        <f>VLOOKUP(B99,[1]Course!$A$2:$R$329,2,FALSE)</f>
        <v>0</v>
      </c>
      <c r="G99">
        <f>VLOOKUP(B99, [1]Course!$A$2:$L$950, 8, FALSE)</f>
        <v>12</v>
      </c>
      <c r="H99">
        <v>3</v>
      </c>
      <c r="I99">
        <v>1</v>
      </c>
      <c r="M99" t="str">
        <f>VLOOKUP(B99, [1]Course!$A$1:$O$933, 12, FALSE)</f>
        <v>MA</v>
      </c>
      <c r="N99" t="s">
        <v>14</v>
      </c>
      <c r="O99" t="str">
        <f>VLOOKUP(B99, [1]Course!$A$1:$O$933, 14, FALSE)</f>
        <v>MA</v>
      </c>
      <c r="P99">
        <v>1</v>
      </c>
    </row>
    <row r="100" spans="1:16" x14ac:dyDescent="0.25">
      <c r="A100">
        <v>99</v>
      </c>
      <c r="B100">
        <v>9</v>
      </c>
      <c r="C100">
        <v>16</v>
      </c>
      <c r="D100" t="s">
        <v>15</v>
      </c>
      <c r="E100" t="str">
        <f t="shared" si="1"/>
        <v>1216MA03PT</v>
      </c>
      <c r="F100">
        <f>VLOOKUP(B100,[1]Course!$A$2:$R$329,2,FALSE)</f>
        <v>0</v>
      </c>
      <c r="G100">
        <f>VLOOKUP(B100, [1]Course!$A$2:$L$950, 8, FALSE)</f>
        <v>12</v>
      </c>
      <c r="H100">
        <v>3</v>
      </c>
      <c r="I100">
        <v>1</v>
      </c>
      <c r="M100" t="str">
        <f>VLOOKUP(B100, [1]Course!$A$1:$O$933, 12, FALSE)</f>
        <v>MA</v>
      </c>
      <c r="N100" t="s">
        <v>14</v>
      </c>
      <c r="O100" t="str">
        <f>VLOOKUP(B100, [1]Course!$A$1:$O$933, 14, FALSE)</f>
        <v>MA</v>
      </c>
      <c r="P100">
        <v>1</v>
      </c>
    </row>
    <row r="101" spans="1:16" x14ac:dyDescent="0.25">
      <c r="A101">
        <v>100</v>
      </c>
      <c r="B101">
        <v>9</v>
      </c>
      <c r="C101">
        <v>17</v>
      </c>
      <c r="D101" t="s">
        <v>15</v>
      </c>
      <c r="E101" t="str">
        <f t="shared" si="1"/>
        <v>1217MA03PT</v>
      </c>
      <c r="F101">
        <f>VLOOKUP(B101,[1]Course!$A$2:$R$329,2,FALSE)</f>
        <v>0</v>
      </c>
      <c r="G101">
        <f>VLOOKUP(B101, [1]Course!$A$2:$L$950, 8, FALSE)</f>
        <v>12</v>
      </c>
      <c r="H101">
        <v>3</v>
      </c>
      <c r="I101">
        <v>1</v>
      </c>
      <c r="M101" t="str">
        <f>VLOOKUP(B101, [1]Course!$A$1:$O$933, 12, FALSE)</f>
        <v>MA</v>
      </c>
      <c r="N101" t="s">
        <v>14</v>
      </c>
      <c r="O101" t="str">
        <f>VLOOKUP(B101, [1]Course!$A$1:$O$933, 14, FALSE)</f>
        <v>MA</v>
      </c>
      <c r="P101">
        <v>1</v>
      </c>
    </row>
    <row r="102" spans="1:16" x14ac:dyDescent="0.25">
      <c r="A102">
        <v>101</v>
      </c>
      <c r="B102">
        <v>9</v>
      </c>
      <c r="C102">
        <v>18</v>
      </c>
      <c r="D102" t="s">
        <v>15</v>
      </c>
      <c r="E102" t="str">
        <f t="shared" si="1"/>
        <v>1218MA03PT</v>
      </c>
      <c r="F102">
        <f>VLOOKUP(B102,[1]Course!$A$2:$R$329,2,FALSE)</f>
        <v>0</v>
      </c>
      <c r="G102">
        <f>VLOOKUP(B102, [1]Course!$A$2:$L$950, 8, FALSE)</f>
        <v>12</v>
      </c>
      <c r="H102">
        <v>3</v>
      </c>
      <c r="I102">
        <v>1</v>
      </c>
      <c r="M102" t="str">
        <f>VLOOKUP(B102, [1]Course!$A$1:$O$933, 12, FALSE)</f>
        <v>MA</v>
      </c>
      <c r="N102" t="s">
        <v>14</v>
      </c>
      <c r="O102" t="str">
        <f>VLOOKUP(B102, [1]Course!$A$1:$O$933, 14, FALSE)</f>
        <v>MA</v>
      </c>
      <c r="P102">
        <v>1</v>
      </c>
    </row>
    <row r="103" spans="1:16" x14ac:dyDescent="0.25">
      <c r="A103">
        <v>102</v>
      </c>
      <c r="B103">
        <v>9</v>
      </c>
      <c r="C103">
        <v>19</v>
      </c>
      <c r="D103" t="s">
        <v>15</v>
      </c>
      <c r="E103" t="str">
        <f t="shared" si="1"/>
        <v>1219MA03PT</v>
      </c>
      <c r="F103">
        <f>VLOOKUP(B103,[1]Course!$A$2:$R$329,2,FALSE)</f>
        <v>0</v>
      </c>
      <c r="G103">
        <f>VLOOKUP(B103, [1]Course!$A$2:$L$950, 8, FALSE)</f>
        <v>12</v>
      </c>
      <c r="H103">
        <v>3</v>
      </c>
      <c r="I103">
        <v>1</v>
      </c>
      <c r="M103" t="str">
        <f>VLOOKUP(B103, [1]Course!$A$1:$O$933, 12, FALSE)</f>
        <v>MA</v>
      </c>
      <c r="N103" t="s">
        <v>14</v>
      </c>
      <c r="O103" t="str">
        <f>VLOOKUP(B103, [1]Course!$A$1:$O$933, 14, FALSE)</f>
        <v>MA</v>
      </c>
      <c r="P103">
        <v>1</v>
      </c>
    </row>
    <row r="104" spans="1:16" x14ac:dyDescent="0.25">
      <c r="A104">
        <v>103</v>
      </c>
      <c r="B104">
        <v>9</v>
      </c>
      <c r="C104">
        <v>20</v>
      </c>
      <c r="D104" t="s">
        <v>15</v>
      </c>
      <c r="E104" t="str">
        <f t="shared" si="1"/>
        <v>1220MA03PT</v>
      </c>
      <c r="F104">
        <f>VLOOKUP(B104,[1]Course!$A$2:$R$329,2,FALSE)</f>
        <v>0</v>
      </c>
      <c r="G104">
        <f>VLOOKUP(B104, [1]Course!$A$2:$L$950, 8, FALSE)</f>
        <v>12</v>
      </c>
      <c r="H104">
        <v>3</v>
      </c>
      <c r="I104">
        <v>1</v>
      </c>
      <c r="M104" t="str">
        <f>VLOOKUP(B104, [1]Course!$A$1:$O$933, 12, FALSE)</f>
        <v>MA</v>
      </c>
      <c r="N104" t="s">
        <v>14</v>
      </c>
      <c r="O104" t="str">
        <f>VLOOKUP(B104, [1]Course!$A$1:$O$933, 14, FALSE)</f>
        <v>MA</v>
      </c>
      <c r="P104">
        <v>1</v>
      </c>
    </row>
    <row r="105" spans="1:16" x14ac:dyDescent="0.25">
      <c r="A105">
        <v>104</v>
      </c>
      <c r="B105">
        <v>9</v>
      </c>
      <c r="C105">
        <v>21</v>
      </c>
      <c r="D105" t="s">
        <v>15</v>
      </c>
      <c r="E105" t="str">
        <f t="shared" si="1"/>
        <v>1221MA03PT</v>
      </c>
      <c r="F105">
        <f>VLOOKUP(B105,[1]Course!$A$2:$R$329,2,FALSE)</f>
        <v>0</v>
      </c>
      <c r="G105">
        <f>VLOOKUP(B105, [1]Course!$A$2:$L$950, 8, FALSE)</f>
        <v>12</v>
      </c>
      <c r="H105">
        <v>3</v>
      </c>
      <c r="I105">
        <v>1</v>
      </c>
      <c r="M105" t="str">
        <f>VLOOKUP(B105, [1]Course!$A$1:$O$933, 12, FALSE)</f>
        <v>MA</v>
      </c>
      <c r="N105" t="s">
        <v>14</v>
      </c>
      <c r="O105" t="str">
        <f>VLOOKUP(B105, [1]Course!$A$1:$O$933, 14, FALSE)</f>
        <v>MA</v>
      </c>
      <c r="P105">
        <v>1</v>
      </c>
    </row>
    <row r="106" spans="1:16" x14ac:dyDescent="0.25">
      <c r="A106">
        <v>105</v>
      </c>
      <c r="B106">
        <v>9</v>
      </c>
      <c r="C106">
        <v>22</v>
      </c>
      <c r="D106" t="s">
        <v>15</v>
      </c>
      <c r="E106" t="str">
        <f t="shared" si="1"/>
        <v>1222MA03PT</v>
      </c>
      <c r="F106">
        <f>VLOOKUP(B106,[1]Course!$A$2:$R$329,2,FALSE)</f>
        <v>0</v>
      </c>
      <c r="G106">
        <f>VLOOKUP(B106, [1]Course!$A$2:$L$950, 8, FALSE)</f>
        <v>12</v>
      </c>
      <c r="H106">
        <v>3</v>
      </c>
      <c r="I106">
        <v>1</v>
      </c>
      <c r="M106" t="str">
        <f>VLOOKUP(B106, [1]Course!$A$1:$O$933, 12, FALSE)</f>
        <v>MA</v>
      </c>
      <c r="N106" t="s">
        <v>14</v>
      </c>
      <c r="O106" t="str">
        <f>VLOOKUP(B106, [1]Course!$A$1:$O$933, 14, FALSE)</f>
        <v>MA</v>
      </c>
      <c r="P106">
        <v>1</v>
      </c>
    </row>
    <row r="107" spans="1:16" x14ac:dyDescent="0.25">
      <c r="A107">
        <v>106</v>
      </c>
      <c r="B107">
        <v>9</v>
      </c>
      <c r="C107">
        <v>23</v>
      </c>
      <c r="D107" t="s">
        <v>15</v>
      </c>
      <c r="E107" t="str">
        <f t="shared" si="1"/>
        <v>1223MA03PT</v>
      </c>
      <c r="F107">
        <f>VLOOKUP(B107,[1]Course!$A$2:$R$329,2,FALSE)</f>
        <v>0</v>
      </c>
      <c r="G107">
        <f>VLOOKUP(B107, [1]Course!$A$2:$L$950, 8, FALSE)</f>
        <v>12</v>
      </c>
      <c r="H107">
        <v>3</v>
      </c>
      <c r="I107">
        <v>1</v>
      </c>
      <c r="M107" t="str">
        <f>VLOOKUP(B107, [1]Course!$A$1:$O$933, 12, FALSE)</f>
        <v>MA</v>
      </c>
      <c r="N107" t="s">
        <v>14</v>
      </c>
      <c r="O107" t="str">
        <f>VLOOKUP(B107, [1]Course!$A$1:$O$933, 14, FALSE)</f>
        <v>MA</v>
      </c>
      <c r="P107">
        <v>1</v>
      </c>
    </row>
    <row r="108" spans="1:16" x14ac:dyDescent="0.25">
      <c r="A108">
        <v>107</v>
      </c>
      <c r="B108">
        <v>9</v>
      </c>
      <c r="C108">
        <v>24</v>
      </c>
      <c r="D108" t="s">
        <v>15</v>
      </c>
      <c r="E108" t="str">
        <f t="shared" si="1"/>
        <v>1224MA03PT</v>
      </c>
      <c r="F108">
        <f>VLOOKUP(B108,[1]Course!$A$2:$R$329,2,FALSE)</f>
        <v>0</v>
      </c>
      <c r="G108">
        <f>VLOOKUP(B108, [1]Course!$A$2:$L$950, 8, FALSE)</f>
        <v>12</v>
      </c>
      <c r="H108">
        <v>3</v>
      </c>
      <c r="I108">
        <v>1</v>
      </c>
      <c r="M108" t="str">
        <f>VLOOKUP(B108, [1]Course!$A$1:$O$933, 12, FALSE)</f>
        <v>MA</v>
      </c>
      <c r="N108" t="s">
        <v>14</v>
      </c>
      <c r="O108" t="str">
        <f>VLOOKUP(B108, [1]Course!$A$1:$O$933, 14, FALSE)</f>
        <v>MA</v>
      </c>
      <c r="P108">
        <v>1</v>
      </c>
    </row>
    <row r="109" spans="1:16" x14ac:dyDescent="0.25">
      <c r="A109">
        <v>108</v>
      </c>
      <c r="B109">
        <v>10</v>
      </c>
      <c r="C109">
        <v>13</v>
      </c>
      <c r="D109" t="s">
        <v>16</v>
      </c>
      <c r="E109" t="str">
        <f t="shared" si="1"/>
        <v>1213EN03PT</v>
      </c>
      <c r="F109">
        <f>VLOOKUP(B109,[1]Course!$A$2:$R$329,2,FALSE)</f>
        <v>0</v>
      </c>
      <c r="G109">
        <f>VLOOKUP(B109, [1]Course!$A$2:$L$950, 8, FALSE)</f>
        <v>12</v>
      </c>
      <c r="H109">
        <v>3</v>
      </c>
      <c r="I109">
        <v>1</v>
      </c>
      <c r="M109" t="str">
        <f>VLOOKUP(B109, [1]Course!$A$1:$O$933, 12, FALSE)</f>
        <v>LA</v>
      </c>
      <c r="N109" t="s">
        <v>14</v>
      </c>
      <c r="O109" t="str">
        <f>VLOOKUP(B109, [1]Course!$A$1:$O$933, 14, FALSE)</f>
        <v>EN</v>
      </c>
      <c r="P109">
        <v>1</v>
      </c>
    </row>
    <row r="110" spans="1:16" x14ac:dyDescent="0.25">
      <c r="A110">
        <v>109</v>
      </c>
      <c r="B110">
        <v>10</v>
      </c>
      <c r="C110">
        <v>14</v>
      </c>
      <c r="D110" t="s">
        <v>16</v>
      </c>
      <c r="E110" t="str">
        <f t="shared" si="1"/>
        <v>1214EN03PT</v>
      </c>
      <c r="F110">
        <f>VLOOKUP(B110,[1]Course!$A$2:$R$329,2,FALSE)</f>
        <v>0</v>
      </c>
      <c r="G110">
        <f>VLOOKUP(B110, [1]Course!$A$2:$L$950, 8, FALSE)</f>
        <v>12</v>
      </c>
      <c r="H110">
        <v>3</v>
      </c>
      <c r="I110">
        <v>1</v>
      </c>
      <c r="M110" t="str">
        <f>VLOOKUP(B110, [1]Course!$A$1:$O$933, 12, FALSE)</f>
        <v>LA</v>
      </c>
      <c r="N110" t="s">
        <v>14</v>
      </c>
      <c r="O110" t="str">
        <f>VLOOKUP(B110, [1]Course!$A$1:$O$933, 14, FALSE)</f>
        <v>EN</v>
      </c>
      <c r="P110">
        <v>1</v>
      </c>
    </row>
    <row r="111" spans="1:16" x14ac:dyDescent="0.25">
      <c r="A111">
        <v>110</v>
      </c>
      <c r="B111">
        <v>10</v>
      </c>
      <c r="C111">
        <v>15</v>
      </c>
      <c r="D111" t="s">
        <v>16</v>
      </c>
      <c r="E111" t="str">
        <f t="shared" si="1"/>
        <v>1215EN03PT</v>
      </c>
      <c r="F111">
        <f>VLOOKUP(B111,[1]Course!$A$2:$R$329,2,FALSE)</f>
        <v>0</v>
      </c>
      <c r="G111">
        <f>VLOOKUP(B111, [1]Course!$A$2:$L$950, 8, FALSE)</f>
        <v>12</v>
      </c>
      <c r="H111">
        <v>3</v>
      </c>
      <c r="I111">
        <v>1</v>
      </c>
      <c r="M111" t="str">
        <f>VLOOKUP(B111, [1]Course!$A$1:$O$933, 12, FALSE)</f>
        <v>LA</v>
      </c>
      <c r="N111" t="s">
        <v>14</v>
      </c>
      <c r="O111" t="str">
        <f>VLOOKUP(B111, [1]Course!$A$1:$O$933, 14, FALSE)</f>
        <v>EN</v>
      </c>
      <c r="P111">
        <v>1</v>
      </c>
    </row>
    <row r="112" spans="1:16" x14ac:dyDescent="0.25">
      <c r="A112">
        <v>111</v>
      </c>
      <c r="B112">
        <v>10</v>
      </c>
      <c r="C112">
        <v>16</v>
      </c>
      <c r="D112" t="s">
        <v>16</v>
      </c>
      <c r="E112" t="str">
        <f t="shared" si="1"/>
        <v>1216EN03PT</v>
      </c>
      <c r="F112">
        <f>VLOOKUP(B112,[1]Course!$A$2:$R$329,2,FALSE)</f>
        <v>0</v>
      </c>
      <c r="G112">
        <f>VLOOKUP(B112, [1]Course!$A$2:$L$950, 8, FALSE)</f>
        <v>12</v>
      </c>
      <c r="H112">
        <v>3</v>
      </c>
      <c r="I112">
        <v>1</v>
      </c>
      <c r="M112" t="str">
        <f>VLOOKUP(B112, [1]Course!$A$1:$O$933, 12, FALSE)</f>
        <v>LA</v>
      </c>
      <c r="N112" t="s">
        <v>14</v>
      </c>
      <c r="O112" t="str">
        <f>VLOOKUP(B112, [1]Course!$A$1:$O$933, 14, FALSE)</f>
        <v>EN</v>
      </c>
      <c r="P112">
        <v>1</v>
      </c>
    </row>
    <row r="113" spans="1:16" x14ac:dyDescent="0.25">
      <c r="A113">
        <v>112</v>
      </c>
      <c r="B113">
        <v>10</v>
      </c>
      <c r="C113">
        <v>17</v>
      </c>
      <c r="D113" t="s">
        <v>16</v>
      </c>
      <c r="E113" t="str">
        <f t="shared" si="1"/>
        <v>1217EN03PT</v>
      </c>
      <c r="F113">
        <f>VLOOKUP(B113,[1]Course!$A$2:$R$329,2,FALSE)</f>
        <v>0</v>
      </c>
      <c r="G113">
        <f>VLOOKUP(B113, [1]Course!$A$2:$L$950, 8, FALSE)</f>
        <v>12</v>
      </c>
      <c r="H113">
        <v>3</v>
      </c>
      <c r="I113">
        <v>1</v>
      </c>
      <c r="M113" t="str">
        <f>VLOOKUP(B113, [1]Course!$A$1:$O$933, 12, FALSE)</f>
        <v>LA</v>
      </c>
      <c r="N113" t="s">
        <v>14</v>
      </c>
      <c r="O113" t="str">
        <f>VLOOKUP(B113, [1]Course!$A$1:$O$933, 14, FALSE)</f>
        <v>EN</v>
      </c>
      <c r="P113">
        <v>1</v>
      </c>
    </row>
    <row r="114" spans="1:16" x14ac:dyDescent="0.25">
      <c r="A114">
        <v>113</v>
      </c>
      <c r="B114">
        <v>10</v>
      </c>
      <c r="C114">
        <v>18</v>
      </c>
      <c r="D114" t="s">
        <v>16</v>
      </c>
      <c r="E114" t="str">
        <f t="shared" si="1"/>
        <v>1218EN03PT</v>
      </c>
      <c r="F114">
        <f>VLOOKUP(B114,[1]Course!$A$2:$R$329,2,FALSE)</f>
        <v>0</v>
      </c>
      <c r="G114">
        <f>VLOOKUP(B114, [1]Course!$A$2:$L$950, 8, FALSE)</f>
        <v>12</v>
      </c>
      <c r="H114">
        <v>3</v>
      </c>
      <c r="I114">
        <v>1</v>
      </c>
      <c r="M114" t="str">
        <f>VLOOKUP(B114, [1]Course!$A$1:$O$933, 12, FALSE)</f>
        <v>LA</v>
      </c>
      <c r="N114" t="s">
        <v>14</v>
      </c>
      <c r="O114" t="str">
        <f>VLOOKUP(B114, [1]Course!$A$1:$O$933, 14, FALSE)</f>
        <v>EN</v>
      </c>
      <c r="P114">
        <v>1</v>
      </c>
    </row>
    <row r="115" spans="1:16" x14ac:dyDescent="0.25">
      <c r="A115">
        <v>114</v>
      </c>
      <c r="B115">
        <v>10</v>
      </c>
      <c r="C115">
        <v>19</v>
      </c>
      <c r="D115" t="s">
        <v>16</v>
      </c>
      <c r="E115" t="str">
        <f t="shared" si="1"/>
        <v>1219EN03PT</v>
      </c>
      <c r="F115">
        <f>VLOOKUP(B115,[1]Course!$A$2:$R$329,2,FALSE)</f>
        <v>0</v>
      </c>
      <c r="G115">
        <f>VLOOKUP(B115, [1]Course!$A$2:$L$950, 8, FALSE)</f>
        <v>12</v>
      </c>
      <c r="H115">
        <v>3</v>
      </c>
      <c r="I115">
        <v>1</v>
      </c>
      <c r="M115" t="str">
        <f>VLOOKUP(B115, [1]Course!$A$1:$O$933, 12, FALSE)</f>
        <v>LA</v>
      </c>
      <c r="N115" t="s">
        <v>14</v>
      </c>
      <c r="O115" t="str">
        <f>VLOOKUP(B115, [1]Course!$A$1:$O$933, 14, FALSE)</f>
        <v>EN</v>
      </c>
      <c r="P115">
        <v>1</v>
      </c>
    </row>
    <row r="116" spans="1:16" x14ac:dyDescent="0.25">
      <c r="A116">
        <v>115</v>
      </c>
      <c r="B116">
        <v>10</v>
      </c>
      <c r="C116">
        <v>20</v>
      </c>
      <c r="D116" t="s">
        <v>16</v>
      </c>
      <c r="E116" t="str">
        <f t="shared" si="1"/>
        <v>1220EN03PT</v>
      </c>
      <c r="F116">
        <f>VLOOKUP(B116,[1]Course!$A$2:$R$329,2,FALSE)</f>
        <v>0</v>
      </c>
      <c r="G116">
        <f>VLOOKUP(B116, [1]Course!$A$2:$L$950, 8, FALSE)</f>
        <v>12</v>
      </c>
      <c r="H116">
        <v>3</v>
      </c>
      <c r="I116">
        <v>1</v>
      </c>
      <c r="M116" t="str">
        <f>VLOOKUP(B116, [1]Course!$A$1:$O$933, 12, FALSE)</f>
        <v>LA</v>
      </c>
      <c r="N116" t="s">
        <v>14</v>
      </c>
      <c r="O116" t="str">
        <f>VLOOKUP(B116, [1]Course!$A$1:$O$933, 14, FALSE)</f>
        <v>EN</v>
      </c>
      <c r="P116">
        <v>1</v>
      </c>
    </row>
    <row r="117" spans="1:16" x14ac:dyDescent="0.25">
      <c r="A117">
        <v>116</v>
      </c>
      <c r="B117">
        <v>10</v>
      </c>
      <c r="C117">
        <v>21</v>
      </c>
      <c r="D117" t="s">
        <v>16</v>
      </c>
      <c r="E117" t="str">
        <f t="shared" si="1"/>
        <v>1221EN03PT</v>
      </c>
      <c r="F117">
        <f>VLOOKUP(B117,[1]Course!$A$2:$R$329,2,FALSE)</f>
        <v>0</v>
      </c>
      <c r="G117">
        <f>VLOOKUP(B117, [1]Course!$A$2:$L$950, 8, FALSE)</f>
        <v>12</v>
      </c>
      <c r="H117">
        <v>3</v>
      </c>
      <c r="I117">
        <v>1</v>
      </c>
      <c r="M117" t="str">
        <f>VLOOKUP(B117, [1]Course!$A$1:$O$933, 12, FALSE)</f>
        <v>LA</v>
      </c>
      <c r="N117" t="s">
        <v>14</v>
      </c>
      <c r="O117" t="str">
        <f>VLOOKUP(B117, [1]Course!$A$1:$O$933, 14, FALSE)</f>
        <v>EN</v>
      </c>
      <c r="P117">
        <v>1</v>
      </c>
    </row>
    <row r="118" spans="1:16" x14ac:dyDescent="0.25">
      <c r="A118">
        <v>117</v>
      </c>
      <c r="B118">
        <v>10</v>
      </c>
      <c r="C118">
        <v>22</v>
      </c>
      <c r="D118" t="s">
        <v>16</v>
      </c>
      <c r="E118" t="str">
        <f t="shared" si="1"/>
        <v>1222EN03PT</v>
      </c>
      <c r="F118">
        <f>VLOOKUP(B118,[1]Course!$A$2:$R$329,2,FALSE)</f>
        <v>0</v>
      </c>
      <c r="G118">
        <f>VLOOKUP(B118, [1]Course!$A$2:$L$950, 8, FALSE)</f>
        <v>12</v>
      </c>
      <c r="H118">
        <v>3</v>
      </c>
      <c r="I118">
        <v>1</v>
      </c>
      <c r="M118" t="str">
        <f>VLOOKUP(B118, [1]Course!$A$1:$O$933, 12, FALSE)</f>
        <v>LA</v>
      </c>
      <c r="N118" t="s">
        <v>14</v>
      </c>
      <c r="O118" t="str">
        <f>VLOOKUP(B118, [1]Course!$A$1:$O$933, 14, FALSE)</f>
        <v>EN</v>
      </c>
      <c r="P118">
        <v>1</v>
      </c>
    </row>
    <row r="119" spans="1:16" x14ac:dyDescent="0.25">
      <c r="A119">
        <v>118</v>
      </c>
      <c r="B119">
        <v>10</v>
      </c>
      <c r="C119">
        <v>23</v>
      </c>
      <c r="D119" t="s">
        <v>16</v>
      </c>
      <c r="E119" t="str">
        <f t="shared" si="1"/>
        <v>1223EN03PT</v>
      </c>
      <c r="F119">
        <f>VLOOKUP(B119,[1]Course!$A$2:$R$329,2,FALSE)</f>
        <v>0</v>
      </c>
      <c r="G119">
        <f>VLOOKUP(B119, [1]Course!$A$2:$L$950, 8, FALSE)</f>
        <v>12</v>
      </c>
      <c r="H119">
        <v>3</v>
      </c>
      <c r="I119">
        <v>1</v>
      </c>
      <c r="M119" t="str">
        <f>VLOOKUP(B119, [1]Course!$A$1:$O$933, 12, FALSE)</f>
        <v>LA</v>
      </c>
      <c r="N119" t="s">
        <v>14</v>
      </c>
      <c r="O119" t="str">
        <f>VLOOKUP(B119, [1]Course!$A$1:$O$933, 14, FALSE)</f>
        <v>EN</v>
      </c>
      <c r="P119">
        <v>1</v>
      </c>
    </row>
    <row r="120" spans="1:16" x14ac:dyDescent="0.25">
      <c r="A120">
        <v>119</v>
      </c>
      <c r="B120">
        <v>10</v>
      </c>
      <c r="C120">
        <v>24</v>
      </c>
      <c r="D120" t="s">
        <v>16</v>
      </c>
      <c r="E120" t="str">
        <f t="shared" si="1"/>
        <v>1224EN03PT</v>
      </c>
      <c r="F120">
        <f>VLOOKUP(B120,[1]Course!$A$2:$R$329,2,FALSE)</f>
        <v>0</v>
      </c>
      <c r="G120">
        <f>VLOOKUP(B120, [1]Course!$A$2:$L$950, 8, FALSE)</f>
        <v>12</v>
      </c>
      <c r="H120">
        <v>3</v>
      </c>
      <c r="I120">
        <v>1</v>
      </c>
      <c r="M120" t="str">
        <f>VLOOKUP(B120, [1]Course!$A$1:$O$933, 12, FALSE)</f>
        <v>LA</v>
      </c>
      <c r="N120" t="s">
        <v>14</v>
      </c>
      <c r="O120" t="str">
        <f>VLOOKUP(B120, [1]Course!$A$1:$O$933, 14, FALSE)</f>
        <v>EN</v>
      </c>
      <c r="P120">
        <v>1</v>
      </c>
    </row>
    <row r="121" spans="1:16" x14ac:dyDescent="0.25">
      <c r="A121">
        <v>120</v>
      </c>
      <c r="B121">
        <v>11</v>
      </c>
      <c r="C121">
        <v>13</v>
      </c>
      <c r="D121" t="s">
        <v>17</v>
      </c>
      <c r="E121" t="str">
        <f t="shared" si="1"/>
        <v>1213WB03PT</v>
      </c>
      <c r="F121">
        <f>VLOOKUP(B121,[1]Course!$A$2:$R$329,2,FALSE)</f>
        <v>0</v>
      </c>
      <c r="G121">
        <f>VLOOKUP(B121, [1]Course!$A$2:$L$950, 8, FALSE)</f>
        <v>12</v>
      </c>
      <c r="H121">
        <v>3</v>
      </c>
      <c r="I121">
        <v>1</v>
      </c>
      <c r="M121" t="str">
        <f>VLOOKUP(B121, [1]Course!$A$1:$O$933, 12, FALSE)</f>
        <v>WB</v>
      </c>
      <c r="N121" t="s">
        <v>14</v>
      </c>
      <c r="O121" t="str">
        <f>VLOOKUP(B121, [1]Course!$A$1:$O$933, 14, FALSE)</f>
        <v>WB</v>
      </c>
      <c r="P121">
        <v>1</v>
      </c>
    </row>
    <row r="122" spans="1:16" x14ac:dyDescent="0.25">
      <c r="A122">
        <v>121</v>
      </c>
      <c r="B122">
        <v>11</v>
      </c>
      <c r="C122">
        <v>14</v>
      </c>
      <c r="D122" t="s">
        <v>17</v>
      </c>
      <c r="E122" t="str">
        <f t="shared" si="1"/>
        <v>1214WB03PT</v>
      </c>
      <c r="F122">
        <f>VLOOKUP(B122,[1]Course!$A$2:$R$329,2,FALSE)</f>
        <v>0</v>
      </c>
      <c r="G122">
        <f>VLOOKUP(B122, [1]Course!$A$2:$L$950, 8, FALSE)</f>
        <v>12</v>
      </c>
      <c r="H122">
        <v>3</v>
      </c>
      <c r="I122">
        <v>1</v>
      </c>
      <c r="M122" t="str">
        <f>VLOOKUP(B122, [1]Course!$A$1:$O$933, 12, FALSE)</f>
        <v>WB</v>
      </c>
      <c r="N122" t="s">
        <v>14</v>
      </c>
      <c r="O122" t="str">
        <f>VLOOKUP(B122, [1]Course!$A$1:$O$933, 14, FALSE)</f>
        <v>WB</v>
      </c>
      <c r="P122">
        <v>1</v>
      </c>
    </row>
    <row r="123" spans="1:16" x14ac:dyDescent="0.25">
      <c r="A123">
        <v>122</v>
      </c>
      <c r="B123">
        <v>11</v>
      </c>
      <c r="C123">
        <v>15</v>
      </c>
      <c r="D123" t="s">
        <v>17</v>
      </c>
      <c r="E123" t="str">
        <f t="shared" si="1"/>
        <v>1215WB03PT</v>
      </c>
      <c r="F123">
        <f>VLOOKUP(B123,[1]Course!$A$2:$R$329,2,FALSE)</f>
        <v>0</v>
      </c>
      <c r="G123">
        <f>VLOOKUP(B123, [1]Course!$A$2:$L$950, 8, FALSE)</f>
        <v>12</v>
      </c>
      <c r="H123">
        <v>3</v>
      </c>
      <c r="I123">
        <v>1</v>
      </c>
      <c r="M123" t="str">
        <f>VLOOKUP(B123, [1]Course!$A$1:$O$933, 12, FALSE)</f>
        <v>WB</v>
      </c>
      <c r="N123" t="s">
        <v>14</v>
      </c>
      <c r="O123" t="str">
        <f>VLOOKUP(B123, [1]Course!$A$1:$O$933, 14, FALSE)</f>
        <v>WB</v>
      </c>
      <c r="P123">
        <v>1</v>
      </c>
    </row>
    <row r="124" spans="1:16" x14ac:dyDescent="0.25">
      <c r="A124">
        <v>123</v>
      </c>
      <c r="B124">
        <v>11</v>
      </c>
      <c r="C124">
        <v>16</v>
      </c>
      <c r="D124" t="s">
        <v>17</v>
      </c>
      <c r="E124" t="str">
        <f t="shared" si="1"/>
        <v>1216WB03PT</v>
      </c>
      <c r="F124">
        <f>VLOOKUP(B124,[1]Course!$A$2:$R$329,2,FALSE)</f>
        <v>0</v>
      </c>
      <c r="G124">
        <f>VLOOKUP(B124, [1]Course!$A$2:$L$950, 8, FALSE)</f>
        <v>12</v>
      </c>
      <c r="H124">
        <v>3</v>
      </c>
      <c r="I124">
        <v>1</v>
      </c>
      <c r="M124" t="str">
        <f>VLOOKUP(B124, [1]Course!$A$1:$O$933, 12, FALSE)</f>
        <v>WB</v>
      </c>
      <c r="N124" t="s">
        <v>14</v>
      </c>
      <c r="O124" t="str">
        <f>VLOOKUP(B124, [1]Course!$A$1:$O$933, 14, FALSE)</f>
        <v>WB</v>
      </c>
      <c r="P124">
        <v>1</v>
      </c>
    </row>
    <row r="125" spans="1:16" x14ac:dyDescent="0.25">
      <c r="A125">
        <v>124</v>
      </c>
      <c r="B125">
        <v>11</v>
      </c>
      <c r="C125">
        <v>17</v>
      </c>
      <c r="D125" t="s">
        <v>17</v>
      </c>
      <c r="E125" t="str">
        <f t="shared" si="1"/>
        <v>1217WB03PT</v>
      </c>
      <c r="F125">
        <f>VLOOKUP(B125,[1]Course!$A$2:$R$329,2,FALSE)</f>
        <v>0</v>
      </c>
      <c r="G125">
        <f>VLOOKUP(B125, [1]Course!$A$2:$L$950, 8, FALSE)</f>
        <v>12</v>
      </c>
      <c r="H125">
        <v>3</v>
      </c>
      <c r="I125">
        <v>1</v>
      </c>
      <c r="M125" t="str">
        <f>VLOOKUP(B125, [1]Course!$A$1:$O$933, 12, FALSE)</f>
        <v>WB</v>
      </c>
      <c r="N125" t="s">
        <v>14</v>
      </c>
      <c r="O125" t="str">
        <f>VLOOKUP(B125, [1]Course!$A$1:$O$933, 14, FALSE)</f>
        <v>WB</v>
      </c>
      <c r="P125">
        <v>1</v>
      </c>
    </row>
    <row r="126" spans="1:16" x14ac:dyDescent="0.25">
      <c r="A126">
        <v>125</v>
      </c>
      <c r="B126">
        <v>11</v>
      </c>
      <c r="C126">
        <v>18</v>
      </c>
      <c r="D126" t="s">
        <v>17</v>
      </c>
      <c r="E126" t="str">
        <f t="shared" si="1"/>
        <v>1218WB03PT</v>
      </c>
      <c r="F126">
        <f>VLOOKUP(B126,[1]Course!$A$2:$R$329,2,FALSE)</f>
        <v>0</v>
      </c>
      <c r="G126">
        <f>VLOOKUP(B126, [1]Course!$A$2:$L$950, 8, FALSE)</f>
        <v>12</v>
      </c>
      <c r="H126">
        <v>3</v>
      </c>
      <c r="I126">
        <v>1</v>
      </c>
      <c r="M126" t="str">
        <f>VLOOKUP(B126, [1]Course!$A$1:$O$933, 12, FALSE)</f>
        <v>WB</v>
      </c>
      <c r="N126" t="s">
        <v>14</v>
      </c>
      <c r="O126" t="str">
        <f>VLOOKUP(B126, [1]Course!$A$1:$O$933, 14, FALSE)</f>
        <v>WB</v>
      </c>
      <c r="P126">
        <v>1</v>
      </c>
    </row>
    <row r="127" spans="1:16" x14ac:dyDescent="0.25">
      <c r="A127">
        <v>126</v>
      </c>
      <c r="B127">
        <v>11</v>
      </c>
      <c r="C127">
        <v>19</v>
      </c>
      <c r="D127" t="s">
        <v>17</v>
      </c>
      <c r="E127" t="str">
        <f t="shared" si="1"/>
        <v>1219WB03PT</v>
      </c>
      <c r="F127">
        <f>VLOOKUP(B127,[1]Course!$A$2:$R$329,2,FALSE)</f>
        <v>0</v>
      </c>
      <c r="G127">
        <f>VLOOKUP(B127, [1]Course!$A$2:$L$950, 8, FALSE)</f>
        <v>12</v>
      </c>
      <c r="H127">
        <v>3</v>
      </c>
      <c r="I127">
        <v>1</v>
      </c>
      <c r="M127" t="str">
        <f>VLOOKUP(B127, [1]Course!$A$1:$O$933, 12, FALSE)</f>
        <v>WB</v>
      </c>
      <c r="N127" t="s">
        <v>14</v>
      </c>
      <c r="O127" t="str">
        <f>VLOOKUP(B127, [1]Course!$A$1:$O$933, 14, FALSE)</f>
        <v>WB</v>
      </c>
      <c r="P127">
        <v>1</v>
      </c>
    </row>
    <row r="128" spans="1:16" x14ac:dyDescent="0.25">
      <c r="A128">
        <v>127</v>
      </c>
      <c r="B128">
        <v>11</v>
      </c>
      <c r="C128">
        <v>20</v>
      </c>
      <c r="D128" t="s">
        <v>17</v>
      </c>
      <c r="E128" t="str">
        <f t="shared" si="1"/>
        <v>1220WB03PT</v>
      </c>
      <c r="F128">
        <f>VLOOKUP(B128,[1]Course!$A$2:$R$329,2,FALSE)</f>
        <v>0</v>
      </c>
      <c r="G128">
        <f>VLOOKUP(B128, [1]Course!$A$2:$L$950, 8, FALSE)</f>
        <v>12</v>
      </c>
      <c r="H128">
        <v>3</v>
      </c>
      <c r="I128">
        <v>1</v>
      </c>
      <c r="M128" t="str">
        <f>VLOOKUP(B128, [1]Course!$A$1:$O$933, 12, FALSE)</f>
        <v>WB</v>
      </c>
      <c r="N128" t="s">
        <v>14</v>
      </c>
      <c r="O128" t="str">
        <f>VLOOKUP(B128, [1]Course!$A$1:$O$933, 14, FALSE)</f>
        <v>WB</v>
      </c>
      <c r="P128">
        <v>1</v>
      </c>
    </row>
    <row r="129" spans="1:16" x14ac:dyDescent="0.25">
      <c r="A129">
        <v>128</v>
      </c>
      <c r="B129">
        <v>11</v>
      </c>
      <c r="C129">
        <v>21</v>
      </c>
      <c r="D129" t="s">
        <v>17</v>
      </c>
      <c r="E129" t="str">
        <f t="shared" si="1"/>
        <v>1221WB03PT</v>
      </c>
      <c r="F129">
        <f>VLOOKUP(B129,[1]Course!$A$2:$R$329,2,FALSE)</f>
        <v>0</v>
      </c>
      <c r="G129">
        <f>VLOOKUP(B129, [1]Course!$A$2:$L$950, 8, FALSE)</f>
        <v>12</v>
      </c>
      <c r="H129">
        <v>3</v>
      </c>
      <c r="I129">
        <v>1</v>
      </c>
      <c r="M129" t="str">
        <f>VLOOKUP(B129, [1]Course!$A$1:$O$933, 12, FALSE)</f>
        <v>WB</v>
      </c>
      <c r="N129" t="s">
        <v>14</v>
      </c>
      <c r="O129" t="str">
        <f>VLOOKUP(B129, [1]Course!$A$1:$O$933, 14, FALSE)</f>
        <v>WB</v>
      </c>
      <c r="P129">
        <v>1</v>
      </c>
    </row>
    <row r="130" spans="1:16" x14ac:dyDescent="0.25">
      <c r="A130">
        <v>129</v>
      </c>
      <c r="B130">
        <v>11</v>
      </c>
      <c r="C130">
        <v>22</v>
      </c>
      <c r="D130" t="s">
        <v>17</v>
      </c>
      <c r="E130" t="str">
        <f t="shared" si="1"/>
        <v>1222WB03PT</v>
      </c>
      <c r="F130">
        <f>VLOOKUP(B130,[1]Course!$A$2:$R$329,2,FALSE)</f>
        <v>0</v>
      </c>
      <c r="G130">
        <f>VLOOKUP(B130, [1]Course!$A$2:$L$950, 8, FALSE)</f>
        <v>12</v>
      </c>
      <c r="H130">
        <v>3</v>
      </c>
      <c r="I130">
        <v>1</v>
      </c>
      <c r="M130" t="str">
        <f>VLOOKUP(B130, [1]Course!$A$1:$O$933, 12, FALSE)</f>
        <v>WB</v>
      </c>
      <c r="N130" t="s">
        <v>14</v>
      </c>
      <c r="O130" t="str">
        <f>VLOOKUP(B130, [1]Course!$A$1:$O$933, 14, FALSE)</f>
        <v>WB</v>
      </c>
      <c r="P130">
        <v>1</v>
      </c>
    </row>
    <row r="131" spans="1:16" x14ac:dyDescent="0.25">
      <c r="A131">
        <v>130</v>
      </c>
      <c r="B131">
        <v>11</v>
      </c>
      <c r="C131">
        <v>23</v>
      </c>
      <c r="D131" t="s">
        <v>17</v>
      </c>
      <c r="E131" t="str">
        <f t="shared" ref="E131:E194" si="2">UPPER(LEFT(G131,2)) &amp; RIGHT("0" &amp; C131, 2) &amp; D131 &amp; RIGHT("0" &amp; H131, 2) &amp; N131</f>
        <v>1223WB03PT</v>
      </c>
      <c r="F131">
        <f>VLOOKUP(B131,[1]Course!$A$2:$R$329,2,FALSE)</f>
        <v>0</v>
      </c>
      <c r="G131">
        <f>VLOOKUP(B131, [1]Course!$A$2:$L$950, 8, FALSE)</f>
        <v>12</v>
      </c>
      <c r="H131">
        <v>3</v>
      </c>
      <c r="I131">
        <v>1</v>
      </c>
      <c r="M131" t="str">
        <f>VLOOKUP(B131, [1]Course!$A$1:$O$933, 12, FALSE)</f>
        <v>WB</v>
      </c>
      <c r="N131" t="s">
        <v>14</v>
      </c>
      <c r="O131" t="str">
        <f>VLOOKUP(B131, [1]Course!$A$1:$O$933, 14, FALSE)</f>
        <v>WB</v>
      </c>
      <c r="P131">
        <v>1</v>
      </c>
    </row>
    <row r="132" spans="1:16" x14ac:dyDescent="0.25">
      <c r="A132">
        <v>131</v>
      </c>
      <c r="B132">
        <v>11</v>
      </c>
      <c r="C132">
        <v>24</v>
      </c>
      <c r="D132" t="s">
        <v>17</v>
      </c>
      <c r="E132" t="str">
        <f t="shared" si="2"/>
        <v>1224WB03PT</v>
      </c>
      <c r="F132">
        <f>VLOOKUP(B132,[1]Course!$A$2:$R$329,2,FALSE)</f>
        <v>0</v>
      </c>
      <c r="G132">
        <f>VLOOKUP(B132, [1]Course!$A$2:$L$950, 8, FALSE)</f>
        <v>12</v>
      </c>
      <c r="H132">
        <v>3</v>
      </c>
      <c r="I132">
        <v>1</v>
      </c>
      <c r="M132" t="str">
        <f>VLOOKUP(B132, [1]Course!$A$1:$O$933, 12, FALSE)</f>
        <v>WB</v>
      </c>
      <c r="N132" t="s">
        <v>14</v>
      </c>
      <c r="O132" t="str">
        <f>VLOOKUP(B132, [1]Course!$A$1:$O$933, 14, FALSE)</f>
        <v>WB</v>
      </c>
      <c r="P132">
        <v>1</v>
      </c>
    </row>
    <row r="133" spans="1:16" x14ac:dyDescent="0.25">
      <c r="A133">
        <v>132</v>
      </c>
      <c r="B133">
        <v>12</v>
      </c>
      <c r="C133">
        <v>13</v>
      </c>
      <c r="D133" t="s">
        <v>18</v>
      </c>
      <c r="E133" t="str">
        <f t="shared" si="2"/>
        <v>1213LC03PT</v>
      </c>
      <c r="F133">
        <f>VLOOKUP(B133,[1]Course!$A$2:$R$329,2,FALSE)</f>
        <v>0</v>
      </c>
      <c r="G133">
        <f>VLOOKUP(B133, [1]Course!$A$2:$L$950, 8, FALSE)</f>
        <v>12</v>
      </c>
      <c r="H133">
        <v>3</v>
      </c>
      <c r="I133">
        <v>1</v>
      </c>
      <c r="M133" t="str">
        <f>VLOOKUP(B133, [1]Course!$A$1:$O$933, 12, FALSE)</f>
        <v>LI</v>
      </c>
      <c r="N133" t="s">
        <v>14</v>
      </c>
      <c r="O133" t="str">
        <f>VLOOKUP(B133, [1]Course!$A$1:$O$933, 14, FALSE)</f>
        <v>LC</v>
      </c>
      <c r="P133">
        <v>1</v>
      </c>
    </row>
    <row r="134" spans="1:16" x14ac:dyDescent="0.25">
      <c r="A134">
        <v>133</v>
      </c>
      <c r="B134">
        <v>12</v>
      </c>
      <c r="C134">
        <v>14</v>
      </c>
      <c r="D134" t="s">
        <v>18</v>
      </c>
      <c r="E134" t="str">
        <f t="shared" si="2"/>
        <v>1214LC03PT</v>
      </c>
      <c r="F134">
        <f>VLOOKUP(B134,[1]Course!$A$2:$R$329,2,FALSE)</f>
        <v>0</v>
      </c>
      <c r="G134">
        <f>VLOOKUP(B134, [1]Course!$A$2:$L$950, 8, FALSE)</f>
        <v>12</v>
      </c>
      <c r="H134">
        <v>3</v>
      </c>
      <c r="I134">
        <v>1</v>
      </c>
      <c r="M134" t="str">
        <f>VLOOKUP(B134, [1]Course!$A$1:$O$933, 12, FALSE)</f>
        <v>LI</v>
      </c>
      <c r="N134" t="s">
        <v>14</v>
      </c>
      <c r="O134" t="str">
        <f>VLOOKUP(B134, [1]Course!$A$1:$O$933, 14, FALSE)</f>
        <v>LC</v>
      </c>
      <c r="P134">
        <v>1</v>
      </c>
    </row>
    <row r="135" spans="1:16" x14ac:dyDescent="0.25">
      <c r="A135">
        <v>134</v>
      </c>
      <c r="B135">
        <v>12</v>
      </c>
      <c r="C135">
        <v>15</v>
      </c>
      <c r="D135" t="s">
        <v>18</v>
      </c>
      <c r="E135" t="str">
        <f t="shared" si="2"/>
        <v>1215LC03PT</v>
      </c>
      <c r="F135">
        <f>VLOOKUP(B135,[1]Course!$A$2:$R$329,2,FALSE)</f>
        <v>0</v>
      </c>
      <c r="G135">
        <f>VLOOKUP(B135, [1]Course!$A$2:$L$950, 8, FALSE)</f>
        <v>12</v>
      </c>
      <c r="H135">
        <v>3</v>
      </c>
      <c r="I135">
        <v>1</v>
      </c>
      <c r="M135" t="str">
        <f>VLOOKUP(B135, [1]Course!$A$1:$O$933, 12, FALSE)</f>
        <v>LI</v>
      </c>
      <c r="N135" t="s">
        <v>14</v>
      </c>
      <c r="O135" t="str">
        <f>VLOOKUP(B135, [1]Course!$A$1:$O$933, 14, FALSE)</f>
        <v>LC</v>
      </c>
      <c r="P135">
        <v>1</v>
      </c>
    </row>
    <row r="136" spans="1:16" x14ac:dyDescent="0.25">
      <c r="A136">
        <v>135</v>
      </c>
      <c r="B136">
        <v>12</v>
      </c>
      <c r="C136">
        <v>16</v>
      </c>
      <c r="D136" t="s">
        <v>18</v>
      </c>
      <c r="E136" t="str">
        <f t="shared" si="2"/>
        <v>1216LC03PT</v>
      </c>
      <c r="F136">
        <f>VLOOKUP(B136,[1]Course!$A$2:$R$329,2,FALSE)</f>
        <v>0</v>
      </c>
      <c r="G136">
        <f>VLOOKUP(B136, [1]Course!$A$2:$L$950, 8, FALSE)</f>
        <v>12</v>
      </c>
      <c r="H136">
        <v>3</v>
      </c>
      <c r="I136">
        <v>1</v>
      </c>
      <c r="M136" t="str">
        <f>VLOOKUP(B136, [1]Course!$A$1:$O$933, 12, FALSE)</f>
        <v>LI</v>
      </c>
      <c r="N136" t="s">
        <v>14</v>
      </c>
      <c r="O136" t="str">
        <f>VLOOKUP(B136, [1]Course!$A$1:$O$933, 14, FALSE)</f>
        <v>LC</v>
      </c>
      <c r="P136">
        <v>1</v>
      </c>
    </row>
    <row r="137" spans="1:16" x14ac:dyDescent="0.25">
      <c r="A137">
        <v>136</v>
      </c>
      <c r="B137">
        <v>12</v>
      </c>
      <c r="C137">
        <v>17</v>
      </c>
      <c r="D137" t="s">
        <v>18</v>
      </c>
      <c r="E137" t="str">
        <f t="shared" si="2"/>
        <v>1217LC03PT</v>
      </c>
      <c r="F137">
        <f>VLOOKUP(B137,[1]Course!$A$2:$R$329,2,FALSE)</f>
        <v>0</v>
      </c>
      <c r="G137">
        <f>VLOOKUP(B137, [1]Course!$A$2:$L$950, 8, FALSE)</f>
        <v>12</v>
      </c>
      <c r="H137">
        <v>3</v>
      </c>
      <c r="I137">
        <v>1</v>
      </c>
      <c r="M137" t="str">
        <f>VLOOKUP(B137, [1]Course!$A$1:$O$933, 12, FALSE)</f>
        <v>LI</v>
      </c>
      <c r="N137" t="s">
        <v>14</v>
      </c>
      <c r="O137" t="str">
        <f>VLOOKUP(B137, [1]Course!$A$1:$O$933, 14, FALSE)</f>
        <v>LC</v>
      </c>
      <c r="P137">
        <v>1</v>
      </c>
    </row>
    <row r="138" spans="1:16" x14ac:dyDescent="0.25">
      <c r="A138">
        <v>137</v>
      </c>
      <c r="B138">
        <v>12</v>
      </c>
      <c r="C138">
        <v>18</v>
      </c>
      <c r="D138" t="s">
        <v>18</v>
      </c>
      <c r="E138" t="str">
        <f t="shared" si="2"/>
        <v>1218LC03PT</v>
      </c>
      <c r="F138">
        <f>VLOOKUP(B138,[1]Course!$A$2:$R$329,2,FALSE)</f>
        <v>0</v>
      </c>
      <c r="G138">
        <f>VLOOKUP(B138, [1]Course!$A$2:$L$950, 8, FALSE)</f>
        <v>12</v>
      </c>
      <c r="H138">
        <v>3</v>
      </c>
      <c r="I138">
        <v>1</v>
      </c>
      <c r="M138" t="str">
        <f>VLOOKUP(B138, [1]Course!$A$1:$O$933, 12, FALSE)</f>
        <v>LI</v>
      </c>
      <c r="N138" t="s">
        <v>14</v>
      </c>
      <c r="O138" t="str">
        <f>VLOOKUP(B138, [1]Course!$A$1:$O$933, 14, FALSE)</f>
        <v>LC</v>
      </c>
      <c r="P138">
        <v>1</v>
      </c>
    </row>
    <row r="139" spans="1:16" x14ac:dyDescent="0.25">
      <c r="A139">
        <v>138</v>
      </c>
      <c r="B139">
        <v>12</v>
      </c>
      <c r="C139">
        <v>19</v>
      </c>
      <c r="D139" t="s">
        <v>18</v>
      </c>
      <c r="E139" t="str">
        <f t="shared" si="2"/>
        <v>1219LC03PT</v>
      </c>
      <c r="F139">
        <f>VLOOKUP(B139,[1]Course!$A$2:$R$329,2,FALSE)</f>
        <v>0</v>
      </c>
      <c r="G139">
        <f>VLOOKUP(B139, [1]Course!$A$2:$L$950, 8, FALSE)</f>
        <v>12</v>
      </c>
      <c r="H139">
        <v>3</v>
      </c>
      <c r="I139">
        <v>1</v>
      </c>
      <c r="M139" t="str">
        <f>VLOOKUP(B139, [1]Course!$A$1:$O$933, 12, FALSE)</f>
        <v>LI</v>
      </c>
      <c r="N139" t="s">
        <v>14</v>
      </c>
      <c r="O139" t="str">
        <f>VLOOKUP(B139, [1]Course!$A$1:$O$933, 14, FALSE)</f>
        <v>LC</v>
      </c>
      <c r="P139">
        <v>1</v>
      </c>
    </row>
    <row r="140" spans="1:16" x14ac:dyDescent="0.25">
      <c r="A140">
        <v>139</v>
      </c>
      <c r="B140">
        <v>12</v>
      </c>
      <c r="C140">
        <v>20</v>
      </c>
      <c r="D140" t="s">
        <v>18</v>
      </c>
      <c r="E140" t="str">
        <f t="shared" si="2"/>
        <v>1220LC03PT</v>
      </c>
      <c r="F140">
        <f>VLOOKUP(B140,[1]Course!$A$2:$R$329,2,FALSE)</f>
        <v>0</v>
      </c>
      <c r="G140">
        <f>VLOOKUP(B140, [1]Course!$A$2:$L$950, 8, FALSE)</f>
        <v>12</v>
      </c>
      <c r="H140">
        <v>3</v>
      </c>
      <c r="I140">
        <v>1</v>
      </c>
      <c r="M140" t="str">
        <f>VLOOKUP(B140, [1]Course!$A$1:$O$933, 12, FALSE)</f>
        <v>LI</v>
      </c>
      <c r="N140" t="s">
        <v>14</v>
      </c>
      <c r="O140" t="str">
        <f>VLOOKUP(B140, [1]Course!$A$1:$O$933, 14, FALSE)</f>
        <v>LC</v>
      </c>
      <c r="P140">
        <v>1</v>
      </c>
    </row>
    <row r="141" spans="1:16" x14ac:dyDescent="0.25">
      <c r="A141">
        <v>140</v>
      </c>
      <c r="B141">
        <v>12</v>
      </c>
      <c r="C141">
        <v>21</v>
      </c>
      <c r="D141" t="s">
        <v>18</v>
      </c>
      <c r="E141" t="str">
        <f t="shared" si="2"/>
        <v>1221LC03PT</v>
      </c>
      <c r="F141">
        <f>VLOOKUP(B141,[1]Course!$A$2:$R$329,2,FALSE)</f>
        <v>0</v>
      </c>
      <c r="G141">
        <f>VLOOKUP(B141, [1]Course!$A$2:$L$950, 8, FALSE)</f>
        <v>12</v>
      </c>
      <c r="H141">
        <v>3</v>
      </c>
      <c r="I141">
        <v>1</v>
      </c>
      <c r="M141" t="str">
        <f>VLOOKUP(B141, [1]Course!$A$1:$O$933, 12, FALSE)</f>
        <v>LI</v>
      </c>
      <c r="N141" t="s">
        <v>14</v>
      </c>
      <c r="O141" t="str">
        <f>VLOOKUP(B141, [1]Course!$A$1:$O$933, 14, FALSE)</f>
        <v>LC</v>
      </c>
      <c r="P141">
        <v>1</v>
      </c>
    </row>
    <row r="142" spans="1:16" x14ac:dyDescent="0.25">
      <c r="A142">
        <v>141</v>
      </c>
      <c r="B142">
        <v>12</v>
      </c>
      <c r="C142">
        <v>22</v>
      </c>
      <c r="D142" t="s">
        <v>18</v>
      </c>
      <c r="E142" t="str">
        <f t="shared" si="2"/>
        <v>1222LC03PT</v>
      </c>
      <c r="F142">
        <f>VLOOKUP(B142,[1]Course!$A$2:$R$329,2,FALSE)</f>
        <v>0</v>
      </c>
      <c r="G142">
        <f>VLOOKUP(B142, [1]Course!$A$2:$L$950, 8, FALSE)</f>
        <v>12</v>
      </c>
      <c r="H142">
        <v>3</v>
      </c>
      <c r="I142">
        <v>1</v>
      </c>
      <c r="M142" t="str">
        <f>VLOOKUP(B142, [1]Course!$A$1:$O$933, 12, FALSE)</f>
        <v>LI</v>
      </c>
      <c r="N142" t="s">
        <v>14</v>
      </c>
      <c r="O142" t="str">
        <f>VLOOKUP(B142, [1]Course!$A$1:$O$933, 14, FALSE)</f>
        <v>LC</v>
      </c>
      <c r="P142">
        <v>1</v>
      </c>
    </row>
    <row r="143" spans="1:16" x14ac:dyDescent="0.25">
      <c r="A143">
        <v>142</v>
      </c>
      <c r="B143">
        <v>12</v>
      </c>
      <c r="C143">
        <v>23</v>
      </c>
      <c r="D143" t="s">
        <v>18</v>
      </c>
      <c r="E143" t="str">
        <f t="shared" si="2"/>
        <v>1223LC03PT</v>
      </c>
      <c r="F143">
        <f>VLOOKUP(B143,[1]Course!$A$2:$R$329,2,FALSE)</f>
        <v>0</v>
      </c>
      <c r="G143">
        <f>VLOOKUP(B143, [1]Course!$A$2:$L$950, 8, FALSE)</f>
        <v>12</v>
      </c>
      <c r="H143">
        <v>3</v>
      </c>
      <c r="I143">
        <v>1</v>
      </c>
      <c r="M143" t="str">
        <f>VLOOKUP(B143, [1]Course!$A$1:$O$933, 12, FALSE)</f>
        <v>LI</v>
      </c>
      <c r="N143" t="s">
        <v>14</v>
      </c>
      <c r="O143" t="str">
        <f>VLOOKUP(B143, [1]Course!$A$1:$O$933, 14, FALSE)</f>
        <v>LC</v>
      </c>
      <c r="P143">
        <v>1</v>
      </c>
    </row>
    <row r="144" spans="1:16" x14ac:dyDescent="0.25">
      <c r="A144">
        <v>143</v>
      </c>
      <c r="B144">
        <v>12</v>
      </c>
      <c r="C144">
        <v>24</v>
      </c>
      <c r="D144" t="s">
        <v>18</v>
      </c>
      <c r="E144" t="str">
        <f t="shared" si="2"/>
        <v>1224LC03PT</v>
      </c>
      <c r="F144">
        <f>VLOOKUP(B144,[1]Course!$A$2:$R$329,2,FALSE)</f>
        <v>0</v>
      </c>
      <c r="G144">
        <f>VLOOKUP(B144, [1]Course!$A$2:$L$950, 8, FALSE)</f>
        <v>12</v>
      </c>
      <c r="H144">
        <v>3</v>
      </c>
      <c r="I144">
        <v>1</v>
      </c>
      <c r="M144" t="str">
        <f>VLOOKUP(B144, [1]Course!$A$1:$O$933, 12, FALSE)</f>
        <v>LI</v>
      </c>
      <c r="N144" t="s">
        <v>14</v>
      </c>
      <c r="O144" t="str">
        <f>VLOOKUP(B144, [1]Course!$A$1:$O$933, 14, FALSE)</f>
        <v>LC</v>
      </c>
      <c r="P144">
        <v>1</v>
      </c>
    </row>
    <row r="145" spans="1:16" x14ac:dyDescent="0.25">
      <c r="A145">
        <v>144</v>
      </c>
      <c r="B145">
        <v>13</v>
      </c>
      <c r="C145">
        <v>13</v>
      </c>
      <c r="D145" t="s">
        <v>19</v>
      </c>
      <c r="E145" t="str">
        <f t="shared" si="2"/>
        <v>1213SC03PT</v>
      </c>
      <c r="F145" t="str">
        <f>VLOOKUP(B145,[1]Course!$A$2:$R$329,2,FALSE)</f>
        <v>Science 2</v>
      </c>
      <c r="G145">
        <f>VLOOKUP(B145, [1]Course!$A$2:$L$950, 8, FALSE)</f>
        <v>12</v>
      </c>
      <c r="H145">
        <v>3</v>
      </c>
      <c r="I145">
        <v>1</v>
      </c>
      <c r="M145" t="str">
        <f>VLOOKUP(B145, [1]Course!$A$1:$O$933, 12, FALSE)</f>
        <v>SC</v>
      </c>
      <c r="N145" t="s">
        <v>14</v>
      </c>
      <c r="O145" t="str">
        <f>VLOOKUP(B145, [1]Course!$A$1:$O$933, 14, FALSE)</f>
        <v>SC</v>
      </c>
      <c r="P145">
        <v>1</v>
      </c>
    </row>
    <row r="146" spans="1:16" x14ac:dyDescent="0.25">
      <c r="A146">
        <v>145</v>
      </c>
      <c r="B146">
        <v>13</v>
      </c>
      <c r="C146">
        <v>14</v>
      </c>
      <c r="D146" t="s">
        <v>19</v>
      </c>
      <c r="E146" t="str">
        <f t="shared" si="2"/>
        <v>1214SC03PT</v>
      </c>
      <c r="F146" t="str">
        <f>VLOOKUP(B146,[1]Course!$A$2:$R$329,2,FALSE)</f>
        <v>Science 2</v>
      </c>
      <c r="G146">
        <f>VLOOKUP(B146, [1]Course!$A$2:$L$950, 8, FALSE)</f>
        <v>12</v>
      </c>
      <c r="H146">
        <v>3</v>
      </c>
      <c r="I146">
        <v>1</v>
      </c>
      <c r="M146" t="str">
        <f>VLOOKUP(B146, [1]Course!$A$1:$O$933, 12, FALSE)</f>
        <v>SC</v>
      </c>
      <c r="N146" t="s">
        <v>14</v>
      </c>
      <c r="O146" t="str">
        <f>VLOOKUP(B146, [1]Course!$A$1:$O$933, 14, FALSE)</f>
        <v>SC</v>
      </c>
      <c r="P146">
        <v>1</v>
      </c>
    </row>
    <row r="147" spans="1:16" x14ac:dyDescent="0.25">
      <c r="A147">
        <v>146</v>
      </c>
      <c r="B147">
        <v>13</v>
      </c>
      <c r="C147">
        <v>15</v>
      </c>
      <c r="D147" t="s">
        <v>19</v>
      </c>
      <c r="E147" t="str">
        <f t="shared" si="2"/>
        <v>1215SC03PT</v>
      </c>
      <c r="F147" t="str">
        <f>VLOOKUP(B147,[1]Course!$A$2:$R$329,2,FALSE)</f>
        <v>Science 2</v>
      </c>
      <c r="G147">
        <f>VLOOKUP(B147, [1]Course!$A$2:$L$950, 8, FALSE)</f>
        <v>12</v>
      </c>
      <c r="H147">
        <v>3</v>
      </c>
      <c r="I147">
        <v>1</v>
      </c>
      <c r="M147" t="str">
        <f>VLOOKUP(B147, [1]Course!$A$1:$O$933, 12, FALSE)</f>
        <v>SC</v>
      </c>
      <c r="N147" t="s">
        <v>14</v>
      </c>
      <c r="O147" t="str">
        <f>VLOOKUP(B147, [1]Course!$A$1:$O$933, 14, FALSE)</f>
        <v>SC</v>
      </c>
      <c r="P147">
        <v>1</v>
      </c>
    </row>
    <row r="148" spans="1:16" x14ac:dyDescent="0.25">
      <c r="A148">
        <v>147</v>
      </c>
      <c r="B148">
        <v>13</v>
      </c>
      <c r="C148">
        <v>16</v>
      </c>
      <c r="D148" t="s">
        <v>19</v>
      </c>
      <c r="E148" t="str">
        <f t="shared" si="2"/>
        <v>1216SC03PT</v>
      </c>
      <c r="F148" t="str">
        <f>VLOOKUP(B148,[1]Course!$A$2:$R$329,2,FALSE)</f>
        <v>Science 2</v>
      </c>
      <c r="G148">
        <f>VLOOKUP(B148, [1]Course!$A$2:$L$950, 8, FALSE)</f>
        <v>12</v>
      </c>
      <c r="H148">
        <v>3</v>
      </c>
      <c r="I148">
        <v>1</v>
      </c>
      <c r="M148" t="str">
        <f>VLOOKUP(B148, [1]Course!$A$1:$O$933, 12, FALSE)</f>
        <v>SC</v>
      </c>
      <c r="N148" t="s">
        <v>14</v>
      </c>
      <c r="O148" t="str">
        <f>VLOOKUP(B148, [1]Course!$A$1:$O$933, 14, FALSE)</f>
        <v>SC</v>
      </c>
      <c r="P148">
        <v>1</v>
      </c>
    </row>
    <row r="149" spans="1:16" x14ac:dyDescent="0.25">
      <c r="A149">
        <v>148</v>
      </c>
      <c r="B149">
        <v>13</v>
      </c>
      <c r="C149">
        <v>17</v>
      </c>
      <c r="D149" t="s">
        <v>19</v>
      </c>
      <c r="E149" t="str">
        <f t="shared" si="2"/>
        <v>1217SC03PT</v>
      </c>
      <c r="F149" t="str">
        <f>VLOOKUP(B149,[1]Course!$A$2:$R$329,2,FALSE)</f>
        <v>Science 2</v>
      </c>
      <c r="G149">
        <f>VLOOKUP(B149, [1]Course!$A$2:$L$950, 8, FALSE)</f>
        <v>12</v>
      </c>
      <c r="H149">
        <v>3</v>
      </c>
      <c r="I149">
        <v>1</v>
      </c>
      <c r="M149" t="str">
        <f>VLOOKUP(B149, [1]Course!$A$1:$O$933, 12, FALSE)</f>
        <v>SC</v>
      </c>
      <c r="N149" t="s">
        <v>14</v>
      </c>
      <c r="O149" t="str">
        <f>VLOOKUP(B149, [1]Course!$A$1:$O$933, 14, FALSE)</f>
        <v>SC</v>
      </c>
      <c r="P149">
        <v>1</v>
      </c>
    </row>
    <row r="150" spans="1:16" x14ac:dyDescent="0.25">
      <c r="A150">
        <v>149</v>
      </c>
      <c r="B150">
        <v>13</v>
      </c>
      <c r="C150">
        <v>18</v>
      </c>
      <c r="D150" t="s">
        <v>19</v>
      </c>
      <c r="E150" t="str">
        <f t="shared" si="2"/>
        <v>1218SC03PT</v>
      </c>
      <c r="F150" t="str">
        <f>VLOOKUP(B150,[1]Course!$A$2:$R$329,2,FALSE)</f>
        <v>Science 2</v>
      </c>
      <c r="G150">
        <f>VLOOKUP(B150, [1]Course!$A$2:$L$950, 8, FALSE)</f>
        <v>12</v>
      </c>
      <c r="H150">
        <v>3</v>
      </c>
      <c r="I150">
        <v>1</v>
      </c>
      <c r="M150" t="str">
        <f>VLOOKUP(B150, [1]Course!$A$1:$O$933, 12, FALSE)</f>
        <v>SC</v>
      </c>
      <c r="N150" t="s">
        <v>14</v>
      </c>
      <c r="O150" t="str">
        <f>VLOOKUP(B150, [1]Course!$A$1:$O$933, 14, FALSE)</f>
        <v>SC</v>
      </c>
      <c r="P150">
        <v>1</v>
      </c>
    </row>
    <row r="151" spans="1:16" x14ac:dyDescent="0.25">
      <c r="A151">
        <v>150</v>
      </c>
      <c r="B151">
        <v>13</v>
      </c>
      <c r="C151">
        <v>19</v>
      </c>
      <c r="D151" t="s">
        <v>19</v>
      </c>
      <c r="E151" t="str">
        <f t="shared" si="2"/>
        <v>1219SC03PT</v>
      </c>
      <c r="F151" t="str">
        <f>VLOOKUP(B151,[1]Course!$A$2:$R$329,2,FALSE)</f>
        <v>Science 2</v>
      </c>
      <c r="G151">
        <f>VLOOKUP(B151, [1]Course!$A$2:$L$950, 8, FALSE)</f>
        <v>12</v>
      </c>
      <c r="H151">
        <v>3</v>
      </c>
      <c r="I151">
        <v>2</v>
      </c>
      <c r="M151" t="str">
        <f>VLOOKUP(B151, [1]Course!$A$1:$O$933, 12, FALSE)</f>
        <v>SC</v>
      </c>
      <c r="N151" t="s">
        <v>14</v>
      </c>
      <c r="O151" t="str">
        <f>VLOOKUP(B151, [1]Course!$A$1:$O$933, 14, FALSE)</f>
        <v>SC</v>
      </c>
      <c r="P151">
        <v>1</v>
      </c>
    </row>
    <row r="152" spans="1:16" x14ac:dyDescent="0.25">
      <c r="A152">
        <v>151</v>
      </c>
      <c r="B152">
        <v>13</v>
      </c>
      <c r="C152">
        <v>20</v>
      </c>
      <c r="D152" t="s">
        <v>19</v>
      </c>
      <c r="E152" t="str">
        <f t="shared" si="2"/>
        <v>1220SC03PT</v>
      </c>
      <c r="F152" t="str">
        <f>VLOOKUP(B152,[1]Course!$A$2:$R$329,2,FALSE)</f>
        <v>Science 2</v>
      </c>
      <c r="G152">
        <f>VLOOKUP(B152, [1]Course!$A$2:$L$950, 8, FALSE)</f>
        <v>12</v>
      </c>
      <c r="H152">
        <v>3</v>
      </c>
      <c r="I152">
        <v>1</v>
      </c>
      <c r="M152" t="str">
        <f>VLOOKUP(B152, [1]Course!$A$1:$O$933, 12, FALSE)</f>
        <v>SC</v>
      </c>
      <c r="N152" t="s">
        <v>14</v>
      </c>
      <c r="O152" t="str">
        <f>VLOOKUP(B152, [1]Course!$A$1:$O$933, 14, FALSE)</f>
        <v>SC</v>
      </c>
      <c r="P152">
        <v>1</v>
      </c>
    </row>
    <row r="153" spans="1:16" x14ac:dyDescent="0.25">
      <c r="A153">
        <v>152</v>
      </c>
      <c r="B153">
        <v>13</v>
      </c>
      <c r="C153">
        <v>21</v>
      </c>
      <c r="D153" t="s">
        <v>19</v>
      </c>
      <c r="E153" t="str">
        <f t="shared" si="2"/>
        <v>1221SC03PT</v>
      </c>
      <c r="F153" t="str">
        <f>VLOOKUP(B153,[1]Course!$A$2:$R$329,2,FALSE)</f>
        <v>Science 2</v>
      </c>
      <c r="G153">
        <f>VLOOKUP(B153, [1]Course!$A$2:$L$950, 8, FALSE)</f>
        <v>12</v>
      </c>
      <c r="H153">
        <v>3</v>
      </c>
      <c r="I153">
        <v>1</v>
      </c>
      <c r="M153" t="str">
        <f>VLOOKUP(B153, [1]Course!$A$1:$O$933, 12, FALSE)</f>
        <v>SC</v>
      </c>
      <c r="N153" t="s">
        <v>14</v>
      </c>
      <c r="O153" t="str">
        <f>VLOOKUP(B153, [1]Course!$A$1:$O$933, 14, FALSE)</f>
        <v>SC</v>
      </c>
      <c r="P153">
        <v>1</v>
      </c>
    </row>
    <row r="154" spans="1:16" x14ac:dyDescent="0.25">
      <c r="A154">
        <v>153</v>
      </c>
      <c r="B154">
        <v>13</v>
      </c>
      <c r="C154">
        <v>22</v>
      </c>
      <c r="D154" t="s">
        <v>19</v>
      </c>
      <c r="E154" t="str">
        <f t="shared" si="2"/>
        <v>1222SC03PT</v>
      </c>
      <c r="F154" t="str">
        <f>VLOOKUP(B154,[1]Course!$A$2:$R$329,2,FALSE)</f>
        <v>Science 2</v>
      </c>
      <c r="G154">
        <f>VLOOKUP(B154, [1]Course!$A$2:$L$950, 8, FALSE)</f>
        <v>12</v>
      </c>
      <c r="H154">
        <v>3</v>
      </c>
      <c r="I154">
        <v>1</v>
      </c>
      <c r="M154" t="str">
        <f>VLOOKUP(B154, [1]Course!$A$1:$O$933, 12, FALSE)</f>
        <v>SC</v>
      </c>
      <c r="N154" t="s">
        <v>14</v>
      </c>
      <c r="O154" t="str">
        <f>VLOOKUP(B154, [1]Course!$A$1:$O$933, 14, FALSE)</f>
        <v>SC</v>
      </c>
      <c r="P154">
        <v>1</v>
      </c>
    </row>
    <row r="155" spans="1:16" x14ac:dyDescent="0.25">
      <c r="A155">
        <v>154</v>
      </c>
      <c r="B155">
        <v>13</v>
      </c>
      <c r="C155">
        <v>23</v>
      </c>
      <c r="D155" t="s">
        <v>19</v>
      </c>
      <c r="E155" t="str">
        <f t="shared" si="2"/>
        <v>1223SC03PT</v>
      </c>
      <c r="F155" t="str">
        <f>VLOOKUP(B155,[1]Course!$A$2:$R$329,2,FALSE)</f>
        <v>Science 2</v>
      </c>
      <c r="G155">
        <f>VLOOKUP(B155, [1]Course!$A$2:$L$950, 8, FALSE)</f>
        <v>12</v>
      </c>
      <c r="H155">
        <v>3</v>
      </c>
      <c r="I155">
        <v>1</v>
      </c>
      <c r="M155" t="str">
        <f>VLOOKUP(B155, [1]Course!$A$1:$O$933, 12, FALSE)</f>
        <v>SC</v>
      </c>
      <c r="N155" t="s">
        <v>14</v>
      </c>
      <c r="O155" t="str">
        <f>VLOOKUP(B155, [1]Course!$A$1:$O$933, 14, FALSE)</f>
        <v>SC</v>
      </c>
      <c r="P155">
        <v>1</v>
      </c>
    </row>
    <row r="156" spans="1:16" x14ac:dyDescent="0.25">
      <c r="A156">
        <v>155</v>
      </c>
      <c r="B156">
        <v>13</v>
      </c>
      <c r="C156">
        <v>24</v>
      </c>
      <c r="D156" t="s">
        <v>19</v>
      </c>
      <c r="E156" t="str">
        <f t="shared" si="2"/>
        <v>1224SC03PT</v>
      </c>
      <c r="F156" t="str">
        <f>VLOOKUP(B156,[1]Course!$A$2:$R$329,2,FALSE)</f>
        <v>Science 2</v>
      </c>
      <c r="G156">
        <f>VLOOKUP(B156, [1]Course!$A$2:$L$950, 8, FALSE)</f>
        <v>12</v>
      </c>
      <c r="H156">
        <v>3</v>
      </c>
      <c r="I156">
        <v>1</v>
      </c>
      <c r="M156" t="str">
        <f>VLOOKUP(B156, [1]Course!$A$1:$O$933, 12, FALSE)</f>
        <v>SC</v>
      </c>
      <c r="N156" t="s">
        <v>14</v>
      </c>
      <c r="O156" t="str">
        <f>VLOOKUP(B156, [1]Course!$A$1:$O$933, 14, FALSE)</f>
        <v>SC</v>
      </c>
      <c r="P156">
        <v>1</v>
      </c>
    </row>
    <row r="157" spans="1:16" x14ac:dyDescent="0.25">
      <c r="A157">
        <v>156</v>
      </c>
      <c r="B157">
        <v>14</v>
      </c>
      <c r="C157">
        <v>13</v>
      </c>
      <c r="D157" t="s">
        <v>20</v>
      </c>
      <c r="E157" t="str">
        <f t="shared" si="2"/>
        <v>1213SS03PT</v>
      </c>
      <c r="F157">
        <f>VLOOKUP(B157,[1]Course!$A$2:$R$329,2,FALSE)</f>
        <v>0</v>
      </c>
      <c r="G157">
        <f>VLOOKUP(B157, [1]Course!$A$2:$L$950, 8, FALSE)</f>
        <v>12</v>
      </c>
      <c r="H157">
        <v>3</v>
      </c>
      <c r="I157">
        <v>1</v>
      </c>
      <c r="M157" t="str">
        <f>VLOOKUP(B157, [1]Course!$A$1:$O$933, 12, FALSE)</f>
        <v>SS</v>
      </c>
      <c r="N157" t="s">
        <v>14</v>
      </c>
      <c r="O157" t="str">
        <f>VLOOKUP(B157, [1]Course!$A$1:$O$933, 14, FALSE)</f>
        <v>SS</v>
      </c>
      <c r="P157">
        <v>1</v>
      </c>
    </row>
    <row r="158" spans="1:16" x14ac:dyDescent="0.25">
      <c r="A158">
        <v>157</v>
      </c>
      <c r="B158">
        <v>14</v>
      </c>
      <c r="C158">
        <v>14</v>
      </c>
      <c r="D158" t="s">
        <v>20</v>
      </c>
      <c r="E158" t="str">
        <f t="shared" si="2"/>
        <v>1214SS03PT</v>
      </c>
      <c r="F158">
        <f>VLOOKUP(B158,[1]Course!$A$2:$R$329,2,FALSE)</f>
        <v>0</v>
      </c>
      <c r="G158">
        <f>VLOOKUP(B158, [1]Course!$A$2:$L$950, 8, FALSE)</f>
        <v>12</v>
      </c>
      <c r="H158">
        <v>3</v>
      </c>
      <c r="I158">
        <v>1</v>
      </c>
      <c r="M158" t="str">
        <f>VLOOKUP(B158, [1]Course!$A$1:$O$933, 12, FALSE)</f>
        <v>SS</v>
      </c>
      <c r="N158" t="s">
        <v>14</v>
      </c>
      <c r="O158" t="str">
        <f>VLOOKUP(B158, [1]Course!$A$1:$O$933, 14, FALSE)</f>
        <v>SS</v>
      </c>
      <c r="P158">
        <v>1</v>
      </c>
    </row>
    <row r="159" spans="1:16" x14ac:dyDescent="0.25">
      <c r="A159">
        <v>158</v>
      </c>
      <c r="B159">
        <v>14</v>
      </c>
      <c r="C159">
        <v>15</v>
      </c>
      <c r="D159" t="s">
        <v>20</v>
      </c>
      <c r="E159" t="str">
        <f t="shared" si="2"/>
        <v>1215SS03PT</v>
      </c>
      <c r="F159">
        <f>VLOOKUP(B159,[1]Course!$A$2:$R$329,2,FALSE)</f>
        <v>0</v>
      </c>
      <c r="G159">
        <f>VLOOKUP(B159, [1]Course!$A$2:$L$950, 8, FALSE)</f>
        <v>12</v>
      </c>
      <c r="H159">
        <v>3</v>
      </c>
      <c r="I159">
        <v>1</v>
      </c>
      <c r="M159" t="str">
        <f>VLOOKUP(B159, [1]Course!$A$1:$O$933, 12, FALSE)</f>
        <v>SS</v>
      </c>
      <c r="N159" t="s">
        <v>14</v>
      </c>
      <c r="O159" t="str">
        <f>VLOOKUP(B159, [1]Course!$A$1:$O$933, 14, FALSE)</f>
        <v>SS</v>
      </c>
      <c r="P159">
        <v>1</v>
      </c>
    </row>
    <row r="160" spans="1:16" x14ac:dyDescent="0.25">
      <c r="A160">
        <v>159</v>
      </c>
      <c r="B160">
        <v>14</v>
      </c>
      <c r="C160">
        <v>16</v>
      </c>
      <c r="D160" t="s">
        <v>20</v>
      </c>
      <c r="E160" t="str">
        <f t="shared" si="2"/>
        <v>1216SS03PT</v>
      </c>
      <c r="F160">
        <f>VLOOKUP(B160,[1]Course!$A$2:$R$329,2,FALSE)</f>
        <v>0</v>
      </c>
      <c r="G160">
        <f>VLOOKUP(B160, [1]Course!$A$2:$L$950, 8, FALSE)</f>
        <v>12</v>
      </c>
      <c r="H160">
        <v>3</v>
      </c>
      <c r="I160">
        <v>1</v>
      </c>
      <c r="M160" t="str">
        <f>VLOOKUP(B160, [1]Course!$A$1:$O$933, 12, FALSE)</f>
        <v>SS</v>
      </c>
      <c r="N160" t="s">
        <v>14</v>
      </c>
      <c r="O160" t="str">
        <f>VLOOKUP(B160, [1]Course!$A$1:$O$933, 14, FALSE)</f>
        <v>SS</v>
      </c>
      <c r="P160">
        <v>1</v>
      </c>
    </row>
    <row r="161" spans="1:16" x14ac:dyDescent="0.25">
      <c r="A161">
        <v>160</v>
      </c>
      <c r="B161">
        <v>14</v>
      </c>
      <c r="C161">
        <v>17</v>
      </c>
      <c r="D161" t="s">
        <v>20</v>
      </c>
      <c r="E161" t="str">
        <f t="shared" si="2"/>
        <v>1217SS03PT</v>
      </c>
      <c r="F161">
        <f>VLOOKUP(B161,[1]Course!$A$2:$R$329,2,FALSE)</f>
        <v>0</v>
      </c>
      <c r="G161">
        <f>VLOOKUP(B161, [1]Course!$A$2:$L$950, 8, FALSE)</f>
        <v>12</v>
      </c>
      <c r="H161">
        <v>3</v>
      </c>
      <c r="I161">
        <v>1</v>
      </c>
      <c r="M161" t="str">
        <f>VLOOKUP(B161, [1]Course!$A$1:$O$933, 12, FALSE)</f>
        <v>SS</v>
      </c>
      <c r="N161" t="s">
        <v>14</v>
      </c>
      <c r="O161" t="str">
        <f>VLOOKUP(B161, [1]Course!$A$1:$O$933, 14, FALSE)</f>
        <v>SS</v>
      </c>
      <c r="P161">
        <v>1</v>
      </c>
    </row>
    <row r="162" spans="1:16" x14ac:dyDescent="0.25">
      <c r="A162">
        <v>161</v>
      </c>
      <c r="B162">
        <v>14</v>
      </c>
      <c r="C162">
        <v>18</v>
      </c>
      <c r="D162" t="s">
        <v>20</v>
      </c>
      <c r="E162" t="str">
        <f t="shared" si="2"/>
        <v>1218SS03PT</v>
      </c>
      <c r="F162">
        <f>VLOOKUP(B162,[1]Course!$A$2:$R$329,2,FALSE)</f>
        <v>0</v>
      </c>
      <c r="G162">
        <f>VLOOKUP(B162, [1]Course!$A$2:$L$950, 8, FALSE)</f>
        <v>12</v>
      </c>
      <c r="H162">
        <v>3</v>
      </c>
      <c r="I162">
        <v>1</v>
      </c>
      <c r="M162" t="str">
        <f>VLOOKUP(B162, [1]Course!$A$1:$O$933, 12, FALSE)</f>
        <v>SS</v>
      </c>
      <c r="N162" t="s">
        <v>14</v>
      </c>
      <c r="O162" t="str">
        <f>VLOOKUP(B162, [1]Course!$A$1:$O$933, 14, FALSE)</f>
        <v>SS</v>
      </c>
      <c r="P162">
        <v>1</v>
      </c>
    </row>
    <row r="163" spans="1:16" x14ac:dyDescent="0.25">
      <c r="A163">
        <v>162</v>
      </c>
      <c r="B163">
        <v>14</v>
      </c>
      <c r="C163">
        <v>19</v>
      </c>
      <c r="D163" t="s">
        <v>20</v>
      </c>
      <c r="E163" t="str">
        <f t="shared" si="2"/>
        <v>1219SS03PT</v>
      </c>
      <c r="F163">
        <f>VLOOKUP(B163,[1]Course!$A$2:$R$329,2,FALSE)</f>
        <v>0</v>
      </c>
      <c r="G163">
        <f>VLOOKUP(B163, [1]Course!$A$2:$L$950, 8, FALSE)</f>
        <v>12</v>
      </c>
      <c r="H163">
        <v>3</v>
      </c>
      <c r="I163">
        <v>2</v>
      </c>
      <c r="M163" t="str">
        <f>VLOOKUP(B163, [1]Course!$A$1:$O$933, 12, FALSE)</f>
        <v>SS</v>
      </c>
      <c r="N163" t="s">
        <v>14</v>
      </c>
      <c r="O163" t="str">
        <f>VLOOKUP(B163, [1]Course!$A$1:$O$933, 14, FALSE)</f>
        <v>SS</v>
      </c>
      <c r="P163">
        <v>1</v>
      </c>
    </row>
    <row r="164" spans="1:16" x14ac:dyDescent="0.25">
      <c r="A164">
        <v>163</v>
      </c>
      <c r="B164">
        <v>14</v>
      </c>
      <c r="C164">
        <v>20</v>
      </c>
      <c r="D164" t="s">
        <v>20</v>
      </c>
      <c r="E164" t="str">
        <f t="shared" si="2"/>
        <v>1220SS03PT</v>
      </c>
      <c r="F164">
        <f>VLOOKUP(B164,[1]Course!$A$2:$R$329,2,FALSE)</f>
        <v>0</v>
      </c>
      <c r="G164">
        <f>VLOOKUP(B164, [1]Course!$A$2:$L$950, 8, FALSE)</f>
        <v>12</v>
      </c>
      <c r="H164">
        <v>3</v>
      </c>
      <c r="I164">
        <v>1</v>
      </c>
      <c r="M164" t="str">
        <f>VLOOKUP(B164, [1]Course!$A$1:$O$933, 12, FALSE)</f>
        <v>SS</v>
      </c>
      <c r="N164" t="s">
        <v>14</v>
      </c>
      <c r="O164" t="str">
        <f>VLOOKUP(B164, [1]Course!$A$1:$O$933, 14, FALSE)</f>
        <v>SS</v>
      </c>
      <c r="P164">
        <v>1</v>
      </c>
    </row>
    <row r="165" spans="1:16" x14ac:dyDescent="0.25">
      <c r="A165">
        <v>164</v>
      </c>
      <c r="B165">
        <v>14</v>
      </c>
      <c r="C165">
        <v>21</v>
      </c>
      <c r="D165" t="s">
        <v>20</v>
      </c>
      <c r="E165" t="str">
        <f t="shared" si="2"/>
        <v>1221SS03PT</v>
      </c>
      <c r="F165">
        <f>VLOOKUP(B165,[1]Course!$A$2:$R$329,2,FALSE)</f>
        <v>0</v>
      </c>
      <c r="G165">
        <f>VLOOKUP(B165, [1]Course!$A$2:$L$950, 8, FALSE)</f>
        <v>12</v>
      </c>
      <c r="H165">
        <v>3</v>
      </c>
      <c r="I165">
        <v>1</v>
      </c>
      <c r="M165" t="str">
        <f>VLOOKUP(B165, [1]Course!$A$1:$O$933, 12, FALSE)</f>
        <v>SS</v>
      </c>
      <c r="N165" t="s">
        <v>14</v>
      </c>
      <c r="O165" t="str">
        <f>VLOOKUP(B165, [1]Course!$A$1:$O$933, 14, FALSE)</f>
        <v>SS</v>
      </c>
      <c r="P165">
        <v>1</v>
      </c>
    </row>
    <row r="166" spans="1:16" x14ac:dyDescent="0.25">
      <c r="A166">
        <v>165</v>
      </c>
      <c r="B166">
        <v>14</v>
      </c>
      <c r="C166">
        <v>22</v>
      </c>
      <c r="D166" t="s">
        <v>20</v>
      </c>
      <c r="E166" t="str">
        <f t="shared" si="2"/>
        <v>1222SS03PT</v>
      </c>
      <c r="F166">
        <f>VLOOKUP(B166,[1]Course!$A$2:$R$329,2,FALSE)</f>
        <v>0</v>
      </c>
      <c r="G166">
        <f>VLOOKUP(B166, [1]Course!$A$2:$L$950, 8, FALSE)</f>
        <v>12</v>
      </c>
      <c r="H166">
        <v>3</v>
      </c>
      <c r="I166">
        <v>1</v>
      </c>
      <c r="M166" t="str">
        <f>VLOOKUP(B166, [1]Course!$A$1:$O$933, 12, FALSE)</f>
        <v>SS</v>
      </c>
      <c r="N166" t="s">
        <v>14</v>
      </c>
      <c r="O166" t="str">
        <f>VLOOKUP(B166, [1]Course!$A$1:$O$933, 14, FALSE)</f>
        <v>SS</v>
      </c>
      <c r="P166">
        <v>1</v>
      </c>
    </row>
    <row r="167" spans="1:16" x14ac:dyDescent="0.25">
      <c r="A167">
        <v>166</v>
      </c>
      <c r="B167">
        <v>14</v>
      </c>
      <c r="C167">
        <v>23</v>
      </c>
      <c r="D167" t="s">
        <v>20</v>
      </c>
      <c r="E167" t="str">
        <f t="shared" si="2"/>
        <v>1223SS03PT</v>
      </c>
      <c r="F167">
        <f>VLOOKUP(B167,[1]Course!$A$2:$R$329,2,FALSE)</f>
        <v>0</v>
      </c>
      <c r="G167">
        <f>VLOOKUP(B167, [1]Course!$A$2:$L$950, 8, FALSE)</f>
        <v>12</v>
      </c>
      <c r="H167">
        <v>3</v>
      </c>
      <c r="I167">
        <v>1</v>
      </c>
      <c r="M167" t="str">
        <f>VLOOKUP(B167, [1]Course!$A$1:$O$933, 12, FALSE)</f>
        <v>SS</v>
      </c>
      <c r="N167" t="s">
        <v>14</v>
      </c>
      <c r="O167" t="str">
        <f>VLOOKUP(B167, [1]Course!$A$1:$O$933, 14, FALSE)</f>
        <v>SS</v>
      </c>
      <c r="P167">
        <v>1</v>
      </c>
    </row>
    <row r="168" spans="1:16" x14ac:dyDescent="0.25">
      <c r="A168">
        <v>167</v>
      </c>
      <c r="B168">
        <v>14</v>
      </c>
      <c r="C168">
        <v>24</v>
      </c>
      <c r="D168" t="s">
        <v>20</v>
      </c>
      <c r="E168" t="str">
        <f t="shared" si="2"/>
        <v>1224SS03PT</v>
      </c>
      <c r="F168">
        <f>VLOOKUP(B168,[1]Course!$A$2:$R$329,2,FALSE)</f>
        <v>0</v>
      </c>
      <c r="G168">
        <f>VLOOKUP(B168, [1]Course!$A$2:$L$950, 8, FALSE)</f>
        <v>12</v>
      </c>
      <c r="H168">
        <v>3</v>
      </c>
      <c r="I168">
        <v>1</v>
      </c>
      <c r="M168" t="str">
        <f>VLOOKUP(B168, [1]Course!$A$1:$O$933, 12, FALSE)</f>
        <v>SS</v>
      </c>
      <c r="N168" t="s">
        <v>14</v>
      </c>
      <c r="O168" t="str">
        <f>VLOOKUP(B168, [1]Course!$A$1:$O$933, 14, FALSE)</f>
        <v>SS</v>
      </c>
      <c r="P168">
        <v>1</v>
      </c>
    </row>
    <row r="169" spans="1:16" x14ac:dyDescent="0.25">
      <c r="A169">
        <v>168</v>
      </c>
      <c r="B169">
        <v>15</v>
      </c>
      <c r="C169">
        <v>13</v>
      </c>
      <c r="D169" t="s">
        <v>21</v>
      </c>
      <c r="E169" t="str">
        <f t="shared" si="2"/>
        <v>1213BR03PT</v>
      </c>
      <c r="F169">
        <f>VLOOKUP(B169,[1]Course!$A$2:$R$329,2,FALSE)</f>
        <v>0</v>
      </c>
      <c r="G169">
        <f>VLOOKUP(B169, [1]Course!$A$2:$L$950, 8, FALSE)</f>
        <v>12</v>
      </c>
      <c r="H169">
        <v>3</v>
      </c>
      <c r="I169">
        <v>1</v>
      </c>
      <c r="M169" t="str">
        <f>VLOOKUP(B169, [1]Course!$A$1:$O$933, 12, FALSE)</f>
        <v>BS</v>
      </c>
      <c r="N169" t="s">
        <v>14</v>
      </c>
      <c r="O169" t="str">
        <f>VLOOKUP(B169, [1]Course!$A$1:$O$933, 14, FALSE)</f>
        <v>BR</v>
      </c>
      <c r="P169">
        <v>1</v>
      </c>
    </row>
    <row r="170" spans="1:16" x14ac:dyDescent="0.25">
      <c r="A170">
        <v>169</v>
      </c>
      <c r="B170">
        <v>15</v>
      </c>
      <c r="C170">
        <v>14</v>
      </c>
      <c r="D170" t="s">
        <v>21</v>
      </c>
      <c r="E170" t="str">
        <f t="shared" si="2"/>
        <v>1214BR03PT</v>
      </c>
      <c r="F170">
        <f>VLOOKUP(B170,[1]Course!$A$2:$R$329,2,FALSE)</f>
        <v>0</v>
      </c>
      <c r="G170">
        <f>VLOOKUP(B170, [1]Course!$A$2:$L$950, 8, FALSE)</f>
        <v>12</v>
      </c>
      <c r="H170">
        <v>3</v>
      </c>
      <c r="I170">
        <v>1</v>
      </c>
      <c r="M170" t="str">
        <f>VLOOKUP(B170, [1]Course!$A$1:$O$933, 12, FALSE)</f>
        <v>BS</v>
      </c>
      <c r="N170" t="s">
        <v>14</v>
      </c>
      <c r="O170" t="str">
        <f>VLOOKUP(B170, [1]Course!$A$1:$O$933, 14, FALSE)</f>
        <v>BR</v>
      </c>
      <c r="P170">
        <v>1</v>
      </c>
    </row>
    <row r="171" spans="1:16" x14ac:dyDescent="0.25">
      <c r="A171">
        <v>170</v>
      </c>
      <c r="B171">
        <v>15</v>
      </c>
      <c r="C171">
        <v>15</v>
      </c>
      <c r="D171" t="s">
        <v>21</v>
      </c>
      <c r="E171" t="str">
        <f t="shared" si="2"/>
        <v>1215BR03PT</v>
      </c>
      <c r="F171">
        <f>VLOOKUP(B171,[1]Course!$A$2:$R$329,2,FALSE)</f>
        <v>0</v>
      </c>
      <c r="G171">
        <f>VLOOKUP(B171, [1]Course!$A$2:$L$950, 8, FALSE)</f>
        <v>12</v>
      </c>
      <c r="H171">
        <v>3</v>
      </c>
      <c r="I171">
        <v>1</v>
      </c>
      <c r="M171" t="str">
        <f>VLOOKUP(B171, [1]Course!$A$1:$O$933, 12, FALSE)</f>
        <v>BS</v>
      </c>
      <c r="N171" t="s">
        <v>14</v>
      </c>
      <c r="O171" t="str">
        <f>VLOOKUP(B171, [1]Course!$A$1:$O$933, 14, FALSE)</f>
        <v>BR</v>
      </c>
      <c r="P171">
        <v>1</v>
      </c>
    </row>
    <row r="172" spans="1:16" x14ac:dyDescent="0.25">
      <c r="A172">
        <v>171</v>
      </c>
      <c r="B172">
        <v>15</v>
      </c>
      <c r="C172">
        <v>16</v>
      </c>
      <c r="D172" t="s">
        <v>21</v>
      </c>
      <c r="E172" t="str">
        <f t="shared" si="2"/>
        <v>1216BR03PT</v>
      </c>
      <c r="F172">
        <f>VLOOKUP(B172,[1]Course!$A$2:$R$329,2,FALSE)</f>
        <v>0</v>
      </c>
      <c r="G172">
        <f>VLOOKUP(B172, [1]Course!$A$2:$L$950, 8, FALSE)</f>
        <v>12</v>
      </c>
      <c r="H172">
        <v>3</v>
      </c>
      <c r="I172">
        <v>1</v>
      </c>
      <c r="M172" t="str">
        <f>VLOOKUP(B172, [1]Course!$A$1:$O$933, 12, FALSE)</f>
        <v>BS</v>
      </c>
      <c r="N172" t="s">
        <v>14</v>
      </c>
      <c r="O172" t="str">
        <f>VLOOKUP(B172, [1]Course!$A$1:$O$933, 14, FALSE)</f>
        <v>BR</v>
      </c>
      <c r="P172">
        <v>1</v>
      </c>
    </row>
    <row r="173" spans="1:16" x14ac:dyDescent="0.25">
      <c r="A173">
        <v>172</v>
      </c>
      <c r="B173">
        <v>15</v>
      </c>
      <c r="C173">
        <v>17</v>
      </c>
      <c r="D173" t="s">
        <v>21</v>
      </c>
      <c r="E173" t="str">
        <f t="shared" si="2"/>
        <v>1217BR03PT</v>
      </c>
      <c r="F173">
        <f>VLOOKUP(B173,[1]Course!$A$2:$R$329,2,FALSE)</f>
        <v>0</v>
      </c>
      <c r="G173">
        <f>VLOOKUP(B173, [1]Course!$A$2:$L$950, 8, FALSE)</f>
        <v>12</v>
      </c>
      <c r="H173">
        <v>3</v>
      </c>
      <c r="I173">
        <v>1</v>
      </c>
      <c r="M173" t="str">
        <f>VLOOKUP(B173, [1]Course!$A$1:$O$933, 12, FALSE)</f>
        <v>BS</v>
      </c>
      <c r="N173" t="s">
        <v>14</v>
      </c>
      <c r="O173" t="str">
        <f>VLOOKUP(B173, [1]Course!$A$1:$O$933, 14, FALSE)</f>
        <v>BR</v>
      </c>
      <c r="P173">
        <v>1</v>
      </c>
    </row>
    <row r="174" spans="1:16" x14ac:dyDescent="0.25">
      <c r="A174">
        <v>173</v>
      </c>
      <c r="B174">
        <v>15</v>
      </c>
      <c r="C174">
        <v>18</v>
      </c>
      <c r="D174" t="s">
        <v>21</v>
      </c>
      <c r="E174" t="str">
        <f t="shared" si="2"/>
        <v>1218BR03PT</v>
      </c>
      <c r="F174">
        <f>VLOOKUP(B174,[1]Course!$A$2:$R$329,2,FALSE)</f>
        <v>0</v>
      </c>
      <c r="G174">
        <f>VLOOKUP(B174, [1]Course!$A$2:$L$950, 8, FALSE)</f>
        <v>12</v>
      </c>
      <c r="H174">
        <v>3</v>
      </c>
      <c r="I174">
        <v>1</v>
      </c>
      <c r="M174" t="str">
        <f>VLOOKUP(B174, [1]Course!$A$1:$O$933, 12, FALSE)</f>
        <v>BS</v>
      </c>
      <c r="N174" t="s">
        <v>14</v>
      </c>
      <c r="O174" t="str">
        <f>VLOOKUP(B174, [1]Course!$A$1:$O$933, 14, FALSE)</f>
        <v>BR</v>
      </c>
      <c r="P174">
        <v>1</v>
      </c>
    </row>
    <row r="175" spans="1:16" x14ac:dyDescent="0.25">
      <c r="A175">
        <v>174</v>
      </c>
      <c r="B175">
        <v>15</v>
      </c>
      <c r="C175">
        <v>19</v>
      </c>
      <c r="D175" t="s">
        <v>21</v>
      </c>
      <c r="E175" t="str">
        <f t="shared" si="2"/>
        <v>1219BR03PT</v>
      </c>
      <c r="F175">
        <f>VLOOKUP(B175,[1]Course!$A$2:$R$329,2,FALSE)</f>
        <v>0</v>
      </c>
      <c r="G175">
        <f>VLOOKUP(B175, [1]Course!$A$2:$L$950, 8, FALSE)</f>
        <v>12</v>
      </c>
      <c r="H175">
        <v>3</v>
      </c>
      <c r="I175">
        <v>1</v>
      </c>
      <c r="M175" t="str">
        <f>VLOOKUP(B175, [1]Course!$A$1:$O$933, 12, FALSE)</f>
        <v>BS</v>
      </c>
      <c r="N175" t="s">
        <v>14</v>
      </c>
      <c r="O175" t="str">
        <f>VLOOKUP(B175, [1]Course!$A$1:$O$933, 14, FALSE)</f>
        <v>BR</v>
      </c>
      <c r="P175">
        <v>1</v>
      </c>
    </row>
    <row r="176" spans="1:16" x14ac:dyDescent="0.25">
      <c r="A176">
        <v>175</v>
      </c>
      <c r="B176">
        <v>15</v>
      </c>
      <c r="C176">
        <v>20</v>
      </c>
      <c r="D176" t="s">
        <v>21</v>
      </c>
      <c r="E176" t="str">
        <f t="shared" si="2"/>
        <v>1220BR03PT</v>
      </c>
      <c r="F176">
        <f>VLOOKUP(B176,[1]Course!$A$2:$R$329,2,FALSE)</f>
        <v>0</v>
      </c>
      <c r="G176">
        <f>VLOOKUP(B176, [1]Course!$A$2:$L$950, 8, FALSE)</f>
        <v>12</v>
      </c>
      <c r="H176">
        <v>3</v>
      </c>
      <c r="I176">
        <v>1</v>
      </c>
      <c r="M176" t="str">
        <f>VLOOKUP(B176, [1]Course!$A$1:$O$933, 12, FALSE)</f>
        <v>BS</v>
      </c>
      <c r="N176" t="s">
        <v>14</v>
      </c>
      <c r="O176" t="str">
        <f>VLOOKUP(B176, [1]Course!$A$1:$O$933, 14, FALSE)</f>
        <v>BR</v>
      </c>
      <c r="P176">
        <v>1</v>
      </c>
    </row>
    <row r="177" spans="1:16" x14ac:dyDescent="0.25">
      <c r="A177">
        <v>176</v>
      </c>
      <c r="B177">
        <v>15</v>
      </c>
      <c r="C177">
        <v>21</v>
      </c>
      <c r="D177" t="s">
        <v>21</v>
      </c>
      <c r="E177" t="str">
        <f t="shared" si="2"/>
        <v>1221BR03PT</v>
      </c>
      <c r="F177">
        <f>VLOOKUP(B177,[1]Course!$A$2:$R$329,2,FALSE)</f>
        <v>0</v>
      </c>
      <c r="G177">
        <f>VLOOKUP(B177, [1]Course!$A$2:$L$950, 8, FALSE)</f>
        <v>12</v>
      </c>
      <c r="H177">
        <v>3</v>
      </c>
      <c r="I177">
        <v>1</v>
      </c>
      <c r="M177" t="str">
        <f>VLOOKUP(B177, [1]Course!$A$1:$O$933, 12, FALSE)</f>
        <v>BS</v>
      </c>
      <c r="N177" t="s">
        <v>14</v>
      </c>
      <c r="O177" t="str">
        <f>VLOOKUP(B177, [1]Course!$A$1:$O$933, 14, FALSE)</f>
        <v>BR</v>
      </c>
      <c r="P177">
        <v>1</v>
      </c>
    </row>
    <row r="178" spans="1:16" x14ac:dyDescent="0.25">
      <c r="A178">
        <v>177</v>
      </c>
      <c r="B178">
        <v>15</v>
      </c>
      <c r="C178">
        <v>22</v>
      </c>
      <c r="D178" t="s">
        <v>21</v>
      </c>
      <c r="E178" t="str">
        <f t="shared" si="2"/>
        <v>1222BR03PT</v>
      </c>
      <c r="F178">
        <f>VLOOKUP(B178,[1]Course!$A$2:$R$329,2,FALSE)</f>
        <v>0</v>
      </c>
      <c r="G178">
        <f>VLOOKUP(B178, [1]Course!$A$2:$L$950, 8, FALSE)</f>
        <v>12</v>
      </c>
      <c r="H178">
        <v>3</v>
      </c>
      <c r="I178">
        <v>1</v>
      </c>
      <c r="M178" t="str">
        <f>VLOOKUP(B178, [1]Course!$A$1:$O$933, 12, FALSE)</f>
        <v>BS</v>
      </c>
      <c r="N178" t="s">
        <v>14</v>
      </c>
      <c r="O178" t="str">
        <f>VLOOKUP(B178, [1]Course!$A$1:$O$933, 14, FALSE)</f>
        <v>BR</v>
      </c>
      <c r="P178">
        <v>1</v>
      </c>
    </row>
    <row r="179" spans="1:16" x14ac:dyDescent="0.25">
      <c r="A179">
        <v>178</v>
      </c>
      <c r="B179">
        <v>15</v>
      </c>
      <c r="C179">
        <v>23</v>
      </c>
      <c r="D179" t="s">
        <v>21</v>
      </c>
      <c r="E179" t="str">
        <f t="shared" si="2"/>
        <v>1223BR03PT</v>
      </c>
      <c r="F179">
        <f>VLOOKUP(B179,[1]Course!$A$2:$R$329,2,FALSE)</f>
        <v>0</v>
      </c>
      <c r="G179">
        <f>VLOOKUP(B179, [1]Course!$A$2:$L$950, 8, FALSE)</f>
        <v>12</v>
      </c>
      <c r="H179">
        <v>3</v>
      </c>
      <c r="I179">
        <v>1</v>
      </c>
      <c r="M179" t="str">
        <f>VLOOKUP(B179, [1]Course!$A$1:$O$933, 12, FALSE)</f>
        <v>BS</v>
      </c>
      <c r="N179" t="s">
        <v>14</v>
      </c>
      <c r="O179" t="str">
        <f>VLOOKUP(B179, [1]Course!$A$1:$O$933, 14, FALSE)</f>
        <v>BR</v>
      </c>
      <c r="P179">
        <v>1</v>
      </c>
    </row>
    <row r="180" spans="1:16" x14ac:dyDescent="0.25">
      <c r="A180">
        <v>179</v>
      </c>
      <c r="B180">
        <v>15</v>
      </c>
      <c r="C180">
        <v>24</v>
      </c>
      <c r="D180" t="s">
        <v>21</v>
      </c>
      <c r="E180" t="str">
        <f t="shared" si="2"/>
        <v>1224BR03PT</v>
      </c>
      <c r="F180">
        <f>VLOOKUP(B180,[1]Course!$A$2:$R$329,2,FALSE)</f>
        <v>0</v>
      </c>
      <c r="G180">
        <f>VLOOKUP(B180, [1]Course!$A$2:$L$950, 8, FALSE)</f>
        <v>12</v>
      </c>
      <c r="H180">
        <v>3</v>
      </c>
      <c r="I180">
        <v>1</v>
      </c>
      <c r="M180" t="str">
        <f>VLOOKUP(B180, [1]Course!$A$1:$O$933, 12, FALSE)</f>
        <v>BS</v>
      </c>
      <c r="N180" t="s">
        <v>14</v>
      </c>
      <c r="O180" t="str">
        <f>VLOOKUP(B180, [1]Course!$A$1:$O$933, 14, FALSE)</f>
        <v>BR</v>
      </c>
      <c r="P180">
        <v>1</v>
      </c>
    </row>
    <row r="181" spans="1:16" x14ac:dyDescent="0.25">
      <c r="A181">
        <v>180</v>
      </c>
      <c r="B181">
        <v>16</v>
      </c>
      <c r="C181">
        <v>25</v>
      </c>
      <c r="D181" t="s">
        <v>15</v>
      </c>
      <c r="E181" t="str">
        <f t="shared" si="2"/>
        <v>1225MA03PT</v>
      </c>
      <c r="F181">
        <f>VLOOKUP(B181,[1]Course!$A$2:$R$329,2,FALSE)</f>
        <v>0</v>
      </c>
      <c r="G181">
        <f>VLOOKUP(B181, [1]Course!$A$2:$L$950, 8, FALSE)</f>
        <v>12</v>
      </c>
      <c r="H181">
        <v>3</v>
      </c>
      <c r="I181">
        <v>1</v>
      </c>
      <c r="M181" t="str">
        <f>VLOOKUP(B181, [1]Course!$A$1:$O$933, 12, FALSE)</f>
        <v>MA</v>
      </c>
      <c r="N181" t="s">
        <v>14</v>
      </c>
      <c r="O181" t="str">
        <f>VLOOKUP(B181, [1]Course!$A$1:$O$933, 14, FALSE)</f>
        <v>MA</v>
      </c>
      <c r="P181">
        <v>1</v>
      </c>
    </row>
    <row r="182" spans="1:16" x14ac:dyDescent="0.25">
      <c r="A182">
        <v>181</v>
      </c>
      <c r="B182">
        <v>16</v>
      </c>
      <c r="C182">
        <v>26</v>
      </c>
      <c r="D182" t="s">
        <v>15</v>
      </c>
      <c r="E182" t="str">
        <f t="shared" si="2"/>
        <v>1226MA03PT</v>
      </c>
      <c r="F182">
        <f>VLOOKUP(B182,[1]Course!$A$2:$R$329,2,FALSE)</f>
        <v>0</v>
      </c>
      <c r="G182">
        <f>VLOOKUP(B182, [1]Course!$A$2:$L$950, 8, FALSE)</f>
        <v>12</v>
      </c>
      <c r="H182">
        <v>3</v>
      </c>
      <c r="I182">
        <v>1</v>
      </c>
      <c r="M182" t="str">
        <f>VLOOKUP(B182, [1]Course!$A$1:$O$933, 12, FALSE)</f>
        <v>MA</v>
      </c>
      <c r="N182" t="s">
        <v>14</v>
      </c>
      <c r="O182" t="str">
        <f>VLOOKUP(B182, [1]Course!$A$1:$O$933, 14, FALSE)</f>
        <v>MA</v>
      </c>
      <c r="P182">
        <v>1</v>
      </c>
    </row>
    <row r="183" spans="1:16" x14ac:dyDescent="0.25">
      <c r="A183">
        <v>182</v>
      </c>
      <c r="B183">
        <v>16</v>
      </c>
      <c r="C183">
        <v>27</v>
      </c>
      <c r="D183" t="s">
        <v>15</v>
      </c>
      <c r="E183" t="str">
        <f t="shared" si="2"/>
        <v>1227MA03PT</v>
      </c>
      <c r="F183">
        <f>VLOOKUP(B183,[1]Course!$A$2:$R$329,2,FALSE)</f>
        <v>0</v>
      </c>
      <c r="G183">
        <f>VLOOKUP(B183, [1]Course!$A$2:$L$950, 8, FALSE)</f>
        <v>12</v>
      </c>
      <c r="H183">
        <v>3</v>
      </c>
      <c r="I183">
        <v>1</v>
      </c>
      <c r="M183" t="str">
        <f>VLOOKUP(B183, [1]Course!$A$1:$O$933, 12, FALSE)</f>
        <v>MA</v>
      </c>
      <c r="N183" t="s">
        <v>14</v>
      </c>
      <c r="O183" t="str">
        <f>VLOOKUP(B183, [1]Course!$A$1:$O$933, 14, FALSE)</f>
        <v>MA</v>
      </c>
      <c r="P183">
        <v>1</v>
      </c>
    </row>
    <row r="184" spans="1:16" x14ac:dyDescent="0.25">
      <c r="A184">
        <v>183</v>
      </c>
      <c r="B184">
        <v>16</v>
      </c>
      <c r="C184">
        <v>28</v>
      </c>
      <c r="D184" t="s">
        <v>15</v>
      </c>
      <c r="E184" t="str">
        <f t="shared" si="2"/>
        <v>1228MA03PT</v>
      </c>
      <c r="F184">
        <f>VLOOKUP(B184,[1]Course!$A$2:$R$329,2,FALSE)</f>
        <v>0</v>
      </c>
      <c r="G184">
        <f>VLOOKUP(B184, [1]Course!$A$2:$L$950, 8, FALSE)</f>
        <v>12</v>
      </c>
      <c r="H184">
        <v>3</v>
      </c>
      <c r="I184">
        <v>1</v>
      </c>
      <c r="M184" t="str">
        <f>VLOOKUP(B184, [1]Course!$A$1:$O$933, 12, FALSE)</f>
        <v>MA</v>
      </c>
      <c r="N184" t="s">
        <v>14</v>
      </c>
      <c r="O184" t="str">
        <f>VLOOKUP(B184, [1]Course!$A$1:$O$933, 14, FALSE)</f>
        <v>MA</v>
      </c>
      <c r="P184">
        <v>1</v>
      </c>
    </row>
    <row r="185" spans="1:16" x14ac:dyDescent="0.25">
      <c r="A185">
        <v>184</v>
      </c>
      <c r="B185">
        <v>16</v>
      </c>
      <c r="C185">
        <v>29</v>
      </c>
      <c r="D185" t="s">
        <v>15</v>
      </c>
      <c r="E185" t="str">
        <f t="shared" si="2"/>
        <v>1229MA03PT</v>
      </c>
      <c r="F185">
        <f>VLOOKUP(B185,[1]Course!$A$2:$R$329,2,FALSE)</f>
        <v>0</v>
      </c>
      <c r="G185">
        <f>VLOOKUP(B185, [1]Course!$A$2:$L$950, 8, FALSE)</f>
        <v>12</v>
      </c>
      <c r="H185">
        <v>3</v>
      </c>
      <c r="I185">
        <v>1</v>
      </c>
      <c r="M185" t="str">
        <f>VLOOKUP(B185, [1]Course!$A$1:$O$933, 12, FALSE)</f>
        <v>MA</v>
      </c>
      <c r="N185" t="s">
        <v>14</v>
      </c>
      <c r="O185" t="str">
        <f>VLOOKUP(B185, [1]Course!$A$1:$O$933, 14, FALSE)</f>
        <v>MA</v>
      </c>
      <c r="P185">
        <v>1</v>
      </c>
    </row>
    <row r="186" spans="1:16" x14ac:dyDescent="0.25">
      <c r="A186">
        <v>185</v>
      </c>
      <c r="B186">
        <v>16</v>
      </c>
      <c r="C186">
        <v>30</v>
      </c>
      <c r="D186" t="s">
        <v>15</v>
      </c>
      <c r="E186" t="str">
        <f t="shared" si="2"/>
        <v>1230MA03PT</v>
      </c>
      <c r="F186">
        <f>VLOOKUP(B186,[1]Course!$A$2:$R$329,2,FALSE)</f>
        <v>0</v>
      </c>
      <c r="G186">
        <f>VLOOKUP(B186, [1]Course!$A$2:$L$950, 8, FALSE)</f>
        <v>12</v>
      </c>
      <c r="H186">
        <v>3</v>
      </c>
      <c r="I186">
        <v>1</v>
      </c>
      <c r="M186" t="str">
        <f>VLOOKUP(B186, [1]Course!$A$1:$O$933, 12, FALSE)</f>
        <v>MA</v>
      </c>
      <c r="N186" t="s">
        <v>14</v>
      </c>
      <c r="O186" t="str">
        <f>VLOOKUP(B186, [1]Course!$A$1:$O$933, 14, FALSE)</f>
        <v>MA</v>
      </c>
      <c r="P186">
        <v>1</v>
      </c>
    </row>
    <row r="187" spans="1:16" x14ac:dyDescent="0.25">
      <c r="A187">
        <v>186</v>
      </c>
      <c r="B187">
        <v>16</v>
      </c>
      <c r="C187">
        <v>31</v>
      </c>
      <c r="D187" t="s">
        <v>15</v>
      </c>
      <c r="E187" t="str">
        <f t="shared" si="2"/>
        <v>1231MA03PT</v>
      </c>
      <c r="F187">
        <f>VLOOKUP(B187,[1]Course!$A$2:$R$329,2,FALSE)</f>
        <v>0</v>
      </c>
      <c r="G187">
        <f>VLOOKUP(B187, [1]Course!$A$2:$L$950, 8, FALSE)</f>
        <v>12</v>
      </c>
      <c r="H187">
        <v>3</v>
      </c>
      <c r="I187">
        <v>1</v>
      </c>
      <c r="M187" t="str">
        <f>VLOOKUP(B187, [1]Course!$A$1:$O$933, 12, FALSE)</f>
        <v>MA</v>
      </c>
      <c r="N187" t="s">
        <v>14</v>
      </c>
      <c r="O187" t="str">
        <f>VLOOKUP(B187, [1]Course!$A$1:$O$933, 14, FALSE)</f>
        <v>MA</v>
      </c>
      <c r="P187">
        <v>1</v>
      </c>
    </row>
    <row r="188" spans="1:16" x14ac:dyDescent="0.25">
      <c r="A188">
        <v>187</v>
      </c>
      <c r="B188">
        <v>16</v>
      </c>
      <c r="C188">
        <v>32</v>
      </c>
      <c r="D188" t="s">
        <v>15</v>
      </c>
      <c r="E188" t="str">
        <f t="shared" si="2"/>
        <v>1232MA03PT</v>
      </c>
      <c r="F188">
        <f>VLOOKUP(B188,[1]Course!$A$2:$R$329,2,FALSE)</f>
        <v>0</v>
      </c>
      <c r="G188">
        <f>VLOOKUP(B188, [1]Course!$A$2:$L$950, 8, FALSE)</f>
        <v>12</v>
      </c>
      <c r="H188">
        <v>3</v>
      </c>
      <c r="I188">
        <v>1</v>
      </c>
      <c r="M188" t="str">
        <f>VLOOKUP(B188, [1]Course!$A$1:$O$933, 12, FALSE)</f>
        <v>MA</v>
      </c>
      <c r="N188" t="s">
        <v>14</v>
      </c>
      <c r="O188" t="str">
        <f>VLOOKUP(B188, [1]Course!$A$1:$O$933, 14, FALSE)</f>
        <v>MA</v>
      </c>
      <c r="P188">
        <v>1</v>
      </c>
    </row>
    <row r="189" spans="1:16" x14ac:dyDescent="0.25">
      <c r="A189">
        <v>188</v>
      </c>
      <c r="B189">
        <v>16</v>
      </c>
      <c r="C189">
        <v>33</v>
      </c>
      <c r="D189" t="s">
        <v>15</v>
      </c>
      <c r="E189" t="str">
        <f t="shared" si="2"/>
        <v>1233MA03PT</v>
      </c>
      <c r="F189">
        <f>VLOOKUP(B189,[1]Course!$A$2:$R$329,2,FALSE)</f>
        <v>0</v>
      </c>
      <c r="G189">
        <f>VLOOKUP(B189, [1]Course!$A$2:$L$950, 8, FALSE)</f>
        <v>12</v>
      </c>
      <c r="H189">
        <v>3</v>
      </c>
      <c r="I189">
        <v>1</v>
      </c>
      <c r="M189" t="str">
        <f>VLOOKUP(B189, [1]Course!$A$1:$O$933, 12, FALSE)</f>
        <v>MA</v>
      </c>
      <c r="N189" t="s">
        <v>14</v>
      </c>
      <c r="O189" t="str">
        <f>VLOOKUP(B189, [1]Course!$A$1:$O$933, 14, FALSE)</f>
        <v>MA</v>
      </c>
      <c r="P189">
        <v>1</v>
      </c>
    </row>
    <row r="190" spans="1:16" x14ac:dyDescent="0.25">
      <c r="A190">
        <v>189</v>
      </c>
      <c r="B190">
        <v>16</v>
      </c>
      <c r="C190">
        <v>34</v>
      </c>
      <c r="D190" t="s">
        <v>15</v>
      </c>
      <c r="E190" t="str">
        <f t="shared" si="2"/>
        <v>1234MA03PT</v>
      </c>
      <c r="F190">
        <f>VLOOKUP(B190,[1]Course!$A$2:$R$329,2,FALSE)</f>
        <v>0</v>
      </c>
      <c r="G190">
        <f>VLOOKUP(B190, [1]Course!$A$2:$L$950, 8, FALSE)</f>
        <v>12</v>
      </c>
      <c r="H190">
        <v>3</v>
      </c>
      <c r="I190">
        <v>1</v>
      </c>
      <c r="M190" t="str">
        <f>VLOOKUP(B190, [1]Course!$A$1:$O$933, 12, FALSE)</f>
        <v>MA</v>
      </c>
      <c r="N190" t="s">
        <v>14</v>
      </c>
      <c r="O190" t="str">
        <f>VLOOKUP(B190, [1]Course!$A$1:$O$933, 14, FALSE)</f>
        <v>MA</v>
      </c>
      <c r="P190">
        <v>1</v>
      </c>
    </row>
    <row r="191" spans="1:16" x14ac:dyDescent="0.25">
      <c r="A191">
        <v>190</v>
      </c>
      <c r="B191">
        <v>16</v>
      </c>
      <c r="C191">
        <v>35</v>
      </c>
      <c r="D191" t="s">
        <v>15</v>
      </c>
      <c r="E191" t="str">
        <f t="shared" si="2"/>
        <v>1235MA03PT</v>
      </c>
      <c r="F191">
        <f>VLOOKUP(B191,[1]Course!$A$2:$R$329,2,FALSE)</f>
        <v>0</v>
      </c>
      <c r="G191">
        <f>VLOOKUP(B191, [1]Course!$A$2:$L$950, 8, FALSE)</f>
        <v>12</v>
      </c>
      <c r="H191">
        <v>3</v>
      </c>
      <c r="I191">
        <v>1</v>
      </c>
      <c r="M191" t="str">
        <f>VLOOKUP(B191, [1]Course!$A$1:$O$933, 12, FALSE)</f>
        <v>MA</v>
      </c>
      <c r="N191" t="s">
        <v>14</v>
      </c>
      <c r="O191" t="str">
        <f>VLOOKUP(B191, [1]Course!$A$1:$O$933, 14, FALSE)</f>
        <v>MA</v>
      </c>
      <c r="P191">
        <v>1</v>
      </c>
    </row>
    <row r="192" spans="1:16" x14ac:dyDescent="0.25">
      <c r="A192">
        <v>191</v>
      </c>
      <c r="B192">
        <v>16</v>
      </c>
      <c r="C192">
        <v>36</v>
      </c>
      <c r="D192" t="s">
        <v>15</v>
      </c>
      <c r="E192" t="str">
        <f t="shared" si="2"/>
        <v>1236MA03PT</v>
      </c>
      <c r="F192">
        <f>VLOOKUP(B192,[1]Course!$A$2:$R$329,2,FALSE)</f>
        <v>0</v>
      </c>
      <c r="G192">
        <f>VLOOKUP(B192, [1]Course!$A$2:$L$950, 8, FALSE)</f>
        <v>12</v>
      </c>
      <c r="H192">
        <v>3</v>
      </c>
      <c r="I192">
        <v>1</v>
      </c>
      <c r="M192" t="str">
        <f>VLOOKUP(B192, [1]Course!$A$1:$O$933, 12, FALSE)</f>
        <v>MA</v>
      </c>
      <c r="N192" t="s">
        <v>14</v>
      </c>
      <c r="O192" t="str">
        <f>VLOOKUP(B192, [1]Course!$A$1:$O$933, 14, FALSE)</f>
        <v>MA</v>
      </c>
      <c r="P192">
        <v>1</v>
      </c>
    </row>
    <row r="193" spans="1:16" x14ac:dyDescent="0.25">
      <c r="A193">
        <v>192</v>
      </c>
      <c r="B193">
        <v>17</v>
      </c>
      <c r="C193">
        <v>25</v>
      </c>
      <c r="D193" t="s">
        <v>16</v>
      </c>
      <c r="E193" t="str">
        <f t="shared" si="2"/>
        <v>1225EN03PT</v>
      </c>
      <c r="F193">
        <f>VLOOKUP(B193,[1]Course!$A$2:$R$329,2,FALSE)</f>
        <v>0</v>
      </c>
      <c r="G193">
        <f>VLOOKUP(B193, [1]Course!$A$2:$L$950, 8, FALSE)</f>
        <v>12</v>
      </c>
      <c r="H193">
        <v>3</v>
      </c>
      <c r="I193">
        <v>1</v>
      </c>
      <c r="M193" t="str">
        <f>VLOOKUP(B193, [1]Course!$A$1:$O$933, 12, FALSE)</f>
        <v>LA</v>
      </c>
      <c r="N193" t="s">
        <v>14</v>
      </c>
      <c r="O193" t="str">
        <f>VLOOKUP(B193, [1]Course!$A$1:$O$933, 14, FALSE)</f>
        <v>EN</v>
      </c>
      <c r="P193">
        <v>1</v>
      </c>
    </row>
    <row r="194" spans="1:16" x14ac:dyDescent="0.25">
      <c r="A194">
        <v>193</v>
      </c>
      <c r="B194">
        <v>17</v>
      </c>
      <c r="C194">
        <v>26</v>
      </c>
      <c r="D194" t="s">
        <v>16</v>
      </c>
      <c r="E194" t="str">
        <f t="shared" si="2"/>
        <v>1226EN03PT</v>
      </c>
      <c r="F194">
        <f>VLOOKUP(B194,[1]Course!$A$2:$R$329,2,FALSE)</f>
        <v>0</v>
      </c>
      <c r="G194">
        <f>VLOOKUP(B194, [1]Course!$A$2:$L$950, 8, FALSE)</f>
        <v>12</v>
      </c>
      <c r="H194">
        <v>3</v>
      </c>
      <c r="I194">
        <v>1</v>
      </c>
      <c r="M194" t="str">
        <f>VLOOKUP(B194, [1]Course!$A$1:$O$933, 12, FALSE)</f>
        <v>LA</v>
      </c>
      <c r="N194" t="s">
        <v>14</v>
      </c>
      <c r="O194" t="str">
        <f>VLOOKUP(B194, [1]Course!$A$1:$O$933, 14, FALSE)</f>
        <v>EN</v>
      </c>
      <c r="P194">
        <v>1</v>
      </c>
    </row>
    <row r="195" spans="1:16" x14ac:dyDescent="0.25">
      <c r="A195">
        <v>194</v>
      </c>
      <c r="B195">
        <v>17</v>
      </c>
      <c r="C195">
        <v>27</v>
      </c>
      <c r="D195" t="s">
        <v>16</v>
      </c>
      <c r="E195" t="str">
        <f t="shared" ref="E195:E258" si="3">UPPER(LEFT(G195,2)) &amp; RIGHT("0" &amp; C195, 2) &amp; D195 &amp; RIGHT("0" &amp; H195, 2) &amp; N195</f>
        <v>1227EN03PT</v>
      </c>
      <c r="F195">
        <f>VLOOKUP(B195,[1]Course!$A$2:$R$329,2,FALSE)</f>
        <v>0</v>
      </c>
      <c r="G195">
        <f>VLOOKUP(B195, [1]Course!$A$2:$L$950, 8, FALSE)</f>
        <v>12</v>
      </c>
      <c r="H195">
        <v>3</v>
      </c>
      <c r="I195">
        <v>1</v>
      </c>
      <c r="M195" t="str">
        <f>VLOOKUP(B195, [1]Course!$A$1:$O$933, 12, FALSE)</f>
        <v>LA</v>
      </c>
      <c r="N195" t="s">
        <v>14</v>
      </c>
      <c r="O195" t="str">
        <f>VLOOKUP(B195, [1]Course!$A$1:$O$933, 14, FALSE)</f>
        <v>EN</v>
      </c>
      <c r="P195">
        <v>1</v>
      </c>
    </row>
    <row r="196" spans="1:16" x14ac:dyDescent="0.25">
      <c r="A196">
        <v>195</v>
      </c>
      <c r="B196">
        <v>17</v>
      </c>
      <c r="C196">
        <v>28</v>
      </c>
      <c r="D196" t="s">
        <v>16</v>
      </c>
      <c r="E196" t="str">
        <f t="shared" si="3"/>
        <v>1228EN03PT</v>
      </c>
      <c r="F196">
        <f>VLOOKUP(B196,[1]Course!$A$2:$R$329,2,FALSE)</f>
        <v>0</v>
      </c>
      <c r="G196">
        <f>VLOOKUP(B196, [1]Course!$A$2:$L$950, 8, FALSE)</f>
        <v>12</v>
      </c>
      <c r="H196">
        <v>3</v>
      </c>
      <c r="I196">
        <v>1</v>
      </c>
      <c r="M196" t="str">
        <f>VLOOKUP(B196, [1]Course!$A$1:$O$933, 12, FALSE)</f>
        <v>LA</v>
      </c>
      <c r="N196" t="s">
        <v>14</v>
      </c>
      <c r="O196" t="str">
        <f>VLOOKUP(B196, [1]Course!$A$1:$O$933, 14, FALSE)</f>
        <v>EN</v>
      </c>
      <c r="P196">
        <v>1</v>
      </c>
    </row>
    <row r="197" spans="1:16" x14ac:dyDescent="0.25">
      <c r="A197">
        <v>196</v>
      </c>
      <c r="B197">
        <v>17</v>
      </c>
      <c r="C197">
        <v>29</v>
      </c>
      <c r="D197" t="s">
        <v>16</v>
      </c>
      <c r="E197" t="str">
        <f t="shared" si="3"/>
        <v>1229EN03PT</v>
      </c>
      <c r="F197">
        <f>VLOOKUP(B197,[1]Course!$A$2:$R$329,2,FALSE)</f>
        <v>0</v>
      </c>
      <c r="G197">
        <f>VLOOKUP(B197, [1]Course!$A$2:$L$950, 8, FALSE)</f>
        <v>12</v>
      </c>
      <c r="H197">
        <v>3</v>
      </c>
      <c r="I197">
        <v>1</v>
      </c>
      <c r="M197" t="str">
        <f>VLOOKUP(B197, [1]Course!$A$1:$O$933, 12, FALSE)</f>
        <v>LA</v>
      </c>
      <c r="N197" t="s">
        <v>14</v>
      </c>
      <c r="O197" t="str">
        <f>VLOOKUP(B197, [1]Course!$A$1:$O$933, 14, FALSE)</f>
        <v>EN</v>
      </c>
      <c r="P197">
        <v>1</v>
      </c>
    </row>
    <row r="198" spans="1:16" x14ac:dyDescent="0.25">
      <c r="A198">
        <v>197</v>
      </c>
      <c r="B198">
        <v>17</v>
      </c>
      <c r="C198">
        <v>30</v>
      </c>
      <c r="D198" t="s">
        <v>16</v>
      </c>
      <c r="E198" t="str">
        <f t="shared" si="3"/>
        <v>1230EN03PT</v>
      </c>
      <c r="F198">
        <f>VLOOKUP(B198,[1]Course!$A$2:$R$329,2,FALSE)</f>
        <v>0</v>
      </c>
      <c r="G198">
        <f>VLOOKUP(B198, [1]Course!$A$2:$L$950, 8, FALSE)</f>
        <v>12</v>
      </c>
      <c r="H198">
        <v>3</v>
      </c>
      <c r="I198">
        <v>1</v>
      </c>
      <c r="M198" t="str">
        <f>VLOOKUP(B198, [1]Course!$A$1:$O$933, 12, FALSE)</f>
        <v>LA</v>
      </c>
      <c r="N198" t="s">
        <v>14</v>
      </c>
      <c r="O198" t="str">
        <f>VLOOKUP(B198, [1]Course!$A$1:$O$933, 14, FALSE)</f>
        <v>EN</v>
      </c>
      <c r="P198">
        <v>1</v>
      </c>
    </row>
    <row r="199" spans="1:16" x14ac:dyDescent="0.25">
      <c r="A199">
        <v>198</v>
      </c>
      <c r="B199">
        <v>17</v>
      </c>
      <c r="C199">
        <v>31</v>
      </c>
      <c r="D199" t="s">
        <v>16</v>
      </c>
      <c r="E199" t="str">
        <f t="shared" si="3"/>
        <v>1231EN03PT</v>
      </c>
      <c r="F199">
        <f>VLOOKUP(B199,[1]Course!$A$2:$R$329,2,FALSE)</f>
        <v>0</v>
      </c>
      <c r="G199">
        <f>VLOOKUP(B199, [1]Course!$A$2:$L$950, 8, FALSE)</f>
        <v>12</v>
      </c>
      <c r="H199">
        <v>3</v>
      </c>
      <c r="I199">
        <v>1</v>
      </c>
      <c r="M199" t="str">
        <f>VLOOKUP(B199, [1]Course!$A$1:$O$933, 12, FALSE)</f>
        <v>LA</v>
      </c>
      <c r="N199" t="s">
        <v>14</v>
      </c>
      <c r="O199" t="str">
        <f>VLOOKUP(B199, [1]Course!$A$1:$O$933, 14, FALSE)</f>
        <v>EN</v>
      </c>
      <c r="P199">
        <v>1</v>
      </c>
    </row>
    <row r="200" spans="1:16" x14ac:dyDescent="0.25">
      <c r="A200">
        <v>199</v>
      </c>
      <c r="B200">
        <v>17</v>
      </c>
      <c r="C200">
        <v>32</v>
      </c>
      <c r="D200" t="s">
        <v>16</v>
      </c>
      <c r="E200" t="str">
        <f t="shared" si="3"/>
        <v>1232EN03PT</v>
      </c>
      <c r="F200">
        <f>VLOOKUP(B200,[1]Course!$A$2:$R$329,2,FALSE)</f>
        <v>0</v>
      </c>
      <c r="G200">
        <f>VLOOKUP(B200, [1]Course!$A$2:$L$950, 8, FALSE)</f>
        <v>12</v>
      </c>
      <c r="H200">
        <v>3</v>
      </c>
      <c r="I200">
        <v>1</v>
      </c>
      <c r="M200" t="str">
        <f>VLOOKUP(B200, [1]Course!$A$1:$O$933, 12, FALSE)</f>
        <v>LA</v>
      </c>
      <c r="N200" t="s">
        <v>14</v>
      </c>
      <c r="O200" t="str">
        <f>VLOOKUP(B200, [1]Course!$A$1:$O$933, 14, FALSE)</f>
        <v>EN</v>
      </c>
      <c r="P200">
        <v>1</v>
      </c>
    </row>
    <row r="201" spans="1:16" x14ac:dyDescent="0.25">
      <c r="A201">
        <v>200</v>
      </c>
      <c r="B201">
        <v>17</v>
      </c>
      <c r="C201">
        <v>33</v>
      </c>
      <c r="D201" t="s">
        <v>16</v>
      </c>
      <c r="E201" t="str">
        <f t="shared" si="3"/>
        <v>1233EN03PT</v>
      </c>
      <c r="F201">
        <f>VLOOKUP(B201,[1]Course!$A$2:$R$329,2,FALSE)</f>
        <v>0</v>
      </c>
      <c r="G201">
        <f>VLOOKUP(B201, [1]Course!$A$2:$L$950, 8, FALSE)</f>
        <v>12</v>
      </c>
      <c r="H201">
        <v>3</v>
      </c>
      <c r="I201">
        <v>1</v>
      </c>
      <c r="M201" t="str">
        <f>VLOOKUP(B201, [1]Course!$A$1:$O$933, 12, FALSE)</f>
        <v>LA</v>
      </c>
      <c r="N201" t="s">
        <v>14</v>
      </c>
      <c r="O201" t="str">
        <f>VLOOKUP(B201, [1]Course!$A$1:$O$933, 14, FALSE)</f>
        <v>EN</v>
      </c>
      <c r="P201">
        <v>1</v>
      </c>
    </row>
    <row r="202" spans="1:16" x14ac:dyDescent="0.25">
      <c r="A202">
        <v>201</v>
      </c>
      <c r="B202">
        <v>17</v>
      </c>
      <c r="C202">
        <v>34</v>
      </c>
      <c r="D202" t="s">
        <v>16</v>
      </c>
      <c r="E202" t="str">
        <f t="shared" si="3"/>
        <v>1234EN03PT</v>
      </c>
      <c r="F202">
        <f>VLOOKUP(B202,[1]Course!$A$2:$R$329,2,FALSE)</f>
        <v>0</v>
      </c>
      <c r="G202">
        <f>VLOOKUP(B202, [1]Course!$A$2:$L$950, 8, FALSE)</f>
        <v>12</v>
      </c>
      <c r="H202">
        <v>3</v>
      </c>
      <c r="I202">
        <v>1</v>
      </c>
      <c r="M202" t="str">
        <f>VLOOKUP(B202, [1]Course!$A$1:$O$933, 12, FALSE)</f>
        <v>LA</v>
      </c>
      <c r="N202" t="s">
        <v>14</v>
      </c>
      <c r="O202" t="str">
        <f>VLOOKUP(B202, [1]Course!$A$1:$O$933, 14, FALSE)</f>
        <v>EN</v>
      </c>
      <c r="P202">
        <v>1</v>
      </c>
    </row>
    <row r="203" spans="1:16" x14ac:dyDescent="0.25">
      <c r="A203">
        <v>202</v>
      </c>
      <c r="B203">
        <v>17</v>
      </c>
      <c r="C203">
        <v>35</v>
      </c>
      <c r="D203" t="s">
        <v>16</v>
      </c>
      <c r="E203" t="str">
        <f t="shared" si="3"/>
        <v>1235EN03PT</v>
      </c>
      <c r="F203">
        <f>VLOOKUP(B203,[1]Course!$A$2:$R$329,2,FALSE)</f>
        <v>0</v>
      </c>
      <c r="G203">
        <f>VLOOKUP(B203, [1]Course!$A$2:$L$950, 8, FALSE)</f>
        <v>12</v>
      </c>
      <c r="H203">
        <v>3</v>
      </c>
      <c r="I203">
        <v>1</v>
      </c>
      <c r="M203" t="str">
        <f>VLOOKUP(B203, [1]Course!$A$1:$O$933, 12, FALSE)</f>
        <v>LA</v>
      </c>
      <c r="N203" t="s">
        <v>14</v>
      </c>
      <c r="O203" t="str">
        <f>VLOOKUP(B203, [1]Course!$A$1:$O$933, 14, FALSE)</f>
        <v>EN</v>
      </c>
      <c r="P203">
        <v>1</v>
      </c>
    </row>
    <row r="204" spans="1:16" x14ac:dyDescent="0.25">
      <c r="A204">
        <v>203</v>
      </c>
      <c r="B204">
        <v>17</v>
      </c>
      <c r="C204">
        <v>36</v>
      </c>
      <c r="D204" t="s">
        <v>16</v>
      </c>
      <c r="E204" t="str">
        <f t="shared" si="3"/>
        <v>1236EN03PT</v>
      </c>
      <c r="F204">
        <f>VLOOKUP(B204,[1]Course!$A$2:$R$329,2,FALSE)</f>
        <v>0</v>
      </c>
      <c r="G204">
        <f>VLOOKUP(B204, [1]Course!$A$2:$L$950, 8, FALSE)</f>
        <v>12</v>
      </c>
      <c r="H204">
        <v>3</v>
      </c>
      <c r="I204">
        <v>1</v>
      </c>
      <c r="M204" t="str">
        <f>VLOOKUP(B204, [1]Course!$A$1:$O$933, 12, FALSE)</f>
        <v>LA</v>
      </c>
      <c r="N204" t="s">
        <v>14</v>
      </c>
      <c r="O204" t="str">
        <f>VLOOKUP(B204, [1]Course!$A$1:$O$933, 14, FALSE)</f>
        <v>EN</v>
      </c>
      <c r="P204">
        <v>1</v>
      </c>
    </row>
    <row r="205" spans="1:16" x14ac:dyDescent="0.25">
      <c r="A205">
        <v>204</v>
      </c>
      <c r="B205">
        <v>18</v>
      </c>
      <c r="C205">
        <v>25</v>
      </c>
      <c r="D205" t="s">
        <v>17</v>
      </c>
      <c r="E205" t="str">
        <f t="shared" si="3"/>
        <v>1225WB03PT</v>
      </c>
      <c r="F205">
        <f>VLOOKUP(B205,[1]Course!$A$2:$R$329,2,FALSE)</f>
        <v>0</v>
      </c>
      <c r="G205">
        <f>VLOOKUP(B205, [1]Course!$A$2:$L$950, 8, FALSE)</f>
        <v>12</v>
      </c>
      <c r="H205">
        <v>3</v>
      </c>
      <c r="I205">
        <v>1</v>
      </c>
      <c r="M205" t="str">
        <f>VLOOKUP(B205, [1]Course!$A$1:$O$933, 12, FALSE)</f>
        <v>WB</v>
      </c>
      <c r="N205" t="s">
        <v>14</v>
      </c>
      <c r="O205" t="str">
        <f>VLOOKUP(B205, [1]Course!$A$1:$O$933, 14, FALSE)</f>
        <v>WB</v>
      </c>
      <c r="P205">
        <v>1</v>
      </c>
    </row>
    <row r="206" spans="1:16" x14ac:dyDescent="0.25">
      <c r="A206">
        <v>205</v>
      </c>
      <c r="B206">
        <v>18</v>
      </c>
      <c r="C206">
        <v>26</v>
      </c>
      <c r="D206" t="s">
        <v>17</v>
      </c>
      <c r="E206" t="str">
        <f t="shared" si="3"/>
        <v>1226WB03PT</v>
      </c>
      <c r="F206">
        <f>VLOOKUP(B206,[1]Course!$A$2:$R$329,2,FALSE)</f>
        <v>0</v>
      </c>
      <c r="G206">
        <f>VLOOKUP(B206, [1]Course!$A$2:$L$950, 8, FALSE)</f>
        <v>12</v>
      </c>
      <c r="H206">
        <v>3</v>
      </c>
      <c r="I206">
        <v>1</v>
      </c>
      <c r="M206" t="str">
        <f>VLOOKUP(B206, [1]Course!$A$1:$O$933, 12, FALSE)</f>
        <v>WB</v>
      </c>
      <c r="N206" t="s">
        <v>14</v>
      </c>
      <c r="O206" t="str">
        <f>VLOOKUP(B206, [1]Course!$A$1:$O$933, 14, FALSE)</f>
        <v>WB</v>
      </c>
      <c r="P206">
        <v>1</v>
      </c>
    </row>
    <row r="207" spans="1:16" x14ac:dyDescent="0.25">
      <c r="A207">
        <v>206</v>
      </c>
      <c r="B207">
        <v>18</v>
      </c>
      <c r="C207">
        <v>27</v>
      </c>
      <c r="D207" t="s">
        <v>17</v>
      </c>
      <c r="E207" t="str">
        <f t="shared" si="3"/>
        <v>1227WB03PT</v>
      </c>
      <c r="F207">
        <f>VLOOKUP(B207,[1]Course!$A$2:$R$329,2,FALSE)</f>
        <v>0</v>
      </c>
      <c r="G207">
        <f>VLOOKUP(B207, [1]Course!$A$2:$L$950, 8, FALSE)</f>
        <v>12</v>
      </c>
      <c r="H207">
        <v>3</v>
      </c>
      <c r="I207">
        <v>1</v>
      </c>
      <c r="M207" t="str">
        <f>VLOOKUP(B207, [1]Course!$A$1:$O$933, 12, FALSE)</f>
        <v>WB</v>
      </c>
      <c r="N207" t="s">
        <v>14</v>
      </c>
      <c r="O207" t="str">
        <f>VLOOKUP(B207, [1]Course!$A$1:$O$933, 14, FALSE)</f>
        <v>WB</v>
      </c>
      <c r="P207">
        <v>1</v>
      </c>
    </row>
    <row r="208" spans="1:16" x14ac:dyDescent="0.25">
      <c r="A208">
        <v>207</v>
      </c>
      <c r="B208">
        <v>18</v>
      </c>
      <c r="C208">
        <v>28</v>
      </c>
      <c r="D208" t="s">
        <v>17</v>
      </c>
      <c r="E208" t="str">
        <f t="shared" si="3"/>
        <v>1228WB03PT</v>
      </c>
      <c r="F208">
        <f>VLOOKUP(B208,[1]Course!$A$2:$R$329,2,FALSE)</f>
        <v>0</v>
      </c>
      <c r="G208">
        <f>VLOOKUP(B208, [1]Course!$A$2:$L$950, 8, FALSE)</f>
        <v>12</v>
      </c>
      <c r="H208">
        <v>3</v>
      </c>
      <c r="I208">
        <v>1</v>
      </c>
      <c r="M208" t="str">
        <f>VLOOKUP(B208, [1]Course!$A$1:$O$933, 12, FALSE)</f>
        <v>WB</v>
      </c>
      <c r="N208" t="s">
        <v>14</v>
      </c>
      <c r="O208" t="str">
        <f>VLOOKUP(B208, [1]Course!$A$1:$O$933, 14, FALSE)</f>
        <v>WB</v>
      </c>
      <c r="P208">
        <v>1</v>
      </c>
    </row>
    <row r="209" spans="1:16" x14ac:dyDescent="0.25">
      <c r="A209">
        <v>208</v>
      </c>
      <c r="B209">
        <v>18</v>
      </c>
      <c r="C209">
        <v>29</v>
      </c>
      <c r="D209" t="s">
        <v>17</v>
      </c>
      <c r="E209" t="str">
        <f t="shared" si="3"/>
        <v>1229WB03PT</v>
      </c>
      <c r="F209">
        <f>VLOOKUP(B209,[1]Course!$A$2:$R$329,2,FALSE)</f>
        <v>0</v>
      </c>
      <c r="G209">
        <f>VLOOKUP(B209, [1]Course!$A$2:$L$950, 8, FALSE)</f>
        <v>12</v>
      </c>
      <c r="H209">
        <v>3</v>
      </c>
      <c r="I209">
        <v>1</v>
      </c>
      <c r="M209" t="str">
        <f>VLOOKUP(B209, [1]Course!$A$1:$O$933, 12, FALSE)</f>
        <v>WB</v>
      </c>
      <c r="N209" t="s">
        <v>14</v>
      </c>
      <c r="O209" t="str">
        <f>VLOOKUP(B209, [1]Course!$A$1:$O$933, 14, FALSE)</f>
        <v>WB</v>
      </c>
      <c r="P209">
        <v>1</v>
      </c>
    </row>
    <row r="210" spans="1:16" x14ac:dyDescent="0.25">
      <c r="A210">
        <v>209</v>
      </c>
      <c r="B210">
        <v>18</v>
      </c>
      <c r="C210">
        <v>30</v>
      </c>
      <c r="D210" t="s">
        <v>17</v>
      </c>
      <c r="E210" t="str">
        <f t="shared" si="3"/>
        <v>1230WB03PT</v>
      </c>
      <c r="F210">
        <f>VLOOKUP(B210,[1]Course!$A$2:$R$329,2,FALSE)</f>
        <v>0</v>
      </c>
      <c r="G210">
        <f>VLOOKUP(B210, [1]Course!$A$2:$L$950, 8, FALSE)</f>
        <v>12</v>
      </c>
      <c r="H210">
        <v>3</v>
      </c>
      <c r="I210">
        <v>1</v>
      </c>
      <c r="M210" t="str">
        <f>VLOOKUP(B210, [1]Course!$A$1:$O$933, 12, FALSE)</f>
        <v>WB</v>
      </c>
      <c r="N210" t="s">
        <v>14</v>
      </c>
      <c r="O210" t="str">
        <f>VLOOKUP(B210, [1]Course!$A$1:$O$933, 14, FALSE)</f>
        <v>WB</v>
      </c>
      <c r="P210">
        <v>1</v>
      </c>
    </row>
    <row r="211" spans="1:16" x14ac:dyDescent="0.25">
      <c r="A211">
        <v>210</v>
      </c>
      <c r="B211">
        <v>18</v>
      </c>
      <c r="C211">
        <v>31</v>
      </c>
      <c r="D211" t="s">
        <v>17</v>
      </c>
      <c r="E211" t="str">
        <f t="shared" si="3"/>
        <v>1231WB03PT</v>
      </c>
      <c r="F211">
        <f>VLOOKUP(B211,[1]Course!$A$2:$R$329,2,FALSE)</f>
        <v>0</v>
      </c>
      <c r="G211">
        <f>VLOOKUP(B211, [1]Course!$A$2:$L$950, 8, FALSE)</f>
        <v>12</v>
      </c>
      <c r="H211">
        <v>3</v>
      </c>
      <c r="I211">
        <v>1</v>
      </c>
      <c r="M211" t="str">
        <f>VLOOKUP(B211, [1]Course!$A$1:$O$933, 12, FALSE)</f>
        <v>WB</v>
      </c>
      <c r="N211" t="s">
        <v>14</v>
      </c>
      <c r="O211" t="str">
        <f>VLOOKUP(B211, [1]Course!$A$1:$O$933, 14, FALSE)</f>
        <v>WB</v>
      </c>
      <c r="P211">
        <v>1</v>
      </c>
    </row>
    <row r="212" spans="1:16" x14ac:dyDescent="0.25">
      <c r="A212">
        <v>211</v>
      </c>
      <c r="B212">
        <v>18</v>
      </c>
      <c r="C212">
        <v>32</v>
      </c>
      <c r="D212" t="s">
        <v>17</v>
      </c>
      <c r="E212" t="str">
        <f t="shared" si="3"/>
        <v>1232WB03PT</v>
      </c>
      <c r="F212">
        <f>VLOOKUP(B212,[1]Course!$A$2:$R$329,2,FALSE)</f>
        <v>0</v>
      </c>
      <c r="G212">
        <f>VLOOKUP(B212, [1]Course!$A$2:$L$950, 8, FALSE)</f>
        <v>12</v>
      </c>
      <c r="H212">
        <v>3</v>
      </c>
      <c r="I212">
        <v>1</v>
      </c>
      <c r="M212" t="str">
        <f>VLOOKUP(B212, [1]Course!$A$1:$O$933, 12, FALSE)</f>
        <v>WB</v>
      </c>
      <c r="N212" t="s">
        <v>14</v>
      </c>
      <c r="O212" t="str">
        <f>VLOOKUP(B212, [1]Course!$A$1:$O$933, 14, FALSE)</f>
        <v>WB</v>
      </c>
      <c r="P212">
        <v>1</v>
      </c>
    </row>
    <row r="213" spans="1:16" x14ac:dyDescent="0.25">
      <c r="A213">
        <v>212</v>
      </c>
      <c r="B213">
        <v>18</v>
      </c>
      <c r="C213">
        <v>33</v>
      </c>
      <c r="D213" t="s">
        <v>17</v>
      </c>
      <c r="E213" t="str">
        <f t="shared" si="3"/>
        <v>1233WB03PT</v>
      </c>
      <c r="F213">
        <f>VLOOKUP(B213,[1]Course!$A$2:$R$329,2,FALSE)</f>
        <v>0</v>
      </c>
      <c r="G213">
        <f>VLOOKUP(B213, [1]Course!$A$2:$L$950, 8, FALSE)</f>
        <v>12</v>
      </c>
      <c r="H213">
        <v>3</v>
      </c>
      <c r="I213">
        <v>1</v>
      </c>
      <c r="M213" t="str">
        <f>VLOOKUP(B213, [1]Course!$A$1:$O$933, 12, FALSE)</f>
        <v>WB</v>
      </c>
      <c r="N213" t="s">
        <v>14</v>
      </c>
      <c r="O213" t="str">
        <f>VLOOKUP(B213, [1]Course!$A$1:$O$933, 14, FALSE)</f>
        <v>WB</v>
      </c>
      <c r="P213">
        <v>1</v>
      </c>
    </row>
    <row r="214" spans="1:16" x14ac:dyDescent="0.25">
      <c r="A214">
        <v>213</v>
      </c>
      <c r="B214">
        <v>18</v>
      </c>
      <c r="C214">
        <v>34</v>
      </c>
      <c r="D214" t="s">
        <v>17</v>
      </c>
      <c r="E214" t="str">
        <f t="shared" si="3"/>
        <v>1234WB03PT</v>
      </c>
      <c r="F214">
        <f>VLOOKUP(B214,[1]Course!$A$2:$R$329,2,FALSE)</f>
        <v>0</v>
      </c>
      <c r="G214">
        <f>VLOOKUP(B214, [1]Course!$A$2:$L$950, 8, FALSE)</f>
        <v>12</v>
      </c>
      <c r="H214">
        <v>3</v>
      </c>
      <c r="I214">
        <v>1</v>
      </c>
      <c r="M214" t="str">
        <f>VLOOKUP(B214, [1]Course!$A$1:$O$933, 12, FALSE)</f>
        <v>WB</v>
      </c>
      <c r="N214" t="s">
        <v>14</v>
      </c>
      <c r="O214" t="str">
        <f>VLOOKUP(B214, [1]Course!$A$1:$O$933, 14, FALSE)</f>
        <v>WB</v>
      </c>
      <c r="P214">
        <v>1</v>
      </c>
    </row>
    <row r="215" spans="1:16" x14ac:dyDescent="0.25">
      <c r="A215">
        <v>214</v>
      </c>
      <c r="B215">
        <v>18</v>
      </c>
      <c r="C215">
        <v>35</v>
      </c>
      <c r="D215" t="s">
        <v>17</v>
      </c>
      <c r="E215" t="str">
        <f t="shared" si="3"/>
        <v>1235WB03PT</v>
      </c>
      <c r="F215">
        <f>VLOOKUP(B215,[1]Course!$A$2:$R$329,2,FALSE)</f>
        <v>0</v>
      </c>
      <c r="G215">
        <f>VLOOKUP(B215, [1]Course!$A$2:$L$950, 8, FALSE)</f>
        <v>12</v>
      </c>
      <c r="H215">
        <v>3</v>
      </c>
      <c r="I215">
        <v>1</v>
      </c>
      <c r="M215" t="str">
        <f>VLOOKUP(B215, [1]Course!$A$1:$O$933, 12, FALSE)</f>
        <v>WB</v>
      </c>
      <c r="N215" t="s">
        <v>14</v>
      </c>
      <c r="O215" t="str">
        <f>VLOOKUP(B215, [1]Course!$A$1:$O$933, 14, FALSE)</f>
        <v>WB</v>
      </c>
      <c r="P215">
        <v>1</v>
      </c>
    </row>
    <row r="216" spans="1:16" x14ac:dyDescent="0.25">
      <c r="A216">
        <v>215</v>
      </c>
      <c r="B216">
        <v>18</v>
      </c>
      <c r="C216">
        <v>36</v>
      </c>
      <c r="D216" t="s">
        <v>17</v>
      </c>
      <c r="E216" t="str">
        <f t="shared" si="3"/>
        <v>1236WB03PT</v>
      </c>
      <c r="F216">
        <f>VLOOKUP(B216,[1]Course!$A$2:$R$329,2,FALSE)</f>
        <v>0</v>
      </c>
      <c r="G216">
        <f>VLOOKUP(B216, [1]Course!$A$2:$L$950, 8, FALSE)</f>
        <v>12</v>
      </c>
      <c r="H216">
        <v>3</v>
      </c>
      <c r="I216">
        <v>1</v>
      </c>
      <c r="M216" t="str">
        <f>VLOOKUP(B216, [1]Course!$A$1:$O$933, 12, FALSE)</f>
        <v>WB</v>
      </c>
      <c r="N216" t="s">
        <v>14</v>
      </c>
      <c r="O216" t="str">
        <f>VLOOKUP(B216, [1]Course!$A$1:$O$933, 14, FALSE)</f>
        <v>WB</v>
      </c>
      <c r="P216">
        <v>1</v>
      </c>
    </row>
    <row r="217" spans="1:16" x14ac:dyDescent="0.25">
      <c r="A217">
        <v>216</v>
      </c>
      <c r="B217">
        <v>19</v>
      </c>
      <c r="C217">
        <v>25</v>
      </c>
      <c r="D217" t="s">
        <v>18</v>
      </c>
      <c r="E217" t="str">
        <f t="shared" si="3"/>
        <v>1225LC03PT</v>
      </c>
      <c r="F217">
        <f>VLOOKUP(B217,[1]Course!$A$2:$R$329,2,FALSE)</f>
        <v>0</v>
      </c>
      <c r="G217">
        <f>VLOOKUP(B217, [1]Course!$A$2:$L$950, 8, FALSE)</f>
        <v>12</v>
      </c>
      <c r="H217">
        <v>3</v>
      </c>
      <c r="I217">
        <v>1</v>
      </c>
      <c r="M217" t="str">
        <f>VLOOKUP(B217, [1]Course!$A$1:$O$933, 12, FALSE)</f>
        <v>LI</v>
      </c>
      <c r="N217" t="s">
        <v>14</v>
      </c>
      <c r="O217" t="str">
        <f>VLOOKUP(B217, [1]Course!$A$1:$O$933, 14, FALSE)</f>
        <v>LC</v>
      </c>
      <c r="P217">
        <v>1</v>
      </c>
    </row>
    <row r="218" spans="1:16" x14ac:dyDescent="0.25">
      <c r="A218">
        <v>217</v>
      </c>
      <c r="B218">
        <v>19</v>
      </c>
      <c r="C218">
        <v>26</v>
      </c>
      <c r="D218" t="s">
        <v>18</v>
      </c>
      <c r="E218" t="str">
        <f t="shared" si="3"/>
        <v>1226LC03PT</v>
      </c>
      <c r="F218">
        <f>VLOOKUP(B218,[1]Course!$A$2:$R$329,2,FALSE)</f>
        <v>0</v>
      </c>
      <c r="G218">
        <f>VLOOKUP(B218, [1]Course!$A$2:$L$950, 8, FALSE)</f>
        <v>12</v>
      </c>
      <c r="H218">
        <v>3</v>
      </c>
      <c r="I218">
        <v>1</v>
      </c>
      <c r="M218" t="str">
        <f>VLOOKUP(B218, [1]Course!$A$1:$O$933, 12, FALSE)</f>
        <v>LI</v>
      </c>
      <c r="N218" t="s">
        <v>14</v>
      </c>
      <c r="O218" t="str">
        <f>VLOOKUP(B218, [1]Course!$A$1:$O$933, 14, FALSE)</f>
        <v>LC</v>
      </c>
      <c r="P218">
        <v>1</v>
      </c>
    </row>
    <row r="219" spans="1:16" x14ac:dyDescent="0.25">
      <c r="A219">
        <v>218</v>
      </c>
      <c r="B219">
        <v>19</v>
      </c>
      <c r="C219">
        <v>27</v>
      </c>
      <c r="D219" t="s">
        <v>18</v>
      </c>
      <c r="E219" t="str">
        <f t="shared" si="3"/>
        <v>1227LC03PT</v>
      </c>
      <c r="F219">
        <f>VLOOKUP(B219,[1]Course!$A$2:$R$329,2,FALSE)</f>
        <v>0</v>
      </c>
      <c r="G219">
        <f>VLOOKUP(B219, [1]Course!$A$2:$L$950, 8, FALSE)</f>
        <v>12</v>
      </c>
      <c r="H219">
        <v>3</v>
      </c>
      <c r="I219">
        <v>1</v>
      </c>
      <c r="M219" t="str">
        <f>VLOOKUP(B219, [1]Course!$A$1:$O$933, 12, FALSE)</f>
        <v>LI</v>
      </c>
      <c r="N219" t="s">
        <v>14</v>
      </c>
      <c r="O219" t="str">
        <f>VLOOKUP(B219, [1]Course!$A$1:$O$933, 14, FALSE)</f>
        <v>LC</v>
      </c>
      <c r="P219">
        <v>1</v>
      </c>
    </row>
    <row r="220" spans="1:16" x14ac:dyDescent="0.25">
      <c r="A220">
        <v>219</v>
      </c>
      <c r="B220">
        <v>19</v>
      </c>
      <c r="C220">
        <v>28</v>
      </c>
      <c r="D220" t="s">
        <v>18</v>
      </c>
      <c r="E220" t="str">
        <f t="shared" si="3"/>
        <v>1228LC03PT</v>
      </c>
      <c r="F220">
        <f>VLOOKUP(B220,[1]Course!$A$2:$R$329,2,FALSE)</f>
        <v>0</v>
      </c>
      <c r="G220">
        <f>VLOOKUP(B220, [1]Course!$A$2:$L$950, 8, FALSE)</f>
        <v>12</v>
      </c>
      <c r="H220">
        <v>3</v>
      </c>
      <c r="I220">
        <v>1</v>
      </c>
      <c r="M220" t="str">
        <f>VLOOKUP(B220, [1]Course!$A$1:$O$933, 12, FALSE)</f>
        <v>LI</v>
      </c>
      <c r="N220" t="s">
        <v>14</v>
      </c>
      <c r="O220" t="str">
        <f>VLOOKUP(B220, [1]Course!$A$1:$O$933, 14, FALSE)</f>
        <v>LC</v>
      </c>
      <c r="P220">
        <v>1</v>
      </c>
    </row>
    <row r="221" spans="1:16" x14ac:dyDescent="0.25">
      <c r="A221">
        <v>220</v>
      </c>
      <c r="B221">
        <v>19</v>
      </c>
      <c r="C221">
        <v>29</v>
      </c>
      <c r="D221" t="s">
        <v>18</v>
      </c>
      <c r="E221" t="str">
        <f t="shared" si="3"/>
        <v>1229LC03PT</v>
      </c>
      <c r="F221">
        <f>VLOOKUP(B221,[1]Course!$A$2:$R$329,2,FALSE)</f>
        <v>0</v>
      </c>
      <c r="G221">
        <f>VLOOKUP(B221, [1]Course!$A$2:$L$950, 8, FALSE)</f>
        <v>12</v>
      </c>
      <c r="H221">
        <v>3</v>
      </c>
      <c r="I221">
        <v>1</v>
      </c>
      <c r="M221" t="str">
        <f>VLOOKUP(B221, [1]Course!$A$1:$O$933, 12, FALSE)</f>
        <v>LI</v>
      </c>
      <c r="N221" t="s">
        <v>14</v>
      </c>
      <c r="O221" t="str">
        <f>VLOOKUP(B221, [1]Course!$A$1:$O$933, 14, FALSE)</f>
        <v>LC</v>
      </c>
      <c r="P221">
        <v>1</v>
      </c>
    </row>
    <row r="222" spans="1:16" x14ac:dyDescent="0.25">
      <c r="A222">
        <v>221</v>
      </c>
      <c r="B222">
        <v>19</v>
      </c>
      <c r="C222">
        <v>30</v>
      </c>
      <c r="D222" t="s">
        <v>18</v>
      </c>
      <c r="E222" t="str">
        <f t="shared" si="3"/>
        <v>1230LC03PT</v>
      </c>
      <c r="F222">
        <f>VLOOKUP(B222,[1]Course!$A$2:$R$329,2,FALSE)</f>
        <v>0</v>
      </c>
      <c r="G222">
        <f>VLOOKUP(B222, [1]Course!$A$2:$L$950, 8, FALSE)</f>
        <v>12</v>
      </c>
      <c r="H222">
        <v>3</v>
      </c>
      <c r="I222">
        <v>1</v>
      </c>
      <c r="M222" t="str">
        <f>VLOOKUP(B222, [1]Course!$A$1:$O$933, 12, FALSE)</f>
        <v>LI</v>
      </c>
      <c r="N222" t="s">
        <v>14</v>
      </c>
      <c r="O222" t="str">
        <f>VLOOKUP(B222, [1]Course!$A$1:$O$933, 14, FALSE)</f>
        <v>LC</v>
      </c>
      <c r="P222">
        <v>1</v>
      </c>
    </row>
    <row r="223" spans="1:16" x14ac:dyDescent="0.25">
      <c r="A223">
        <v>222</v>
      </c>
      <c r="B223">
        <v>19</v>
      </c>
      <c r="C223">
        <v>31</v>
      </c>
      <c r="D223" t="s">
        <v>18</v>
      </c>
      <c r="E223" t="str">
        <f t="shared" si="3"/>
        <v>1231LC03PT</v>
      </c>
      <c r="F223">
        <f>VLOOKUP(B223,[1]Course!$A$2:$R$329,2,FALSE)</f>
        <v>0</v>
      </c>
      <c r="G223">
        <f>VLOOKUP(B223, [1]Course!$A$2:$L$950, 8, FALSE)</f>
        <v>12</v>
      </c>
      <c r="H223">
        <v>3</v>
      </c>
      <c r="I223">
        <v>1</v>
      </c>
      <c r="M223" t="str">
        <f>VLOOKUP(B223, [1]Course!$A$1:$O$933, 12, FALSE)</f>
        <v>LI</v>
      </c>
      <c r="N223" t="s">
        <v>14</v>
      </c>
      <c r="O223" t="str">
        <f>VLOOKUP(B223, [1]Course!$A$1:$O$933, 14, FALSE)</f>
        <v>LC</v>
      </c>
      <c r="P223">
        <v>1</v>
      </c>
    </row>
    <row r="224" spans="1:16" x14ac:dyDescent="0.25">
      <c r="A224">
        <v>223</v>
      </c>
      <c r="B224">
        <v>19</v>
      </c>
      <c r="C224">
        <v>32</v>
      </c>
      <c r="D224" t="s">
        <v>18</v>
      </c>
      <c r="E224" t="str">
        <f t="shared" si="3"/>
        <v>1232LC03PT</v>
      </c>
      <c r="F224">
        <f>VLOOKUP(B224,[1]Course!$A$2:$R$329,2,FALSE)</f>
        <v>0</v>
      </c>
      <c r="G224">
        <f>VLOOKUP(B224, [1]Course!$A$2:$L$950, 8, FALSE)</f>
        <v>12</v>
      </c>
      <c r="H224">
        <v>3</v>
      </c>
      <c r="I224">
        <v>2</v>
      </c>
      <c r="M224" t="str">
        <f>VLOOKUP(B224, [1]Course!$A$1:$O$933, 12, FALSE)</f>
        <v>LI</v>
      </c>
      <c r="N224" t="s">
        <v>14</v>
      </c>
      <c r="O224" t="str">
        <f>VLOOKUP(B224, [1]Course!$A$1:$O$933, 14, FALSE)</f>
        <v>LC</v>
      </c>
      <c r="P224">
        <v>1</v>
      </c>
    </row>
    <row r="225" spans="1:16" x14ac:dyDescent="0.25">
      <c r="A225">
        <v>224</v>
      </c>
      <c r="B225">
        <v>19</v>
      </c>
      <c r="C225">
        <v>33</v>
      </c>
      <c r="D225" t="s">
        <v>18</v>
      </c>
      <c r="E225" t="str">
        <f t="shared" si="3"/>
        <v>1233LC03PT</v>
      </c>
      <c r="F225">
        <f>VLOOKUP(B225,[1]Course!$A$2:$R$329,2,FALSE)</f>
        <v>0</v>
      </c>
      <c r="G225">
        <f>VLOOKUP(B225, [1]Course!$A$2:$L$950, 8, FALSE)</f>
        <v>12</v>
      </c>
      <c r="H225">
        <v>3</v>
      </c>
      <c r="I225">
        <v>1</v>
      </c>
      <c r="M225" t="str">
        <f>VLOOKUP(B225, [1]Course!$A$1:$O$933, 12, FALSE)</f>
        <v>LI</v>
      </c>
      <c r="N225" t="s">
        <v>14</v>
      </c>
      <c r="O225" t="str">
        <f>VLOOKUP(B225, [1]Course!$A$1:$O$933, 14, FALSE)</f>
        <v>LC</v>
      </c>
      <c r="P225">
        <v>1</v>
      </c>
    </row>
    <row r="226" spans="1:16" x14ac:dyDescent="0.25">
      <c r="A226">
        <v>225</v>
      </c>
      <c r="B226">
        <v>19</v>
      </c>
      <c r="C226">
        <v>34</v>
      </c>
      <c r="D226" t="s">
        <v>18</v>
      </c>
      <c r="E226" t="str">
        <f t="shared" si="3"/>
        <v>1234LC03PT</v>
      </c>
      <c r="F226">
        <f>VLOOKUP(B226,[1]Course!$A$2:$R$329,2,FALSE)</f>
        <v>0</v>
      </c>
      <c r="G226">
        <f>VLOOKUP(B226, [1]Course!$A$2:$L$950, 8, FALSE)</f>
        <v>12</v>
      </c>
      <c r="H226">
        <v>3</v>
      </c>
      <c r="I226">
        <v>1</v>
      </c>
      <c r="M226" t="str">
        <f>VLOOKUP(B226, [1]Course!$A$1:$O$933, 12, FALSE)</f>
        <v>LI</v>
      </c>
      <c r="N226" t="s">
        <v>14</v>
      </c>
      <c r="O226" t="str">
        <f>VLOOKUP(B226, [1]Course!$A$1:$O$933, 14, FALSE)</f>
        <v>LC</v>
      </c>
      <c r="P226">
        <v>1</v>
      </c>
    </row>
    <row r="227" spans="1:16" x14ac:dyDescent="0.25">
      <c r="A227">
        <v>226</v>
      </c>
      <c r="B227">
        <v>19</v>
      </c>
      <c r="C227">
        <v>35</v>
      </c>
      <c r="D227" t="s">
        <v>18</v>
      </c>
      <c r="E227" t="str">
        <f t="shared" si="3"/>
        <v>1235LC03PT</v>
      </c>
      <c r="F227">
        <f>VLOOKUP(B227,[1]Course!$A$2:$R$329,2,FALSE)</f>
        <v>0</v>
      </c>
      <c r="G227">
        <f>VLOOKUP(B227, [1]Course!$A$2:$L$950, 8, FALSE)</f>
        <v>12</v>
      </c>
      <c r="H227">
        <v>3</v>
      </c>
      <c r="I227">
        <v>1</v>
      </c>
      <c r="M227" t="str">
        <f>VLOOKUP(B227, [1]Course!$A$1:$O$933, 12, FALSE)</f>
        <v>LI</v>
      </c>
      <c r="N227" t="s">
        <v>14</v>
      </c>
      <c r="O227" t="str">
        <f>VLOOKUP(B227, [1]Course!$A$1:$O$933, 14, FALSE)</f>
        <v>LC</v>
      </c>
      <c r="P227">
        <v>1</v>
      </c>
    </row>
    <row r="228" spans="1:16" x14ac:dyDescent="0.25">
      <c r="A228">
        <v>227</v>
      </c>
      <c r="B228">
        <v>19</v>
      </c>
      <c r="C228">
        <v>36</v>
      </c>
      <c r="D228" t="s">
        <v>18</v>
      </c>
      <c r="E228" t="str">
        <f t="shared" si="3"/>
        <v>1236LC03PT</v>
      </c>
      <c r="F228">
        <f>VLOOKUP(B228,[1]Course!$A$2:$R$329,2,FALSE)</f>
        <v>0</v>
      </c>
      <c r="G228">
        <f>VLOOKUP(B228, [1]Course!$A$2:$L$950, 8, FALSE)</f>
        <v>12</v>
      </c>
      <c r="H228">
        <v>3</v>
      </c>
      <c r="I228">
        <v>1</v>
      </c>
      <c r="M228" t="str">
        <f>VLOOKUP(B228, [1]Course!$A$1:$O$933, 12, FALSE)</f>
        <v>LI</v>
      </c>
      <c r="N228" t="s">
        <v>14</v>
      </c>
      <c r="O228" t="str">
        <f>VLOOKUP(B228, [1]Course!$A$1:$O$933, 14, FALSE)</f>
        <v>LC</v>
      </c>
      <c r="P228">
        <v>1</v>
      </c>
    </row>
    <row r="229" spans="1:16" x14ac:dyDescent="0.25">
      <c r="A229">
        <v>228</v>
      </c>
      <c r="B229">
        <v>20</v>
      </c>
      <c r="C229">
        <v>25</v>
      </c>
      <c r="D229" t="s">
        <v>19</v>
      </c>
      <c r="E229" t="str">
        <f t="shared" si="3"/>
        <v>1225SC03PT</v>
      </c>
      <c r="F229" t="str">
        <f>VLOOKUP(B229,[1]Course!$A$2:$R$329,2,FALSE)</f>
        <v>Science 3</v>
      </c>
      <c r="G229">
        <f>VLOOKUP(B229, [1]Course!$A$2:$L$950, 8, FALSE)</f>
        <v>12</v>
      </c>
      <c r="H229">
        <v>3</v>
      </c>
      <c r="I229">
        <v>1</v>
      </c>
      <c r="M229" t="str">
        <f>VLOOKUP(B229, [1]Course!$A$1:$O$933, 12, FALSE)</f>
        <v>SC</v>
      </c>
      <c r="N229" t="s">
        <v>14</v>
      </c>
      <c r="O229" t="str">
        <f>VLOOKUP(B229, [1]Course!$A$1:$O$933, 14, FALSE)</f>
        <v>SC</v>
      </c>
      <c r="P229">
        <v>1</v>
      </c>
    </row>
    <row r="230" spans="1:16" x14ac:dyDescent="0.25">
      <c r="A230">
        <v>229</v>
      </c>
      <c r="B230">
        <v>20</v>
      </c>
      <c r="C230">
        <v>26</v>
      </c>
      <c r="D230" t="s">
        <v>19</v>
      </c>
      <c r="E230" t="str">
        <f t="shared" si="3"/>
        <v>1226SC03PT</v>
      </c>
      <c r="F230" t="str">
        <f>VLOOKUP(B230,[1]Course!$A$2:$R$329,2,FALSE)</f>
        <v>Science 3</v>
      </c>
      <c r="G230">
        <f>VLOOKUP(B230, [1]Course!$A$2:$L$950, 8, FALSE)</f>
        <v>12</v>
      </c>
      <c r="H230">
        <v>3</v>
      </c>
      <c r="I230">
        <v>1</v>
      </c>
      <c r="M230" t="str">
        <f>VLOOKUP(B230, [1]Course!$A$1:$O$933, 12, FALSE)</f>
        <v>SC</v>
      </c>
      <c r="N230" t="s">
        <v>14</v>
      </c>
      <c r="O230" t="str">
        <f>VLOOKUP(B230, [1]Course!$A$1:$O$933, 14, FALSE)</f>
        <v>SC</v>
      </c>
      <c r="P230">
        <v>1</v>
      </c>
    </row>
    <row r="231" spans="1:16" x14ac:dyDescent="0.25">
      <c r="A231">
        <v>230</v>
      </c>
      <c r="B231">
        <v>20</v>
      </c>
      <c r="C231">
        <v>27</v>
      </c>
      <c r="D231" t="s">
        <v>19</v>
      </c>
      <c r="E231" t="str">
        <f t="shared" si="3"/>
        <v>1227SC03PT</v>
      </c>
      <c r="F231" t="str">
        <f>VLOOKUP(B231,[1]Course!$A$2:$R$329,2,FALSE)</f>
        <v>Science 3</v>
      </c>
      <c r="G231">
        <f>VLOOKUP(B231, [1]Course!$A$2:$L$950, 8, FALSE)</f>
        <v>12</v>
      </c>
      <c r="H231">
        <v>3</v>
      </c>
      <c r="I231">
        <v>1</v>
      </c>
      <c r="M231" t="str">
        <f>VLOOKUP(B231, [1]Course!$A$1:$O$933, 12, FALSE)</f>
        <v>SC</v>
      </c>
      <c r="N231" t="s">
        <v>14</v>
      </c>
      <c r="O231" t="str">
        <f>VLOOKUP(B231, [1]Course!$A$1:$O$933, 14, FALSE)</f>
        <v>SC</v>
      </c>
      <c r="P231">
        <v>1</v>
      </c>
    </row>
    <row r="232" spans="1:16" x14ac:dyDescent="0.25">
      <c r="A232">
        <v>231</v>
      </c>
      <c r="B232">
        <v>20</v>
      </c>
      <c r="C232">
        <v>28</v>
      </c>
      <c r="D232" t="s">
        <v>19</v>
      </c>
      <c r="E232" t="str">
        <f t="shared" si="3"/>
        <v>1228SC03PT</v>
      </c>
      <c r="F232" t="str">
        <f>VLOOKUP(B232,[1]Course!$A$2:$R$329,2,FALSE)</f>
        <v>Science 3</v>
      </c>
      <c r="G232">
        <f>VLOOKUP(B232, [1]Course!$A$2:$L$950, 8, FALSE)</f>
        <v>12</v>
      </c>
      <c r="H232">
        <v>3</v>
      </c>
      <c r="I232">
        <v>1</v>
      </c>
      <c r="M232" t="str">
        <f>VLOOKUP(B232, [1]Course!$A$1:$O$933, 12, FALSE)</f>
        <v>SC</v>
      </c>
      <c r="N232" t="s">
        <v>14</v>
      </c>
      <c r="O232" t="str">
        <f>VLOOKUP(B232, [1]Course!$A$1:$O$933, 14, FALSE)</f>
        <v>SC</v>
      </c>
      <c r="P232">
        <v>1</v>
      </c>
    </row>
    <row r="233" spans="1:16" x14ac:dyDescent="0.25">
      <c r="A233">
        <v>232</v>
      </c>
      <c r="B233">
        <v>20</v>
      </c>
      <c r="C233">
        <v>29</v>
      </c>
      <c r="D233" t="s">
        <v>19</v>
      </c>
      <c r="E233" t="str">
        <f t="shared" si="3"/>
        <v>1229SC03PT</v>
      </c>
      <c r="F233" t="str">
        <f>VLOOKUP(B233,[1]Course!$A$2:$R$329,2,FALSE)</f>
        <v>Science 3</v>
      </c>
      <c r="G233">
        <f>VLOOKUP(B233, [1]Course!$A$2:$L$950, 8, FALSE)</f>
        <v>12</v>
      </c>
      <c r="H233">
        <v>3</v>
      </c>
      <c r="I233">
        <v>1</v>
      </c>
      <c r="M233" t="str">
        <f>VLOOKUP(B233, [1]Course!$A$1:$O$933, 12, FALSE)</f>
        <v>SC</v>
      </c>
      <c r="N233" t="s">
        <v>14</v>
      </c>
      <c r="O233" t="str">
        <f>VLOOKUP(B233, [1]Course!$A$1:$O$933, 14, FALSE)</f>
        <v>SC</v>
      </c>
      <c r="P233">
        <v>1</v>
      </c>
    </row>
    <row r="234" spans="1:16" x14ac:dyDescent="0.25">
      <c r="A234">
        <v>233</v>
      </c>
      <c r="B234">
        <v>20</v>
      </c>
      <c r="C234">
        <v>30</v>
      </c>
      <c r="D234" t="s">
        <v>19</v>
      </c>
      <c r="E234" t="str">
        <f t="shared" si="3"/>
        <v>1230SC03PT</v>
      </c>
      <c r="F234" t="str">
        <f>VLOOKUP(B234,[1]Course!$A$2:$R$329,2,FALSE)</f>
        <v>Science 3</v>
      </c>
      <c r="G234">
        <f>VLOOKUP(B234, [1]Course!$A$2:$L$950, 8, FALSE)</f>
        <v>12</v>
      </c>
      <c r="H234">
        <v>3</v>
      </c>
      <c r="I234">
        <v>1</v>
      </c>
      <c r="M234" t="str">
        <f>VLOOKUP(B234, [1]Course!$A$1:$O$933, 12, FALSE)</f>
        <v>SC</v>
      </c>
      <c r="N234" t="s">
        <v>14</v>
      </c>
      <c r="O234" t="str">
        <f>VLOOKUP(B234, [1]Course!$A$1:$O$933, 14, FALSE)</f>
        <v>SC</v>
      </c>
      <c r="P234">
        <v>1</v>
      </c>
    </row>
    <row r="235" spans="1:16" x14ac:dyDescent="0.25">
      <c r="A235">
        <v>234</v>
      </c>
      <c r="B235">
        <v>20</v>
      </c>
      <c r="C235">
        <v>31</v>
      </c>
      <c r="D235" t="s">
        <v>19</v>
      </c>
      <c r="E235" t="str">
        <f t="shared" si="3"/>
        <v>1231SC03PT</v>
      </c>
      <c r="F235" t="str">
        <f>VLOOKUP(B235,[1]Course!$A$2:$R$329,2,FALSE)</f>
        <v>Science 3</v>
      </c>
      <c r="G235">
        <f>VLOOKUP(B235, [1]Course!$A$2:$L$950, 8, FALSE)</f>
        <v>12</v>
      </c>
      <c r="H235">
        <v>3</v>
      </c>
      <c r="I235">
        <v>1</v>
      </c>
      <c r="M235" t="str">
        <f>VLOOKUP(B235, [1]Course!$A$1:$O$933, 12, FALSE)</f>
        <v>SC</v>
      </c>
      <c r="N235" t="s">
        <v>14</v>
      </c>
      <c r="O235" t="str">
        <f>VLOOKUP(B235, [1]Course!$A$1:$O$933, 14, FALSE)</f>
        <v>SC</v>
      </c>
      <c r="P235">
        <v>1</v>
      </c>
    </row>
    <row r="236" spans="1:16" x14ac:dyDescent="0.25">
      <c r="A236">
        <v>235</v>
      </c>
      <c r="B236">
        <v>20</v>
      </c>
      <c r="C236">
        <v>32</v>
      </c>
      <c r="D236" t="s">
        <v>19</v>
      </c>
      <c r="E236" t="str">
        <f t="shared" si="3"/>
        <v>1232SC03PT</v>
      </c>
      <c r="F236" t="str">
        <f>VLOOKUP(B236,[1]Course!$A$2:$R$329,2,FALSE)</f>
        <v>Science 3</v>
      </c>
      <c r="G236">
        <f>VLOOKUP(B236, [1]Course!$A$2:$L$950, 8, FALSE)</f>
        <v>12</v>
      </c>
      <c r="H236">
        <v>3</v>
      </c>
      <c r="I236">
        <v>1</v>
      </c>
      <c r="M236" t="str">
        <f>VLOOKUP(B236, [1]Course!$A$1:$O$933, 12, FALSE)</f>
        <v>SC</v>
      </c>
      <c r="N236" t="s">
        <v>14</v>
      </c>
      <c r="O236" t="str">
        <f>VLOOKUP(B236, [1]Course!$A$1:$O$933, 14, FALSE)</f>
        <v>SC</v>
      </c>
      <c r="P236">
        <v>1</v>
      </c>
    </row>
    <row r="237" spans="1:16" x14ac:dyDescent="0.25">
      <c r="A237">
        <v>236</v>
      </c>
      <c r="B237">
        <v>20</v>
      </c>
      <c r="C237">
        <v>33</v>
      </c>
      <c r="D237" t="s">
        <v>19</v>
      </c>
      <c r="E237" t="str">
        <f t="shared" si="3"/>
        <v>1233SC03PT</v>
      </c>
      <c r="F237" t="str">
        <f>VLOOKUP(B237,[1]Course!$A$2:$R$329,2,FALSE)</f>
        <v>Science 3</v>
      </c>
      <c r="G237">
        <f>VLOOKUP(B237, [1]Course!$A$2:$L$950, 8, FALSE)</f>
        <v>12</v>
      </c>
      <c r="H237">
        <v>3</v>
      </c>
      <c r="I237">
        <v>1</v>
      </c>
      <c r="M237" t="str">
        <f>VLOOKUP(B237, [1]Course!$A$1:$O$933, 12, FALSE)</f>
        <v>SC</v>
      </c>
      <c r="N237" t="s">
        <v>14</v>
      </c>
      <c r="O237" t="str">
        <f>VLOOKUP(B237, [1]Course!$A$1:$O$933, 14, FALSE)</f>
        <v>SC</v>
      </c>
      <c r="P237">
        <v>1</v>
      </c>
    </row>
    <row r="238" spans="1:16" x14ac:dyDescent="0.25">
      <c r="A238">
        <v>237</v>
      </c>
      <c r="B238">
        <v>20</v>
      </c>
      <c r="C238">
        <v>34</v>
      </c>
      <c r="D238" t="s">
        <v>19</v>
      </c>
      <c r="E238" t="str">
        <f t="shared" si="3"/>
        <v>1234SC03PT</v>
      </c>
      <c r="F238" t="str">
        <f>VLOOKUP(B238,[1]Course!$A$2:$R$329,2,FALSE)</f>
        <v>Science 3</v>
      </c>
      <c r="G238">
        <f>VLOOKUP(B238, [1]Course!$A$2:$L$950, 8, FALSE)</f>
        <v>12</v>
      </c>
      <c r="H238">
        <v>3</v>
      </c>
      <c r="I238">
        <v>1</v>
      </c>
      <c r="M238" t="str">
        <f>VLOOKUP(B238, [1]Course!$A$1:$O$933, 12, FALSE)</f>
        <v>SC</v>
      </c>
      <c r="N238" t="s">
        <v>14</v>
      </c>
      <c r="O238" t="str">
        <f>VLOOKUP(B238, [1]Course!$A$1:$O$933, 14, FALSE)</f>
        <v>SC</v>
      </c>
      <c r="P238">
        <v>1</v>
      </c>
    </row>
    <row r="239" spans="1:16" x14ac:dyDescent="0.25">
      <c r="A239">
        <v>238</v>
      </c>
      <c r="B239">
        <v>20</v>
      </c>
      <c r="C239">
        <v>35</v>
      </c>
      <c r="D239" t="s">
        <v>19</v>
      </c>
      <c r="E239" t="str">
        <f t="shared" si="3"/>
        <v>1235SC03PT</v>
      </c>
      <c r="F239" t="str">
        <f>VLOOKUP(B239,[1]Course!$A$2:$R$329,2,FALSE)</f>
        <v>Science 3</v>
      </c>
      <c r="G239">
        <f>VLOOKUP(B239, [1]Course!$A$2:$L$950, 8, FALSE)</f>
        <v>12</v>
      </c>
      <c r="H239">
        <v>3</v>
      </c>
      <c r="I239">
        <v>1</v>
      </c>
      <c r="M239" t="str">
        <f>VLOOKUP(B239, [1]Course!$A$1:$O$933, 12, FALSE)</f>
        <v>SC</v>
      </c>
      <c r="N239" t="s">
        <v>14</v>
      </c>
      <c r="O239" t="str">
        <f>VLOOKUP(B239, [1]Course!$A$1:$O$933, 14, FALSE)</f>
        <v>SC</v>
      </c>
      <c r="P239">
        <v>1</v>
      </c>
    </row>
    <row r="240" spans="1:16" x14ac:dyDescent="0.25">
      <c r="A240">
        <v>239</v>
      </c>
      <c r="B240">
        <v>20</v>
      </c>
      <c r="C240">
        <v>36</v>
      </c>
      <c r="D240" t="s">
        <v>19</v>
      </c>
      <c r="E240" t="str">
        <f t="shared" si="3"/>
        <v>1236SC03PT</v>
      </c>
      <c r="F240" t="str">
        <f>VLOOKUP(B240,[1]Course!$A$2:$R$329,2,FALSE)</f>
        <v>Science 3</v>
      </c>
      <c r="G240">
        <f>VLOOKUP(B240, [1]Course!$A$2:$L$950, 8, FALSE)</f>
        <v>12</v>
      </c>
      <c r="H240">
        <v>3</v>
      </c>
      <c r="I240">
        <v>1</v>
      </c>
      <c r="M240" t="str">
        <f>VLOOKUP(B240, [1]Course!$A$1:$O$933, 12, FALSE)</f>
        <v>SC</v>
      </c>
      <c r="N240" t="s">
        <v>14</v>
      </c>
      <c r="O240" t="str">
        <f>VLOOKUP(B240, [1]Course!$A$1:$O$933, 14, FALSE)</f>
        <v>SC</v>
      </c>
      <c r="P240">
        <v>1</v>
      </c>
    </row>
    <row r="241" spans="1:16" x14ac:dyDescent="0.25">
      <c r="A241">
        <v>240</v>
      </c>
      <c r="B241">
        <v>21</v>
      </c>
      <c r="C241">
        <v>25</v>
      </c>
      <c r="D241" t="s">
        <v>20</v>
      </c>
      <c r="E241" t="str">
        <f t="shared" si="3"/>
        <v>1225SS03PT</v>
      </c>
      <c r="F241">
        <f>VLOOKUP(B241,[1]Course!$A$2:$R$329,2,FALSE)</f>
        <v>0</v>
      </c>
      <c r="G241">
        <f>VLOOKUP(B241, [1]Course!$A$2:$L$950, 8, FALSE)</f>
        <v>12</v>
      </c>
      <c r="H241">
        <v>3</v>
      </c>
      <c r="I241">
        <v>1</v>
      </c>
      <c r="M241" t="str">
        <f>VLOOKUP(B241, [1]Course!$A$1:$O$933, 12, FALSE)</f>
        <v>SS</v>
      </c>
      <c r="N241" t="s">
        <v>14</v>
      </c>
      <c r="O241" t="str">
        <f>VLOOKUP(B241, [1]Course!$A$1:$O$933, 14, FALSE)</f>
        <v>SS</v>
      </c>
      <c r="P241">
        <v>1</v>
      </c>
    </row>
    <row r="242" spans="1:16" x14ac:dyDescent="0.25">
      <c r="A242">
        <v>241</v>
      </c>
      <c r="B242">
        <v>21</v>
      </c>
      <c r="C242">
        <v>26</v>
      </c>
      <c r="D242" t="s">
        <v>20</v>
      </c>
      <c r="E242" t="str">
        <f t="shared" si="3"/>
        <v>1226SS03PT</v>
      </c>
      <c r="F242">
        <f>VLOOKUP(B242,[1]Course!$A$2:$R$329,2,FALSE)</f>
        <v>0</v>
      </c>
      <c r="G242">
        <f>VLOOKUP(B242, [1]Course!$A$2:$L$950, 8, FALSE)</f>
        <v>12</v>
      </c>
      <c r="H242">
        <v>3</v>
      </c>
      <c r="I242">
        <v>1</v>
      </c>
      <c r="M242" t="str">
        <f>VLOOKUP(B242, [1]Course!$A$1:$O$933, 12, FALSE)</f>
        <v>SS</v>
      </c>
      <c r="N242" t="s">
        <v>14</v>
      </c>
      <c r="O242" t="str">
        <f>VLOOKUP(B242, [1]Course!$A$1:$O$933, 14, FALSE)</f>
        <v>SS</v>
      </c>
      <c r="P242">
        <v>1</v>
      </c>
    </row>
    <row r="243" spans="1:16" x14ac:dyDescent="0.25">
      <c r="A243">
        <v>242</v>
      </c>
      <c r="B243">
        <v>21</v>
      </c>
      <c r="C243">
        <v>27</v>
      </c>
      <c r="D243" t="s">
        <v>20</v>
      </c>
      <c r="E243" t="str">
        <f t="shared" si="3"/>
        <v>1227SS03PT</v>
      </c>
      <c r="F243">
        <f>VLOOKUP(B243,[1]Course!$A$2:$R$329,2,FALSE)</f>
        <v>0</v>
      </c>
      <c r="G243">
        <f>VLOOKUP(B243, [1]Course!$A$2:$L$950, 8, FALSE)</f>
        <v>12</v>
      </c>
      <c r="H243">
        <v>3</v>
      </c>
      <c r="I243">
        <v>1</v>
      </c>
      <c r="M243" t="str">
        <f>VLOOKUP(B243, [1]Course!$A$1:$O$933, 12, FALSE)</f>
        <v>SS</v>
      </c>
      <c r="N243" t="s">
        <v>14</v>
      </c>
      <c r="O243" t="str">
        <f>VLOOKUP(B243, [1]Course!$A$1:$O$933, 14, FALSE)</f>
        <v>SS</v>
      </c>
      <c r="P243">
        <v>1</v>
      </c>
    </row>
    <row r="244" spans="1:16" x14ac:dyDescent="0.25">
      <c r="A244">
        <v>243</v>
      </c>
      <c r="B244">
        <v>21</v>
      </c>
      <c r="C244">
        <v>28</v>
      </c>
      <c r="D244" t="s">
        <v>20</v>
      </c>
      <c r="E244" t="str">
        <f t="shared" si="3"/>
        <v>1228SS03PT</v>
      </c>
      <c r="F244">
        <f>VLOOKUP(B244,[1]Course!$A$2:$R$329,2,FALSE)</f>
        <v>0</v>
      </c>
      <c r="G244">
        <f>VLOOKUP(B244, [1]Course!$A$2:$L$950, 8, FALSE)</f>
        <v>12</v>
      </c>
      <c r="H244">
        <v>3</v>
      </c>
      <c r="I244">
        <v>1</v>
      </c>
      <c r="M244" t="str">
        <f>VLOOKUP(B244, [1]Course!$A$1:$O$933, 12, FALSE)</f>
        <v>SS</v>
      </c>
      <c r="N244" t="s">
        <v>14</v>
      </c>
      <c r="O244" t="str">
        <f>VLOOKUP(B244, [1]Course!$A$1:$O$933, 14, FALSE)</f>
        <v>SS</v>
      </c>
      <c r="P244">
        <v>1</v>
      </c>
    </row>
    <row r="245" spans="1:16" x14ac:dyDescent="0.25">
      <c r="A245">
        <v>244</v>
      </c>
      <c r="B245">
        <v>21</v>
      </c>
      <c r="C245">
        <v>29</v>
      </c>
      <c r="D245" t="s">
        <v>20</v>
      </c>
      <c r="E245" t="str">
        <f t="shared" si="3"/>
        <v>1229SS03PT</v>
      </c>
      <c r="F245">
        <f>VLOOKUP(B245,[1]Course!$A$2:$R$329,2,FALSE)</f>
        <v>0</v>
      </c>
      <c r="G245">
        <f>VLOOKUP(B245, [1]Course!$A$2:$L$950, 8, FALSE)</f>
        <v>12</v>
      </c>
      <c r="H245">
        <v>3</v>
      </c>
      <c r="I245">
        <v>1</v>
      </c>
      <c r="M245" t="str">
        <f>VLOOKUP(B245, [1]Course!$A$1:$O$933, 12, FALSE)</f>
        <v>SS</v>
      </c>
      <c r="N245" t="s">
        <v>14</v>
      </c>
      <c r="O245" t="str">
        <f>VLOOKUP(B245, [1]Course!$A$1:$O$933, 14, FALSE)</f>
        <v>SS</v>
      </c>
      <c r="P245">
        <v>1</v>
      </c>
    </row>
    <row r="246" spans="1:16" x14ac:dyDescent="0.25">
      <c r="A246">
        <v>245</v>
      </c>
      <c r="B246">
        <v>21</v>
      </c>
      <c r="C246">
        <v>30</v>
      </c>
      <c r="D246" t="s">
        <v>20</v>
      </c>
      <c r="E246" t="str">
        <f t="shared" si="3"/>
        <v>1230SS03PT</v>
      </c>
      <c r="F246">
        <f>VLOOKUP(B246,[1]Course!$A$2:$R$329,2,FALSE)</f>
        <v>0</v>
      </c>
      <c r="G246">
        <f>VLOOKUP(B246, [1]Course!$A$2:$L$950, 8, FALSE)</f>
        <v>12</v>
      </c>
      <c r="H246">
        <v>3</v>
      </c>
      <c r="I246">
        <v>1</v>
      </c>
      <c r="M246" t="str">
        <f>VLOOKUP(B246, [1]Course!$A$1:$O$933, 12, FALSE)</f>
        <v>SS</v>
      </c>
      <c r="N246" t="s">
        <v>14</v>
      </c>
      <c r="O246" t="str">
        <f>VLOOKUP(B246, [1]Course!$A$1:$O$933, 14, FALSE)</f>
        <v>SS</v>
      </c>
      <c r="P246">
        <v>1</v>
      </c>
    </row>
    <row r="247" spans="1:16" x14ac:dyDescent="0.25">
      <c r="A247">
        <v>246</v>
      </c>
      <c r="B247">
        <v>21</v>
      </c>
      <c r="C247">
        <v>31</v>
      </c>
      <c r="D247" t="s">
        <v>20</v>
      </c>
      <c r="E247" t="str">
        <f t="shared" si="3"/>
        <v>1231SS03PT</v>
      </c>
      <c r="F247">
        <f>VLOOKUP(B247,[1]Course!$A$2:$R$329,2,FALSE)</f>
        <v>0</v>
      </c>
      <c r="G247">
        <f>VLOOKUP(B247, [1]Course!$A$2:$L$950, 8, FALSE)</f>
        <v>12</v>
      </c>
      <c r="H247">
        <v>3</v>
      </c>
      <c r="I247">
        <v>1</v>
      </c>
      <c r="M247" t="str">
        <f>VLOOKUP(B247, [1]Course!$A$1:$O$933, 12, FALSE)</f>
        <v>SS</v>
      </c>
      <c r="N247" t="s">
        <v>14</v>
      </c>
      <c r="O247" t="str">
        <f>VLOOKUP(B247, [1]Course!$A$1:$O$933, 14, FALSE)</f>
        <v>SS</v>
      </c>
      <c r="P247">
        <v>1</v>
      </c>
    </row>
    <row r="248" spans="1:16" x14ac:dyDescent="0.25">
      <c r="A248">
        <v>247</v>
      </c>
      <c r="B248">
        <v>21</v>
      </c>
      <c r="C248">
        <v>32</v>
      </c>
      <c r="D248" t="s">
        <v>20</v>
      </c>
      <c r="E248" t="str">
        <f t="shared" si="3"/>
        <v>1232SS03PT</v>
      </c>
      <c r="F248">
        <f>VLOOKUP(B248,[1]Course!$A$2:$R$329,2,FALSE)</f>
        <v>0</v>
      </c>
      <c r="G248">
        <f>VLOOKUP(B248, [1]Course!$A$2:$L$950, 8, FALSE)</f>
        <v>12</v>
      </c>
      <c r="H248">
        <v>3</v>
      </c>
      <c r="I248">
        <v>1</v>
      </c>
      <c r="M248" t="str">
        <f>VLOOKUP(B248, [1]Course!$A$1:$O$933, 12, FALSE)</f>
        <v>SS</v>
      </c>
      <c r="N248" t="s">
        <v>14</v>
      </c>
      <c r="O248" t="str">
        <f>VLOOKUP(B248, [1]Course!$A$1:$O$933, 14, FALSE)</f>
        <v>SS</v>
      </c>
      <c r="P248">
        <v>1</v>
      </c>
    </row>
    <row r="249" spans="1:16" x14ac:dyDescent="0.25">
      <c r="A249">
        <v>248</v>
      </c>
      <c r="B249">
        <v>21</v>
      </c>
      <c r="C249">
        <v>33</v>
      </c>
      <c r="D249" t="s">
        <v>20</v>
      </c>
      <c r="E249" t="str">
        <f t="shared" si="3"/>
        <v>1233SS03PT</v>
      </c>
      <c r="F249">
        <f>VLOOKUP(B249,[1]Course!$A$2:$R$329,2,FALSE)</f>
        <v>0</v>
      </c>
      <c r="G249">
        <f>VLOOKUP(B249, [1]Course!$A$2:$L$950, 8, FALSE)</f>
        <v>12</v>
      </c>
      <c r="H249">
        <v>3</v>
      </c>
      <c r="I249">
        <v>1</v>
      </c>
      <c r="M249" t="str">
        <f>VLOOKUP(B249, [1]Course!$A$1:$O$933, 12, FALSE)</f>
        <v>SS</v>
      </c>
      <c r="N249" t="s">
        <v>14</v>
      </c>
      <c r="O249" t="str">
        <f>VLOOKUP(B249, [1]Course!$A$1:$O$933, 14, FALSE)</f>
        <v>SS</v>
      </c>
      <c r="P249">
        <v>1</v>
      </c>
    </row>
    <row r="250" spans="1:16" x14ac:dyDescent="0.25">
      <c r="A250">
        <v>249</v>
      </c>
      <c r="B250">
        <v>21</v>
      </c>
      <c r="C250">
        <v>34</v>
      </c>
      <c r="D250" t="s">
        <v>20</v>
      </c>
      <c r="E250" t="str">
        <f t="shared" si="3"/>
        <v>1234SS03PT</v>
      </c>
      <c r="F250">
        <f>VLOOKUP(B250,[1]Course!$A$2:$R$329,2,FALSE)</f>
        <v>0</v>
      </c>
      <c r="G250">
        <f>VLOOKUP(B250, [1]Course!$A$2:$L$950, 8, FALSE)</f>
        <v>12</v>
      </c>
      <c r="H250">
        <v>3</v>
      </c>
      <c r="I250">
        <v>1</v>
      </c>
      <c r="M250" t="str">
        <f>VLOOKUP(B250, [1]Course!$A$1:$O$933, 12, FALSE)</f>
        <v>SS</v>
      </c>
      <c r="N250" t="s">
        <v>14</v>
      </c>
      <c r="O250" t="str">
        <f>VLOOKUP(B250, [1]Course!$A$1:$O$933, 14, FALSE)</f>
        <v>SS</v>
      </c>
      <c r="P250">
        <v>1</v>
      </c>
    </row>
    <row r="251" spans="1:16" x14ac:dyDescent="0.25">
      <c r="A251">
        <v>250</v>
      </c>
      <c r="B251">
        <v>21</v>
      </c>
      <c r="C251">
        <v>35</v>
      </c>
      <c r="D251" t="s">
        <v>20</v>
      </c>
      <c r="E251" t="str">
        <f t="shared" si="3"/>
        <v>1235SS03PT</v>
      </c>
      <c r="F251">
        <f>VLOOKUP(B251,[1]Course!$A$2:$R$329,2,FALSE)</f>
        <v>0</v>
      </c>
      <c r="G251">
        <f>VLOOKUP(B251, [1]Course!$A$2:$L$950, 8, FALSE)</f>
        <v>12</v>
      </c>
      <c r="H251">
        <v>3</v>
      </c>
      <c r="I251">
        <v>1</v>
      </c>
      <c r="M251" t="str">
        <f>VLOOKUP(B251, [1]Course!$A$1:$O$933, 12, FALSE)</f>
        <v>SS</v>
      </c>
      <c r="N251" t="s">
        <v>14</v>
      </c>
      <c r="O251" t="str">
        <f>VLOOKUP(B251, [1]Course!$A$1:$O$933, 14, FALSE)</f>
        <v>SS</v>
      </c>
      <c r="P251">
        <v>1</v>
      </c>
    </row>
    <row r="252" spans="1:16" x14ac:dyDescent="0.25">
      <c r="A252">
        <v>251</v>
      </c>
      <c r="B252">
        <v>21</v>
      </c>
      <c r="C252">
        <v>36</v>
      </c>
      <c r="D252" t="s">
        <v>20</v>
      </c>
      <c r="E252" t="str">
        <f t="shared" si="3"/>
        <v>1236SS03PT</v>
      </c>
      <c r="F252">
        <f>VLOOKUP(B252,[1]Course!$A$2:$R$329,2,FALSE)</f>
        <v>0</v>
      </c>
      <c r="G252">
        <f>VLOOKUP(B252, [1]Course!$A$2:$L$950, 8, FALSE)</f>
        <v>12</v>
      </c>
      <c r="H252">
        <v>3</v>
      </c>
      <c r="I252">
        <v>1</v>
      </c>
      <c r="M252" t="str">
        <f>VLOOKUP(B252, [1]Course!$A$1:$O$933, 12, FALSE)</f>
        <v>SS</v>
      </c>
      <c r="N252" t="s">
        <v>14</v>
      </c>
      <c r="O252" t="str">
        <f>VLOOKUP(B252, [1]Course!$A$1:$O$933, 14, FALSE)</f>
        <v>SS</v>
      </c>
      <c r="P252">
        <v>1</v>
      </c>
    </row>
    <row r="253" spans="1:16" x14ac:dyDescent="0.25">
      <c r="A253">
        <v>252</v>
      </c>
      <c r="B253">
        <v>22</v>
      </c>
      <c r="C253">
        <v>25</v>
      </c>
      <c r="D253" t="s">
        <v>21</v>
      </c>
      <c r="E253" t="str">
        <f t="shared" si="3"/>
        <v>1225BR03PT</v>
      </c>
      <c r="F253">
        <f>VLOOKUP(B253,[1]Course!$A$2:$R$329,2,FALSE)</f>
        <v>0</v>
      </c>
      <c r="G253">
        <f>VLOOKUP(B253, [1]Course!$A$2:$L$950, 8, FALSE)</f>
        <v>12</v>
      </c>
      <c r="H253">
        <v>3</v>
      </c>
      <c r="I253">
        <v>1</v>
      </c>
      <c r="M253" t="str">
        <f>VLOOKUP(B253, [1]Course!$A$1:$O$933, 12, FALSE)</f>
        <v>BS</v>
      </c>
      <c r="N253" t="s">
        <v>14</v>
      </c>
      <c r="O253" t="str">
        <f>VLOOKUP(B253, [1]Course!$A$1:$O$933, 14, FALSE)</f>
        <v>BR</v>
      </c>
      <c r="P253">
        <v>1</v>
      </c>
    </row>
    <row r="254" spans="1:16" x14ac:dyDescent="0.25">
      <c r="A254">
        <v>253</v>
      </c>
      <c r="B254">
        <v>22</v>
      </c>
      <c r="C254">
        <v>26</v>
      </c>
      <c r="D254" t="s">
        <v>21</v>
      </c>
      <c r="E254" t="str">
        <f t="shared" si="3"/>
        <v>1226BR03PT</v>
      </c>
      <c r="F254">
        <f>VLOOKUP(B254,[1]Course!$A$2:$R$329,2,FALSE)</f>
        <v>0</v>
      </c>
      <c r="G254">
        <f>VLOOKUP(B254, [1]Course!$A$2:$L$950, 8, FALSE)</f>
        <v>12</v>
      </c>
      <c r="H254">
        <v>3</v>
      </c>
      <c r="I254">
        <v>1</v>
      </c>
      <c r="M254" t="str">
        <f>VLOOKUP(B254, [1]Course!$A$1:$O$933, 12, FALSE)</f>
        <v>BS</v>
      </c>
      <c r="N254" t="s">
        <v>14</v>
      </c>
      <c r="O254" t="str">
        <f>VLOOKUP(B254, [1]Course!$A$1:$O$933, 14, FALSE)</f>
        <v>BR</v>
      </c>
      <c r="P254">
        <v>1</v>
      </c>
    </row>
    <row r="255" spans="1:16" x14ac:dyDescent="0.25">
      <c r="A255">
        <v>254</v>
      </c>
      <c r="B255">
        <v>22</v>
      </c>
      <c r="C255">
        <v>27</v>
      </c>
      <c r="D255" t="s">
        <v>21</v>
      </c>
      <c r="E255" t="str">
        <f t="shared" si="3"/>
        <v>1227BR03PT</v>
      </c>
      <c r="F255">
        <f>VLOOKUP(B255,[1]Course!$A$2:$R$329,2,FALSE)</f>
        <v>0</v>
      </c>
      <c r="G255">
        <f>VLOOKUP(B255, [1]Course!$A$2:$L$950, 8, FALSE)</f>
        <v>12</v>
      </c>
      <c r="H255">
        <v>3</v>
      </c>
      <c r="I255">
        <v>1</v>
      </c>
      <c r="M255" t="str">
        <f>VLOOKUP(B255, [1]Course!$A$1:$O$933, 12, FALSE)</f>
        <v>BS</v>
      </c>
      <c r="N255" t="s">
        <v>14</v>
      </c>
      <c r="O255" t="str">
        <f>VLOOKUP(B255, [1]Course!$A$1:$O$933, 14, FALSE)</f>
        <v>BR</v>
      </c>
      <c r="P255">
        <v>1</v>
      </c>
    </row>
    <row r="256" spans="1:16" x14ac:dyDescent="0.25">
      <c r="A256">
        <v>255</v>
      </c>
      <c r="B256">
        <v>22</v>
      </c>
      <c r="C256">
        <v>28</v>
      </c>
      <c r="D256" t="s">
        <v>21</v>
      </c>
      <c r="E256" t="str">
        <f t="shared" si="3"/>
        <v>1228BR03PT</v>
      </c>
      <c r="F256">
        <f>VLOOKUP(B256,[1]Course!$A$2:$R$329,2,FALSE)</f>
        <v>0</v>
      </c>
      <c r="G256">
        <f>VLOOKUP(B256, [1]Course!$A$2:$L$950, 8, FALSE)</f>
        <v>12</v>
      </c>
      <c r="H256">
        <v>3</v>
      </c>
      <c r="I256">
        <v>1</v>
      </c>
      <c r="M256" t="str">
        <f>VLOOKUP(B256, [1]Course!$A$1:$O$933, 12, FALSE)</f>
        <v>BS</v>
      </c>
      <c r="N256" t="s">
        <v>14</v>
      </c>
      <c r="O256" t="str">
        <f>VLOOKUP(B256, [1]Course!$A$1:$O$933, 14, FALSE)</f>
        <v>BR</v>
      </c>
      <c r="P256">
        <v>1</v>
      </c>
    </row>
    <row r="257" spans="1:16" x14ac:dyDescent="0.25">
      <c r="A257">
        <v>256</v>
      </c>
      <c r="B257">
        <v>22</v>
      </c>
      <c r="C257">
        <v>29</v>
      </c>
      <c r="D257" t="s">
        <v>21</v>
      </c>
      <c r="E257" t="str">
        <f t="shared" si="3"/>
        <v>1229BR03PT</v>
      </c>
      <c r="F257">
        <f>VLOOKUP(B257,[1]Course!$A$2:$R$329,2,FALSE)</f>
        <v>0</v>
      </c>
      <c r="G257">
        <f>VLOOKUP(B257, [1]Course!$A$2:$L$950, 8, FALSE)</f>
        <v>12</v>
      </c>
      <c r="H257">
        <v>3</v>
      </c>
      <c r="I257">
        <v>1</v>
      </c>
      <c r="M257" t="str">
        <f>VLOOKUP(B257, [1]Course!$A$1:$O$933, 12, FALSE)</f>
        <v>BS</v>
      </c>
      <c r="N257" t="s">
        <v>14</v>
      </c>
      <c r="O257" t="str">
        <f>VLOOKUP(B257, [1]Course!$A$1:$O$933, 14, FALSE)</f>
        <v>BR</v>
      </c>
      <c r="P257">
        <v>1</v>
      </c>
    </row>
    <row r="258" spans="1:16" x14ac:dyDescent="0.25">
      <c r="A258">
        <v>257</v>
      </c>
      <c r="B258">
        <v>22</v>
      </c>
      <c r="C258">
        <v>30</v>
      </c>
      <c r="D258" t="s">
        <v>21</v>
      </c>
      <c r="E258" t="str">
        <f t="shared" si="3"/>
        <v>1230BR03PT</v>
      </c>
      <c r="F258">
        <f>VLOOKUP(B258,[1]Course!$A$2:$R$329,2,FALSE)</f>
        <v>0</v>
      </c>
      <c r="G258">
        <f>VLOOKUP(B258, [1]Course!$A$2:$L$950, 8, FALSE)</f>
        <v>12</v>
      </c>
      <c r="H258">
        <v>3</v>
      </c>
      <c r="I258">
        <v>1</v>
      </c>
      <c r="M258" t="str">
        <f>VLOOKUP(B258, [1]Course!$A$1:$O$933, 12, FALSE)</f>
        <v>BS</v>
      </c>
      <c r="N258" t="s">
        <v>14</v>
      </c>
      <c r="O258" t="str">
        <f>VLOOKUP(B258, [1]Course!$A$1:$O$933, 14, FALSE)</f>
        <v>BR</v>
      </c>
      <c r="P258">
        <v>1</v>
      </c>
    </row>
    <row r="259" spans="1:16" x14ac:dyDescent="0.25">
      <c r="A259">
        <v>258</v>
      </c>
      <c r="B259">
        <v>22</v>
      </c>
      <c r="C259">
        <v>31</v>
      </c>
      <c r="D259" t="s">
        <v>21</v>
      </c>
      <c r="E259" t="str">
        <f t="shared" ref="E259:E322" si="4">UPPER(LEFT(G259,2)) &amp; RIGHT("0" &amp; C259, 2) &amp; D259 &amp; RIGHT("0" &amp; H259, 2) &amp; N259</f>
        <v>1231BR03PT</v>
      </c>
      <c r="F259">
        <f>VLOOKUP(B259,[1]Course!$A$2:$R$329,2,FALSE)</f>
        <v>0</v>
      </c>
      <c r="G259">
        <f>VLOOKUP(B259, [1]Course!$A$2:$L$950, 8, FALSE)</f>
        <v>12</v>
      </c>
      <c r="H259">
        <v>3</v>
      </c>
      <c r="I259">
        <v>1</v>
      </c>
      <c r="M259" t="str">
        <f>VLOOKUP(B259, [1]Course!$A$1:$O$933, 12, FALSE)</f>
        <v>BS</v>
      </c>
      <c r="N259" t="s">
        <v>14</v>
      </c>
      <c r="O259" t="str">
        <f>VLOOKUP(B259, [1]Course!$A$1:$O$933, 14, FALSE)</f>
        <v>BR</v>
      </c>
      <c r="P259">
        <v>1</v>
      </c>
    </row>
    <row r="260" spans="1:16" x14ac:dyDescent="0.25">
      <c r="A260">
        <v>259</v>
      </c>
      <c r="B260">
        <v>22</v>
      </c>
      <c r="C260">
        <v>32</v>
      </c>
      <c r="D260" t="s">
        <v>21</v>
      </c>
      <c r="E260" t="str">
        <f t="shared" si="4"/>
        <v>1232BR03PT</v>
      </c>
      <c r="F260">
        <f>VLOOKUP(B260,[1]Course!$A$2:$R$329,2,FALSE)</f>
        <v>0</v>
      </c>
      <c r="G260">
        <f>VLOOKUP(B260, [1]Course!$A$2:$L$950, 8, FALSE)</f>
        <v>12</v>
      </c>
      <c r="H260">
        <v>3</v>
      </c>
      <c r="I260">
        <v>1</v>
      </c>
      <c r="M260" t="str">
        <f>VLOOKUP(B260, [1]Course!$A$1:$O$933, 12, FALSE)</f>
        <v>BS</v>
      </c>
      <c r="N260" t="s">
        <v>14</v>
      </c>
      <c r="O260" t="str">
        <f>VLOOKUP(B260, [1]Course!$A$1:$O$933, 14, FALSE)</f>
        <v>BR</v>
      </c>
      <c r="P260">
        <v>1</v>
      </c>
    </row>
    <row r="261" spans="1:16" x14ac:dyDescent="0.25">
      <c r="A261">
        <v>260</v>
      </c>
      <c r="B261">
        <v>22</v>
      </c>
      <c r="C261">
        <v>33</v>
      </c>
      <c r="D261" t="s">
        <v>21</v>
      </c>
      <c r="E261" t="str">
        <f t="shared" si="4"/>
        <v>1233BR03PT</v>
      </c>
      <c r="F261">
        <f>VLOOKUP(B261,[1]Course!$A$2:$R$329,2,FALSE)</f>
        <v>0</v>
      </c>
      <c r="G261">
        <f>VLOOKUP(B261, [1]Course!$A$2:$L$950, 8, FALSE)</f>
        <v>12</v>
      </c>
      <c r="H261">
        <v>3</v>
      </c>
      <c r="I261">
        <v>1</v>
      </c>
      <c r="M261" t="str">
        <f>VLOOKUP(B261, [1]Course!$A$1:$O$933, 12, FALSE)</f>
        <v>BS</v>
      </c>
      <c r="N261" t="s">
        <v>14</v>
      </c>
      <c r="O261" t="str">
        <f>VLOOKUP(B261, [1]Course!$A$1:$O$933, 14, FALSE)</f>
        <v>BR</v>
      </c>
      <c r="P261">
        <v>1</v>
      </c>
    </row>
    <row r="262" spans="1:16" x14ac:dyDescent="0.25">
      <c r="A262">
        <v>261</v>
      </c>
      <c r="B262">
        <v>22</v>
      </c>
      <c r="C262">
        <v>34</v>
      </c>
      <c r="D262" t="s">
        <v>21</v>
      </c>
      <c r="E262" t="str">
        <f t="shared" si="4"/>
        <v>1234BR03PT</v>
      </c>
      <c r="F262">
        <f>VLOOKUP(B262,[1]Course!$A$2:$R$329,2,FALSE)</f>
        <v>0</v>
      </c>
      <c r="G262">
        <f>VLOOKUP(B262, [1]Course!$A$2:$L$950, 8, FALSE)</f>
        <v>12</v>
      </c>
      <c r="H262">
        <v>3</v>
      </c>
      <c r="I262">
        <v>1</v>
      </c>
      <c r="M262" t="str">
        <f>VLOOKUP(B262, [1]Course!$A$1:$O$933, 12, FALSE)</f>
        <v>BS</v>
      </c>
      <c r="N262" t="s">
        <v>14</v>
      </c>
      <c r="O262" t="str">
        <f>VLOOKUP(B262, [1]Course!$A$1:$O$933, 14, FALSE)</f>
        <v>BR</v>
      </c>
      <c r="P262">
        <v>1</v>
      </c>
    </row>
    <row r="263" spans="1:16" x14ac:dyDescent="0.25">
      <c r="A263">
        <v>262</v>
      </c>
      <c r="B263">
        <v>22</v>
      </c>
      <c r="C263">
        <v>35</v>
      </c>
      <c r="D263" t="s">
        <v>21</v>
      </c>
      <c r="E263" t="str">
        <f t="shared" si="4"/>
        <v>1235BR03PT</v>
      </c>
      <c r="F263">
        <f>VLOOKUP(B263,[1]Course!$A$2:$R$329,2,FALSE)</f>
        <v>0</v>
      </c>
      <c r="G263">
        <f>VLOOKUP(B263, [1]Course!$A$2:$L$950, 8, FALSE)</f>
        <v>12</v>
      </c>
      <c r="H263">
        <v>3</v>
      </c>
      <c r="I263">
        <v>1</v>
      </c>
      <c r="M263" t="str">
        <f>VLOOKUP(B263, [1]Course!$A$1:$O$933, 12, FALSE)</f>
        <v>BS</v>
      </c>
      <c r="N263" t="s">
        <v>14</v>
      </c>
      <c r="O263" t="str">
        <f>VLOOKUP(B263, [1]Course!$A$1:$O$933, 14, FALSE)</f>
        <v>BR</v>
      </c>
      <c r="P263">
        <v>1</v>
      </c>
    </row>
    <row r="264" spans="1:16" x14ac:dyDescent="0.25">
      <c r="A264">
        <v>263</v>
      </c>
      <c r="B264">
        <v>22</v>
      </c>
      <c r="C264">
        <v>36</v>
      </c>
      <c r="D264" t="s">
        <v>21</v>
      </c>
      <c r="E264" t="str">
        <f t="shared" si="4"/>
        <v>1236BR03PT</v>
      </c>
      <c r="F264">
        <f>VLOOKUP(B264,[1]Course!$A$2:$R$329,2,FALSE)</f>
        <v>0</v>
      </c>
      <c r="G264">
        <f>VLOOKUP(B264, [1]Course!$A$2:$L$950, 8, FALSE)</f>
        <v>12</v>
      </c>
      <c r="H264">
        <v>3</v>
      </c>
      <c r="I264">
        <v>1</v>
      </c>
      <c r="M264" t="str">
        <f>VLOOKUP(B264, [1]Course!$A$1:$O$933, 12, FALSE)</f>
        <v>BS</v>
      </c>
      <c r="N264" t="s">
        <v>14</v>
      </c>
      <c r="O264" t="str">
        <f>VLOOKUP(B264, [1]Course!$A$1:$O$933, 14, FALSE)</f>
        <v>BR</v>
      </c>
      <c r="P264">
        <v>1</v>
      </c>
    </row>
    <row r="265" spans="1:16" x14ac:dyDescent="0.25">
      <c r="A265">
        <v>264</v>
      </c>
      <c r="B265">
        <v>23</v>
      </c>
      <c r="C265">
        <v>37</v>
      </c>
      <c r="D265" t="s">
        <v>15</v>
      </c>
      <c r="E265" t="str">
        <f t="shared" si="4"/>
        <v>1237MA03PT</v>
      </c>
      <c r="F265">
        <f>VLOOKUP(B265,[1]Course!$A$2:$R$329,2,FALSE)</f>
        <v>0</v>
      </c>
      <c r="G265">
        <f>VLOOKUP(B265, [1]Course!$A$2:$L$950, 8, FALSE)</f>
        <v>12</v>
      </c>
      <c r="H265">
        <v>3</v>
      </c>
      <c r="I265">
        <v>1</v>
      </c>
      <c r="M265" t="str">
        <f>VLOOKUP(B265, [1]Course!$A$1:$O$933, 12, FALSE)</f>
        <v>MA</v>
      </c>
      <c r="N265" t="s">
        <v>14</v>
      </c>
      <c r="O265" t="str">
        <f>VLOOKUP(B265, [1]Course!$A$1:$O$933, 14, FALSE)</f>
        <v>MA</v>
      </c>
      <c r="P265">
        <v>1</v>
      </c>
    </row>
    <row r="266" spans="1:16" x14ac:dyDescent="0.25">
      <c r="A266">
        <v>265</v>
      </c>
      <c r="B266">
        <v>23</v>
      </c>
      <c r="C266">
        <v>38</v>
      </c>
      <c r="D266" t="s">
        <v>15</v>
      </c>
      <c r="E266" t="str">
        <f t="shared" si="4"/>
        <v>1238MA03PT</v>
      </c>
      <c r="F266">
        <f>VLOOKUP(B266,[1]Course!$A$2:$R$329,2,FALSE)</f>
        <v>0</v>
      </c>
      <c r="G266">
        <f>VLOOKUP(B266, [1]Course!$A$2:$L$950, 8, FALSE)</f>
        <v>12</v>
      </c>
      <c r="H266">
        <v>3</v>
      </c>
      <c r="I266">
        <v>1</v>
      </c>
      <c r="M266" t="str">
        <f>VLOOKUP(B266, [1]Course!$A$1:$O$933, 12, FALSE)</f>
        <v>MA</v>
      </c>
      <c r="N266" t="s">
        <v>14</v>
      </c>
      <c r="O266" t="str">
        <f>VLOOKUP(B266, [1]Course!$A$1:$O$933, 14, FALSE)</f>
        <v>MA</v>
      </c>
      <c r="P266">
        <v>1</v>
      </c>
    </row>
    <row r="267" spans="1:16" x14ac:dyDescent="0.25">
      <c r="A267">
        <v>266</v>
      </c>
      <c r="B267">
        <v>23</v>
      </c>
      <c r="C267">
        <v>39</v>
      </c>
      <c r="D267" t="s">
        <v>15</v>
      </c>
      <c r="E267" t="str">
        <f t="shared" si="4"/>
        <v>1239MA03PT</v>
      </c>
      <c r="F267">
        <f>VLOOKUP(B267,[1]Course!$A$2:$R$329,2,FALSE)</f>
        <v>0</v>
      </c>
      <c r="G267">
        <f>VLOOKUP(B267, [1]Course!$A$2:$L$950, 8, FALSE)</f>
        <v>12</v>
      </c>
      <c r="H267">
        <v>3</v>
      </c>
      <c r="I267">
        <v>1</v>
      </c>
      <c r="M267" t="str">
        <f>VLOOKUP(B267, [1]Course!$A$1:$O$933, 12, FALSE)</f>
        <v>MA</v>
      </c>
      <c r="N267" t="s">
        <v>14</v>
      </c>
      <c r="O267" t="str">
        <f>VLOOKUP(B267, [1]Course!$A$1:$O$933, 14, FALSE)</f>
        <v>MA</v>
      </c>
      <c r="P267">
        <v>1</v>
      </c>
    </row>
    <row r="268" spans="1:16" x14ac:dyDescent="0.25">
      <c r="A268">
        <v>267</v>
      </c>
      <c r="B268">
        <v>23</v>
      </c>
      <c r="C268">
        <v>40</v>
      </c>
      <c r="D268" t="s">
        <v>15</v>
      </c>
      <c r="E268" t="str">
        <f t="shared" si="4"/>
        <v>1240MA03PT</v>
      </c>
      <c r="F268">
        <f>VLOOKUP(B268,[1]Course!$A$2:$R$329,2,FALSE)</f>
        <v>0</v>
      </c>
      <c r="G268">
        <f>VLOOKUP(B268, [1]Course!$A$2:$L$950, 8, FALSE)</f>
        <v>12</v>
      </c>
      <c r="H268">
        <v>3</v>
      </c>
      <c r="I268">
        <v>1</v>
      </c>
      <c r="M268" t="str">
        <f>VLOOKUP(B268, [1]Course!$A$1:$O$933, 12, FALSE)</f>
        <v>MA</v>
      </c>
      <c r="N268" t="s">
        <v>14</v>
      </c>
      <c r="O268" t="str">
        <f>VLOOKUP(B268, [1]Course!$A$1:$O$933, 14, FALSE)</f>
        <v>MA</v>
      </c>
      <c r="P268">
        <v>1</v>
      </c>
    </row>
    <row r="269" spans="1:16" x14ac:dyDescent="0.25">
      <c r="A269">
        <v>268</v>
      </c>
      <c r="B269">
        <v>23</v>
      </c>
      <c r="C269">
        <v>41</v>
      </c>
      <c r="D269" t="s">
        <v>15</v>
      </c>
      <c r="E269" t="str">
        <f t="shared" si="4"/>
        <v>1241MA03PT</v>
      </c>
      <c r="F269">
        <f>VLOOKUP(B269,[1]Course!$A$2:$R$329,2,FALSE)</f>
        <v>0</v>
      </c>
      <c r="G269">
        <f>VLOOKUP(B269, [1]Course!$A$2:$L$950, 8, FALSE)</f>
        <v>12</v>
      </c>
      <c r="H269">
        <v>3</v>
      </c>
      <c r="I269">
        <v>1</v>
      </c>
      <c r="M269" t="str">
        <f>VLOOKUP(B269, [1]Course!$A$1:$O$933, 12, FALSE)</f>
        <v>MA</v>
      </c>
      <c r="N269" t="s">
        <v>14</v>
      </c>
      <c r="O269" t="str">
        <f>VLOOKUP(B269, [1]Course!$A$1:$O$933, 14, FALSE)</f>
        <v>MA</v>
      </c>
      <c r="P269">
        <v>1</v>
      </c>
    </row>
    <row r="270" spans="1:16" x14ac:dyDescent="0.25">
      <c r="A270">
        <v>269</v>
      </c>
      <c r="B270">
        <v>23</v>
      </c>
      <c r="C270">
        <v>42</v>
      </c>
      <c r="D270" t="s">
        <v>15</v>
      </c>
      <c r="E270" t="str">
        <f t="shared" si="4"/>
        <v>1242MA03PT</v>
      </c>
      <c r="F270">
        <f>VLOOKUP(B270,[1]Course!$A$2:$R$329,2,FALSE)</f>
        <v>0</v>
      </c>
      <c r="G270">
        <f>VLOOKUP(B270, [1]Course!$A$2:$L$950, 8, FALSE)</f>
        <v>12</v>
      </c>
      <c r="H270">
        <v>3</v>
      </c>
      <c r="I270">
        <v>1</v>
      </c>
      <c r="M270" t="str">
        <f>VLOOKUP(B270, [1]Course!$A$1:$O$933, 12, FALSE)</f>
        <v>MA</v>
      </c>
      <c r="N270" t="s">
        <v>14</v>
      </c>
      <c r="O270" t="str">
        <f>VLOOKUP(B270, [1]Course!$A$1:$O$933, 14, FALSE)</f>
        <v>MA</v>
      </c>
      <c r="P270">
        <v>1</v>
      </c>
    </row>
    <row r="271" spans="1:16" x14ac:dyDescent="0.25">
      <c r="A271">
        <v>270</v>
      </c>
      <c r="B271">
        <v>23</v>
      </c>
      <c r="C271">
        <v>43</v>
      </c>
      <c r="D271" t="s">
        <v>15</v>
      </c>
      <c r="E271" t="str">
        <f t="shared" si="4"/>
        <v>1243MA03PT</v>
      </c>
      <c r="F271">
        <f>VLOOKUP(B271,[1]Course!$A$2:$R$329,2,FALSE)</f>
        <v>0</v>
      </c>
      <c r="G271">
        <f>VLOOKUP(B271, [1]Course!$A$2:$L$950, 8, FALSE)</f>
        <v>12</v>
      </c>
      <c r="H271">
        <v>3</v>
      </c>
      <c r="I271">
        <v>1</v>
      </c>
      <c r="M271" t="str">
        <f>VLOOKUP(B271, [1]Course!$A$1:$O$933, 12, FALSE)</f>
        <v>MA</v>
      </c>
      <c r="N271" t="s">
        <v>14</v>
      </c>
      <c r="O271" t="str">
        <f>VLOOKUP(B271, [1]Course!$A$1:$O$933, 14, FALSE)</f>
        <v>MA</v>
      </c>
      <c r="P271">
        <v>1</v>
      </c>
    </row>
    <row r="272" spans="1:16" x14ac:dyDescent="0.25">
      <c r="A272">
        <v>271</v>
      </c>
      <c r="B272">
        <v>23</v>
      </c>
      <c r="C272">
        <v>44</v>
      </c>
      <c r="D272" t="s">
        <v>15</v>
      </c>
      <c r="E272" t="str">
        <f t="shared" si="4"/>
        <v>1244MA03PT</v>
      </c>
      <c r="F272">
        <f>VLOOKUP(B272,[1]Course!$A$2:$R$329,2,FALSE)</f>
        <v>0</v>
      </c>
      <c r="G272">
        <f>VLOOKUP(B272, [1]Course!$A$2:$L$950, 8, FALSE)</f>
        <v>12</v>
      </c>
      <c r="H272">
        <v>3</v>
      </c>
      <c r="I272">
        <v>1</v>
      </c>
      <c r="M272" t="str">
        <f>VLOOKUP(B272, [1]Course!$A$1:$O$933, 12, FALSE)</f>
        <v>MA</v>
      </c>
      <c r="N272" t="s">
        <v>14</v>
      </c>
      <c r="O272" t="str">
        <f>VLOOKUP(B272, [1]Course!$A$1:$O$933, 14, FALSE)</f>
        <v>MA</v>
      </c>
      <c r="P272">
        <v>1</v>
      </c>
    </row>
    <row r="273" spans="1:16" x14ac:dyDescent="0.25">
      <c r="A273">
        <v>272</v>
      </c>
      <c r="B273">
        <v>23</v>
      </c>
      <c r="C273">
        <v>45</v>
      </c>
      <c r="D273" t="s">
        <v>15</v>
      </c>
      <c r="E273" t="str">
        <f t="shared" si="4"/>
        <v>1245MA03PT</v>
      </c>
      <c r="F273">
        <f>VLOOKUP(B273,[1]Course!$A$2:$R$329,2,FALSE)</f>
        <v>0</v>
      </c>
      <c r="G273">
        <f>VLOOKUP(B273, [1]Course!$A$2:$L$950, 8, FALSE)</f>
        <v>12</v>
      </c>
      <c r="H273">
        <v>3</v>
      </c>
      <c r="I273">
        <v>1</v>
      </c>
      <c r="M273" t="str">
        <f>VLOOKUP(B273, [1]Course!$A$1:$O$933, 12, FALSE)</f>
        <v>MA</v>
      </c>
      <c r="N273" t="s">
        <v>14</v>
      </c>
      <c r="O273" t="str">
        <f>VLOOKUP(B273, [1]Course!$A$1:$O$933, 14, FALSE)</f>
        <v>MA</v>
      </c>
      <c r="P273">
        <v>1</v>
      </c>
    </row>
    <row r="274" spans="1:16" x14ac:dyDescent="0.25">
      <c r="A274">
        <v>273</v>
      </c>
      <c r="B274">
        <v>23</v>
      </c>
      <c r="C274">
        <v>46</v>
      </c>
      <c r="D274" t="s">
        <v>15</v>
      </c>
      <c r="E274" t="str">
        <f t="shared" si="4"/>
        <v>1246MA03PT</v>
      </c>
      <c r="F274">
        <f>VLOOKUP(B274,[1]Course!$A$2:$R$329,2,FALSE)</f>
        <v>0</v>
      </c>
      <c r="G274">
        <f>VLOOKUP(B274, [1]Course!$A$2:$L$950, 8, FALSE)</f>
        <v>12</v>
      </c>
      <c r="H274">
        <v>3</v>
      </c>
      <c r="I274">
        <v>1</v>
      </c>
      <c r="M274" t="str">
        <f>VLOOKUP(B274, [1]Course!$A$1:$O$933, 12, FALSE)</f>
        <v>MA</v>
      </c>
      <c r="N274" t="s">
        <v>14</v>
      </c>
      <c r="O274" t="str">
        <f>VLOOKUP(B274, [1]Course!$A$1:$O$933, 14, FALSE)</f>
        <v>MA</v>
      </c>
      <c r="P274">
        <v>1</v>
      </c>
    </row>
    <row r="275" spans="1:16" x14ac:dyDescent="0.25">
      <c r="A275">
        <v>274</v>
      </c>
      <c r="B275">
        <v>23</v>
      </c>
      <c r="C275">
        <v>47</v>
      </c>
      <c r="D275" t="s">
        <v>15</v>
      </c>
      <c r="E275" t="str">
        <f t="shared" si="4"/>
        <v>1247MA03PT</v>
      </c>
      <c r="F275">
        <f>VLOOKUP(B275,[1]Course!$A$2:$R$329,2,FALSE)</f>
        <v>0</v>
      </c>
      <c r="G275">
        <f>VLOOKUP(B275, [1]Course!$A$2:$L$950, 8, FALSE)</f>
        <v>12</v>
      </c>
      <c r="H275">
        <v>3</v>
      </c>
      <c r="I275">
        <v>1</v>
      </c>
      <c r="M275" t="str">
        <f>VLOOKUP(B275, [1]Course!$A$1:$O$933, 12, FALSE)</f>
        <v>MA</v>
      </c>
      <c r="N275" t="s">
        <v>14</v>
      </c>
      <c r="O275" t="str">
        <f>VLOOKUP(B275, [1]Course!$A$1:$O$933, 14, FALSE)</f>
        <v>MA</v>
      </c>
      <c r="P275">
        <v>1</v>
      </c>
    </row>
    <row r="276" spans="1:16" x14ac:dyDescent="0.25">
      <c r="A276">
        <v>275</v>
      </c>
      <c r="B276">
        <v>23</v>
      </c>
      <c r="C276">
        <v>48</v>
      </c>
      <c r="D276" t="s">
        <v>15</v>
      </c>
      <c r="E276" t="str">
        <f t="shared" si="4"/>
        <v>1248MA03PT</v>
      </c>
      <c r="F276">
        <f>VLOOKUP(B276,[1]Course!$A$2:$R$329,2,FALSE)</f>
        <v>0</v>
      </c>
      <c r="G276">
        <f>VLOOKUP(B276, [1]Course!$A$2:$L$950, 8, FALSE)</f>
        <v>12</v>
      </c>
      <c r="H276">
        <v>3</v>
      </c>
      <c r="I276">
        <v>1</v>
      </c>
      <c r="M276" t="str">
        <f>VLOOKUP(B276, [1]Course!$A$1:$O$933, 12, FALSE)</f>
        <v>MA</v>
      </c>
      <c r="N276" t="s">
        <v>14</v>
      </c>
      <c r="O276" t="str">
        <f>VLOOKUP(B276, [1]Course!$A$1:$O$933, 14, FALSE)</f>
        <v>MA</v>
      </c>
      <c r="P276">
        <v>1</v>
      </c>
    </row>
    <row r="277" spans="1:16" x14ac:dyDescent="0.25">
      <c r="A277">
        <v>276</v>
      </c>
      <c r="B277">
        <v>24</v>
      </c>
      <c r="C277">
        <v>37</v>
      </c>
      <c r="D277" t="s">
        <v>16</v>
      </c>
      <c r="E277" t="str">
        <f t="shared" si="4"/>
        <v>1237EN03PT</v>
      </c>
      <c r="F277">
        <f>VLOOKUP(B277,[1]Course!$A$2:$R$329,2,FALSE)</f>
        <v>0</v>
      </c>
      <c r="G277">
        <f>VLOOKUP(B277, [1]Course!$A$2:$L$950, 8, FALSE)</f>
        <v>12</v>
      </c>
      <c r="H277">
        <v>3</v>
      </c>
      <c r="I277">
        <v>1</v>
      </c>
      <c r="M277" t="str">
        <f>VLOOKUP(B277, [1]Course!$A$1:$O$933, 12, FALSE)</f>
        <v>LA</v>
      </c>
      <c r="N277" t="s">
        <v>14</v>
      </c>
      <c r="O277" t="str">
        <f>VLOOKUP(B277, [1]Course!$A$1:$O$933, 14, FALSE)</f>
        <v>EN</v>
      </c>
      <c r="P277">
        <v>1</v>
      </c>
    </row>
    <row r="278" spans="1:16" x14ac:dyDescent="0.25">
      <c r="A278">
        <v>277</v>
      </c>
      <c r="B278">
        <v>24</v>
      </c>
      <c r="C278">
        <v>38</v>
      </c>
      <c r="D278" t="s">
        <v>16</v>
      </c>
      <c r="E278" t="str">
        <f t="shared" si="4"/>
        <v>1238EN03PT</v>
      </c>
      <c r="F278">
        <f>VLOOKUP(B278,[1]Course!$A$2:$R$329,2,FALSE)</f>
        <v>0</v>
      </c>
      <c r="G278">
        <f>VLOOKUP(B278, [1]Course!$A$2:$L$950, 8, FALSE)</f>
        <v>12</v>
      </c>
      <c r="H278">
        <v>3</v>
      </c>
      <c r="I278">
        <v>1</v>
      </c>
      <c r="M278" t="str">
        <f>VLOOKUP(B278, [1]Course!$A$1:$O$933, 12, FALSE)</f>
        <v>LA</v>
      </c>
      <c r="N278" t="s">
        <v>14</v>
      </c>
      <c r="O278" t="str">
        <f>VLOOKUP(B278, [1]Course!$A$1:$O$933, 14, FALSE)</f>
        <v>EN</v>
      </c>
      <c r="P278">
        <v>1</v>
      </c>
    </row>
    <row r="279" spans="1:16" x14ac:dyDescent="0.25">
      <c r="A279">
        <v>278</v>
      </c>
      <c r="B279">
        <v>24</v>
      </c>
      <c r="C279">
        <v>39</v>
      </c>
      <c r="D279" t="s">
        <v>16</v>
      </c>
      <c r="E279" t="str">
        <f t="shared" si="4"/>
        <v>1239EN03PT</v>
      </c>
      <c r="F279">
        <f>VLOOKUP(B279,[1]Course!$A$2:$R$329,2,FALSE)</f>
        <v>0</v>
      </c>
      <c r="G279">
        <f>VLOOKUP(B279, [1]Course!$A$2:$L$950, 8, FALSE)</f>
        <v>12</v>
      </c>
      <c r="H279">
        <v>3</v>
      </c>
      <c r="I279">
        <v>1</v>
      </c>
      <c r="M279" t="str">
        <f>VLOOKUP(B279, [1]Course!$A$1:$O$933, 12, FALSE)</f>
        <v>LA</v>
      </c>
      <c r="N279" t="s">
        <v>14</v>
      </c>
      <c r="O279" t="str">
        <f>VLOOKUP(B279, [1]Course!$A$1:$O$933, 14, FALSE)</f>
        <v>EN</v>
      </c>
      <c r="P279">
        <v>1</v>
      </c>
    </row>
    <row r="280" spans="1:16" x14ac:dyDescent="0.25">
      <c r="A280">
        <v>279</v>
      </c>
      <c r="B280">
        <v>24</v>
      </c>
      <c r="C280">
        <v>40</v>
      </c>
      <c r="D280" t="s">
        <v>16</v>
      </c>
      <c r="E280" t="str">
        <f t="shared" si="4"/>
        <v>1240EN03PT</v>
      </c>
      <c r="F280">
        <f>VLOOKUP(B280,[1]Course!$A$2:$R$329,2,FALSE)</f>
        <v>0</v>
      </c>
      <c r="G280">
        <f>VLOOKUP(B280, [1]Course!$A$2:$L$950, 8, FALSE)</f>
        <v>12</v>
      </c>
      <c r="H280">
        <v>3</v>
      </c>
      <c r="I280">
        <v>1</v>
      </c>
      <c r="M280" t="str">
        <f>VLOOKUP(B280, [1]Course!$A$1:$O$933, 12, FALSE)</f>
        <v>LA</v>
      </c>
      <c r="N280" t="s">
        <v>14</v>
      </c>
      <c r="O280" t="str">
        <f>VLOOKUP(B280, [1]Course!$A$1:$O$933, 14, FALSE)</f>
        <v>EN</v>
      </c>
      <c r="P280">
        <v>1</v>
      </c>
    </row>
    <row r="281" spans="1:16" x14ac:dyDescent="0.25">
      <c r="A281">
        <v>280</v>
      </c>
      <c r="B281">
        <v>24</v>
      </c>
      <c r="C281">
        <v>41</v>
      </c>
      <c r="D281" t="s">
        <v>16</v>
      </c>
      <c r="E281" t="str">
        <f t="shared" si="4"/>
        <v>1241EN03PT</v>
      </c>
      <c r="F281">
        <f>VLOOKUP(B281,[1]Course!$A$2:$R$329,2,FALSE)</f>
        <v>0</v>
      </c>
      <c r="G281">
        <f>VLOOKUP(B281, [1]Course!$A$2:$L$950, 8, FALSE)</f>
        <v>12</v>
      </c>
      <c r="H281">
        <v>3</v>
      </c>
      <c r="I281">
        <v>1</v>
      </c>
      <c r="M281" t="str">
        <f>VLOOKUP(B281, [1]Course!$A$1:$O$933, 12, FALSE)</f>
        <v>LA</v>
      </c>
      <c r="N281" t="s">
        <v>14</v>
      </c>
      <c r="O281" t="str">
        <f>VLOOKUP(B281, [1]Course!$A$1:$O$933, 14, FALSE)</f>
        <v>EN</v>
      </c>
      <c r="P281">
        <v>1</v>
      </c>
    </row>
    <row r="282" spans="1:16" x14ac:dyDescent="0.25">
      <c r="A282">
        <v>281</v>
      </c>
      <c r="B282">
        <v>24</v>
      </c>
      <c r="C282">
        <v>42</v>
      </c>
      <c r="D282" t="s">
        <v>16</v>
      </c>
      <c r="E282" t="str">
        <f t="shared" si="4"/>
        <v>1242EN03PT</v>
      </c>
      <c r="F282">
        <f>VLOOKUP(B282,[1]Course!$A$2:$R$329,2,FALSE)</f>
        <v>0</v>
      </c>
      <c r="G282">
        <f>VLOOKUP(B282, [1]Course!$A$2:$L$950, 8, FALSE)</f>
        <v>12</v>
      </c>
      <c r="H282">
        <v>3</v>
      </c>
      <c r="I282">
        <v>1</v>
      </c>
      <c r="M282" t="str">
        <f>VLOOKUP(B282, [1]Course!$A$1:$O$933, 12, FALSE)</f>
        <v>LA</v>
      </c>
      <c r="N282" t="s">
        <v>14</v>
      </c>
      <c r="O282" t="str">
        <f>VLOOKUP(B282, [1]Course!$A$1:$O$933, 14, FALSE)</f>
        <v>EN</v>
      </c>
      <c r="P282">
        <v>1</v>
      </c>
    </row>
    <row r="283" spans="1:16" x14ac:dyDescent="0.25">
      <c r="A283">
        <v>282</v>
      </c>
      <c r="B283">
        <v>24</v>
      </c>
      <c r="C283">
        <v>43</v>
      </c>
      <c r="D283" t="s">
        <v>16</v>
      </c>
      <c r="E283" t="str">
        <f t="shared" si="4"/>
        <v>1243EN03PT</v>
      </c>
      <c r="F283">
        <f>VLOOKUP(B283,[1]Course!$A$2:$R$329,2,FALSE)</f>
        <v>0</v>
      </c>
      <c r="G283">
        <f>VLOOKUP(B283, [1]Course!$A$2:$L$950, 8, FALSE)</f>
        <v>12</v>
      </c>
      <c r="H283">
        <v>3</v>
      </c>
      <c r="I283">
        <v>1</v>
      </c>
      <c r="M283" t="str">
        <f>VLOOKUP(B283, [1]Course!$A$1:$O$933, 12, FALSE)</f>
        <v>LA</v>
      </c>
      <c r="N283" t="s">
        <v>14</v>
      </c>
      <c r="O283" t="str">
        <f>VLOOKUP(B283, [1]Course!$A$1:$O$933, 14, FALSE)</f>
        <v>EN</v>
      </c>
      <c r="P283">
        <v>1</v>
      </c>
    </row>
    <row r="284" spans="1:16" x14ac:dyDescent="0.25">
      <c r="A284">
        <v>283</v>
      </c>
      <c r="B284">
        <v>24</v>
      </c>
      <c r="C284">
        <v>44</v>
      </c>
      <c r="D284" t="s">
        <v>16</v>
      </c>
      <c r="E284" t="str">
        <f t="shared" si="4"/>
        <v>1244EN03PT</v>
      </c>
      <c r="F284">
        <f>VLOOKUP(B284,[1]Course!$A$2:$R$329,2,FALSE)</f>
        <v>0</v>
      </c>
      <c r="G284">
        <f>VLOOKUP(B284, [1]Course!$A$2:$L$950, 8, FALSE)</f>
        <v>12</v>
      </c>
      <c r="H284">
        <v>3</v>
      </c>
      <c r="I284">
        <v>1</v>
      </c>
      <c r="M284" t="str">
        <f>VLOOKUP(B284, [1]Course!$A$1:$O$933, 12, FALSE)</f>
        <v>LA</v>
      </c>
      <c r="N284" t="s">
        <v>14</v>
      </c>
      <c r="O284" t="str">
        <f>VLOOKUP(B284, [1]Course!$A$1:$O$933, 14, FALSE)</f>
        <v>EN</v>
      </c>
      <c r="P284">
        <v>1</v>
      </c>
    </row>
    <row r="285" spans="1:16" x14ac:dyDescent="0.25">
      <c r="A285">
        <v>284</v>
      </c>
      <c r="B285">
        <v>24</v>
      </c>
      <c r="C285">
        <v>45</v>
      </c>
      <c r="D285" t="s">
        <v>16</v>
      </c>
      <c r="E285" t="str">
        <f t="shared" si="4"/>
        <v>1245EN03PT</v>
      </c>
      <c r="F285">
        <f>VLOOKUP(B285,[1]Course!$A$2:$R$329,2,FALSE)</f>
        <v>0</v>
      </c>
      <c r="G285">
        <f>VLOOKUP(B285, [1]Course!$A$2:$L$950, 8, FALSE)</f>
        <v>12</v>
      </c>
      <c r="H285">
        <v>3</v>
      </c>
      <c r="I285">
        <v>1</v>
      </c>
      <c r="M285" t="str">
        <f>VLOOKUP(B285, [1]Course!$A$1:$O$933, 12, FALSE)</f>
        <v>LA</v>
      </c>
      <c r="N285" t="s">
        <v>14</v>
      </c>
      <c r="O285" t="str">
        <f>VLOOKUP(B285, [1]Course!$A$1:$O$933, 14, FALSE)</f>
        <v>EN</v>
      </c>
      <c r="P285">
        <v>1</v>
      </c>
    </row>
    <row r="286" spans="1:16" x14ac:dyDescent="0.25">
      <c r="A286">
        <v>285</v>
      </c>
      <c r="B286">
        <v>24</v>
      </c>
      <c r="C286">
        <v>46</v>
      </c>
      <c r="D286" t="s">
        <v>16</v>
      </c>
      <c r="E286" t="str">
        <f t="shared" si="4"/>
        <v>1246EN03PT</v>
      </c>
      <c r="F286">
        <f>VLOOKUP(B286,[1]Course!$A$2:$R$329,2,FALSE)</f>
        <v>0</v>
      </c>
      <c r="G286">
        <f>VLOOKUP(B286, [1]Course!$A$2:$L$950, 8, FALSE)</f>
        <v>12</v>
      </c>
      <c r="H286">
        <v>3</v>
      </c>
      <c r="I286">
        <v>1</v>
      </c>
      <c r="M286" t="str">
        <f>VLOOKUP(B286, [1]Course!$A$1:$O$933, 12, FALSE)</f>
        <v>LA</v>
      </c>
      <c r="N286" t="s">
        <v>14</v>
      </c>
      <c r="O286" t="str">
        <f>VLOOKUP(B286, [1]Course!$A$1:$O$933, 14, FALSE)</f>
        <v>EN</v>
      </c>
      <c r="P286">
        <v>1</v>
      </c>
    </row>
    <row r="287" spans="1:16" x14ac:dyDescent="0.25">
      <c r="A287">
        <v>286</v>
      </c>
      <c r="B287">
        <v>24</v>
      </c>
      <c r="C287">
        <v>47</v>
      </c>
      <c r="D287" t="s">
        <v>16</v>
      </c>
      <c r="E287" t="str">
        <f t="shared" si="4"/>
        <v>1247EN03PT</v>
      </c>
      <c r="F287">
        <f>VLOOKUP(B287,[1]Course!$A$2:$R$329,2,FALSE)</f>
        <v>0</v>
      </c>
      <c r="G287">
        <f>VLOOKUP(B287, [1]Course!$A$2:$L$950, 8, FALSE)</f>
        <v>12</v>
      </c>
      <c r="H287">
        <v>3</v>
      </c>
      <c r="I287">
        <v>1</v>
      </c>
      <c r="M287" t="str">
        <f>VLOOKUP(B287, [1]Course!$A$1:$O$933, 12, FALSE)</f>
        <v>LA</v>
      </c>
      <c r="N287" t="s">
        <v>14</v>
      </c>
      <c r="O287" t="str">
        <f>VLOOKUP(B287, [1]Course!$A$1:$O$933, 14, FALSE)</f>
        <v>EN</v>
      </c>
      <c r="P287">
        <v>1</v>
      </c>
    </row>
    <row r="288" spans="1:16" x14ac:dyDescent="0.25">
      <c r="A288">
        <v>287</v>
      </c>
      <c r="B288">
        <v>24</v>
      </c>
      <c r="C288">
        <v>48</v>
      </c>
      <c r="D288" t="s">
        <v>16</v>
      </c>
      <c r="E288" t="str">
        <f t="shared" si="4"/>
        <v>1248EN03PT</v>
      </c>
      <c r="F288">
        <f>VLOOKUP(B288,[1]Course!$A$2:$R$329,2,FALSE)</f>
        <v>0</v>
      </c>
      <c r="G288">
        <f>VLOOKUP(B288, [1]Course!$A$2:$L$950, 8, FALSE)</f>
        <v>12</v>
      </c>
      <c r="H288">
        <v>3</v>
      </c>
      <c r="I288">
        <v>1</v>
      </c>
      <c r="M288" t="str">
        <f>VLOOKUP(B288, [1]Course!$A$1:$O$933, 12, FALSE)</f>
        <v>LA</v>
      </c>
      <c r="N288" t="s">
        <v>14</v>
      </c>
      <c r="O288" t="str">
        <f>VLOOKUP(B288, [1]Course!$A$1:$O$933, 14, FALSE)</f>
        <v>EN</v>
      </c>
      <c r="P288">
        <v>1</v>
      </c>
    </row>
    <row r="289" spans="1:16" x14ac:dyDescent="0.25">
      <c r="A289">
        <v>288</v>
      </c>
      <c r="B289">
        <v>25</v>
      </c>
      <c r="C289">
        <v>37</v>
      </c>
      <c r="D289" t="s">
        <v>17</v>
      </c>
      <c r="E289" t="str">
        <f t="shared" si="4"/>
        <v>1237WB03PT</v>
      </c>
      <c r="F289">
        <f>VLOOKUP(B289,[1]Course!$A$2:$R$329,2,FALSE)</f>
        <v>0</v>
      </c>
      <c r="G289">
        <f>VLOOKUP(B289, [1]Course!$A$2:$L$950, 8, FALSE)</f>
        <v>12</v>
      </c>
      <c r="H289">
        <v>3</v>
      </c>
      <c r="I289">
        <v>1</v>
      </c>
      <c r="M289" t="str">
        <f>VLOOKUP(B289, [1]Course!$A$1:$O$933, 12, FALSE)</f>
        <v>WB</v>
      </c>
      <c r="N289" t="s">
        <v>14</v>
      </c>
      <c r="O289" t="str">
        <f>VLOOKUP(B289, [1]Course!$A$1:$O$933, 14, FALSE)</f>
        <v>WB</v>
      </c>
      <c r="P289">
        <v>1</v>
      </c>
    </row>
    <row r="290" spans="1:16" x14ac:dyDescent="0.25">
      <c r="A290">
        <v>289</v>
      </c>
      <c r="B290">
        <v>25</v>
      </c>
      <c r="C290">
        <v>38</v>
      </c>
      <c r="D290" t="s">
        <v>17</v>
      </c>
      <c r="E290" t="str">
        <f t="shared" si="4"/>
        <v>1238WB03PT</v>
      </c>
      <c r="F290">
        <f>VLOOKUP(B290,[1]Course!$A$2:$R$329,2,FALSE)</f>
        <v>0</v>
      </c>
      <c r="G290">
        <f>VLOOKUP(B290, [1]Course!$A$2:$L$950, 8, FALSE)</f>
        <v>12</v>
      </c>
      <c r="H290">
        <v>3</v>
      </c>
      <c r="I290">
        <v>1</v>
      </c>
      <c r="M290" t="str">
        <f>VLOOKUP(B290, [1]Course!$A$1:$O$933, 12, FALSE)</f>
        <v>WB</v>
      </c>
      <c r="N290" t="s">
        <v>14</v>
      </c>
      <c r="O290" t="str">
        <f>VLOOKUP(B290, [1]Course!$A$1:$O$933, 14, FALSE)</f>
        <v>WB</v>
      </c>
      <c r="P290">
        <v>1</v>
      </c>
    </row>
    <row r="291" spans="1:16" x14ac:dyDescent="0.25">
      <c r="A291">
        <v>290</v>
      </c>
      <c r="B291">
        <v>25</v>
      </c>
      <c r="C291">
        <v>39</v>
      </c>
      <c r="D291" t="s">
        <v>17</v>
      </c>
      <c r="E291" t="str">
        <f t="shared" si="4"/>
        <v>1239WB03PT</v>
      </c>
      <c r="F291">
        <f>VLOOKUP(B291,[1]Course!$A$2:$R$329,2,FALSE)</f>
        <v>0</v>
      </c>
      <c r="G291">
        <f>VLOOKUP(B291, [1]Course!$A$2:$L$950, 8, FALSE)</f>
        <v>12</v>
      </c>
      <c r="H291">
        <v>3</v>
      </c>
      <c r="I291">
        <v>1</v>
      </c>
      <c r="M291" t="str">
        <f>VLOOKUP(B291, [1]Course!$A$1:$O$933, 12, FALSE)</f>
        <v>WB</v>
      </c>
      <c r="N291" t="s">
        <v>14</v>
      </c>
      <c r="O291" t="str">
        <f>VLOOKUP(B291, [1]Course!$A$1:$O$933, 14, FALSE)</f>
        <v>WB</v>
      </c>
      <c r="P291">
        <v>1</v>
      </c>
    </row>
    <row r="292" spans="1:16" x14ac:dyDescent="0.25">
      <c r="A292">
        <v>291</v>
      </c>
      <c r="B292">
        <v>25</v>
      </c>
      <c r="C292">
        <v>40</v>
      </c>
      <c r="D292" t="s">
        <v>17</v>
      </c>
      <c r="E292" t="str">
        <f t="shared" si="4"/>
        <v>1240WB03PT</v>
      </c>
      <c r="F292">
        <f>VLOOKUP(B292,[1]Course!$A$2:$R$329,2,FALSE)</f>
        <v>0</v>
      </c>
      <c r="G292">
        <f>VLOOKUP(B292, [1]Course!$A$2:$L$950, 8, FALSE)</f>
        <v>12</v>
      </c>
      <c r="H292">
        <v>3</v>
      </c>
      <c r="I292">
        <v>1</v>
      </c>
      <c r="M292" t="str">
        <f>VLOOKUP(B292, [1]Course!$A$1:$O$933, 12, FALSE)</f>
        <v>WB</v>
      </c>
      <c r="N292" t="s">
        <v>14</v>
      </c>
      <c r="O292" t="str">
        <f>VLOOKUP(B292, [1]Course!$A$1:$O$933, 14, FALSE)</f>
        <v>WB</v>
      </c>
      <c r="P292">
        <v>1</v>
      </c>
    </row>
    <row r="293" spans="1:16" x14ac:dyDescent="0.25">
      <c r="A293">
        <v>292</v>
      </c>
      <c r="B293">
        <v>25</v>
      </c>
      <c r="C293">
        <v>41</v>
      </c>
      <c r="D293" t="s">
        <v>17</v>
      </c>
      <c r="E293" t="str">
        <f t="shared" si="4"/>
        <v>1241WB03PT</v>
      </c>
      <c r="F293">
        <f>VLOOKUP(B293,[1]Course!$A$2:$R$329,2,FALSE)</f>
        <v>0</v>
      </c>
      <c r="G293">
        <f>VLOOKUP(B293, [1]Course!$A$2:$L$950, 8, FALSE)</f>
        <v>12</v>
      </c>
      <c r="H293">
        <v>3</v>
      </c>
      <c r="I293">
        <v>1</v>
      </c>
      <c r="M293" t="str">
        <f>VLOOKUP(B293, [1]Course!$A$1:$O$933, 12, FALSE)</f>
        <v>WB</v>
      </c>
      <c r="N293" t="s">
        <v>14</v>
      </c>
      <c r="O293" t="str">
        <f>VLOOKUP(B293, [1]Course!$A$1:$O$933, 14, FALSE)</f>
        <v>WB</v>
      </c>
      <c r="P293">
        <v>1</v>
      </c>
    </row>
    <row r="294" spans="1:16" x14ac:dyDescent="0.25">
      <c r="A294">
        <v>293</v>
      </c>
      <c r="B294">
        <v>25</v>
      </c>
      <c r="C294">
        <v>42</v>
      </c>
      <c r="D294" t="s">
        <v>17</v>
      </c>
      <c r="E294" t="str">
        <f t="shared" si="4"/>
        <v>1242WB03PT</v>
      </c>
      <c r="F294">
        <f>VLOOKUP(B294,[1]Course!$A$2:$R$329,2,FALSE)</f>
        <v>0</v>
      </c>
      <c r="G294">
        <f>VLOOKUP(B294, [1]Course!$A$2:$L$950, 8, FALSE)</f>
        <v>12</v>
      </c>
      <c r="H294">
        <v>3</v>
      </c>
      <c r="I294">
        <v>1</v>
      </c>
      <c r="M294" t="str">
        <f>VLOOKUP(B294, [1]Course!$A$1:$O$933, 12, FALSE)</f>
        <v>WB</v>
      </c>
      <c r="N294" t="s">
        <v>14</v>
      </c>
      <c r="O294" t="str">
        <f>VLOOKUP(B294, [1]Course!$A$1:$O$933, 14, FALSE)</f>
        <v>WB</v>
      </c>
      <c r="P294">
        <v>1</v>
      </c>
    </row>
    <row r="295" spans="1:16" x14ac:dyDescent="0.25">
      <c r="A295">
        <v>294</v>
      </c>
      <c r="B295">
        <v>25</v>
      </c>
      <c r="C295">
        <v>43</v>
      </c>
      <c r="D295" t="s">
        <v>17</v>
      </c>
      <c r="E295" t="str">
        <f t="shared" si="4"/>
        <v>1243WB03PT</v>
      </c>
      <c r="F295">
        <f>VLOOKUP(B295,[1]Course!$A$2:$R$329,2,FALSE)</f>
        <v>0</v>
      </c>
      <c r="G295">
        <f>VLOOKUP(B295, [1]Course!$A$2:$L$950, 8, FALSE)</f>
        <v>12</v>
      </c>
      <c r="H295">
        <v>3</v>
      </c>
      <c r="I295">
        <v>1</v>
      </c>
      <c r="M295" t="str">
        <f>VLOOKUP(B295, [1]Course!$A$1:$O$933, 12, FALSE)</f>
        <v>WB</v>
      </c>
      <c r="N295" t="s">
        <v>14</v>
      </c>
      <c r="O295" t="str">
        <f>VLOOKUP(B295, [1]Course!$A$1:$O$933, 14, FALSE)</f>
        <v>WB</v>
      </c>
      <c r="P295">
        <v>1</v>
      </c>
    </row>
    <row r="296" spans="1:16" x14ac:dyDescent="0.25">
      <c r="A296">
        <v>295</v>
      </c>
      <c r="B296">
        <v>25</v>
      </c>
      <c r="C296">
        <v>44</v>
      </c>
      <c r="D296" t="s">
        <v>17</v>
      </c>
      <c r="E296" t="str">
        <f t="shared" si="4"/>
        <v>1244WB03PT</v>
      </c>
      <c r="F296">
        <f>VLOOKUP(B296,[1]Course!$A$2:$R$329,2,FALSE)</f>
        <v>0</v>
      </c>
      <c r="G296">
        <f>VLOOKUP(B296, [1]Course!$A$2:$L$950, 8, FALSE)</f>
        <v>12</v>
      </c>
      <c r="H296">
        <v>3</v>
      </c>
      <c r="I296">
        <v>1</v>
      </c>
      <c r="M296" t="str">
        <f>VLOOKUP(B296, [1]Course!$A$1:$O$933, 12, FALSE)</f>
        <v>WB</v>
      </c>
      <c r="N296" t="s">
        <v>14</v>
      </c>
      <c r="O296" t="str">
        <f>VLOOKUP(B296, [1]Course!$A$1:$O$933, 14, FALSE)</f>
        <v>WB</v>
      </c>
      <c r="P296">
        <v>1</v>
      </c>
    </row>
    <row r="297" spans="1:16" x14ac:dyDescent="0.25">
      <c r="A297">
        <v>296</v>
      </c>
      <c r="B297">
        <v>25</v>
      </c>
      <c r="C297">
        <v>45</v>
      </c>
      <c r="D297" t="s">
        <v>17</v>
      </c>
      <c r="E297" t="str">
        <f t="shared" si="4"/>
        <v>1245WB03PT</v>
      </c>
      <c r="F297">
        <f>VLOOKUP(B297,[1]Course!$A$2:$R$329,2,FALSE)</f>
        <v>0</v>
      </c>
      <c r="G297">
        <f>VLOOKUP(B297, [1]Course!$A$2:$L$950, 8, FALSE)</f>
        <v>12</v>
      </c>
      <c r="H297">
        <v>3</v>
      </c>
      <c r="I297">
        <v>1</v>
      </c>
      <c r="M297" t="str">
        <f>VLOOKUP(B297, [1]Course!$A$1:$O$933, 12, FALSE)</f>
        <v>WB</v>
      </c>
      <c r="N297" t="s">
        <v>14</v>
      </c>
      <c r="O297" t="str">
        <f>VLOOKUP(B297, [1]Course!$A$1:$O$933, 14, FALSE)</f>
        <v>WB</v>
      </c>
      <c r="P297">
        <v>1</v>
      </c>
    </row>
    <row r="298" spans="1:16" x14ac:dyDescent="0.25">
      <c r="A298">
        <v>297</v>
      </c>
      <c r="B298">
        <v>25</v>
      </c>
      <c r="C298">
        <v>46</v>
      </c>
      <c r="D298" t="s">
        <v>17</v>
      </c>
      <c r="E298" t="str">
        <f t="shared" si="4"/>
        <v>1246WB03PT</v>
      </c>
      <c r="F298">
        <f>VLOOKUP(B298,[1]Course!$A$2:$R$329,2,FALSE)</f>
        <v>0</v>
      </c>
      <c r="G298">
        <f>VLOOKUP(B298, [1]Course!$A$2:$L$950, 8, FALSE)</f>
        <v>12</v>
      </c>
      <c r="H298">
        <v>3</v>
      </c>
      <c r="I298">
        <v>1</v>
      </c>
      <c r="M298" t="str">
        <f>VLOOKUP(B298, [1]Course!$A$1:$O$933, 12, FALSE)</f>
        <v>WB</v>
      </c>
      <c r="N298" t="s">
        <v>14</v>
      </c>
      <c r="O298" t="str">
        <f>VLOOKUP(B298, [1]Course!$A$1:$O$933, 14, FALSE)</f>
        <v>WB</v>
      </c>
      <c r="P298">
        <v>1</v>
      </c>
    </row>
    <row r="299" spans="1:16" x14ac:dyDescent="0.25">
      <c r="A299">
        <v>298</v>
      </c>
      <c r="B299">
        <v>25</v>
      </c>
      <c r="C299">
        <v>47</v>
      </c>
      <c r="D299" t="s">
        <v>17</v>
      </c>
      <c r="E299" t="str">
        <f t="shared" si="4"/>
        <v>1247WB03PT</v>
      </c>
      <c r="F299">
        <f>VLOOKUP(B299,[1]Course!$A$2:$R$329,2,FALSE)</f>
        <v>0</v>
      </c>
      <c r="G299">
        <f>VLOOKUP(B299, [1]Course!$A$2:$L$950, 8, FALSE)</f>
        <v>12</v>
      </c>
      <c r="H299">
        <v>3</v>
      </c>
      <c r="I299">
        <v>1</v>
      </c>
      <c r="M299" t="str">
        <f>VLOOKUP(B299, [1]Course!$A$1:$O$933, 12, FALSE)</f>
        <v>WB</v>
      </c>
      <c r="N299" t="s">
        <v>14</v>
      </c>
      <c r="O299" t="str">
        <f>VLOOKUP(B299, [1]Course!$A$1:$O$933, 14, FALSE)</f>
        <v>WB</v>
      </c>
      <c r="P299">
        <v>1</v>
      </c>
    </row>
    <row r="300" spans="1:16" x14ac:dyDescent="0.25">
      <c r="A300">
        <v>299</v>
      </c>
      <c r="B300">
        <v>25</v>
      </c>
      <c r="C300">
        <v>48</v>
      </c>
      <c r="D300" t="s">
        <v>17</v>
      </c>
      <c r="E300" t="str">
        <f t="shared" si="4"/>
        <v>1248WB03PT</v>
      </c>
      <c r="F300">
        <f>VLOOKUP(B300,[1]Course!$A$2:$R$329,2,FALSE)</f>
        <v>0</v>
      </c>
      <c r="G300">
        <f>VLOOKUP(B300, [1]Course!$A$2:$L$950, 8, FALSE)</f>
        <v>12</v>
      </c>
      <c r="H300">
        <v>3</v>
      </c>
      <c r="I300">
        <v>1</v>
      </c>
      <c r="M300" t="str">
        <f>VLOOKUP(B300, [1]Course!$A$1:$O$933, 12, FALSE)</f>
        <v>WB</v>
      </c>
      <c r="N300" t="s">
        <v>14</v>
      </c>
      <c r="O300" t="str">
        <f>VLOOKUP(B300, [1]Course!$A$1:$O$933, 14, FALSE)</f>
        <v>WB</v>
      </c>
      <c r="P300">
        <v>1</v>
      </c>
    </row>
    <row r="301" spans="1:16" x14ac:dyDescent="0.25">
      <c r="A301">
        <v>300</v>
      </c>
      <c r="B301">
        <v>26</v>
      </c>
      <c r="C301">
        <v>37</v>
      </c>
      <c r="D301" t="s">
        <v>18</v>
      </c>
      <c r="E301" t="str">
        <f t="shared" si="4"/>
        <v>1237LC03PT</v>
      </c>
      <c r="F301">
        <f>VLOOKUP(B301,[1]Course!$A$2:$R$329,2,FALSE)</f>
        <v>0</v>
      </c>
      <c r="G301">
        <f>VLOOKUP(B301, [1]Course!$A$2:$L$950, 8, FALSE)</f>
        <v>12</v>
      </c>
      <c r="H301">
        <v>3</v>
      </c>
      <c r="I301">
        <v>1</v>
      </c>
      <c r="M301" t="str">
        <f>VLOOKUP(B301, [1]Course!$A$1:$O$933, 12, FALSE)</f>
        <v>LI</v>
      </c>
      <c r="N301" t="s">
        <v>14</v>
      </c>
      <c r="O301" t="str">
        <f>VLOOKUP(B301, [1]Course!$A$1:$O$933, 14, FALSE)</f>
        <v>LC</v>
      </c>
      <c r="P301">
        <v>1</v>
      </c>
    </row>
    <row r="302" spans="1:16" x14ac:dyDescent="0.25">
      <c r="A302">
        <v>301</v>
      </c>
      <c r="B302">
        <v>26</v>
      </c>
      <c r="C302">
        <v>38</v>
      </c>
      <c r="D302" t="s">
        <v>18</v>
      </c>
      <c r="E302" t="str">
        <f t="shared" si="4"/>
        <v>1238LC03PT</v>
      </c>
      <c r="F302">
        <f>VLOOKUP(B302,[1]Course!$A$2:$R$329,2,FALSE)</f>
        <v>0</v>
      </c>
      <c r="G302">
        <f>VLOOKUP(B302, [1]Course!$A$2:$L$950, 8, FALSE)</f>
        <v>12</v>
      </c>
      <c r="H302">
        <v>3</v>
      </c>
      <c r="I302">
        <v>1</v>
      </c>
      <c r="M302" t="str">
        <f>VLOOKUP(B302, [1]Course!$A$1:$O$933, 12, FALSE)</f>
        <v>LI</v>
      </c>
      <c r="N302" t="s">
        <v>14</v>
      </c>
      <c r="O302" t="str">
        <f>VLOOKUP(B302, [1]Course!$A$1:$O$933, 14, FALSE)</f>
        <v>LC</v>
      </c>
      <c r="P302">
        <v>1</v>
      </c>
    </row>
    <row r="303" spans="1:16" x14ac:dyDescent="0.25">
      <c r="A303">
        <v>302</v>
      </c>
      <c r="B303">
        <v>26</v>
      </c>
      <c r="C303">
        <v>39</v>
      </c>
      <c r="D303" t="s">
        <v>18</v>
      </c>
      <c r="E303" t="str">
        <f t="shared" si="4"/>
        <v>1239LC03PT</v>
      </c>
      <c r="F303">
        <f>VLOOKUP(B303,[1]Course!$A$2:$R$329,2,FALSE)</f>
        <v>0</v>
      </c>
      <c r="G303">
        <f>VLOOKUP(B303, [1]Course!$A$2:$L$950, 8, FALSE)</f>
        <v>12</v>
      </c>
      <c r="H303">
        <v>3</v>
      </c>
      <c r="I303">
        <v>1</v>
      </c>
      <c r="M303" t="str">
        <f>VLOOKUP(B303, [1]Course!$A$1:$O$933, 12, FALSE)</f>
        <v>LI</v>
      </c>
      <c r="N303" t="s">
        <v>14</v>
      </c>
      <c r="O303" t="str">
        <f>VLOOKUP(B303, [1]Course!$A$1:$O$933, 14, FALSE)</f>
        <v>LC</v>
      </c>
      <c r="P303">
        <v>1</v>
      </c>
    </row>
    <row r="304" spans="1:16" x14ac:dyDescent="0.25">
      <c r="A304">
        <v>303</v>
      </c>
      <c r="B304">
        <v>26</v>
      </c>
      <c r="C304">
        <v>40</v>
      </c>
      <c r="D304" t="s">
        <v>18</v>
      </c>
      <c r="E304" t="str">
        <f t="shared" si="4"/>
        <v>1240LC03PT</v>
      </c>
      <c r="F304">
        <f>VLOOKUP(B304,[1]Course!$A$2:$R$329,2,FALSE)</f>
        <v>0</v>
      </c>
      <c r="G304">
        <f>VLOOKUP(B304, [1]Course!$A$2:$L$950, 8, FALSE)</f>
        <v>12</v>
      </c>
      <c r="H304">
        <v>3</v>
      </c>
      <c r="I304">
        <v>1</v>
      </c>
      <c r="M304" t="str">
        <f>VLOOKUP(B304, [1]Course!$A$1:$O$933, 12, FALSE)</f>
        <v>LI</v>
      </c>
      <c r="N304" t="s">
        <v>14</v>
      </c>
      <c r="O304" t="str">
        <f>VLOOKUP(B304, [1]Course!$A$1:$O$933, 14, FALSE)</f>
        <v>LC</v>
      </c>
      <c r="P304">
        <v>1</v>
      </c>
    </row>
    <row r="305" spans="1:16" x14ac:dyDescent="0.25">
      <c r="A305">
        <v>304</v>
      </c>
      <c r="B305">
        <v>26</v>
      </c>
      <c r="C305">
        <v>41</v>
      </c>
      <c r="D305" t="s">
        <v>18</v>
      </c>
      <c r="E305" t="str">
        <f t="shared" si="4"/>
        <v>1241LC03PT</v>
      </c>
      <c r="F305">
        <f>VLOOKUP(B305,[1]Course!$A$2:$R$329,2,FALSE)</f>
        <v>0</v>
      </c>
      <c r="G305">
        <f>VLOOKUP(B305, [1]Course!$A$2:$L$950, 8, FALSE)</f>
        <v>12</v>
      </c>
      <c r="H305">
        <v>3</v>
      </c>
      <c r="I305">
        <v>1</v>
      </c>
      <c r="M305" t="str">
        <f>VLOOKUP(B305, [1]Course!$A$1:$O$933, 12, FALSE)</f>
        <v>LI</v>
      </c>
      <c r="N305" t="s">
        <v>14</v>
      </c>
      <c r="O305" t="str">
        <f>VLOOKUP(B305, [1]Course!$A$1:$O$933, 14, FALSE)</f>
        <v>LC</v>
      </c>
      <c r="P305">
        <v>1</v>
      </c>
    </row>
    <row r="306" spans="1:16" x14ac:dyDescent="0.25">
      <c r="A306">
        <v>305</v>
      </c>
      <c r="B306">
        <v>26</v>
      </c>
      <c r="C306">
        <v>42</v>
      </c>
      <c r="D306" t="s">
        <v>18</v>
      </c>
      <c r="E306" t="str">
        <f t="shared" si="4"/>
        <v>1242LC03PT</v>
      </c>
      <c r="F306">
        <f>VLOOKUP(B306,[1]Course!$A$2:$R$329,2,FALSE)</f>
        <v>0</v>
      </c>
      <c r="G306">
        <f>VLOOKUP(B306, [1]Course!$A$2:$L$950, 8, FALSE)</f>
        <v>12</v>
      </c>
      <c r="H306">
        <v>3</v>
      </c>
      <c r="I306">
        <v>1</v>
      </c>
      <c r="M306" t="str">
        <f>VLOOKUP(B306, [1]Course!$A$1:$O$933, 12, FALSE)</f>
        <v>LI</v>
      </c>
      <c r="N306" t="s">
        <v>14</v>
      </c>
      <c r="O306" t="str">
        <f>VLOOKUP(B306, [1]Course!$A$1:$O$933, 14, FALSE)</f>
        <v>LC</v>
      </c>
      <c r="P306">
        <v>1</v>
      </c>
    </row>
    <row r="307" spans="1:16" x14ac:dyDescent="0.25">
      <c r="A307">
        <v>306</v>
      </c>
      <c r="B307">
        <v>26</v>
      </c>
      <c r="C307">
        <v>43</v>
      </c>
      <c r="D307" t="s">
        <v>18</v>
      </c>
      <c r="E307" t="str">
        <f t="shared" si="4"/>
        <v>1243LC03PT</v>
      </c>
      <c r="F307">
        <f>VLOOKUP(B307,[1]Course!$A$2:$R$329,2,FALSE)</f>
        <v>0</v>
      </c>
      <c r="G307">
        <f>VLOOKUP(B307, [1]Course!$A$2:$L$950, 8, FALSE)</f>
        <v>12</v>
      </c>
      <c r="H307">
        <v>3</v>
      </c>
      <c r="I307">
        <v>1</v>
      </c>
      <c r="M307" t="str">
        <f>VLOOKUP(B307, [1]Course!$A$1:$O$933, 12, FALSE)</f>
        <v>LI</v>
      </c>
      <c r="N307" t="s">
        <v>14</v>
      </c>
      <c r="O307" t="str">
        <f>VLOOKUP(B307, [1]Course!$A$1:$O$933, 14, FALSE)</f>
        <v>LC</v>
      </c>
      <c r="P307">
        <v>1</v>
      </c>
    </row>
    <row r="308" spans="1:16" x14ac:dyDescent="0.25">
      <c r="A308">
        <v>307</v>
      </c>
      <c r="B308">
        <v>26</v>
      </c>
      <c r="C308">
        <v>44</v>
      </c>
      <c r="D308" t="s">
        <v>18</v>
      </c>
      <c r="E308" t="str">
        <f t="shared" si="4"/>
        <v>1244LC03PT</v>
      </c>
      <c r="F308">
        <f>VLOOKUP(B308,[1]Course!$A$2:$R$329,2,FALSE)</f>
        <v>0</v>
      </c>
      <c r="G308">
        <f>VLOOKUP(B308, [1]Course!$A$2:$L$950, 8, FALSE)</f>
        <v>12</v>
      </c>
      <c r="H308">
        <v>3</v>
      </c>
      <c r="I308">
        <v>1</v>
      </c>
      <c r="M308" t="str">
        <f>VLOOKUP(B308, [1]Course!$A$1:$O$933, 12, FALSE)</f>
        <v>LI</v>
      </c>
      <c r="N308" t="s">
        <v>14</v>
      </c>
      <c r="O308" t="str">
        <f>VLOOKUP(B308, [1]Course!$A$1:$O$933, 14, FALSE)</f>
        <v>LC</v>
      </c>
      <c r="P308">
        <v>1</v>
      </c>
    </row>
    <row r="309" spans="1:16" x14ac:dyDescent="0.25">
      <c r="A309">
        <v>308</v>
      </c>
      <c r="B309">
        <v>26</v>
      </c>
      <c r="C309">
        <v>45</v>
      </c>
      <c r="D309" t="s">
        <v>18</v>
      </c>
      <c r="E309" t="str">
        <f t="shared" si="4"/>
        <v>1245LC03PT</v>
      </c>
      <c r="F309">
        <f>VLOOKUP(B309,[1]Course!$A$2:$R$329,2,FALSE)</f>
        <v>0</v>
      </c>
      <c r="G309">
        <f>VLOOKUP(B309, [1]Course!$A$2:$L$950, 8, FALSE)</f>
        <v>12</v>
      </c>
      <c r="H309">
        <v>3</v>
      </c>
      <c r="I309">
        <v>1</v>
      </c>
      <c r="M309" t="str">
        <f>VLOOKUP(B309, [1]Course!$A$1:$O$933, 12, FALSE)</f>
        <v>LI</v>
      </c>
      <c r="N309" t="s">
        <v>14</v>
      </c>
      <c r="O309" t="str">
        <f>VLOOKUP(B309, [1]Course!$A$1:$O$933, 14, FALSE)</f>
        <v>LC</v>
      </c>
      <c r="P309">
        <v>1</v>
      </c>
    </row>
    <row r="310" spans="1:16" x14ac:dyDescent="0.25">
      <c r="A310">
        <v>309</v>
      </c>
      <c r="B310">
        <v>26</v>
      </c>
      <c r="C310">
        <v>46</v>
      </c>
      <c r="D310" t="s">
        <v>18</v>
      </c>
      <c r="E310" t="str">
        <f t="shared" si="4"/>
        <v>1246LC03PT</v>
      </c>
      <c r="F310">
        <f>VLOOKUP(B310,[1]Course!$A$2:$R$329,2,FALSE)</f>
        <v>0</v>
      </c>
      <c r="G310">
        <f>VLOOKUP(B310, [1]Course!$A$2:$L$950, 8, FALSE)</f>
        <v>12</v>
      </c>
      <c r="H310">
        <v>3</v>
      </c>
      <c r="I310">
        <v>1</v>
      </c>
      <c r="M310" t="str">
        <f>VLOOKUP(B310, [1]Course!$A$1:$O$933, 12, FALSE)</f>
        <v>LI</v>
      </c>
      <c r="N310" t="s">
        <v>14</v>
      </c>
      <c r="O310" t="str">
        <f>VLOOKUP(B310, [1]Course!$A$1:$O$933, 14, FALSE)</f>
        <v>LC</v>
      </c>
      <c r="P310">
        <v>1</v>
      </c>
    </row>
    <row r="311" spans="1:16" x14ac:dyDescent="0.25">
      <c r="A311">
        <v>310</v>
      </c>
      <c r="B311">
        <v>26</v>
      </c>
      <c r="C311">
        <v>47</v>
      </c>
      <c r="D311" t="s">
        <v>18</v>
      </c>
      <c r="E311" t="str">
        <f t="shared" si="4"/>
        <v>1247LC03PT</v>
      </c>
      <c r="F311">
        <f>VLOOKUP(B311,[1]Course!$A$2:$R$329,2,FALSE)</f>
        <v>0</v>
      </c>
      <c r="G311">
        <f>VLOOKUP(B311, [1]Course!$A$2:$L$950, 8, FALSE)</f>
        <v>12</v>
      </c>
      <c r="H311">
        <v>3</v>
      </c>
      <c r="I311">
        <v>1</v>
      </c>
      <c r="M311" t="str">
        <f>VLOOKUP(B311, [1]Course!$A$1:$O$933, 12, FALSE)</f>
        <v>LI</v>
      </c>
      <c r="N311" t="s">
        <v>14</v>
      </c>
      <c r="O311" t="str">
        <f>VLOOKUP(B311, [1]Course!$A$1:$O$933, 14, FALSE)</f>
        <v>LC</v>
      </c>
      <c r="P311">
        <v>1</v>
      </c>
    </row>
    <row r="312" spans="1:16" x14ac:dyDescent="0.25">
      <c r="A312">
        <v>311</v>
      </c>
      <c r="B312">
        <v>26</v>
      </c>
      <c r="C312">
        <v>48</v>
      </c>
      <c r="D312" t="s">
        <v>18</v>
      </c>
      <c r="E312" t="str">
        <f t="shared" si="4"/>
        <v>1248LC03PT</v>
      </c>
      <c r="F312">
        <f>VLOOKUP(B312,[1]Course!$A$2:$R$329,2,FALSE)</f>
        <v>0</v>
      </c>
      <c r="G312">
        <f>VLOOKUP(B312, [1]Course!$A$2:$L$950, 8, FALSE)</f>
        <v>12</v>
      </c>
      <c r="H312">
        <v>3</v>
      </c>
      <c r="I312">
        <v>1</v>
      </c>
      <c r="M312" t="str">
        <f>VLOOKUP(B312, [1]Course!$A$1:$O$933, 12, FALSE)</f>
        <v>LI</v>
      </c>
      <c r="N312" t="s">
        <v>14</v>
      </c>
      <c r="O312" t="str">
        <f>VLOOKUP(B312, [1]Course!$A$1:$O$933, 14, FALSE)</f>
        <v>LC</v>
      </c>
      <c r="P312">
        <v>1</v>
      </c>
    </row>
    <row r="313" spans="1:16" x14ac:dyDescent="0.25">
      <c r="A313">
        <v>312</v>
      </c>
      <c r="B313">
        <v>27</v>
      </c>
      <c r="C313">
        <v>37</v>
      </c>
      <c r="D313" t="s">
        <v>19</v>
      </c>
      <c r="E313" t="str">
        <f t="shared" si="4"/>
        <v>1237SC03PT</v>
      </c>
      <c r="F313" t="str">
        <f>VLOOKUP(B313,[1]Course!$A$2:$R$329,2,FALSE)</f>
        <v>Science 4</v>
      </c>
      <c r="G313">
        <f>VLOOKUP(B313, [1]Course!$A$2:$L$950, 8, FALSE)</f>
        <v>12</v>
      </c>
      <c r="H313">
        <v>3</v>
      </c>
      <c r="I313">
        <v>1</v>
      </c>
      <c r="M313" t="str">
        <f>VLOOKUP(B313, [1]Course!$A$1:$O$933, 12, FALSE)</f>
        <v>SC</v>
      </c>
      <c r="N313" t="s">
        <v>14</v>
      </c>
      <c r="O313" t="str">
        <f>VLOOKUP(B313, [1]Course!$A$1:$O$933, 14, FALSE)</f>
        <v>SC</v>
      </c>
      <c r="P313">
        <v>1</v>
      </c>
    </row>
    <row r="314" spans="1:16" x14ac:dyDescent="0.25">
      <c r="A314">
        <v>313</v>
      </c>
      <c r="B314">
        <v>27</v>
      </c>
      <c r="C314">
        <v>38</v>
      </c>
      <c r="D314" t="s">
        <v>19</v>
      </c>
      <c r="E314" t="str">
        <f t="shared" si="4"/>
        <v>1238SC03PT</v>
      </c>
      <c r="F314" t="str">
        <f>VLOOKUP(B314,[1]Course!$A$2:$R$329,2,FALSE)</f>
        <v>Science 4</v>
      </c>
      <c r="G314">
        <f>VLOOKUP(B314, [1]Course!$A$2:$L$950, 8, FALSE)</f>
        <v>12</v>
      </c>
      <c r="H314">
        <v>3</v>
      </c>
      <c r="I314">
        <v>1</v>
      </c>
      <c r="M314" t="str">
        <f>VLOOKUP(B314, [1]Course!$A$1:$O$933, 12, FALSE)</f>
        <v>SC</v>
      </c>
      <c r="N314" t="s">
        <v>14</v>
      </c>
      <c r="O314" t="str">
        <f>VLOOKUP(B314, [1]Course!$A$1:$O$933, 14, FALSE)</f>
        <v>SC</v>
      </c>
      <c r="P314">
        <v>1</v>
      </c>
    </row>
    <row r="315" spans="1:16" x14ac:dyDescent="0.25">
      <c r="A315">
        <v>314</v>
      </c>
      <c r="B315">
        <v>27</v>
      </c>
      <c r="C315">
        <v>39</v>
      </c>
      <c r="D315" t="s">
        <v>19</v>
      </c>
      <c r="E315" t="str">
        <f t="shared" si="4"/>
        <v>1239SC03PT</v>
      </c>
      <c r="F315" t="str">
        <f>VLOOKUP(B315,[1]Course!$A$2:$R$329,2,FALSE)</f>
        <v>Science 4</v>
      </c>
      <c r="G315">
        <f>VLOOKUP(B315, [1]Course!$A$2:$L$950, 8, FALSE)</f>
        <v>12</v>
      </c>
      <c r="H315">
        <v>3</v>
      </c>
      <c r="I315">
        <v>1</v>
      </c>
      <c r="M315" t="str">
        <f>VLOOKUP(B315, [1]Course!$A$1:$O$933, 12, FALSE)</f>
        <v>SC</v>
      </c>
      <c r="N315" t="s">
        <v>14</v>
      </c>
      <c r="O315" t="str">
        <f>VLOOKUP(B315, [1]Course!$A$1:$O$933, 14, FALSE)</f>
        <v>SC</v>
      </c>
      <c r="P315">
        <v>1</v>
      </c>
    </row>
    <row r="316" spans="1:16" x14ac:dyDescent="0.25">
      <c r="A316">
        <v>315</v>
      </c>
      <c r="B316">
        <v>27</v>
      </c>
      <c r="C316">
        <v>40</v>
      </c>
      <c r="D316" t="s">
        <v>19</v>
      </c>
      <c r="E316" t="str">
        <f t="shared" si="4"/>
        <v>1240SC03PT</v>
      </c>
      <c r="F316" t="str">
        <f>VLOOKUP(B316,[1]Course!$A$2:$R$329,2,FALSE)</f>
        <v>Science 4</v>
      </c>
      <c r="G316">
        <f>VLOOKUP(B316, [1]Course!$A$2:$L$950, 8, FALSE)</f>
        <v>12</v>
      </c>
      <c r="H316">
        <v>3</v>
      </c>
      <c r="I316">
        <v>1</v>
      </c>
      <c r="M316" t="str">
        <f>VLOOKUP(B316, [1]Course!$A$1:$O$933, 12, FALSE)</f>
        <v>SC</v>
      </c>
      <c r="N316" t="s">
        <v>14</v>
      </c>
      <c r="O316" t="str">
        <f>VLOOKUP(B316, [1]Course!$A$1:$O$933, 14, FALSE)</f>
        <v>SC</v>
      </c>
      <c r="P316">
        <v>1</v>
      </c>
    </row>
    <row r="317" spans="1:16" x14ac:dyDescent="0.25">
      <c r="A317">
        <v>316</v>
      </c>
      <c r="B317">
        <v>27</v>
      </c>
      <c r="C317">
        <v>41</v>
      </c>
      <c r="D317" t="s">
        <v>19</v>
      </c>
      <c r="E317" t="str">
        <f t="shared" si="4"/>
        <v>1241SC03PT</v>
      </c>
      <c r="F317" t="str">
        <f>VLOOKUP(B317,[1]Course!$A$2:$R$329,2,FALSE)</f>
        <v>Science 4</v>
      </c>
      <c r="G317">
        <f>VLOOKUP(B317, [1]Course!$A$2:$L$950, 8, FALSE)</f>
        <v>12</v>
      </c>
      <c r="H317">
        <v>3</v>
      </c>
      <c r="I317">
        <v>1</v>
      </c>
      <c r="M317" t="str">
        <f>VLOOKUP(B317, [1]Course!$A$1:$O$933, 12, FALSE)</f>
        <v>SC</v>
      </c>
      <c r="N317" t="s">
        <v>14</v>
      </c>
      <c r="O317" t="str">
        <f>VLOOKUP(B317, [1]Course!$A$1:$O$933, 14, FALSE)</f>
        <v>SC</v>
      </c>
      <c r="P317">
        <v>1</v>
      </c>
    </row>
    <row r="318" spans="1:16" x14ac:dyDescent="0.25">
      <c r="A318">
        <v>317</v>
      </c>
      <c r="B318">
        <v>27</v>
      </c>
      <c r="C318">
        <v>42</v>
      </c>
      <c r="D318" t="s">
        <v>19</v>
      </c>
      <c r="E318" t="str">
        <f t="shared" si="4"/>
        <v>1242SC03PT</v>
      </c>
      <c r="F318" t="str">
        <f>VLOOKUP(B318,[1]Course!$A$2:$R$329,2,FALSE)</f>
        <v>Science 4</v>
      </c>
      <c r="G318">
        <f>VLOOKUP(B318, [1]Course!$A$2:$L$950, 8, FALSE)</f>
        <v>12</v>
      </c>
      <c r="H318">
        <v>3</v>
      </c>
      <c r="I318">
        <v>1</v>
      </c>
      <c r="M318" t="str">
        <f>VLOOKUP(B318, [1]Course!$A$1:$O$933, 12, FALSE)</f>
        <v>SC</v>
      </c>
      <c r="N318" t="s">
        <v>14</v>
      </c>
      <c r="O318" t="str">
        <f>VLOOKUP(B318, [1]Course!$A$1:$O$933, 14, FALSE)</f>
        <v>SC</v>
      </c>
      <c r="P318">
        <v>1</v>
      </c>
    </row>
    <row r="319" spans="1:16" x14ac:dyDescent="0.25">
      <c r="A319">
        <v>318</v>
      </c>
      <c r="B319">
        <v>27</v>
      </c>
      <c r="C319">
        <v>43</v>
      </c>
      <c r="D319" t="s">
        <v>19</v>
      </c>
      <c r="E319" t="str">
        <f t="shared" si="4"/>
        <v>1243SC03PT</v>
      </c>
      <c r="F319" t="str">
        <f>VLOOKUP(B319,[1]Course!$A$2:$R$329,2,FALSE)</f>
        <v>Science 4</v>
      </c>
      <c r="G319">
        <f>VLOOKUP(B319, [1]Course!$A$2:$L$950, 8, FALSE)</f>
        <v>12</v>
      </c>
      <c r="H319">
        <v>3</v>
      </c>
      <c r="I319">
        <v>1</v>
      </c>
      <c r="M319" t="str">
        <f>VLOOKUP(B319, [1]Course!$A$1:$O$933, 12, FALSE)</f>
        <v>SC</v>
      </c>
      <c r="N319" t="s">
        <v>14</v>
      </c>
      <c r="O319" t="str">
        <f>VLOOKUP(B319, [1]Course!$A$1:$O$933, 14, FALSE)</f>
        <v>SC</v>
      </c>
      <c r="P319">
        <v>1</v>
      </c>
    </row>
    <row r="320" spans="1:16" x14ac:dyDescent="0.25">
      <c r="A320">
        <v>319</v>
      </c>
      <c r="B320">
        <v>27</v>
      </c>
      <c r="C320">
        <v>44</v>
      </c>
      <c r="D320" t="s">
        <v>19</v>
      </c>
      <c r="E320" t="str">
        <f t="shared" si="4"/>
        <v>1244SC03PT</v>
      </c>
      <c r="F320" t="str">
        <f>VLOOKUP(B320,[1]Course!$A$2:$R$329,2,FALSE)</f>
        <v>Science 4</v>
      </c>
      <c r="G320">
        <f>VLOOKUP(B320, [1]Course!$A$2:$L$950, 8, FALSE)</f>
        <v>12</v>
      </c>
      <c r="H320">
        <v>3</v>
      </c>
      <c r="I320">
        <v>1</v>
      </c>
      <c r="M320" t="str">
        <f>VLOOKUP(B320, [1]Course!$A$1:$O$933, 12, FALSE)</f>
        <v>SC</v>
      </c>
      <c r="N320" t="s">
        <v>14</v>
      </c>
      <c r="O320" t="str">
        <f>VLOOKUP(B320, [1]Course!$A$1:$O$933, 14, FALSE)</f>
        <v>SC</v>
      </c>
      <c r="P320">
        <v>1</v>
      </c>
    </row>
    <row r="321" spans="1:16" x14ac:dyDescent="0.25">
      <c r="A321">
        <v>320</v>
      </c>
      <c r="B321">
        <v>27</v>
      </c>
      <c r="C321">
        <v>45</v>
      </c>
      <c r="D321" t="s">
        <v>19</v>
      </c>
      <c r="E321" t="str">
        <f t="shared" si="4"/>
        <v>1245SC03PT</v>
      </c>
      <c r="F321" t="str">
        <f>VLOOKUP(B321,[1]Course!$A$2:$R$329,2,FALSE)</f>
        <v>Science 4</v>
      </c>
      <c r="G321">
        <f>VLOOKUP(B321, [1]Course!$A$2:$L$950, 8, FALSE)</f>
        <v>12</v>
      </c>
      <c r="H321">
        <v>3</v>
      </c>
      <c r="I321">
        <v>1</v>
      </c>
      <c r="M321" t="str">
        <f>VLOOKUP(B321, [1]Course!$A$1:$O$933, 12, FALSE)</f>
        <v>SC</v>
      </c>
      <c r="N321" t="s">
        <v>14</v>
      </c>
      <c r="O321" t="str">
        <f>VLOOKUP(B321, [1]Course!$A$1:$O$933, 14, FALSE)</f>
        <v>SC</v>
      </c>
      <c r="P321">
        <v>1</v>
      </c>
    </row>
    <row r="322" spans="1:16" x14ac:dyDescent="0.25">
      <c r="A322">
        <v>321</v>
      </c>
      <c r="B322">
        <v>27</v>
      </c>
      <c r="C322">
        <v>46</v>
      </c>
      <c r="D322" t="s">
        <v>19</v>
      </c>
      <c r="E322" t="str">
        <f t="shared" si="4"/>
        <v>1246SC03PT</v>
      </c>
      <c r="F322" t="str">
        <f>VLOOKUP(B322,[1]Course!$A$2:$R$329,2,FALSE)</f>
        <v>Science 4</v>
      </c>
      <c r="G322">
        <f>VLOOKUP(B322, [1]Course!$A$2:$L$950, 8, FALSE)</f>
        <v>12</v>
      </c>
      <c r="H322">
        <v>3</v>
      </c>
      <c r="I322">
        <v>1</v>
      </c>
      <c r="M322" t="str">
        <f>VLOOKUP(B322, [1]Course!$A$1:$O$933, 12, FALSE)</f>
        <v>SC</v>
      </c>
      <c r="N322" t="s">
        <v>14</v>
      </c>
      <c r="O322" t="str">
        <f>VLOOKUP(B322, [1]Course!$A$1:$O$933, 14, FALSE)</f>
        <v>SC</v>
      </c>
      <c r="P322">
        <v>1</v>
      </c>
    </row>
    <row r="323" spans="1:16" x14ac:dyDescent="0.25">
      <c r="A323">
        <v>322</v>
      </c>
      <c r="B323">
        <v>27</v>
      </c>
      <c r="C323">
        <v>47</v>
      </c>
      <c r="D323" t="s">
        <v>19</v>
      </c>
      <c r="E323" t="str">
        <f t="shared" ref="E323:E386" si="5">UPPER(LEFT(G323,2)) &amp; RIGHT("0" &amp; C323, 2) &amp; D323 &amp; RIGHT("0" &amp; H323, 2) &amp; N323</f>
        <v>1247SC03PT</v>
      </c>
      <c r="F323" t="str">
        <f>VLOOKUP(B323,[1]Course!$A$2:$R$329,2,FALSE)</f>
        <v>Science 4</v>
      </c>
      <c r="G323">
        <f>VLOOKUP(B323, [1]Course!$A$2:$L$950, 8, FALSE)</f>
        <v>12</v>
      </c>
      <c r="H323">
        <v>3</v>
      </c>
      <c r="I323">
        <v>1</v>
      </c>
      <c r="M323" t="str">
        <f>VLOOKUP(B323, [1]Course!$A$1:$O$933, 12, FALSE)</f>
        <v>SC</v>
      </c>
      <c r="N323" t="s">
        <v>14</v>
      </c>
      <c r="O323" t="str">
        <f>VLOOKUP(B323, [1]Course!$A$1:$O$933, 14, FALSE)</f>
        <v>SC</v>
      </c>
      <c r="P323">
        <v>1</v>
      </c>
    </row>
    <row r="324" spans="1:16" x14ac:dyDescent="0.25">
      <c r="A324">
        <v>323</v>
      </c>
      <c r="B324">
        <v>27</v>
      </c>
      <c r="C324">
        <v>48</v>
      </c>
      <c r="D324" t="s">
        <v>19</v>
      </c>
      <c r="E324" t="str">
        <f t="shared" si="5"/>
        <v>1248SC03PT</v>
      </c>
      <c r="F324" t="str">
        <f>VLOOKUP(B324,[1]Course!$A$2:$R$329,2,FALSE)</f>
        <v>Science 4</v>
      </c>
      <c r="G324">
        <f>VLOOKUP(B324, [1]Course!$A$2:$L$950, 8, FALSE)</f>
        <v>12</v>
      </c>
      <c r="H324">
        <v>3</v>
      </c>
      <c r="I324">
        <v>1</v>
      </c>
      <c r="M324" t="str">
        <f>VLOOKUP(B324, [1]Course!$A$1:$O$933, 12, FALSE)</f>
        <v>SC</v>
      </c>
      <c r="N324" t="s">
        <v>14</v>
      </c>
      <c r="O324" t="str">
        <f>VLOOKUP(B324, [1]Course!$A$1:$O$933, 14, FALSE)</f>
        <v>SC</v>
      </c>
      <c r="P324">
        <v>1</v>
      </c>
    </row>
    <row r="325" spans="1:16" x14ac:dyDescent="0.25">
      <c r="A325">
        <v>324</v>
      </c>
      <c r="B325">
        <v>28</v>
      </c>
      <c r="C325">
        <v>37</v>
      </c>
      <c r="D325" t="s">
        <v>20</v>
      </c>
      <c r="E325" t="str">
        <f t="shared" si="5"/>
        <v>1237SS03PT</v>
      </c>
      <c r="F325">
        <f>VLOOKUP(B325,[1]Course!$A$2:$R$329,2,FALSE)</f>
        <v>0</v>
      </c>
      <c r="G325">
        <f>VLOOKUP(B325, [1]Course!$A$2:$L$950, 8, FALSE)</f>
        <v>12</v>
      </c>
      <c r="H325">
        <v>3</v>
      </c>
      <c r="I325">
        <v>1</v>
      </c>
      <c r="M325" t="str">
        <f>VLOOKUP(B325, [1]Course!$A$1:$O$933, 12, FALSE)</f>
        <v>SS</v>
      </c>
      <c r="N325" t="s">
        <v>14</v>
      </c>
      <c r="O325" t="str">
        <f>VLOOKUP(B325, [1]Course!$A$1:$O$933, 14, FALSE)</f>
        <v>SS</v>
      </c>
      <c r="P325">
        <v>1</v>
      </c>
    </row>
    <row r="326" spans="1:16" x14ac:dyDescent="0.25">
      <c r="A326">
        <v>325</v>
      </c>
      <c r="B326">
        <v>28</v>
      </c>
      <c r="C326">
        <v>38</v>
      </c>
      <c r="D326" t="s">
        <v>20</v>
      </c>
      <c r="E326" t="str">
        <f t="shared" si="5"/>
        <v>1238SS03PT</v>
      </c>
      <c r="F326">
        <f>VLOOKUP(B326,[1]Course!$A$2:$R$329,2,FALSE)</f>
        <v>0</v>
      </c>
      <c r="G326">
        <f>VLOOKUP(B326, [1]Course!$A$2:$L$950, 8, FALSE)</f>
        <v>12</v>
      </c>
      <c r="H326">
        <v>3</v>
      </c>
      <c r="I326">
        <v>1</v>
      </c>
      <c r="M326" t="str">
        <f>VLOOKUP(B326, [1]Course!$A$1:$O$933, 12, FALSE)</f>
        <v>SS</v>
      </c>
      <c r="N326" t="s">
        <v>14</v>
      </c>
      <c r="O326" t="str">
        <f>VLOOKUP(B326, [1]Course!$A$1:$O$933, 14, FALSE)</f>
        <v>SS</v>
      </c>
      <c r="P326">
        <v>1</v>
      </c>
    </row>
    <row r="327" spans="1:16" x14ac:dyDescent="0.25">
      <c r="A327">
        <v>326</v>
      </c>
      <c r="B327">
        <v>28</v>
      </c>
      <c r="C327">
        <v>39</v>
      </c>
      <c r="D327" t="s">
        <v>20</v>
      </c>
      <c r="E327" t="str">
        <f t="shared" si="5"/>
        <v>1239SS03PT</v>
      </c>
      <c r="F327">
        <f>VLOOKUP(B327,[1]Course!$A$2:$R$329,2,FALSE)</f>
        <v>0</v>
      </c>
      <c r="G327">
        <f>VLOOKUP(B327, [1]Course!$A$2:$L$950, 8, FALSE)</f>
        <v>12</v>
      </c>
      <c r="H327">
        <v>3</v>
      </c>
      <c r="I327">
        <v>1</v>
      </c>
      <c r="M327" t="str">
        <f>VLOOKUP(B327, [1]Course!$A$1:$O$933, 12, FALSE)</f>
        <v>SS</v>
      </c>
      <c r="N327" t="s">
        <v>14</v>
      </c>
      <c r="O327" t="str">
        <f>VLOOKUP(B327, [1]Course!$A$1:$O$933, 14, FALSE)</f>
        <v>SS</v>
      </c>
      <c r="P327">
        <v>1</v>
      </c>
    </row>
    <row r="328" spans="1:16" x14ac:dyDescent="0.25">
      <c r="A328">
        <v>327</v>
      </c>
      <c r="B328">
        <v>28</v>
      </c>
      <c r="C328">
        <v>40</v>
      </c>
      <c r="D328" t="s">
        <v>20</v>
      </c>
      <c r="E328" t="str">
        <f t="shared" si="5"/>
        <v>1240SS03PT</v>
      </c>
      <c r="F328">
        <f>VLOOKUP(B328,[1]Course!$A$2:$R$329,2,FALSE)</f>
        <v>0</v>
      </c>
      <c r="G328">
        <f>VLOOKUP(B328, [1]Course!$A$2:$L$950, 8, FALSE)</f>
        <v>12</v>
      </c>
      <c r="H328">
        <v>3</v>
      </c>
      <c r="I328">
        <v>1</v>
      </c>
      <c r="M328" t="str">
        <f>VLOOKUP(B328, [1]Course!$A$1:$O$933, 12, FALSE)</f>
        <v>SS</v>
      </c>
      <c r="N328" t="s">
        <v>14</v>
      </c>
      <c r="O328" t="str">
        <f>VLOOKUP(B328, [1]Course!$A$1:$O$933, 14, FALSE)</f>
        <v>SS</v>
      </c>
      <c r="P328">
        <v>1</v>
      </c>
    </row>
    <row r="329" spans="1:16" x14ac:dyDescent="0.25">
      <c r="A329">
        <v>328</v>
      </c>
      <c r="B329">
        <v>28</v>
      </c>
      <c r="C329">
        <v>41</v>
      </c>
      <c r="D329" t="s">
        <v>20</v>
      </c>
      <c r="E329" t="str">
        <f t="shared" si="5"/>
        <v>1241SS03PT</v>
      </c>
      <c r="F329">
        <f>VLOOKUP(B329,[1]Course!$A$2:$R$329,2,FALSE)</f>
        <v>0</v>
      </c>
      <c r="G329">
        <f>VLOOKUP(B329, [1]Course!$A$2:$L$950, 8, FALSE)</f>
        <v>12</v>
      </c>
      <c r="H329">
        <v>3</v>
      </c>
      <c r="I329">
        <v>1</v>
      </c>
      <c r="M329" t="str">
        <f>VLOOKUP(B329, [1]Course!$A$1:$O$933, 12, FALSE)</f>
        <v>SS</v>
      </c>
      <c r="N329" t="s">
        <v>14</v>
      </c>
      <c r="O329" t="str">
        <f>VLOOKUP(B329, [1]Course!$A$1:$O$933, 14, FALSE)</f>
        <v>SS</v>
      </c>
      <c r="P329">
        <v>1</v>
      </c>
    </row>
    <row r="330" spans="1:16" x14ac:dyDescent="0.25">
      <c r="A330">
        <v>329</v>
      </c>
      <c r="B330">
        <v>28</v>
      </c>
      <c r="C330">
        <v>42</v>
      </c>
      <c r="D330" t="s">
        <v>20</v>
      </c>
      <c r="E330" t="str">
        <f t="shared" si="5"/>
        <v>1242SS03PT</v>
      </c>
      <c r="F330">
        <f>VLOOKUP(B330,[1]Course!$A$2:$R$329,2,FALSE)</f>
        <v>0</v>
      </c>
      <c r="G330">
        <f>VLOOKUP(B330, [1]Course!$A$2:$L$950, 8, FALSE)</f>
        <v>12</v>
      </c>
      <c r="H330">
        <v>3</v>
      </c>
      <c r="I330">
        <v>1</v>
      </c>
      <c r="M330" t="str">
        <f>VLOOKUP(B330, [1]Course!$A$1:$O$933, 12, FALSE)</f>
        <v>SS</v>
      </c>
      <c r="N330" t="s">
        <v>14</v>
      </c>
      <c r="O330" t="str">
        <f>VLOOKUP(B330, [1]Course!$A$1:$O$933, 14, FALSE)</f>
        <v>SS</v>
      </c>
      <c r="P330">
        <v>1</v>
      </c>
    </row>
    <row r="331" spans="1:16" x14ac:dyDescent="0.25">
      <c r="A331">
        <v>330</v>
      </c>
      <c r="B331">
        <v>28</v>
      </c>
      <c r="C331">
        <v>43</v>
      </c>
      <c r="D331" t="s">
        <v>20</v>
      </c>
      <c r="E331" t="str">
        <f t="shared" si="5"/>
        <v>1243SS03PT</v>
      </c>
      <c r="F331">
        <f>VLOOKUP(B331,[1]Course!$A$2:$R$329,2,FALSE)</f>
        <v>0</v>
      </c>
      <c r="G331">
        <f>VLOOKUP(B331, [1]Course!$A$2:$L$950, 8, FALSE)</f>
        <v>12</v>
      </c>
      <c r="H331">
        <v>3</v>
      </c>
      <c r="I331">
        <v>1</v>
      </c>
      <c r="M331" t="str">
        <f>VLOOKUP(B331, [1]Course!$A$1:$O$933, 12, FALSE)</f>
        <v>SS</v>
      </c>
      <c r="N331" t="s">
        <v>14</v>
      </c>
      <c r="O331" t="str">
        <f>VLOOKUP(B331, [1]Course!$A$1:$O$933, 14, FALSE)</f>
        <v>SS</v>
      </c>
      <c r="P331">
        <v>1</v>
      </c>
    </row>
    <row r="332" spans="1:16" x14ac:dyDescent="0.25">
      <c r="A332">
        <v>331</v>
      </c>
      <c r="B332">
        <v>28</v>
      </c>
      <c r="C332">
        <v>44</v>
      </c>
      <c r="D332" t="s">
        <v>20</v>
      </c>
      <c r="E332" t="str">
        <f t="shared" si="5"/>
        <v>1244SS03PT</v>
      </c>
      <c r="F332">
        <f>VLOOKUP(B332,[1]Course!$A$2:$R$329,2,FALSE)</f>
        <v>0</v>
      </c>
      <c r="G332">
        <f>VLOOKUP(B332, [1]Course!$A$2:$L$950, 8, FALSE)</f>
        <v>12</v>
      </c>
      <c r="H332">
        <v>3</v>
      </c>
      <c r="I332">
        <v>1</v>
      </c>
      <c r="M332" t="str">
        <f>VLOOKUP(B332, [1]Course!$A$1:$O$933, 12, FALSE)</f>
        <v>SS</v>
      </c>
      <c r="N332" t="s">
        <v>14</v>
      </c>
      <c r="O332" t="str">
        <f>VLOOKUP(B332, [1]Course!$A$1:$O$933, 14, FALSE)</f>
        <v>SS</v>
      </c>
      <c r="P332">
        <v>1</v>
      </c>
    </row>
    <row r="333" spans="1:16" x14ac:dyDescent="0.25">
      <c r="A333">
        <v>332</v>
      </c>
      <c r="B333">
        <v>28</v>
      </c>
      <c r="C333">
        <v>45</v>
      </c>
      <c r="D333" t="s">
        <v>20</v>
      </c>
      <c r="E333" t="str">
        <f t="shared" si="5"/>
        <v>1245SS03PT</v>
      </c>
      <c r="F333">
        <f>VLOOKUP(B333,[1]Course!$A$2:$R$329,2,FALSE)</f>
        <v>0</v>
      </c>
      <c r="G333">
        <f>VLOOKUP(B333, [1]Course!$A$2:$L$950, 8, FALSE)</f>
        <v>12</v>
      </c>
      <c r="H333">
        <v>3</v>
      </c>
      <c r="I333">
        <v>1</v>
      </c>
      <c r="M333" t="str">
        <f>VLOOKUP(B333, [1]Course!$A$1:$O$933, 12, FALSE)</f>
        <v>SS</v>
      </c>
      <c r="N333" t="s">
        <v>14</v>
      </c>
      <c r="O333" t="str">
        <f>VLOOKUP(B333, [1]Course!$A$1:$O$933, 14, FALSE)</f>
        <v>SS</v>
      </c>
      <c r="P333">
        <v>1</v>
      </c>
    </row>
    <row r="334" spans="1:16" x14ac:dyDescent="0.25">
      <c r="A334">
        <v>333</v>
      </c>
      <c r="B334">
        <v>28</v>
      </c>
      <c r="C334">
        <v>46</v>
      </c>
      <c r="D334" t="s">
        <v>20</v>
      </c>
      <c r="E334" t="str">
        <f t="shared" si="5"/>
        <v>1246SS03PT</v>
      </c>
      <c r="F334">
        <f>VLOOKUP(B334,[1]Course!$A$2:$R$329,2,FALSE)</f>
        <v>0</v>
      </c>
      <c r="G334">
        <f>VLOOKUP(B334, [1]Course!$A$2:$L$950, 8, FALSE)</f>
        <v>12</v>
      </c>
      <c r="H334">
        <v>3</v>
      </c>
      <c r="I334">
        <v>1</v>
      </c>
      <c r="M334" t="str">
        <f>VLOOKUP(B334, [1]Course!$A$1:$O$933, 12, FALSE)</f>
        <v>SS</v>
      </c>
      <c r="N334" t="s">
        <v>14</v>
      </c>
      <c r="O334" t="str">
        <f>VLOOKUP(B334, [1]Course!$A$1:$O$933, 14, FALSE)</f>
        <v>SS</v>
      </c>
      <c r="P334">
        <v>1</v>
      </c>
    </row>
    <row r="335" spans="1:16" x14ac:dyDescent="0.25">
      <c r="A335">
        <v>334</v>
      </c>
      <c r="B335">
        <v>28</v>
      </c>
      <c r="C335">
        <v>47</v>
      </c>
      <c r="D335" t="s">
        <v>20</v>
      </c>
      <c r="E335" t="str">
        <f t="shared" si="5"/>
        <v>1247SS03PT</v>
      </c>
      <c r="F335">
        <f>VLOOKUP(B335,[1]Course!$A$2:$R$329,2,FALSE)</f>
        <v>0</v>
      </c>
      <c r="G335">
        <f>VLOOKUP(B335, [1]Course!$A$2:$L$950, 8, FALSE)</f>
        <v>12</v>
      </c>
      <c r="H335">
        <v>3</v>
      </c>
      <c r="I335">
        <v>1</v>
      </c>
      <c r="M335" t="str">
        <f>VLOOKUP(B335, [1]Course!$A$1:$O$933, 12, FALSE)</f>
        <v>SS</v>
      </c>
      <c r="N335" t="s">
        <v>14</v>
      </c>
      <c r="O335" t="str">
        <f>VLOOKUP(B335, [1]Course!$A$1:$O$933, 14, FALSE)</f>
        <v>SS</v>
      </c>
      <c r="P335">
        <v>1</v>
      </c>
    </row>
    <row r="336" spans="1:16" x14ac:dyDescent="0.25">
      <c r="A336">
        <v>335</v>
      </c>
      <c r="B336">
        <v>28</v>
      </c>
      <c r="C336">
        <v>48</v>
      </c>
      <c r="D336" t="s">
        <v>20</v>
      </c>
      <c r="E336" t="str">
        <f t="shared" si="5"/>
        <v>1248SS03PT</v>
      </c>
      <c r="F336">
        <f>VLOOKUP(B336,[1]Course!$A$2:$R$329,2,FALSE)</f>
        <v>0</v>
      </c>
      <c r="G336">
        <f>VLOOKUP(B336, [1]Course!$A$2:$L$950, 8, FALSE)</f>
        <v>12</v>
      </c>
      <c r="H336">
        <v>3</v>
      </c>
      <c r="I336">
        <v>1</v>
      </c>
      <c r="M336" t="str">
        <f>VLOOKUP(B336, [1]Course!$A$1:$O$933, 12, FALSE)</f>
        <v>SS</v>
      </c>
      <c r="N336" t="s">
        <v>14</v>
      </c>
      <c r="O336" t="str">
        <f>VLOOKUP(B336, [1]Course!$A$1:$O$933, 14, FALSE)</f>
        <v>SS</v>
      </c>
      <c r="P336">
        <v>1</v>
      </c>
    </row>
    <row r="337" spans="1:16" x14ac:dyDescent="0.25">
      <c r="A337">
        <v>336</v>
      </c>
      <c r="B337">
        <v>29</v>
      </c>
      <c r="C337">
        <v>37</v>
      </c>
      <c r="D337" t="s">
        <v>21</v>
      </c>
      <c r="E337" t="str">
        <f t="shared" si="5"/>
        <v>1237BR03PT</v>
      </c>
      <c r="F337">
        <f>VLOOKUP(B337,[1]Course!$A$2:$R$329,2,FALSE)</f>
        <v>0</v>
      </c>
      <c r="G337">
        <f>VLOOKUP(B337, [1]Course!$A$2:$L$950, 8, FALSE)</f>
        <v>12</v>
      </c>
      <c r="H337">
        <v>3</v>
      </c>
      <c r="I337">
        <v>1</v>
      </c>
      <c r="M337" t="str">
        <f>VLOOKUP(B337, [1]Course!$A$1:$O$933, 12, FALSE)</f>
        <v>BS</v>
      </c>
      <c r="N337" t="s">
        <v>14</v>
      </c>
      <c r="O337" t="str">
        <f>VLOOKUP(B337, [1]Course!$A$1:$O$933, 14, FALSE)</f>
        <v>BR</v>
      </c>
      <c r="P337">
        <v>1</v>
      </c>
    </row>
    <row r="338" spans="1:16" x14ac:dyDescent="0.25">
      <c r="A338">
        <v>337</v>
      </c>
      <c r="B338">
        <v>29</v>
      </c>
      <c r="C338">
        <v>38</v>
      </c>
      <c r="D338" t="s">
        <v>21</v>
      </c>
      <c r="E338" t="str">
        <f t="shared" si="5"/>
        <v>1238BR03PT</v>
      </c>
      <c r="F338">
        <f>VLOOKUP(B338,[1]Course!$A$2:$R$329,2,FALSE)</f>
        <v>0</v>
      </c>
      <c r="G338">
        <f>VLOOKUP(B338, [1]Course!$A$2:$L$950, 8, FALSE)</f>
        <v>12</v>
      </c>
      <c r="H338">
        <v>3</v>
      </c>
      <c r="I338">
        <v>1</v>
      </c>
      <c r="M338" t="str">
        <f>VLOOKUP(B338, [1]Course!$A$1:$O$933, 12, FALSE)</f>
        <v>BS</v>
      </c>
      <c r="N338" t="s">
        <v>14</v>
      </c>
      <c r="O338" t="str">
        <f>VLOOKUP(B338, [1]Course!$A$1:$O$933, 14, FALSE)</f>
        <v>BR</v>
      </c>
      <c r="P338">
        <v>1</v>
      </c>
    </row>
    <row r="339" spans="1:16" x14ac:dyDescent="0.25">
      <c r="A339">
        <v>338</v>
      </c>
      <c r="B339">
        <v>29</v>
      </c>
      <c r="C339">
        <v>39</v>
      </c>
      <c r="D339" t="s">
        <v>21</v>
      </c>
      <c r="E339" t="str">
        <f t="shared" si="5"/>
        <v>1239BR03PT</v>
      </c>
      <c r="F339">
        <f>VLOOKUP(B339,[1]Course!$A$2:$R$329,2,FALSE)</f>
        <v>0</v>
      </c>
      <c r="G339">
        <f>VLOOKUP(B339, [1]Course!$A$2:$L$950, 8, FALSE)</f>
        <v>12</v>
      </c>
      <c r="H339">
        <v>3</v>
      </c>
      <c r="I339">
        <v>1</v>
      </c>
      <c r="M339" t="str">
        <f>VLOOKUP(B339, [1]Course!$A$1:$O$933, 12, FALSE)</f>
        <v>BS</v>
      </c>
      <c r="N339" t="s">
        <v>14</v>
      </c>
      <c r="O339" t="str">
        <f>VLOOKUP(B339, [1]Course!$A$1:$O$933, 14, FALSE)</f>
        <v>BR</v>
      </c>
      <c r="P339">
        <v>1</v>
      </c>
    </row>
    <row r="340" spans="1:16" x14ac:dyDescent="0.25">
      <c r="A340">
        <v>339</v>
      </c>
      <c r="B340">
        <v>29</v>
      </c>
      <c r="C340">
        <v>40</v>
      </c>
      <c r="D340" t="s">
        <v>21</v>
      </c>
      <c r="E340" t="str">
        <f t="shared" si="5"/>
        <v>1240BR03PT</v>
      </c>
      <c r="F340">
        <f>VLOOKUP(B340,[1]Course!$A$2:$R$329,2,FALSE)</f>
        <v>0</v>
      </c>
      <c r="G340">
        <f>VLOOKUP(B340, [1]Course!$A$2:$L$950, 8, FALSE)</f>
        <v>12</v>
      </c>
      <c r="H340">
        <v>3</v>
      </c>
      <c r="I340">
        <v>1</v>
      </c>
      <c r="M340" t="str">
        <f>VLOOKUP(B340, [1]Course!$A$1:$O$933, 12, FALSE)</f>
        <v>BS</v>
      </c>
      <c r="N340" t="s">
        <v>14</v>
      </c>
      <c r="O340" t="str">
        <f>VLOOKUP(B340, [1]Course!$A$1:$O$933, 14, FALSE)</f>
        <v>BR</v>
      </c>
      <c r="P340">
        <v>1</v>
      </c>
    </row>
    <row r="341" spans="1:16" x14ac:dyDescent="0.25">
      <c r="A341">
        <v>340</v>
      </c>
      <c r="B341">
        <v>29</v>
      </c>
      <c r="C341">
        <v>41</v>
      </c>
      <c r="D341" t="s">
        <v>21</v>
      </c>
      <c r="E341" t="str">
        <f t="shared" si="5"/>
        <v>1241BR03PT</v>
      </c>
      <c r="F341">
        <f>VLOOKUP(B341,[1]Course!$A$2:$R$329,2,FALSE)</f>
        <v>0</v>
      </c>
      <c r="G341">
        <f>VLOOKUP(B341, [1]Course!$A$2:$L$950, 8, FALSE)</f>
        <v>12</v>
      </c>
      <c r="H341">
        <v>3</v>
      </c>
      <c r="I341">
        <v>1</v>
      </c>
      <c r="M341" t="str">
        <f>VLOOKUP(B341, [1]Course!$A$1:$O$933, 12, FALSE)</f>
        <v>BS</v>
      </c>
      <c r="N341" t="s">
        <v>14</v>
      </c>
      <c r="O341" t="str">
        <f>VLOOKUP(B341, [1]Course!$A$1:$O$933, 14, FALSE)</f>
        <v>BR</v>
      </c>
      <c r="P341">
        <v>1</v>
      </c>
    </row>
    <row r="342" spans="1:16" x14ac:dyDescent="0.25">
      <c r="A342">
        <v>341</v>
      </c>
      <c r="B342">
        <v>29</v>
      </c>
      <c r="C342">
        <v>42</v>
      </c>
      <c r="D342" t="s">
        <v>21</v>
      </c>
      <c r="E342" t="str">
        <f t="shared" si="5"/>
        <v>1242BR03PT</v>
      </c>
      <c r="F342">
        <f>VLOOKUP(B342,[1]Course!$A$2:$R$329,2,FALSE)</f>
        <v>0</v>
      </c>
      <c r="G342">
        <f>VLOOKUP(B342, [1]Course!$A$2:$L$950, 8, FALSE)</f>
        <v>12</v>
      </c>
      <c r="H342">
        <v>3</v>
      </c>
      <c r="I342">
        <v>1</v>
      </c>
      <c r="M342" t="str">
        <f>VLOOKUP(B342, [1]Course!$A$1:$O$933, 12, FALSE)</f>
        <v>BS</v>
      </c>
      <c r="N342" t="s">
        <v>14</v>
      </c>
      <c r="O342" t="str">
        <f>VLOOKUP(B342, [1]Course!$A$1:$O$933, 14, FALSE)</f>
        <v>BR</v>
      </c>
      <c r="P342">
        <v>1</v>
      </c>
    </row>
    <row r="343" spans="1:16" x14ac:dyDescent="0.25">
      <c r="A343">
        <v>342</v>
      </c>
      <c r="B343">
        <v>29</v>
      </c>
      <c r="C343">
        <v>43</v>
      </c>
      <c r="D343" t="s">
        <v>21</v>
      </c>
      <c r="E343" t="str">
        <f t="shared" si="5"/>
        <v>1243BR03PT</v>
      </c>
      <c r="F343">
        <f>VLOOKUP(B343,[1]Course!$A$2:$R$329,2,FALSE)</f>
        <v>0</v>
      </c>
      <c r="G343">
        <f>VLOOKUP(B343, [1]Course!$A$2:$L$950, 8, FALSE)</f>
        <v>12</v>
      </c>
      <c r="H343">
        <v>3</v>
      </c>
      <c r="I343">
        <v>1</v>
      </c>
      <c r="M343" t="str">
        <f>VLOOKUP(B343, [1]Course!$A$1:$O$933, 12, FALSE)</f>
        <v>BS</v>
      </c>
      <c r="N343" t="s">
        <v>14</v>
      </c>
      <c r="O343" t="str">
        <f>VLOOKUP(B343, [1]Course!$A$1:$O$933, 14, FALSE)</f>
        <v>BR</v>
      </c>
      <c r="P343">
        <v>1</v>
      </c>
    </row>
    <row r="344" spans="1:16" x14ac:dyDescent="0.25">
      <c r="A344">
        <v>343</v>
      </c>
      <c r="B344">
        <v>29</v>
      </c>
      <c r="C344">
        <v>44</v>
      </c>
      <c r="D344" t="s">
        <v>21</v>
      </c>
      <c r="E344" t="str">
        <f t="shared" si="5"/>
        <v>1244BR03PT</v>
      </c>
      <c r="F344">
        <f>VLOOKUP(B344,[1]Course!$A$2:$R$329,2,FALSE)</f>
        <v>0</v>
      </c>
      <c r="G344">
        <f>VLOOKUP(B344, [1]Course!$A$2:$L$950, 8, FALSE)</f>
        <v>12</v>
      </c>
      <c r="H344">
        <v>3</v>
      </c>
      <c r="I344">
        <v>1</v>
      </c>
      <c r="M344" t="str">
        <f>VLOOKUP(B344, [1]Course!$A$1:$O$933, 12, FALSE)</f>
        <v>BS</v>
      </c>
      <c r="N344" t="s">
        <v>14</v>
      </c>
      <c r="O344" t="str">
        <f>VLOOKUP(B344, [1]Course!$A$1:$O$933, 14, FALSE)</f>
        <v>BR</v>
      </c>
      <c r="P344">
        <v>1</v>
      </c>
    </row>
    <row r="345" spans="1:16" x14ac:dyDescent="0.25">
      <c r="A345">
        <v>344</v>
      </c>
      <c r="B345">
        <v>29</v>
      </c>
      <c r="C345">
        <v>45</v>
      </c>
      <c r="D345" t="s">
        <v>21</v>
      </c>
      <c r="E345" t="str">
        <f t="shared" si="5"/>
        <v>1245BR03PT</v>
      </c>
      <c r="F345">
        <f>VLOOKUP(B345,[1]Course!$A$2:$R$329,2,FALSE)</f>
        <v>0</v>
      </c>
      <c r="G345">
        <f>VLOOKUP(B345, [1]Course!$A$2:$L$950, 8, FALSE)</f>
        <v>12</v>
      </c>
      <c r="H345">
        <v>3</v>
      </c>
      <c r="I345">
        <v>1</v>
      </c>
      <c r="M345" t="str">
        <f>VLOOKUP(B345, [1]Course!$A$1:$O$933, 12, FALSE)</f>
        <v>BS</v>
      </c>
      <c r="N345" t="s">
        <v>14</v>
      </c>
      <c r="O345" t="str">
        <f>VLOOKUP(B345, [1]Course!$A$1:$O$933, 14, FALSE)</f>
        <v>BR</v>
      </c>
      <c r="P345">
        <v>1</v>
      </c>
    </row>
    <row r="346" spans="1:16" x14ac:dyDescent="0.25">
      <c r="A346">
        <v>345</v>
      </c>
      <c r="B346">
        <v>29</v>
      </c>
      <c r="C346">
        <v>46</v>
      </c>
      <c r="D346" t="s">
        <v>21</v>
      </c>
      <c r="E346" t="str">
        <f t="shared" si="5"/>
        <v>1246BR03PT</v>
      </c>
      <c r="F346">
        <f>VLOOKUP(B346,[1]Course!$A$2:$R$329,2,FALSE)</f>
        <v>0</v>
      </c>
      <c r="G346">
        <f>VLOOKUP(B346, [1]Course!$A$2:$L$950, 8, FALSE)</f>
        <v>12</v>
      </c>
      <c r="H346">
        <v>3</v>
      </c>
      <c r="I346">
        <v>1</v>
      </c>
      <c r="M346" t="str">
        <f>VLOOKUP(B346, [1]Course!$A$1:$O$933, 12, FALSE)</f>
        <v>BS</v>
      </c>
      <c r="N346" t="s">
        <v>14</v>
      </c>
      <c r="O346" t="str">
        <f>VLOOKUP(B346, [1]Course!$A$1:$O$933, 14, FALSE)</f>
        <v>BR</v>
      </c>
      <c r="P346">
        <v>1</v>
      </c>
    </row>
    <row r="347" spans="1:16" x14ac:dyDescent="0.25">
      <c r="A347">
        <v>346</v>
      </c>
      <c r="B347">
        <v>29</v>
      </c>
      <c r="C347">
        <v>47</v>
      </c>
      <c r="D347" t="s">
        <v>21</v>
      </c>
      <c r="E347" t="str">
        <f t="shared" si="5"/>
        <v>1247BR03PT</v>
      </c>
      <c r="F347">
        <f>VLOOKUP(B347,[1]Course!$A$2:$R$329,2,FALSE)</f>
        <v>0</v>
      </c>
      <c r="G347">
        <f>VLOOKUP(B347, [1]Course!$A$2:$L$950, 8, FALSE)</f>
        <v>12</v>
      </c>
      <c r="H347">
        <v>3</v>
      </c>
      <c r="I347">
        <v>1</v>
      </c>
      <c r="M347" t="str">
        <f>VLOOKUP(B347, [1]Course!$A$1:$O$933, 12, FALSE)</f>
        <v>BS</v>
      </c>
      <c r="N347" t="s">
        <v>14</v>
      </c>
      <c r="O347" t="str">
        <f>VLOOKUP(B347, [1]Course!$A$1:$O$933, 14, FALSE)</f>
        <v>BR</v>
      </c>
      <c r="P347">
        <v>1</v>
      </c>
    </row>
    <row r="348" spans="1:16" x14ac:dyDescent="0.25">
      <c r="A348">
        <v>347</v>
      </c>
      <c r="B348">
        <v>29</v>
      </c>
      <c r="C348">
        <v>48</v>
      </c>
      <c r="D348" t="s">
        <v>21</v>
      </c>
      <c r="E348" t="str">
        <f t="shared" si="5"/>
        <v>1248BR03PT</v>
      </c>
      <c r="F348">
        <f>VLOOKUP(B348,[1]Course!$A$2:$R$329,2,FALSE)</f>
        <v>0</v>
      </c>
      <c r="G348">
        <f>VLOOKUP(B348, [1]Course!$A$2:$L$950, 8, FALSE)</f>
        <v>12</v>
      </c>
      <c r="H348">
        <v>3</v>
      </c>
      <c r="I348">
        <v>1</v>
      </c>
      <c r="M348" t="str">
        <f>VLOOKUP(B348, [1]Course!$A$1:$O$933, 12, FALSE)</f>
        <v>BS</v>
      </c>
      <c r="N348" t="s">
        <v>14</v>
      </c>
      <c r="O348" t="str">
        <f>VLOOKUP(B348, [1]Course!$A$1:$O$933, 14, FALSE)</f>
        <v>BR</v>
      </c>
      <c r="P348">
        <v>1</v>
      </c>
    </row>
    <row r="349" spans="1:16" x14ac:dyDescent="0.25">
      <c r="A349">
        <v>348</v>
      </c>
      <c r="B349">
        <v>30</v>
      </c>
      <c r="C349">
        <v>49</v>
      </c>
      <c r="D349" t="s">
        <v>15</v>
      </c>
      <c r="E349" t="str">
        <f t="shared" si="5"/>
        <v>1249MA03PT</v>
      </c>
      <c r="F349">
        <f>VLOOKUP(B349,[1]Course!$A$2:$R$329,2,FALSE)</f>
        <v>0</v>
      </c>
      <c r="G349">
        <f>VLOOKUP(B349, [1]Course!$A$2:$L$950, 8, FALSE)</f>
        <v>12</v>
      </c>
      <c r="H349">
        <v>3</v>
      </c>
      <c r="I349">
        <v>1</v>
      </c>
      <c r="M349" t="str">
        <f>VLOOKUP(B349, [1]Course!$A$1:$O$933, 12, FALSE)</f>
        <v>MA</v>
      </c>
      <c r="N349" t="s">
        <v>14</v>
      </c>
      <c r="O349" t="str">
        <f>VLOOKUP(B349, [1]Course!$A$1:$O$933, 14, FALSE)</f>
        <v>MA</v>
      </c>
      <c r="P349">
        <v>1</v>
      </c>
    </row>
    <row r="350" spans="1:16" x14ac:dyDescent="0.25">
      <c r="A350">
        <v>349</v>
      </c>
      <c r="B350">
        <v>30</v>
      </c>
      <c r="C350">
        <v>50</v>
      </c>
      <c r="D350" t="s">
        <v>15</v>
      </c>
      <c r="E350" t="str">
        <f t="shared" si="5"/>
        <v>1250MA03PT</v>
      </c>
      <c r="F350">
        <f>VLOOKUP(B350,[1]Course!$A$2:$R$329,2,FALSE)</f>
        <v>0</v>
      </c>
      <c r="G350">
        <f>VLOOKUP(B350, [1]Course!$A$2:$L$950, 8, FALSE)</f>
        <v>12</v>
      </c>
      <c r="H350">
        <v>3</v>
      </c>
      <c r="I350">
        <v>1</v>
      </c>
      <c r="M350" t="str">
        <f>VLOOKUP(B350, [1]Course!$A$1:$O$933, 12, FALSE)</f>
        <v>MA</v>
      </c>
      <c r="N350" t="s">
        <v>14</v>
      </c>
      <c r="O350" t="str">
        <f>VLOOKUP(B350, [1]Course!$A$1:$O$933, 14, FALSE)</f>
        <v>MA</v>
      </c>
      <c r="P350">
        <v>1</v>
      </c>
    </row>
    <row r="351" spans="1:16" x14ac:dyDescent="0.25">
      <c r="A351">
        <v>350</v>
      </c>
      <c r="B351">
        <v>30</v>
      </c>
      <c r="C351">
        <v>51</v>
      </c>
      <c r="D351" t="s">
        <v>15</v>
      </c>
      <c r="E351" t="str">
        <f t="shared" si="5"/>
        <v>1251MA03PT</v>
      </c>
      <c r="F351">
        <f>VLOOKUP(B351,[1]Course!$A$2:$R$329,2,FALSE)</f>
        <v>0</v>
      </c>
      <c r="G351">
        <f>VLOOKUP(B351, [1]Course!$A$2:$L$950, 8, FALSE)</f>
        <v>12</v>
      </c>
      <c r="H351">
        <v>3</v>
      </c>
      <c r="I351">
        <v>1</v>
      </c>
      <c r="M351" t="str">
        <f>VLOOKUP(B351, [1]Course!$A$1:$O$933, 12, FALSE)</f>
        <v>MA</v>
      </c>
      <c r="N351" t="s">
        <v>14</v>
      </c>
      <c r="O351" t="str">
        <f>VLOOKUP(B351, [1]Course!$A$1:$O$933, 14, FALSE)</f>
        <v>MA</v>
      </c>
      <c r="P351">
        <v>1</v>
      </c>
    </row>
    <row r="352" spans="1:16" x14ac:dyDescent="0.25">
      <c r="A352">
        <v>351</v>
      </c>
      <c r="B352">
        <v>30</v>
      </c>
      <c r="C352">
        <v>52</v>
      </c>
      <c r="D352" t="s">
        <v>15</v>
      </c>
      <c r="E352" t="str">
        <f t="shared" si="5"/>
        <v>1252MA03PT</v>
      </c>
      <c r="F352">
        <f>VLOOKUP(B352,[1]Course!$A$2:$R$329,2,FALSE)</f>
        <v>0</v>
      </c>
      <c r="G352">
        <f>VLOOKUP(B352, [1]Course!$A$2:$L$950, 8, FALSE)</f>
        <v>12</v>
      </c>
      <c r="H352">
        <v>3</v>
      </c>
      <c r="I352">
        <v>1</v>
      </c>
      <c r="M352" t="str">
        <f>VLOOKUP(B352, [1]Course!$A$1:$O$933, 12, FALSE)</f>
        <v>MA</v>
      </c>
      <c r="N352" t="s">
        <v>14</v>
      </c>
      <c r="O352" t="str">
        <f>VLOOKUP(B352, [1]Course!$A$1:$O$933, 14, FALSE)</f>
        <v>MA</v>
      </c>
      <c r="P352">
        <v>1</v>
      </c>
    </row>
    <row r="353" spans="1:16" x14ac:dyDescent="0.25">
      <c r="A353">
        <v>352</v>
      </c>
      <c r="B353">
        <v>30</v>
      </c>
      <c r="C353">
        <v>53</v>
      </c>
      <c r="D353" t="s">
        <v>15</v>
      </c>
      <c r="E353" t="str">
        <f t="shared" si="5"/>
        <v>1253MA03PT</v>
      </c>
      <c r="F353">
        <f>VLOOKUP(B353,[1]Course!$A$2:$R$329,2,FALSE)</f>
        <v>0</v>
      </c>
      <c r="G353">
        <f>VLOOKUP(B353, [1]Course!$A$2:$L$950, 8, FALSE)</f>
        <v>12</v>
      </c>
      <c r="H353">
        <v>3</v>
      </c>
      <c r="I353">
        <v>1</v>
      </c>
      <c r="M353" t="str">
        <f>VLOOKUP(B353, [1]Course!$A$1:$O$933, 12, FALSE)</f>
        <v>MA</v>
      </c>
      <c r="N353" t="s">
        <v>14</v>
      </c>
      <c r="O353" t="str">
        <f>VLOOKUP(B353, [1]Course!$A$1:$O$933, 14, FALSE)</f>
        <v>MA</v>
      </c>
      <c r="P353">
        <v>1</v>
      </c>
    </row>
    <row r="354" spans="1:16" x14ac:dyDescent="0.25">
      <c r="A354">
        <v>353</v>
      </c>
      <c r="B354">
        <v>30</v>
      </c>
      <c r="C354">
        <v>54</v>
      </c>
      <c r="D354" t="s">
        <v>15</v>
      </c>
      <c r="E354" t="str">
        <f t="shared" si="5"/>
        <v>1254MA03PT</v>
      </c>
      <c r="F354">
        <f>VLOOKUP(B354,[1]Course!$A$2:$R$329,2,FALSE)</f>
        <v>0</v>
      </c>
      <c r="G354">
        <f>VLOOKUP(B354, [1]Course!$A$2:$L$950, 8, FALSE)</f>
        <v>12</v>
      </c>
      <c r="H354">
        <v>3</v>
      </c>
      <c r="I354">
        <v>1</v>
      </c>
      <c r="M354" t="str">
        <f>VLOOKUP(B354, [1]Course!$A$1:$O$933, 12, FALSE)</f>
        <v>MA</v>
      </c>
      <c r="N354" t="s">
        <v>14</v>
      </c>
      <c r="O354" t="str">
        <f>VLOOKUP(B354, [1]Course!$A$1:$O$933, 14, FALSE)</f>
        <v>MA</v>
      </c>
      <c r="P354">
        <v>1</v>
      </c>
    </row>
    <row r="355" spans="1:16" x14ac:dyDescent="0.25">
      <c r="A355">
        <v>354</v>
      </c>
      <c r="B355">
        <v>30</v>
      </c>
      <c r="C355">
        <v>55</v>
      </c>
      <c r="D355" t="s">
        <v>15</v>
      </c>
      <c r="E355" t="str">
        <f t="shared" si="5"/>
        <v>1255MA03PT</v>
      </c>
      <c r="F355">
        <f>VLOOKUP(B355,[1]Course!$A$2:$R$329,2,FALSE)</f>
        <v>0</v>
      </c>
      <c r="G355">
        <f>VLOOKUP(B355, [1]Course!$A$2:$L$950, 8, FALSE)</f>
        <v>12</v>
      </c>
      <c r="H355">
        <v>3</v>
      </c>
      <c r="I355">
        <v>1</v>
      </c>
      <c r="M355" t="str">
        <f>VLOOKUP(B355, [1]Course!$A$1:$O$933, 12, FALSE)</f>
        <v>MA</v>
      </c>
      <c r="N355" t="s">
        <v>14</v>
      </c>
      <c r="O355" t="str">
        <f>VLOOKUP(B355, [1]Course!$A$1:$O$933, 14, FALSE)</f>
        <v>MA</v>
      </c>
      <c r="P355">
        <v>1</v>
      </c>
    </row>
    <row r="356" spans="1:16" x14ac:dyDescent="0.25">
      <c r="A356">
        <v>355</v>
      </c>
      <c r="B356">
        <v>30</v>
      </c>
      <c r="C356">
        <v>56</v>
      </c>
      <c r="D356" t="s">
        <v>15</v>
      </c>
      <c r="E356" t="str">
        <f t="shared" si="5"/>
        <v>1256MA03PT</v>
      </c>
      <c r="F356">
        <f>VLOOKUP(B356,[1]Course!$A$2:$R$329,2,FALSE)</f>
        <v>0</v>
      </c>
      <c r="G356">
        <f>VLOOKUP(B356, [1]Course!$A$2:$L$950, 8, FALSE)</f>
        <v>12</v>
      </c>
      <c r="H356">
        <v>3</v>
      </c>
      <c r="I356">
        <v>1</v>
      </c>
      <c r="M356" t="str">
        <f>VLOOKUP(B356, [1]Course!$A$1:$O$933, 12, FALSE)</f>
        <v>MA</v>
      </c>
      <c r="N356" t="s">
        <v>14</v>
      </c>
      <c r="O356" t="str">
        <f>VLOOKUP(B356, [1]Course!$A$1:$O$933, 14, FALSE)</f>
        <v>MA</v>
      </c>
      <c r="P356">
        <v>1</v>
      </c>
    </row>
    <row r="357" spans="1:16" x14ac:dyDescent="0.25">
      <c r="A357">
        <v>356</v>
      </c>
      <c r="B357">
        <v>30</v>
      </c>
      <c r="C357">
        <v>57</v>
      </c>
      <c r="D357" t="s">
        <v>15</v>
      </c>
      <c r="E357" t="str">
        <f t="shared" si="5"/>
        <v>1257MA03PT</v>
      </c>
      <c r="F357">
        <f>VLOOKUP(B357,[1]Course!$A$2:$R$329,2,FALSE)</f>
        <v>0</v>
      </c>
      <c r="G357">
        <f>VLOOKUP(B357, [1]Course!$A$2:$L$950, 8, FALSE)</f>
        <v>12</v>
      </c>
      <c r="H357">
        <v>3</v>
      </c>
      <c r="I357">
        <v>1</v>
      </c>
      <c r="M357" t="str">
        <f>VLOOKUP(B357, [1]Course!$A$1:$O$933, 12, FALSE)</f>
        <v>MA</v>
      </c>
      <c r="N357" t="s">
        <v>14</v>
      </c>
      <c r="O357" t="str">
        <f>VLOOKUP(B357, [1]Course!$A$1:$O$933, 14, FALSE)</f>
        <v>MA</v>
      </c>
      <c r="P357">
        <v>1</v>
      </c>
    </row>
    <row r="358" spans="1:16" x14ac:dyDescent="0.25">
      <c r="A358">
        <v>357</v>
      </c>
      <c r="B358">
        <v>30</v>
      </c>
      <c r="C358">
        <v>58</v>
      </c>
      <c r="D358" t="s">
        <v>15</v>
      </c>
      <c r="E358" t="str">
        <f t="shared" si="5"/>
        <v>1258MA03PT</v>
      </c>
      <c r="F358">
        <f>VLOOKUP(B358,[1]Course!$A$2:$R$329,2,FALSE)</f>
        <v>0</v>
      </c>
      <c r="G358">
        <f>VLOOKUP(B358, [1]Course!$A$2:$L$950, 8, FALSE)</f>
        <v>12</v>
      </c>
      <c r="H358">
        <v>3</v>
      </c>
      <c r="I358">
        <v>1</v>
      </c>
      <c r="M358" t="str">
        <f>VLOOKUP(B358, [1]Course!$A$1:$O$933, 12, FALSE)</f>
        <v>MA</v>
      </c>
      <c r="N358" t="s">
        <v>14</v>
      </c>
      <c r="O358" t="str">
        <f>VLOOKUP(B358, [1]Course!$A$1:$O$933, 14, FALSE)</f>
        <v>MA</v>
      </c>
      <c r="P358">
        <v>1</v>
      </c>
    </row>
    <row r="359" spans="1:16" x14ac:dyDescent="0.25">
      <c r="A359">
        <v>358</v>
      </c>
      <c r="B359">
        <v>30</v>
      </c>
      <c r="C359">
        <v>59</v>
      </c>
      <c r="D359" t="s">
        <v>15</v>
      </c>
      <c r="E359" t="str">
        <f t="shared" si="5"/>
        <v>1259MA03PT</v>
      </c>
      <c r="F359">
        <f>VLOOKUP(B359,[1]Course!$A$2:$R$329,2,FALSE)</f>
        <v>0</v>
      </c>
      <c r="G359">
        <f>VLOOKUP(B359, [1]Course!$A$2:$L$950, 8, FALSE)</f>
        <v>12</v>
      </c>
      <c r="H359">
        <v>3</v>
      </c>
      <c r="I359">
        <v>1</v>
      </c>
      <c r="M359" t="str">
        <f>VLOOKUP(B359, [1]Course!$A$1:$O$933, 12, FALSE)</f>
        <v>MA</v>
      </c>
      <c r="N359" t="s">
        <v>14</v>
      </c>
      <c r="O359" t="str">
        <f>VLOOKUP(B359, [1]Course!$A$1:$O$933, 14, FALSE)</f>
        <v>MA</v>
      </c>
      <c r="P359">
        <v>1</v>
      </c>
    </row>
    <row r="360" spans="1:16" x14ac:dyDescent="0.25">
      <c r="A360">
        <v>359</v>
      </c>
      <c r="B360">
        <v>30</v>
      </c>
      <c r="C360">
        <v>60</v>
      </c>
      <c r="D360" t="s">
        <v>15</v>
      </c>
      <c r="E360" t="str">
        <f t="shared" si="5"/>
        <v>1260MA03PT</v>
      </c>
      <c r="F360">
        <f>VLOOKUP(B360,[1]Course!$A$2:$R$329,2,FALSE)</f>
        <v>0</v>
      </c>
      <c r="G360">
        <f>VLOOKUP(B360, [1]Course!$A$2:$L$950, 8, FALSE)</f>
        <v>12</v>
      </c>
      <c r="H360">
        <v>3</v>
      </c>
      <c r="I360">
        <v>1</v>
      </c>
      <c r="M360" t="str">
        <f>VLOOKUP(B360, [1]Course!$A$1:$O$933, 12, FALSE)</f>
        <v>MA</v>
      </c>
      <c r="N360" t="s">
        <v>14</v>
      </c>
      <c r="O360" t="str">
        <f>VLOOKUP(B360, [1]Course!$A$1:$O$933, 14, FALSE)</f>
        <v>MA</v>
      </c>
      <c r="P360">
        <v>1</v>
      </c>
    </row>
    <row r="361" spans="1:16" x14ac:dyDescent="0.25">
      <c r="A361">
        <v>360</v>
      </c>
      <c r="B361">
        <v>31</v>
      </c>
      <c r="C361">
        <v>49</v>
      </c>
      <c r="D361" t="s">
        <v>16</v>
      </c>
      <c r="E361" t="str">
        <f t="shared" si="5"/>
        <v>1249EN03PT</v>
      </c>
      <c r="F361">
        <f>VLOOKUP(B361,[1]Course!$A$2:$R$329,2,FALSE)</f>
        <v>0</v>
      </c>
      <c r="G361">
        <f>VLOOKUP(B361, [1]Course!$A$2:$L$950, 8, FALSE)</f>
        <v>12</v>
      </c>
      <c r="H361">
        <v>3</v>
      </c>
      <c r="I361">
        <v>1</v>
      </c>
      <c r="M361" t="str">
        <f>VLOOKUP(B361, [1]Course!$A$1:$O$933, 12, FALSE)</f>
        <v>LA</v>
      </c>
      <c r="N361" t="s">
        <v>14</v>
      </c>
      <c r="O361" t="str">
        <f>VLOOKUP(B361, [1]Course!$A$1:$O$933, 14, FALSE)</f>
        <v>EN</v>
      </c>
      <c r="P361">
        <v>1</v>
      </c>
    </row>
    <row r="362" spans="1:16" x14ac:dyDescent="0.25">
      <c r="A362">
        <v>361</v>
      </c>
      <c r="B362">
        <v>31</v>
      </c>
      <c r="C362">
        <v>50</v>
      </c>
      <c r="D362" t="s">
        <v>16</v>
      </c>
      <c r="E362" t="str">
        <f t="shared" si="5"/>
        <v>1250EN03PT</v>
      </c>
      <c r="F362">
        <f>VLOOKUP(B362,[1]Course!$A$2:$R$329,2,FALSE)</f>
        <v>0</v>
      </c>
      <c r="G362">
        <f>VLOOKUP(B362, [1]Course!$A$2:$L$950, 8, FALSE)</f>
        <v>12</v>
      </c>
      <c r="H362">
        <v>3</v>
      </c>
      <c r="I362">
        <v>1</v>
      </c>
      <c r="M362" t="str">
        <f>VLOOKUP(B362, [1]Course!$A$1:$O$933, 12, FALSE)</f>
        <v>LA</v>
      </c>
      <c r="N362" t="s">
        <v>14</v>
      </c>
      <c r="O362" t="str">
        <f>VLOOKUP(B362, [1]Course!$A$1:$O$933, 14, FALSE)</f>
        <v>EN</v>
      </c>
      <c r="P362">
        <v>1</v>
      </c>
    </row>
    <row r="363" spans="1:16" x14ac:dyDescent="0.25">
      <c r="A363">
        <v>362</v>
      </c>
      <c r="B363">
        <v>31</v>
      </c>
      <c r="C363">
        <v>51</v>
      </c>
      <c r="D363" t="s">
        <v>16</v>
      </c>
      <c r="E363" t="str">
        <f t="shared" si="5"/>
        <v>1251EN03PT</v>
      </c>
      <c r="F363">
        <f>VLOOKUP(B363,[1]Course!$A$2:$R$329,2,FALSE)</f>
        <v>0</v>
      </c>
      <c r="G363">
        <f>VLOOKUP(B363, [1]Course!$A$2:$L$950, 8, FALSE)</f>
        <v>12</v>
      </c>
      <c r="H363">
        <v>3</v>
      </c>
      <c r="I363">
        <v>1</v>
      </c>
      <c r="M363" t="str">
        <f>VLOOKUP(B363, [1]Course!$A$1:$O$933, 12, FALSE)</f>
        <v>LA</v>
      </c>
      <c r="N363" t="s">
        <v>14</v>
      </c>
      <c r="O363" t="str">
        <f>VLOOKUP(B363, [1]Course!$A$1:$O$933, 14, FALSE)</f>
        <v>EN</v>
      </c>
      <c r="P363">
        <v>1</v>
      </c>
    </row>
    <row r="364" spans="1:16" x14ac:dyDescent="0.25">
      <c r="A364">
        <v>363</v>
      </c>
      <c r="B364">
        <v>31</v>
      </c>
      <c r="C364">
        <v>52</v>
      </c>
      <c r="D364" t="s">
        <v>16</v>
      </c>
      <c r="E364" t="str">
        <f t="shared" si="5"/>
        <v>1252EN03PT</v>
      </c>
      <c r="F364">
        <f>VLOOKUP(B364,[1]Course!$A$2:$R$329,2,FALSE)</f>
        <v>0</v>
      </c>
      <c r="G364">
        <f>VLOOKUP(B364, [1]Course!$A$2:$L$950, 8, FALSE)</f>
        <v>12</v>
      </c>
      <c r="H364">
        <v>3</v>
      </c>
      <c r="I364">
        <v>1</v>
      </c>
      <c r="M364" t="str">
        <f>VLOOKUP(B364, [1]Course!$A$1:$O$933, 12, FALSE)</f>
        <v>LA</v>
      </c>
      <c r="N364" t="s">
        <v>14</v>
      </c>
      <c r="O364" t="str">
        <f>VLOOKUP(B364, [1]Course!$A$1:$O$933, 14, FALSE)</f>
        <v>EN</v>
      </c>
      <c r="P364">
        <v>1</v>
      </c>
    </row>
    <row r="365" spans="1:16" x14ac:dyDescent="0.25">
      <c r="A365">
        <v>364</v>
      </c>
      <c r="B365">
        <v>31</v>
      </c>
      <c r="C365">
        <v>53</v>
      </c>
      <c r="D365" t="s">
        <v>16</v>
      </c>
      <c r="E365" t="str">
        <f t="shared" si="5"/>
        <v>1253EN03PT</v>
      </c>
      <c r="F365">
        <f>VLOOKUP(B365,[1]Course!$A$2:$R$329,2,FALSE)</f>
        <v>0</v>
      </c>
      <c r="G365">
        <f>VLOOKUP(B365, [1]Course!$A$2:$L$950, 8, FALSE)</f>
        <v>12</v>
      </c>
      <c r="H365">
        <v>3</v>
      </c>
      <c r="I365">
        <v>1</v>
      </c>
      <c r="M365" t="str">
        <f>VLOOKUP(B365, [1]Course!$A$1:$O$933, 12, FALSE)</f>
        <v>LA</v>
      </c>
      <c r="N365" t="s">
        <v>14</v>
      </c>
      <c r="O365" t="str">
        <f>VLOOKUP(B365, [1]Course!$A$1:$O$933, 14, FALSE)</f>
        <v>EN</v>
      </c>
      <c r="P365">
        <v>1</v>
      </c>
    </row>
    <row r="366" spans="1:16" x14ac:dyDescent="0.25">
      <c r="A366">
        <v>365</v>
      </c>
      <c r="B366">
        <v>31</v>
      </c>
      <c r="C366">
        <v>54</v>
      </c>
      <c r="D366" t="s">
        <v>16</v>
      </c>
      <c r="E366" t="str">
        <f t="shared" si="5"/>
        <v>1254EN03PT</v>
      </c>
      <c r="F366">
        <f>VLOOKUP(B366,[1]Course!$A$2:$R$329,2,FALSE)</f>
        <v>0</v>
      </c>
      <c r="G366">
        <f>VLOOKUP(B366, [1]Course!$A$2:$L$950, 8, FALSE)</f>
        <v>12</v>
      </c>
      <c r="H366">
        <v>3</v>
      </c>
      <c r="I366">
        <v>1</v>
      </c>
      <c r="M366" t="str">
        <f>VLOOKUP(B366, [1]Course!$A$1:$O$933, 12, FALSE)</f>
        <v>LA</v>
      </c>
      <c r="N366" t="s">
        <v>14</v>
      </c>
      <c r="O366" t="str">
        <f>VLOOKUP(B366, [1]Course!$A$1:$O$933, 14, FALSE)</f>
        <v>EN</v>
      </c>
      <c r="P366">
        <v>1</v>
      </c>
    </row>
    <row r="367" spans="1:16" x14ac:dyDescent="0.25">
      <c r="A367">
        <v>366</v>
      </c>
      <c r="B367">
        <v>31</v>
      </c>
      <c r="C367">
        <v>55</v>
      </c>
      <c r="D367" t="s">
        <v>16</v>
      </c>
      <c r="E367" t="str">
        <f t="shared" si="5"/>
        <v>1255EN03PT</v>
      </c>
      <c r="F367">
        <f>VLOOKUP(B367,[1]Course!$A$2:$R$329,2,FALSE)</f>
        <v>0</v>
      </c>
      <c r="G367">
        <f>VLOOKUP(B367, [1]Course!$A$2:$L$950, 8, FALSE)</f>
        <v>12</v>
      </c>
      <c r="H367">
        <v>3</v>
      </c>
      <c r="I367">
        <v>1</v>
      </c>
      <c r="M367" t="str">
        <f>VLOOKUP(B367, [1]Course!$A$1:$O$933, 12, FALSE)</f>
        <v>LA</v>
      </c>
      <c r="N367" t="s">
        <v>14</v>
      </c>
      <c r="O367" t="str">
        <f>VLOOKUP(B367, [1]Course!$A$1:$O$933, 14, FALSE)</f>
        <v>EN</v>
      </c>
      <c r="P367">
        <v>1</v>
      </c>
    </row>
    <row r="368" spans="1:16" x14ac:dyDescent="0.25">
      <c r="A368">
        <v>367</v>
      </c>
      <c r="B368">
        <v>31</v>
      </c>
      <c r="C368">
        <v>56</v>
      </c>
      <c r="D368" t="s">
        <v>16</v>
      </c>
      <c r="E368" t="str">
        <f t="shared" si="5"/>
        <v>1256EN03PT</v>
      </c>
      <c r="F368">
        <f>VLOOKUP(B368,[1]Course!$A$2:$R$329,2,FALSE)</f>
        <v>0</v>
      </c>
      <c r="G368">
        <f>VLOOKUP(B368, [1]Course!$A$2:$L$950, 8, FALSE)</f>
        <v>12</v>
      </c>
      <c r="H368">
        <v>3</v>
      </c>
      <c r="I368">
        <v>1</v>
      </c>
      <c r="M368" t="str">
        <f>VLOOKUP(B368, [1]Course!$A$1:$O$933, 12, FALSE)</f>
        <v>LA</v>
      </c>
      <c r="N368" t="s">
        <v>14</v>
      </c>
      <c r="O368" t="str">
        <f>VLOOKUP(B368, [1]Course!$A$1:$O$933, 14, FALSE)</f>
        <v>EN</v>
      </c>
      <c r="P368">
        <v>1</v>
      </c>
    </row>
    <row r="369" spans="1:16" x14ac:dyDescent="0.25">
      <c r="A369">
        <v>368</v>
      </c>
      <c r="B369">
        <v>31</v>
      </c>
      <c r="C369">
        <v>57</v>
      </c>
      <c r="D369" t="s">
        <v>16</v>
      </c>
      <c r="E369" t="str">
        <f t="shared" si="5"/>
        <v>1257EN03PT</v>
      </c>
      <c r="F369">
        <f>VLOOKUP(B369,[1]Course!$A$2:$R$329,2,FALSE)</f>
        <v>0</v>
      </c>
      <c r="G369">
        <f>VLOOKUP(B369, [1]Course!$A$2:$L$950, 8, FALSE)</f>
        <v>12</v>
      </c>
      <c r="H369">
        <v>3</v>
      </c>
      <c r="I369">
        <v>1</v>
      </c>
      <c r="M369" t="str">
        <f>VLOOKUP(B369, [1]Course!$A$1:$O$933, 12, FALSE)</f>
        <v>LA</v>
      </c>
      <c r="N369" t="s">
        <v>14</v>
      </c>
      <c r="O369" t="str">
        <f>VLOOKUP(B369, [1]Course!$A$1:$O$933, 14, FALSE)</f>
        <v>EN</v>
      </c>
      <c r="P369">
        <v>1</v>
      </c>
    </row>
    <row r="370" spans="1:16" x14ac:dyDescent="0.25">
      <c r="A370">
        <v>369</v>
      </c>
      <c r="B370">
        <v>31</v>
      </c>
      <c r="C370">
        <v>58</v>
      </c>
      <c r="D370" t="s">
        <v>16</v>
      </c>
      <c r="E370" t="str">
        <f t="shared" si="5"/>
        <v>1258EN03PT</v>
      </c>
      <c r="F370">
        <f>VLOOKUP(B370,[1]Course!$A$2:$R$329,2,FALSE)</f>
        <v>0</v>
      </c>
      <c r="G370">
        <f>VLOOKUP(B370, [1]Course!$A$2:$L$950, 8, FALSE)</f>
        <v>12</v>
      </c>
      <c r="H370">
        <v>3</v>
      </c>
      <c r="I370">
        <v>1</v>
      </c>
      <c r="M370" t="str">
        <f>VLOOKUP(B370, [1]Course!$A$1:$O$933, 12, FALSE)</f>
        <v>LA</v>
      </c>
      <c r="N370" t="s">
        <v>14</v>
      </c>
      <c r="O370" t="str">
        <f>VLOOKUP(B370, [1]Course!$A$1:$O$933, 14, FALSE)</f>
        <v>EN</v>
      </c>
      <c r="P370">
        <v>1</v>
      </c>
    </row>
    <row r="371" spans="1:16" x14ac:dyDescent="0.25">
      <c r="A371">
        <v>370</v>
      </c>
      <c r="B371">
        <v>31</v>
      </c>
      <c r="C371">
        <v>59</v>
      </c>
      <c r="D371" t="s">
        <v>16</v>
      </c>
      <c r="E371" t="str">
        <f t="shared" si="5"/>
        <v>1259EN03PT</v>
      </c>
      <c r="F371">
        <f>VLOOKUP(B371,[1]Course!$A$2:$R$329,2,FALSE)</f>
        <v>0</v>
      </c>
      <c r="G371">
        <f>VLOOKUP(B371, [1]Course!$A$2:$L$950, 8, FALSE)</f>
        <v>12</v>
      </c>
      <c r="H371">
        <v>3</v>
      </c>
      <c r="I371">
        <v>1</v>
      </c>
      <c r="M371" t="str">
        <f>VLOOKUP(B371, [1]Course!$A$1:$O$933, 12, FALSE)</f>
        <v>LA</v>
      </c>
      <c r="N371" t="s">
        <v>14</v>
      </c>
      <c r="O371" t="str">
        <f>VLOOKUP(B371, [1]Course!$A$1:$O$933, 14, FALSE)</f>
        <v>EN</v>
      </c>
      <c r="P371">
        <v>1</v>
      </c>
    </row>
    <row r="372" spans="1:16" x14ac:dyDescent="0.25">
      <c r="A372">
        <v>371</v>
      </c>
      <c r="B372">
        <v>31</v>
      </c>
      <c r="C372">
        <v>60</v>
      </c>
      <c r="D372" t="s">
        <v>16</v>
      </c>
      <c r="E372" t="str">
        <f t="shared" si="5"/>
        <v>1260EN03PT</v>
      </c>
      <c r="F372">
        <f>VLOOKUP(B372,[1]Course!$A$2:$R$329,2,FALSE)</f>
        <v>0</v>
      </c>
      <c r="G372">
        <f>VLOOKUP(B372, [1]Course!$A$2:$L$950, 8, FALSE)</f>
        <v>12</v>
      </c>
      <c r="H372">
        <v>3</v>
      </c>
      <c r="I372">
        <v>1</v>
      </c>
      <c r="M372" t="str">
        <f>VLOOKUP(B372, [1]Course!$A$1:$O$933, 12, FALSE)</f>
        <v>LA</v>
      </c>
      <c r="N372" t="s">
        <v>14</v>
      </c>
      <c r="O372" t="str">
        <f>VLOOKUP(B372, [1]Course!$A$1:$O$933, 14, FALSE)</f>
        <v>EN</v>
      </c>
      <c r="P372">
        <v>1</v>
      </c>
    </row>
    <row r="373" spans="1:16" x14ac:dyDescent="0.25">
      <c r="A373">
        <v>372</v>
      </c>
      <c r="B373">
        <v>32</v>
      </c>
      <c r="C373">
        <v>49</v>
      </c>
      <c r="D373" t="s">
        <v>17</v>
      </c>
      <c r="E373" t="str">
        <f t="shared" si="5"/>
        <v>1249WB03PT</v>
      </c>
      <c r="F373">
        <f>VLOOKUP(B373,[1]Course!$A$2:$R$329,2,FALSE)</f>
        <v>0</v>
      </c>
      <c r="G373">
        <f>VLOOKUP(B373, [1]Course!$A$2:$L$950, 8, FALSE)</f>
        <v>12</v>
      </c>
      <c r="H373">
        <v>3</v>
      </c>
      <c r="I373">
        <v>1</v>
      </c>
      <c r="M373" t="str">
        <f>VLOOKUP(B373, [1]Course!$A$1:$O$933, 12, FALSE)</f>
        <v>WB</v>
      </c>
      <c r="N373" t="s">
        <v>14</v>
      </c>
      <c r="O373" t="str">
        <f>VLOOKUP(B373, [1]Course!$A$1:$O$933, 14, FALSE)</f>
        <v>WB</v>
      </c>
      <c r="P373">
        <v>1</v>
      </c>
    </row>
    <row r="374" spans="1:16" x14ac:dyDescent="0.25">
      <c r="A374">
        <v>373</v>
      </c>
      <c r="B374">
        <v>32</v>
      </c>
      <c r="C374">
        <v>50</v>
      </c>
      <c r="D374" t="s">
        <v>17</v>
      </c>
      <c r="E374" t="str">
        <f t="shared" si="5"/>
        <v>1250WB03PT</v>
      </c>
      <c r="F374">
        <f>VLOOKUP(B374,[1]Course!$A$2:$R$329,2,FALSE)</f>
        <v>0</v>
      </c>
      <c r="G374">
        <f>VLOOKUP(B374, [1]Course!$A$2:$L$950, 8, FALSE)</f>
        <v>12</v>
      </c>
      <c r="H374">
        <v>3</v>
      </c>
      <c r="I374">
        <v>1</v>
      </c>
      <c r="M374" t="str">
        <f>VLOOKUP(B374, [1]Course!$A$1:$O$933, 12, FALSE)</f>
        <v>WB</v>
      </c>
      <c r="N374" t="s">
        <v>14</v>
      </c>
      <c r="O374" t="str">
        <f>VLOOKUP(B374, [1]Course!$A$1:$O$933, 14, FALSE)</f>
        <v>WB</v>
      </c>
      <c r="P374">
        <v>1</v>
      </c>
    </row>
    <row r="375" spans="1:16" x14ac:dyDescent="0.25">
      <c r="A375">
        <v>374</v>
      </c>
      <c r="B375">
        <v>32</v>
      </c>
      <c r="C375">
        <v>51</v>
      </c>
      <c r="D375" t="s">
        <v>17</v>
      </c>
      <c r="E375" t="str">
        <f t="shared" si="5"/>
        <v>1251WB03PT</v>
      </c>
      <c r="F375">
        <f>VLOOKUP(B375,[1]Course!$A$2:$R$329,2,FALSE)</f>
        <v>0</v>
      </c>
      <c r="G375">
        <f>VLOOKUP(B375, [1]Course!$A$2:$L$950, 8, FALSE)</f>
        <v>12</v>
      </c>
      <c r="H375">
        <v>3</v>
      </c>
      <c r="I375">
        <v>1</v>
      </c>
      <c r="M375" t="str">
        <f>VLOOKUP(B375, [1]Course!$A$1:$O$933, 12, FALSE)</f>
        <v>WB</v>
      </c>
      <c r="N375" t="s">
        <v>14</v>
      </c>
      <c r="O375" t="str">
        <f>VLOOKUP(B375, [1]Course!$A$1:$O$933, 14, FALSE)</f>
        <v>WB</v>
      </c>
      <c r="P375">
        <v>1</v>
      </c>
    </row>
    <row r="376" spans="1:16" x14ac:dyDescent="0.25">
      <c r="A376">
        <v>375</v>
      </c>
      <c r="B376">
        <v>32</v>
      </c>
      <c r="C376">
        <v>52</v>
      </c>
      <c r="D376" t="s">
        <v>17</v>
      </c>
      <c r="E376" t="str">
        <f t="shared" si="5"/>
        <v>1252WB03PT</v>
      </c>
      <c r="F376">
        <f>VLOOKUP(B376,[1]Course!$A$2:$R$329,2,FALSE)</f>
        <v>0</v>
      </c>
      <c r="G376">
        <f>VLOOKUP(B376, [1]Course!$A$2:$L$950, 8, FALSE)</f>
        <v>12</v>
      </c>
      <c r="H376">
        <v>3</v>
      </c>
      <c r="I376">
        <v>1</v>
      </c>
      <c r="M376" t="str">
        <f>VLOOKUP(B376, [1]Course!$A$1:$O$933, 12, FALSE)</f>
        <v>WB</v>
      </c>
      <c r="N376" t="s">
        <v>14</v>
      </c>
      <c r="O376" t="str">
        <f>VLOOKUP(B376, [1]Course!$A$1:$O$933, 14, FALSE)</f>
        <v>WB</v>
      </c>
      <c r="P376">
        <v>1</v>
      </c>
    </row>
    <row r="377" spans="1:16" x14ac:dyDescent="0.25">
      <c r="A377">
        <v>376</v>
      </c>
      <c r="B377">
        <v>32</v>
      </c>
      <c r="C377">
        <v>53</v>
      </c>
      <c r="D377" t="s">
        <v>17</v>
      </c>
      <c r="E377" t="str">
        <f t="shared" si="5"/>
        <v>1253WB03PT</v>
      </c>
      <c r="F377">
        <f>VLOOKUP(B377,[1]Course!$A$2:$R$329,2,FALSE)</f>
        <v>0</v>
      </c>
      <c r="G377">
        <f>VLOOKUP(B377, [1]Course!$A$2:$L$950, 8, FALSE)</f>
        <v>12</v>
      </c>
      <c r="H377">
        <v>3</v>
      </c>
      <c r="I377">
        <v>1</v>
      </c>
      <c r="M377" t="str">
        <f>VLOOKUP(B377, [1]Course!$A$1:$O$933, 12, FALSE)</f>
        <v>WB</v>
      </c>
      <c r="N377" t="s">
        <v>14</v>
      </c>
      <c r="O377" t="str">
        <f>VLOOKUP(B377, [1]Course!$A$1:$O$933, 14, FALSE)</f>
        <v>WB</v>
      </c>
      <c r="P377">
        <v>1</v>
      </c>
    </row>
    <row r="378" spans="1:16" x14ac:dyDescent="0.25">
      <c r="A378">
        <v>377</v>
      </c>
      <c r="B378">
        <v>32</v>
      </c>
      <c r="C378">
        <v>54</v>
      </c>
      <c r="D378" t="s">
        <v>17</v>
      </c>
      <c r="E378" t="str">
        <f t="shared" si="5"/>
        <v>1254WB03PT</v>
      </c>
      <c r="F378">
        <f>VLOOKUP(B378,[1]Course!$A$2:$R$329,2,FALSE)</f>
        <v>0</v>
      </c>
      <c r="G378">
        <f>VLOOKUP(B378, [1]Course!$A$2:$L$950, 8, FALSE)</f>
        <v>12</v>
      </c>
      <c r="H378">
        <v>3</v>
      </c>
      <c r="I378">
        <v>1</v>
      </c>
      <c r="M378" t="str">
        <f>VLOOKUP(B378, [1]Course!$A$1:$O$933, 12, FALSE)</f>
        <v>WB</v>
      </c>
      <c r="N378" t="s">
        <v>14</v>
      </c>
      <c r="O378" t="str">
        <f>VLOOKUP(B378, [1]Course!$A$1:$O$933, 14, FALSE)</f>
        <v>WB</v>
      </c>
      <c r="P378">
        <v>1</v>
      </c>
    </row>
    <row r="379" spans="1:16" x14ac:dyDescent="0.25">
      <c r="A379">
        <v>378</v>
      </c>
      <c r="B379">
        <v>32</v>
      </c>
      <c r="C379">
        <v>55</v>
      </c>
      <c r="D379" t="s">
        <v>17</v>
      </c>
      <c r="E379" t="str">
        <f t="shared" si="5"/>
        <v>1255WB03PT</v>
      </c>
      <c r="F379">
        <f>VLOOKUP(B379,[1]Course!$A$2:$R$329,2,FALSE)</f>
        <v>0</v>
      </c>
      <c r="G379">
        <f>VLOOKUP(B379, [1]Course!$A$2:$L$950, 8, FALSE)</f>
        <v>12</v>
      </c>
      <c r="H379">
        <v>3</v>
      </c>
      <c r="I379">
        <v>1</v>
      </c>
      <c r="M379" t="str">
        <f>VLOOKUP(B379, [1]Course!$A$1:$O$933, 12, FALSE)</f>
        <v>WB</v>
      </c>
      <c r="N379" t="s">
        <v>14</v>
      </c>
      <c r="O379" t="str">
        <f>VLOOKUP(B379, [1]Course!$A$1:$O$933, 14, FALSE)</f>
        <v>WB</v>
      </c>
      <c r="P379">
        <v>1</v>
      </c>
    </row>
    <row r="380" spans="1:16" x14ac:dyDescent="0.25">
      <c r="A380">
        <v>379</v>
      </c>
      <c r="B380">
        <v>32</v>
      </c>
      <c r="C380">
        <v>56</v>
      </c>
      <c r="D380" t="s">
        <v>17</v>
      </c>
      <c r="E380" t="str">
        <f t="shared" si="5"/>
        <v>1256WB03PT</v>
      </c>
      <c r="F380">
        <f>VLOOKUP(B380,[1]Course!$A$2:$R$329,2,FALSE)</f>
        <v>0</v>
      </c>
      <c r="G380">
        <f>VLOOKUP(B380, [1]Course!$A$2:$L$950, 8, FALSE)</f>
        <v>12</v>
      </c>
      <c r="H380">
        <v>3</v>
      </c>
      <c r="I380">
        <v>1</v>
      </c>
      <c r="M380" t="str">
        <f>VLOOKUP(B380, [1]Course!$A$1:$O$933, 12, FALSE)</f>
        <v>WB</v>
      </c>
      <c r="N380" t="s">
        <v>14</v>
      </c>
      <c r="O380" t="str">
        <f>VLOOKUP(B380, [1]Course!$A$1:$O$933, 14, FALSE)</f>
        <v>WB</v>
      </c>
      <c r="P380">
        <v>1</v>
      </c>
    </row>
    <row r="381" spans="1:16" x14ac:dyDescent="0.25">
      <c r="A381">
        <v>380</v>
      </c>
      <c r="B381">
        <v>32</v>
      </c>
      <c r="C381">
        <v>57</v>
      </c>
      <c r="D381" t="s">
        <v>17</v>
      </c>
      <c r="E381" t="str">
        <f t="shared" si="5"/>
        <v>1257WB03PT</v>
      </c>
      <c r="F381">
        <f>VLOOKUP(B381,[1]Course!$A$2:$R$329,2,FALSE)</f>
        <v>0</v>
      </c>
      <c r="G381">
        <f>VLOOKUP(B381, [1]Course!$A$2:$L$950, 8, FALSE)</f>
        <v>12</v>
      </c>
      <c r="H381">
        <v>3</v>
      </c>
      <c r="I381">
        <v>1</v>
      </c>
      <c r="M381" t="str">
        <f>VLOOKUP(B381, [1]Course!$A$1:$O$933, 12, FALSE)</f>
        <v>WB</v>
      </c>
      <c r="N381" t="s">
        <v>14</v>
      </c>
      <c r="O381" t="str">
        <f>VLOOKUP(B381, [1]Course!$A$1:$O$933, 14, FALSE)</f>
        <v>WB</v>
      </c>
      <c r="P381">
        <v>1</v>
      </c>
    </row>
    <row r="382" spans="1:16" x14ac:dyDescent="0.25">
      <c r="A382">
        <v>381</v>
      </c>
      <c r="B382">
        <v>32</v>
      </c>
      <c r="C382">
        <v>58</v>
      </c>
      <c r="D382" t="s">
        <v>17</v>
      </c>
      <c r="E382" t="str">
        <f t="shared" si="5"/>
        <v>1258WB03PT</v>
      </c>
      <c r="F382">
        <f>VLOOKUP(B382,[1]Course!$A$2:$R$329,2,FALSE)</f>
        <v>0</v>
      </c>
      <c r="G382">
        <f>VLOOKUP(B382, [1]Course!$A$2:$L$950, 8, FALSE)</f>
        <v>12</v>
      </c>
      <c r="H382">
        <v>3</v>
      </c>
      <c r="I382">
        <v>1</v>
      </c>
      <c r="M382" t="str">
        <f>VLOOKUP(B382, [1]Course!$A$1:$O$933, 12, FALSE)</f>
        <v>WB</v>
      </c>
      <c r="N382" t="s">
        <v>14</v>
      </c>
      <c r="O382" t="str">
        <f>VLOOKUP(B382, [1]Course!$A$1:$O$933, 14, FALSE)</f>
        <v>WB</v>
      </c>
      <c r="P382">
        <v>1</v>
      </c>
    </row>
    <row r="383" spans="1:16" x14ac:dyDescent="0.25">
      <c r="A383">
        <v>382</v>
      </c>
      <c r="B383">
        <v>32</v>
      </c>
      <c r="C383">
        <v>59</v>
      </c>
      <c r="D383" t="s">
        <v>17</v>
      </c>
      <c r="E383" t="str">
        <f t="shared" si="5"/>
        <v>1259WB03PT</v>
      </c>
      <c r="F383">
        <f>VLOOKUP(B383,[1]Course!$A$2:$R$329,2,FALSE)</f>
        <v>0</v>
      </c>
      <c r="G383">
        <f>VLOOKUP(B383, [1]Course!$A$2:$L$950, 8, FALSE)</f>
        <v>12</v>
      </c>
      <c r="H383">
        <v>3</v>
      </c>
      <c r="I383">
        <v>1</v>
      </c>
      <c r="M383" t="str">
        <f>VLOOKUP(B383, [1]Course!$A$1:$O$933, 12, FALSE)</f>
        <v>WB</v>
      </c>
      <c r="N383" t="s">
        <v>14</v>
      </c>
      <c r="O383" t="str">
        <f>VLOOKUP(B383, [1]Course!$A$1:$O$933, 14, FALSE)</f>
        <v>WB</v>
      </c>
      <c r="P383">
        <v>1</v>
      </c>
    </row>
    <row r="384" spans="1:16" x14ac:dyDescent="0.25">
      <c r="A384">
        <v>383</v>
      </c>
      <c r="B384">
        <v>32</v>
      </c>
      <c r="C384">
        <v>60</v>
      </c>
      <c r="D384" t="s">
        <v>17</v>
      </c>
      <c r="E384" t="str">
        <f t="shared" si="5"/>
        <v>1260WB03PT</v>
      </c>
      <c r="F384">
        <f>VLOOKUP(B384,[1]Course!$A$2:$R$329,2,FALSE)</f>
        <v>0</v>
      </c>
      <c r="G384">
        <f>VLOOKUP(B384, [1]Course!$A$2:$L$950, 8, FALSE)</f>
        <v>12</v>
      </c>
      <c r="H384">
        <v>3</v>
      </c>
      <c r="I384">
        <v>1</v>
      </c>
      <c r="M384" t="str">
        <f>VLOOKUP(B384, [1]Course!$A$1:$O$933, 12, FALSE)</f>
        <v>WB</v>
      </c>
      <c r="N384" t="s">
        <v>14</v>
      </c>
      <c r="O384" t="str">
        <f>VLOOKUP(B384, [1]Course!$A$1:$O$933, 14, FALSE)</f>
        <v>WB</v>
      </c>
      <c r="P384">
        <v>1</v>
      </c>
    </row>
    <row r="385" spans="1:16" x14ac:dyDescent="0.25">
      <c r="A385">
        <v>384</v>
      </c>
      <c r="B385">
        <v>33</v>
      </c>
      <c r="C385">
        <v>49</v>
      </c>
      <c r="D385" t="s">
        <v>18</v>
      </c>
      <c r="E385" t="str">
        <f t="shared" si="5"/>
        <v>1249LC03PT</v>
      </c>
      <c r="F385">
        <f>VLOOKUP(B385,[1]Course!$A$2:$R$329,2,FALSE)</f>
        <v>0</v>
      </c>
      <c r="G385">
        <f>VLOOKUP(B385, [1]Course!$A$2:$L$950, 8, FALSE)</f>
        <v>12</v>
      </c>
      <c r="H385">
        <v>3</v>
      </c>
      <c r="I385">
        <v>1</v>
      </c>
      <c r="M385" t="str">
        <f>VLOOKUP(B385, [1]Course!$A$1:$O$933, 12, FALSE)</f>
        <v>LI</v>
      </c>
      <c r="N385" t="s">
        <v>14</v>
      </c>
      <c r="O385" t="str">
        <f>VLOOKUP(B385, [1]Course!$A$1:$O$933, 14, FALSE)</f>
        <v>LC</v>
      </c>
      <c r="P385">
        <v>1</v>
      </c>
    </row>
    <row r="386" spans="1:16" x14ac:dyDescent="0.25">
      <c r="A386">
        <v>385</v>
      </c>
      <c r="B386">
        <v>33</v>
      </c>
      <c r="C386">
        <v>50</v>
      </c>
      <c r="D386" t="s">
        <v>18</v>
      </c>
      <c r="E386" t="str">
        <f t="shared" si="5"/>
        <v>1250LC03PT</v>
      </c>
      <c r="F386">
        <f>VLOOKUP(B386,[1]Course!$A$2:$R$329,2,FALSE)</f>
        <v>0</v>
      </c>
      <c r="G386">
        <f>VLOOKUP(B386, [1]Course!$A$2:$L$950, 8, FALSE)</f>
        <v>12</v>
      </c>
      <c r="H386">
        <v>3</v>
      </c>
      <c r="I386">
        <v>1</v>
      </c>
      <c r="M386" t="str">
        <f>VLOOKUP(B386, [1]Course!$A$1:$O$933, 12, FALSE)</f>
        <v>LI</v>
      </c>
      <c r="N386" t="s">
        <v>14</v>
      </c>
      <c r="O386" t="str">
        <f>VLOOKUP(B386, [1]Course!$A$1:$O$933, 14, FALSE)</f>
        <v>LC</v>
      </c>
      <c r="P386">
        <v>1</v>
      </c>
    </row>
    <row r="387" spans="1:16" x14ac:dyDescent="0.25">
      <c r="A387">
        <v>386</v>
      </c>
      <c r="B387">
        <v>33</v>
      </c>
      <c r="C387">
        <v>51</v>
      </c>
      <c r="D387" t="s">
        <v>18</v>
      </c>
      <c r="E387" t="str">
        <f t="shared" ref="E387:E450" si="6">UPPER(LEFT(G387,2)) &amp; RIGHT("0" &amp; C387, 2) &amp; D387 &amp; RIGHT("0" &amp; H387, 2) &amp; N387</f>
        <v>1251LC03PT</v>
      </c>
      <c r="F387">
        <f>VLOOKUP(B387,[1]Course!$A$2:$R$329,2,FALSE)</f>
        <v>0</v>
      </c>
      <c r="G387">
        <f>VLOOKUP(B387, [1]Course!$A$2:$L$950, 8, FALSE)</f>
        <v>12</v>
      </c>
      <c r="H387">
        <v>3</v>
      </c>
      <c r="I387">
        <v>1</v>
      </c>
      <c r="M387" t="str">
        <f>VLOOKUP(B387, [1]Course!$A$1:$O$933, 12, FALSE)</f>
        <v>LI</v>
      </c>
      <c r="N387" t="s">
        <v>14</v>
      </c>
      <c r="O387" t="str">
        <f>VLOOKUP(B387, [1]Course!$A$1:$O$933, 14, FALSE)</f>
        <v>LC</v>
      </c>
      <c r="P387">
        <v>1</v>
      </c>
    </row>
    <row r="388" spans="1:16" x14ac:dyDescent="0.25">
      <c r="A388">
        <v>387</v>
      </c>
      <c r="B388">
        <v>33</v>
      </c>
      <c r="C388">
        <v>52</v>
      </c>
      <c r="D388" t="s">
        <v>18</v>
      </c>
      <c r="E388" t="str">
        <f t="shared" si="6"/>
        <v>1252LC03PT</v>
      </c>
      <c r="F388">
        <f>VLOOKUP(B388,[1]Course!$A$2:$R$329,2,FALSE)</f>
        <v>0</v>
      </c>
      <c r="G388">
        <f>VLOOKUP(B388, [1]Course!$A$2:$L$950, 8, FALSE)</f>
        <v>12</v>
      </c>
      <c r="H388">
        <v>3</v>
      </c>
      <c r="I388">
        <v>1</v>
      </c>
      <c r="M388" t="str">
        <f>VLOOKUP(B388, [1]Course!$A$1:$O$933, 12, FALSE)</f>
        <v>LI</v>
      </c>
      <c r="N388" t="s">
        <v>14</v>
      </c>
      <c r="O388" t="str">
        <f>VLOOKUP(B388, [1]Course!$A$1:$O$933, 14, FALSE)</f>
        <v>LC</v>
      </c>
      <c r="P388">
        <v>1</v>
      </c>
    </row>
    <row r="389" spans="1:16" x14ac:dyDescent="0.25">
      <c r="A389">
        <v>388</v>
      </c>
      <c r="B389">
        <v>33</v>
      </c>
      <c r="C389">
        <v>53</v>
      </c>
      <c r="D389" t="s">
        <v>18</v>
      </c>
      <c r="E389" t="str">
        <f t="shared" si="6"/>
        <v>1253LC03PT</v>
      </c>
      <c r="F389">
        <f>VLOOKUP(B389,[1]Course!$A$2:$R$329,2,FALSE)</f>
        <v>0</v>
      </c>
      <c r="G389">
        <f>VLOOKUP(B389, [1]Course!$A$2:$L$950, 8, FALSE)</f>
        <v>12</v>
      </c>
      <c r="H389">
        <v>3</v>
      </c>
      <c r="I389">
        <v>1</v>
      </c>
      <c r="M389" t="str">
        <f>VLOOKUP(B389, [1]Course!$A$1:$O$933, 12, FALSE)</f>
        <v>LI</v>
      </c>
      <c r="N389" t="s">
        <v>14</v>
      </c>
      <c r="O389" t="str">
        <f>VLOOKUP(B389, [1]Course!$A$1:$O$933, 14, FALSE)</f>
        <v>LC</v>
      </c>
      <c r="P389">
        <v>1</v>
      </c>
    </row>
    <row r="390" spans="1:16" x14ac:dyDescent="0.25">
      <c r="A390">
        <v>389</v>
      </c>
      <c r="B390">
        <v>33</v>
      </c>
      <c r="C390">
        <v>54</v>
      </c>
      <c r="D390" t="s">
        <v>18</v>
      </c>
      <c r="E390" t="str">
        <f t="shared" si="6"/>
        <v>1254LC03PT</v>
      </c>
      <c r="F390">
        <f>VLOOKUP(B390,[1]Course!$A$2:$R$329,2,FALSE)</f>
        <v>0</v>
      </c>
      <c r="G390">
        <f>VLOOKUP(B390, [1]Course!$A$2:$L$950, 8, FALSE)</f>
        <v>12</v>
      </c>
      <c r="H390">
        <v>3</v>
      </c>
      <c r="I390">
        <v>1</v>
      </c>
      <c r="M390" t="str">
        <f>VLOOKUP(B390, [1]Course!$A$1:$O$933, 12, FALSE)</f>
        <v>LI</v>
      </c>
      <c r="N390" t="s">
        <v>14</v>
      </c>
      <c r="O390" t="str">
        <f>VLOOKUP(B390, [1]Course!$A$1:$O$933, 14, FALSE)</f>
        <v>LC</v>
      </c>
      <c r="P390">
        <v>1</v>
      </c>
    </row>
    <row r="391" spans="1:16" x14ac:dyDescent="0.25">
      <c r="A391">
        <v>390</v>
      </c>
      <c r="B391">
        <v>33</v>
      </c>
      <c r="C391">
        <v>55</v>
      </c>
      <c r="D391" t="s">
        <v>18</v>
      </c>
      <c r="E391" t="str">
        <f t="shared" si="6"/>
        <v>1255LC03PT</v>
      </c>
      <c r="F391">
        <f>VLOOKUP(B391,[1]Course!$A$2:$R$329,2,FALSE)</f>
        <v>0</v>
      </c>
      <c r="G391">
        <f>VLOOKUP(B391, [1]Course!$A$2:$L$950, 8, FALSE)</f>
        <v>12</v>
      </c>
      <c r="H391">
        <v>3</v>
      </c>
      <c r="I391">
        <v>1</v>
      </c>
      <c r="M391" t="str">
        <f>VLOOKUP(B391, [1]Course!$A$1:$O$933, 12, FALSE)</f>
        <v>LI</v>
      </c>
      <c r="N391" t="s">
        <v>14</v>
      </c>
      <c r="O391" t="str">
        <f>VLOOKUP(B391, [1]Course!$A$1:$O$933, 14, FALSE)</f>
        <v>LC</v>
      </c>
      <c r="P391">
        <v>1</v>
      </c>
    </row>
    <row r="392" spans="1:16" x14ac:dyDescent="0.25">
      <c r="A392">
        <v>391</v>
      </c>
      <c r="B392">
        <v>33</v>
      </c>
      <c r="C392">
        <v>56</v>
      </c>
      <c r="D392" t="s">
        <v>18</v>
      </c>
      <c r="E392" t="str">
        <f t="shared" si="6"/>
        <v>1256LC03PT</v>
      </c>
      <c r="F392">
        <f>VLOOKUP(B392,[1]Course!$A$2:$R$329,2,FALSE)</f>
        <v>0</v>
      </c>
      <c r="G392">
        <f>VLOOKUP(B392, [1]Course!$A$2:$L$950, 8, FALSE)</f>
        <v>12</v>
      </c>
      <c r="H392">
        <v>3</v>
      </c>
      <c r="I392">
        <v>1</v>
      </c>
      <c r="M392" t="str">
        <f>VLOOKUP(B392, [1]Course!$A$1:$O$933, 12, FALSE)</f>
        <v>LI</v>
      </c>
      <c r="N392" t="s">
        <v>14</v>
      </c>
      <c r="O392" t="str">
        <f>VLOOKUP(B392, [1]Course!$A$1:$O$933, 14, FALSE)</f>
        <v>LC</v>
      </c>
      <c r="P392">
        <v>1</v>
      </c>
    </row>
    <row r="393" spans="1:16" x14ac:dyDescent="0.25">
      <c r="A393">
        <v>392</v>
      </c>
      <c r="B393">
        <v>33</v>
      </c>
      <c r="C393">
        <v>57</v>
      </c>
      <c r="D393" t="s">
        <v>18</v>
      </c>
      <c r="E393" t="str">
        <f t="shared" si="6"/>
        <v>1257LC03PT</v>
      </c>
      <c r="F393">
        <f>VLOOKUP(B393,[1]Course!$A$2:$R$329,2,FALSE)</f>
        <v>0</v>
      </c>
      <c r="G393">
        <f>VLOOKUP(B393, [1]Course!$A$2:$L$950, 8, FALSE)</f>
        <v>12</v>
      </c>
      <c r="H393">
        <v>3</v>
      </c>
      <c r="I393">
        <v>1</v>
      </c>
      <c r="M393" t="str">
        <f>VLOOKUP(B393, [1]Course!$A$1:$O$933, 12, FALSE)</f>
        <v>LI</v>
      </c>
      <c r="N393" t="s">
        <v>14</v>
      </c>
      <c r="O393" t="str">
        <f>VLOOKUP(B393, [1]Course!$A$1:$O$933, 14, FALSE)</f>
        <v>LC</v>
      </c>
      <c r="P393">
        <v>1</v>
      </c>
    </row>
    <row r="394" spans="1:16" x14ac:dyDescent="0.25">
      <c r="A394">
        <v>393</v>
      </c>
      <c r="B394">
        <v>33</v>
      </c>
      <c r="C394">
        <v>58</v>
      </c>
      <c r="D394" t="s">
        <v>18</v>
      </c>
      <c r="E394" t="str">
        <f t="shared" si="6"/>
        <v>1258LC03PT</v>
      </c>
      <c r="F394">
        <f>VLOOKUP(B394,[1]Course!$A$2:$R$329,2,FALSE)</f>
        <v>0</v>
      </c>
      <c r="G394">
        <f>VLOOKUP(B394, [1]Course!$A$2:$L$950, 8, FALSE)</f>
        <v>12</v>
      </c>
      <c r="H394">
        <v>3</v>
      </c>
      <c r="I394">
        <v>1</v>
      </c>
      <c r="M394" t="str">
        <f>VLOOKUP(B394, [1]Course!$A$1:$O$933, 12, FALSE)</f>
        <v>LI</v>
      </c>
      <c r="N394" t="s">
        <v>14</v>
      </c>
      <c r="O394" t="str">
        <f>VLOOKUP(B394, [1]Course!$A$1:$O$933, 14, FALSE)</f>
        <v>LC</v>
      </c>
      <c r="P394">
        <v>1</v>
      </c>
    </row>
    <row r="395" spans="1:16" x14ac:dyDescent="0.25">
      <c r="A395">
        <v>394</v>
      </c>
      <c r="B395">
        <v>33</v>
      </c>
      <c r="C395">
        <v>59</v>
      </c>
      <c r="D395" t="s">
        <v>18</v>
      </c>
      <c r="E395" t="str">
        <f t="shared" si="6"/>
        <v>1259LC03PT</v>
      </c>
      <c r="F395">
        <f>VLOOKUP(B395,[1]Course!$A$2:$R$329,2,FALSE)</f>
        <v>0</v>
      </c>
      <c r="G395">
        <f>VLOOKUP(B395, [1]Course!$A$2:$L$950, 8, FALSE)</f>
        <v>12</v>
      </c>
      <c r="H395">
        <v>3</v>
      </c>
      <c r="I395">
        <v>1</v>
      </c>
      <c r="M395" t="str">
        <f>VLOOKUP(B395, [1]Course!$A$1:$O$933, 12, FALSE)</f>
        <v>LI</v>
      </c>
      <c r="N395" t="s">
        <v>14</v>
      </c>
      <c r="O395" t="str">
        <f>VLOOKUP(B395, [1]Course!$A$1:$O$933, 14, FALSE)</f>
        <v>LC</v>
      </c>
      <c r="P395">
        <v>1</v>
      </c>
    </row>
    <row r="396" spans="1:16" x14ac:dyDescent="0.25">
      <c r="A396">
        <v>395</v>
      </c>
      <c r="B396">
        <v>33</v>
      </c>
      <c r="C396">
        <v>60</v>
      </c>
      <c r="D396" t="s">
        <v>18</v>
      </c>
      <c r="E396" t="str">
        <f t="shared" si="6"/>
        <v>1260LC03PT</v>
      </c>
      <c r="F396">
        <f>VLOOKUP(B396,[1]Course!$A$2:$R$329,2,FALSE)</f>
        <v>0</v>
      </c>
      <c r="G396">
        <f>VLOOKUP(B396, [1]Course!$A$2:$L$950, 8, FALSE)</f>
        <v>12</v>
      </c>
      <c r="H396">
        <v>3</v>
      </c>
      <c r="I396">
        <v>1</v>
      </c>
      <c r="M396" t="str">
        <f>VLOOKUP(B396, [1]Course!$A$1:$O$933, 12, FALSE)</f>
        <v>LI</v>
      </c>
      <c r="N396" t="s">
        <v>14</v>
      </c>
      <c r="O396" t="str">
        <f>VLOOKUP(B396, [1]Course!$A$1:$O$933, 14, FALSE)</f>
        <v>LC</v>
      </c>
      <c r="P396">
        <v>1</v>
      </c>
    </row>
    <row r="397" spans="1:16" x14ac:dyDescent="0.25">
      <c r="A397">
        <v>396</v>
      </c>
      <c r="B397">
        <v>34</v>
      </c>
      <c r="C397">
        <v>49</v>
      </c>
      <c r="D397" t="s">
        <v>19</v>
      </c>
      <c r="E397" t="str">
        <f t="shared" si="6"/>
        <v>1249SC03PT</v>
      </c>
      <c r="F397" t="str">
        <f>VLOOKUP(B397,[1]Course!$A$2:$R$329,2,FALSE)</f>
        <v>Science 5</v>
      </c>
      <c r="G397">
        <f>VLOOKUP(B397, [1]Course!$A$2:$L$950, 8, FALSE)</f>
        <v>12</v>
      </c>
      <c r="H397">
        <v>3</v>
      </c>
      <c r="I397">
        <v>1</v>
      </c>
      <c r="M397" t="str">
        <f>VLOOKUP(B397, [1]Course!$A$1:$O$933, 12, FALSE)</f>
        <v>SC</v>
      </c>
      <c r="N397" t="s">
        <v>14</v>
      </c>
      <c r="O397" t="str">
        <f>VLOOKUP(B397, [1]Course!$A$1:$O$933, 14, FALSE)</f>
        <v>SC</v>
      </c>
      <c r="P397">
        <v>1</v>
      </c>
    </row>
    <row r="398" spans="1:16" x14ac:dyDescent="0.25">
      <c r="A398">
        <v>397</v>
      </c>
      <c r="B398">
        <v>34</v>
      </c>
      <c r="C398">
        <v>50</v>
      </c>
      <c r="D398" t="s">
        <v>19</v>
      </c>
      <c r="E398" t="str">
        <f t="shared" si="6"/>
        <v>1250SC03PT</v>
      </c>
      <c r="F398" t="str">
        <f>VLOOKUP(B398,[1]Course!$A$2:$R$329,2,FALSE)</f>
        <v>Science 5</v>
      </c>
      <c r="G398">
        <f>VLOOKUP(B398, [1]Course!$A$2:$L$950, 8, FALSE)</f>
        <v>12</v>
      </c>
      <c r="H398">
        <v>3</v>
      </c>
      <c r="I398">
        <v>1</v>
      </c>
      <c r="M398" t="str">
        <f>VLOOKUP(B398, [1]Course!$A$1:$O$933, 12, FALSE)</f>
        <v>SC</v>
      </c>
      <c r="N398" t="s">
        <v>14</v>
      </c>
      <c r="O398" t="str">
        <f>VLOOKUP(B398, [1]Course!$A$1:$O$933, 14, FALSE)</f>
        <v>SC</v>
      </c>
      <c r="P398">
        <v>1</v>
      </c>
    </row>
    <row r="399" spans="1:16" x14ac:dyDescent="0.25">
      <c r="A399">
        <v>398</v>
      </c>
      <c r="B399">
        <v>34</v>
      </c>
      <c r="C399">
        <v>51</v>
      </c>
      <c r="D399" t="s">
        <v>19</v>
      </c>
      <c r="E399" t="str">
        <f t="shared" si="6"/>
        <v>1251SC03PT</v>
      </c>
      <c r="F399" t="str">
        <f>VLOOKUP(B399,[1]Course!$A$2:$R$329,2,FALSE)</f>
        <v>Science 5</v>
      </c>
      <c r="G399">
        <f>VLOOKUP(B399, [1]Course!$A$2:$L$950, 8, FALSE)</f>
        <v>12</v>
      </c>
      <c r="H399">
        <v>3</v>
      </c>
      <c r="I399">
        <v>1</v>
      </c>
      <c r="M399" t="str">
        <f>VLOOKUP(B399, [1]Course!$A$1:$O$933, 12, FALSE)</f>
        <v>SC</v>
      </c>
      <c r="N399" t="s">
        <v>14</v>
      </c>
      <c r="O399" t="str">
        <f>VLOOKUP(B399, [1]Course!$A$1:$O$933, 14, FALSE)</f>
        <v>SC</v>
      </c>
      <c r="P399">
        <v>1</v>
      </c>
    </row>
    <row r="400" spans="1:16" x14ac:dyDescent="0.25">
      <c r="A400">
        <v>399</v>
      </c>
      <c r="B400">
        <v>34</v>
      </c>
      <c r="C400">
        <v>52</v>
      </c>
      <c r="D400" t="s">
        <v>19</v>
      </c>
      <c r="E400" t="str">
        <f t="shared" si="6"/>
        <v>1252SC03PT</v>
      </c>
      <c r="F400" t="str">
        <f>VLOOKUP(B400,[1]Course!$A$2:$R$329,2,FALSE)</f>
        <v>Science 5</v>
      </c>
      <c r="G400">
        <f>VLOOKUP(B400, [1]Course!$A$2:$L$950, 8, FALSE)</f>
        <v>12</v>
      </c>
      <c r="H400">
        <v>3</v>
      </c>
      <c r="I400">
        <v>1</v>
      </c>
      <c r="M400" t="str">
        <f>VLOOKUP(B400, [1]Course!$A$1:$O$933, 12, FALSE)</f>
        <v>SC</v>
      </c>
      <c r="N400" t="s">
        <v>14</v>
      </c>
      <c r="O400" t="str">
        <f>VLOOKUP(B400, [1]Course!$A$1:$O$933, 14, FALSE)</f>
        <v>SC</v>
      </c>
      <c r="P400">
        <v>1</v>
      </c>
    </row>
    <row r="401" spans="1:16" x14ac:dyDescent="0.25">
      <c r="A401">
        <v>400</v>
      </c>
      <c r="B401">
        <v>34</v>
      </c>
      <c r="C401">
        <v>53</v>
      </c>
      <c r="D401" t="s">
        <v>19</v>
      </c>
      <c r="E401" t="str">
        <f t="shared" si="6"/>
        <v>1253SC03PT</v>
      </c>
      <c r="F401" t="str">
        <f>VLOOKUP(B401,[1]Course!$A$2:$R$329,2,FALSE)</f>
        <v>Science 5</v>
      </c>
      <c r="G401">
        <f>VLOOKUP(B401, [1]Course!$A$2:$L$950, 8, FALSE)</f>
        <v>12</v>
      </c>
      <c r="H401">
        <v>3</v>
      </c>
      <c r="I401">
        <v>1</v>
      </c>
      <c r="M401" t="str">
        <f>VLOOKUP(B401, [1]Course!$A$1:$O$933, 12, FALSE)</f>
        <v>SC</v>
      </c>
      <c r="N401" t="s">
        <v>14</v>
      </c>
      <c r="O401" t="str">
        <f>VLOOKUP(B401, [1]Course!$A$1:$O$933, 14, FALSE)</f>
        <v>SC</v>
      </c>
      <c r="P401">
        <v>1</v>
      </c>
    </row>
    <row r="402" spans="1:16" x14ac:dyDescent="0.25">
      <c r="A402">
        <v>401</v>
      </c>
      <c r="B402">
        <v>34</v>
      </c>
      <c r="C402">
        <v>54</v>
      </c>
      <c r="D402" t="s">
        <v>19</v>
      </c>
      <c r="E402" t="str">
        <f t="shared" si="6"/>
        <v>1254SC03PT</v>
      </c>
      <c r="F402" t="str">
        <f>VLOOKUP(B402,[1]Course!$A$2:$R$329,2,FALSE)</f>
        <v>Science 5</v>
      </c>
      <c r="G402">
        <f>VLOOKUP(B402, [1]Course!$A$2:$L$950, 8, FALSE)</f>
        <v>12</v>
      </c>
      <c r="H402">
        <v>3</v>
      </c>
      <c r="I402">
        <v>1</v>
      </c>
      <c r="M402" t="str">
        <f>VLOOKUP(B402, [1]Course!$A$1:$O$933, 12, FALSE)</f>
        <v>SC</v>
      </c>
      <c r="N402" t="s">
        <v>14</v>
      </c>
      <c r="O402" t="str">
        <f>VLOOKUP(B402, [1]Course!$A$1:$O$933, 14, FALSE)</f>
        <v>SC</v>
      </c>
      <c r="P402">
        <v>1</v>
      </c>
    </row>
    <row r="403" spans="1:16" x14ac:dyDescent="0.25">
      <c r="A403">
        <v>402</v>
      </c>
      <c r="B403">
        <v>34</v>
      </c>
      <c r="C403">
        <v>55</v>
      </c>
      <c r="D403" t="s">
        <v>19</v>
      </c>
      <c r="E403" t="str">
        <f t="shared" si="6"/>
        <v>1255SC03PT</v>
      </c>
      <c r="F403" t="str">
        <f>VLOOKUP(B403,[1]Course!$A$2:$R$329,2,FALSE)</f>
        <v>Science 5</v>
      </c>
      <c r="G403">
        <f>VLOOKUP(B403, [1]Course!$A$2:$L$950, 8, FALSE)</f>
        <v>12</v>
      </c>
      <c r="H403">
        <v>3</v>
      </c>
      <c r="I403">
        <v>1</v>
      </c>
      <c r="M403" t="str">
        <f>VLOOKUP(B403, [1]Course!$A$1:$O$933, 12, FALSE)</f>
        <v>SC</v>
      </c>
      <c r="N403" t="s">
        <v>14</v>
      </c>
      <c r="O403" t="str">
        <f>VLOOKUP(B403, [1]Course!$A$1:$O$933, 14, FALSE)</f>
        <v>SC</v>
      </c>
      <c r="P403">
        <v>1</v>
      </c>
    </row>
    <row r="404" spans="1:16" x14ac:dyDescent="0.25">
      <c r="A404">
        <v>403</v>
      </c>
      <c r="B404">
        <v>34</v>
      </c>
      <c r="C404">
        <v>56</v>
      </c>
      <c r="D404" t="s">
        <v>19</v>
      </c>
      <c r="E404" t="str">
        <f t="shared" si="6"/>
        <v>1256SC03PT</v>
      </c>
      <c r="F404" t="str">
        <f>VLOOKUP(B404,[1]Course!$A$2:$R$329,2,FALSE)</f>
        <v>Science 5</v>
      </c>
      <c r="G404">
        <f>VLOOKUP(B404, [1]Course!$A$2:$L$950, 8, FALSE)</f>
        <v>12</v>
      </c>
      <c r="H404">
        <v>3</v>
      </c>
      <c r="I404">
        <v>1</v>
      </c>
      <c r="M404" t="str">
        <f>VLOOKUP(B404, [1]Course!$A$1:$O$933, 12, FALSE)</f>
        <v>SC</v>
      </c>
      <c r="N404" t="s">
        <v>14</v>
      </c>
      <c r="O404" t="str">
        <f>VLOOKUP(B404, [1]Course!$A$1:$O$933, 14, FALSE)</f>
        <v>SC</v>
      </c>
      <c r="P404">
        <v>1</v>
      </c>
    </row>
    <row r="405" spans="1:16" x14ac:dyDescent="0.25">
      <c r="A405">
        <v>404</v>
      </c>
      <c r="B405">
        <v>34</v>
      </c>
      <c r="C405">
        <v>57</v>
      </c>
      <c r="D405" t="s">
        <v>19</v>
      </c>
      <c r="E405" t="str">
        <f t="shared" si="6"/>
        <v>1257SC03PT</v>
      </c>
      <c r="F405" t="str">
        <f>VLOOKUP(B405,[1]Course!$A$2:$R$329,2,FALSE)</f>
        <v>Science 5</v>
      </c>
      <c r="G405">
        <f>VLOOKUP(B405, [1]Course!$A$2:$L$950, 8, FALSE)</f>
        <v>12</v>
      </c>
      <c r="H405">
        <v>3</v>
      </c>
      <c r="I405">
        <v>1</v>
      </c>
      <c r="M405" t="str">
        <f>VLOOKUP(B405, [1]Course!$A$1:$O$933, 12, FALSE)</f>
        <v>SC</v>
      </c>
      <c r="N405" t="s">
        <v>14</v>
      </c>
      <c r="O405" t="str">
        <f>VLOOKUP(B405, [1]Course!$A$1:$O$933, 14, FALSE)</f>
        <v>SC</v>
      </c>
      <c r="P405">
        <v>1</v>
      </c>
    </row>
    <row r="406" spans="1:16" x14ac:dyDescent="0.25">
      <c r="A406">
        <v>405</v>
      </c>
      <c r="B406">
        <v>34</v>
      </c>
      <c r="C406">
        <v>58</v>
      </c>
      <c r="D406" t="s">
        <v>19</v>
      </c>
      <c r="E406" t="str">
        <f t="shared" si="6"/>
        <v>1258SC03PT</v>
      </c>
      <c r="F406" t="str">
        <f>VLOOKUP(B406,[1]Course!$A$2:$R$329,2,FALSE)</f>
        <v>Science 5</v>
      </c>
      <c r="G406">
        <f>VLOOKUP(B406, [1]Course!$A$2:$L$950, 8, FALSE)</f>
        <v>12</v>
      </c>
      <c r="H406">
        <v>3</v>
      </c>
      <c r="I406">
        <v>1</v>
      </c>
      <c r="M406" t="str">
        <f>VLOOKUP(B406, [1]Course!$A$1:$O$933, 12, FALSE)</f>
        <v>SC</v>
      </c>
      <c r="N406" t="s">
        <v>14</v>
      </c>
      <c r="O406" t="str">
        <f>VLOOKUP(B406, [1]Course!$A$1:$O$933, 14, FALSE)</f>
        <v>SC</v>
      </c>
      <c r="P406">
        <v>1</v>
      </c>
    </row>
    <row r="407" spans="1:16" x14ac:dyDescent="0.25">
      <c r="A407">
        <v>406</v>
      </c>
      <c r="B407">
        <v>34</v>
      </c>
      <c r="C407">
        <v>59</v>
      </c>
      <c r="D407" t="s">
        <v>19</v>
      </c>
      <c r="E407" t="str">
        <f t="shared" si="6"/>
        <v>1259SC03PT</v>
      </c>
      <c r="F407" t="str">
        <f>VLOOKUP(B407,[1]Course!$A$2:$R$329,2,FALSE)</f>
        <v>Science 5</v>
      </c>
      <c r="G407">
        <f>VLOOKUP(B407, [1]Course!$A$2:$L$950, 8, FALSE)</f>
        <v>12</v>
      </c>
      <c r="H407">
        <v>3</v>
      </c>
      <c r="I407">
        <v>1</v>
      </c>
      <c r="M407" t="str">
        <f>VLOOKUP(B407, [1]Course!$A$1:$O$933, 12, FALSE)</f>
        <v>SC</v>
      </c>
      <c r="N407" t="s">
        <v>14</v>
      </c>
      <c r="O407" t="str">
        <f>VLOOKUP(B407, [1]Course!$A$1:$O$933, 14, FALSE)</f>
        <v>SC</v>
      </c>
      <c r="P407">
        <v>1</v>
      </c>
    </row>
    <row r="408" spans="1:16" x14ac:dyDescent="0.25">
      <c r="A408">
        <v>407</v>
      </c>
      <c r="B408">
        <v>34</v>
      </c>
      <c r="C408">
        <v>60</v>
      </c>
      <c r="D408" t="s">
        <v>19</v>
      </c>
      <c r="E408" t="str">
        <f t="shared" si="6"/>
        <v>1260SC03PT</v>
      </c>
      <c r="F408" t="str">
        <f>VLOOKUP(B408,[1]Course!$A$2:$R$329,2,FALSE)</f>
        <v>Science 5</v>
      </c>
      <c r="G408">
        <f>VLOOKUP(B408, [1]Course!$A$2:$L$950, 8, FALSE)</f>
        <v>12</v>
      </c>
      <c r="H408">
        <v>3</v>
      </c>
      <c r="I408">
        <v>1</v>
      </c>
      <c r="M408" t="str">
        <f>VLOOKUP(B408, [1]Course!$A$1:$O$933, 12, FALSE)</f>
        <v>SC</v>
      </c>
      <c r="N408" t="s">
        <v>14</v>
      </c>
      <c r="O408" t="str">
        <f>VLOOKUP(B408, [1]Course!$A$1:$O$933, 14, FALSE)</f>
        <v>SC</v>
      </c>
      <c r="P408">
        <v>1</v>
      </c>
    </row>
    <row r="409" spans="1:16" x14ac:dyDescent="0.25">
      <c r="A409">
        <v>408</v>
      </c>
      <c r="B409">
        <v>35</v>
      </c>
      <c r="C409">
        <v>49</v>
      </c>
      <c r="D409" t="s">
        <v>20</v>
      </c>
      <c r="E409" t="str">
        <f t="shared" si="6"/>
        <v>1249SS03PT</v>
      </c>
      <c r="F409">
        <f>VLOOKUP(B409,[1]Course!$A$2:$R$329,2,FALSE)</f>
        <v>0</v>
      </c>
      <c r="G409">
        <f>VLOOKUP(B409, [1]Course!$A$2:$L$950, 8, FALSE)</f>
        <v>12</v>
      </c>
      <c r="H409">
        <v>3</v>
      </c>
      <c r="I409">
        <v>1</v>
      </c>
      <c r="M409" t="str">
        <f>VLOOKUP(B409, [1]Course!$A$1:$O$933, 12, FALSE)</f>
        <v>SS</v>
      </c>
      <c r="N409" t="s">
        <v>14</v>
      </c>
      <c r="O409" t="str">
        <f>VLOOKUP(B409, [1]Course!$A$1:$O$933, 14, FALSE)</f>
        <v>SS</v>
      </c>
      <c r="P409">
        <v>1</v>
      </c>
    </row>
    <row r="410" spans="1:16" x14ac:dyDescent="0.25">
      <c r="A410">
        <v>409</v>
      </c>
      <c r="B410">
        <v>35</v>
      </c>
      <c r="C410">
        <v>50</v>
      </c>
      <c r="D410" t="s">
        <v>20</v>
      </c>
      <c r="E410" t="str">
        <f t="shared" si="6"/>
        <v>1250SS03PT</v>
      </c>
      <c r="F410">
        <f>VLOOKUP(B410,[1]Course!$A$2:$R$329,2,FALSE)</f>
        <v>0</v>
      </c>
      <c r="G410">
        <f>VLOOKUP(B410, [1]Course!$A$2:$L$950, 8, FALSE)</f>
        <v>12</v>
      </c>
      <c r="H410">
        <v>3</v>
      </c>
      <c r="I410">
        <v>1</v>
      </c>
      <c r="M410" t="str">
        <f>VLOOKUP(B410, [1]Course!$A$1:$O$933, 12, FALSE)</f>
        <v>SS</v>
      </c>
      <c r="N410" t="s">
        <v>14</v>
      </c>
      <c r="O410" t="str">
        <f>VLOOKUP(B410, [1]Course!$A$1:$O$933, 14, FALSE)</f>
        <v>SS</v>
      </c>
      <c r="P410">
        <v>1</v>
      </c>
    </row>
    <row r="411" spans="1:16" x14ac:dyDescent="0.25">
      <c r="A411">
        <v>410</v>
      </c>
      <c r="B411">
        <v>35</v>
      </c>
      <c r="C411">
        <v>51</v>
      </c>
      <c r="D411" t="s">
        <v>20</v>
      </c>
      <c r="E411" t="str">
        <f t="shared" si="6"/>
        <v>1251SS03PT</v>
      </c>
      <c r="F411">
        <f>VLOOKUP(B411,[1]Course!$A$2:$R$329,2,FALSE)</f>
        <v>0</v>
      </c>
      <c r="G411">
        <f>VLOOKUP(B411, [1]Course!$A$2:$L$950, 8, FALSE)</f>
        <v>12</v>
      </c>
      <c r="H411">
        <v>3</v>
      </c>
      <c r="I411">
        <v>1</v>
      </c>
      <c r="M411" t="str">
        <f>VLOOKUP(B411, [1]Course!$A$1:$O$933, 12, FALSE)</f>
        <v>SS</v>
      </c>
      <c r="N411" t="s">
        <v>14</v>
      </c>
      <c r="O411" t="str">
        <f>VLOOKUP(B411, [1]Course!$A$1:$O$933, 14, FALSE)</f>
        <v>SS</v>
      </c>
      <c r="P411">
        <v>1</v>
      </c>
    </row>
    <row r="412" spans="1:16" x14ac:dyDescent="0.25">
      <c r="A412">
        <v>411</v>
      </c>
      <c r="B412">
        <v>35</v>
      </c>
      <c r="C412">
        <v>52</v>
      </c>
      <c r="D412" t="s">
        <v>20</v>
      </c>
      <c r="E412" t="str">
        <f t="shared" si="6"/>
        <v>1252SS03PT</v>
      </c>
      <c r="F412">
        <f>VLOOKUP(B412,[1]Course!$A$2:$R$329,2,FALSE)</f>
        <v>0</v>
      </c>
      <c r="G412">
        <f>VLOOKUP(B412, [1]Course!$A$2:$L$950, 8, FALSE)</f>
        <v>12</v>
      </c>
      <c r="H412">
        <v>3</v>
      </c>
      <c r="I412">
        <v>1</v>
      </c>
      <c r="M412" t="str">
        <f>VLOOKUP(B412, [1]Course!$A$1:$O$933, 12, FALSE)</f>
        <v>SS</v>
      </c>
      <c r="N412" t="s">
        <v>14</v>
      </c>
      <c r="O412" t="str">
        <f>VLOOKUP(B412, [1]Course!$A$1:$O$933, 14, FALSE)</f>
        <v>SS</v>
      </c>
      <c r="P412">
        <v>1</v>
      </c>
    </row>
    <row r="413" spans="1:16" x14ac:dyDescent="0.25">
      <c r="A413">
        <v>412</v>
      </c>
      <c r="B413">
        <v>35</v>
      </c>
      <c r="C413">
        <v>53</v>
      </c>
      <c r="D413" t="s">
        <v>20</v>
      </c>
      <c r="E413" t="str">
        <f t="shared" si="6"/>
        <v>1253SS03PT</v>
      </c>
      <c r="F413">
        <f>VLOOKUP(B413,[1]Course!$A$2:$R$329,2,FALSE)</f>
        <v>0</v>
      </c>
      <c r="G413">
        <f>VLOOKUP(B413, [1]Course!$A$2:$L$950, 8, FALSE)</f>
        <v>12</v>
      </c>
      <c r="H413">
        <v>3</v>
      </c>
      <c r="I413">
        <v>1</v>
      </c>
      <c r="M413" t="str">
        <f>VLOOKUP(B413, [1]Course!$A$1:$O$933, 12, FALSE)</f>
        <v>SS</v>
      </c>
      <c r="N413" t="s">
        <v>14</v>
      </c>
      <c r="O413" t="str">
        <f>VLOOKUP(B413, [1]Course!$A$1:$O$933, 14, FALSE)</f>
        <v>SS</v>
      </c>
      <c r="P413">
        <v>1</v>
      </c>
    </row>
    <row r="414" spans="1:16" x14ac:dyDescent="0.25">
      <c r="A414">
        <v>413</v>
      </c>
      <c r="B414">
        <v>35</v>
      </c>
      <c r="C414">
        <v>54</v>
      </c>
      <c r="D414" t="s">
        <v>20</v>
      </c>
      <c r="E414" t="str">
        <f t="shared" si="6"/>
        <v>1254SS03PT</v>
      </c>
      <c r="F414">
        <f>VLOOKUP(B414,[1]Course!$A$2:$R$329,2,FALSE)</f>
        <v>0</v>
      </c>
      <c r="G414">
        <f>VLOOKUP(B414, [1]Course!$A$2:$L$950, 8, FALSE)</f>
        <v>12</v>
      </c>
      <c r="H414">
        <v>3</v>
      </c>
      <c r="I414">
        <v>1</v>
      </c>
      <c r="M414" t="str">
        <f>VLOOKUP(B414, [1]Course!$A$1:$O$933, 12, FALSE)</f>
        <v>SS</v>
      </c>
      <c r="N414" t="s">
        <v>14</v>
      </c>
      <c r="O414" t="str">
        <f>VLOOKUP(B414, [1]Course!$A$1:$O$933, 14, FALSE)</f>
        <v>SS</v>
      </c>
      <c r="P414">
        <v>1</v>
      </c>
    </row>
    <row r="415" spans="1:16" x14ac:dyDescent="0.25">
      <c r="A415">
        <v>414</v>
      </c>
      <c r="B415">
        <v>35</v>
      </c>
      <c r="C415">
        <v>55</v>
      </c>
      <c r="D415" t="s">
        <v>20</v>
      </c>
      <c r="E415" t="str">
        <f t="shared" si="6"/>
        <v>1255SS03PT</v>
      </c>
      <c r="F415">
        <f>VLOOKUP(B415,[1]Course!$A$2:$R$329,2,FALSE)</f>
        <v>0</v>
      </c>
      <c r="G415">
        <f>VLOOKUP(B415, [1]Course!$A$2:$L$950, 8, FALSE)</f>
        <v>12</v>
      </c>
      <c r="H415">
        <v>3</v>
      </c>
      <c r="I415">
        <v>1</v>
      </c>
      <c r="M415" t="str">
        <f>VLOOKUP(B415, [1]Course!$A$1:$O$933, 12, FALSE)</f>
        <v>SS</v>
      </c>
      <c r="N415" t="s">
        <v>14</v>
      </c>
      <c r="O415" t="str">
        <f>VLOOKUP(B415, [1]Course!$A$1:$O$933, 14, FALSE)</f>
        <v>SS</v>
      </c>
      <c r="P415">
        <v>1</v>
      </c>
    </row>
    <row r="416" spans="1:16" x14ac:dyDescent="0.25">
      <c r="A416">
        <v>415</v>
      </c>
      <c r="B416">
        <v>35</v>
      </c>
      <c r="C416">
        <v>56</v>
      </c>
      <c r="D416" t="s">
        <v>20</v>
      </c>
      <c r="E416" t="str">
        <f t="shared" si="6"/>
        <v>1256SS03PT</v>
      </c>
      <c r="F416">
        <f>VLOOKUP(B416,[1]Course!$A$2:$R$329,2,FALSE)</f>
        <v>0</v>
      </c>
      <c r="G416">
        <f>VLOOKUP(B416, [1]Course!$A$2:$L$950, 8, FALSE)</f>
        <v>12</v>
      </c>
      <c r="H416">
        <v>3</v>
      </c>
      <c r="I416">
        <v>1</v>
      </c>
      <c r="M416" t="str">
        <f>VLOOKUP(B416, [1]Course!$A$1:$O$933, 12, FALSE)</f>
        <v>SS</v>
      </c>
      <c r="N416" t="s">
        <v>14</v>
      </c>
      <c r="O416" t="str">
        <f>VLOOKUP(B416, [1]Course!$A$1:$O$933, 14, FALSE)</f>
        <v>SS</v>
      </c>
      <c r="P416">
        <v>1</v>
      </c>
    </row>
    <row r="417" spans="1:16" x14ac:dyDescent="0.25">
      <c r="A417">
        <v>416</v>
      </c>
      <c r="B417">
        <v>35</v>
      </c>
      <c r="C417">
        <v>57</v>
      </c>
      <c r="D417" t="s">
        <v>20</v>
      </c>
      <c r="E417" t="str">
        <f t="shared" si="6"/>
        <v>1257SS03PT</v>
      </c>
      <c r="F417">
        <f>VLOOKUP(B417,[1]Course!$A$2:$R$329,2,FALSE)</f>
        <v>0</v>
      </c>
      <c r="G417">
        <f>VLOOKUP(B417, [1]Course!$A$2:$L$950, 8, FALSE)</f>
        <v>12</v>
      </c>
      <c r="H417">
        <v>3</v>
      </c>
      <c r="I417">
        <v>1</v>
      </c>
      <c r="M417" t="str">
        <f>VLOOKUP(B417, [1]Course!$A$1:$O$933, 12, FALSE)</f>
        <v>SS</v>
      </c>
      <c r="N417" t="s">
        <v>14</v>
      </c>
      <c r="O417" t="str">
        <f>VLOOKUP(B417, [1]Course!$A$1:$O$933, 14, FALSE)</f>
        <v>SS</v>
      </c>
      <c r="P417">
        <v>1</v>
      </c>
    </row>
    <row r="418" spans="1:16" x14ac:dyDescent="0.25">
      <c r="A418">
        <v>417</v>
      </c>
      <c r="B418">
        <v>35</v>
      </c>
      <c r="C418">
        <v>58</v>
      </c>
      <c r="D418" t="s">
        <v>20</v>
      </c>
      <c r="E418" t="str">
        <f t="shared" si="6"/>
        <v>1258SS03PT</v>
      </c>
      <c r="F418">
        <f>VLOOKUP(B418,[1]Course!$A$2:$R$329,2,FALSE)</f>
        <v>0</v>
      </c>
      <c r="G418">
        <f>VLOOKUP(B418, [1]Course!$A$2:$L$950, 8, FALSE)</f>
        <v>12</v>
      </c>
      <c r="H418">
        <v>3</v>
      </c>
      <c r="I418">
        <v>1</v>
      </c>
      <c r="M418" t="str">
        <f>VLOOKUP(B418, [1]Course!$A$1:$O$933, 12, FALSE)</f>
        <v>SS</v>
      </c>
      <c r="N418" t="s">
        <v>14</v>
      </c>
      <c r="O418" t="str">
        <f>VLOOKUP(B418, [1]Course!$A$1:$O$933, 14, FALSE)</f>
        <v>SS</v>
      </c>
      <c r="P418">
        <v>1</v>
      </c>
    </row>
    <row r="419" spans="1:16" x14ac:dyDescent="0.25">
      <c r="A419">
        <v>418</v>
      </c>
      <c r="B419">
        <v>35</v>
      </c>
      <c r="C419">
        <v>59</v>
      </c>
      <c r="D419" t="s">
        <v>20</v>
      </c>
      <c r="E419" t="str">
        <f t="shared" si="6"/>
        <v>1259SS03PT</v>
      </c>
      <c r="F419">
        <f>VLOOKUP(B419,[1]Course!$A$2:$R$329,2,FALSE)</f>
        <v>0</v>
      </c>
      <c r="G419">
        <f>VLOOKUP(B419, [1]Course!$A$2:$L$950, 8, FALSE)</f>
        <v>12</v>
      </c>
      <c r="H419">
        <v>3</v>
      </c>
      <c r="I419">
        <v>1</v>
      </c>
      <c r="M419" t="str">
        <f>VLOOKUP(B419, [1]Course!$A$1:$O$933, 12, FALSE)</f>
        <v>SS</v>
      </c>
      <c r="N419" t="s">
        <v>14</v>
      </c>
      <c r="O419" t="str">
        <f>VLOOKUP(B419, [1]Course!$A$1:$O$933, 14, FALSE)</f>
        <v>SS</v>
      </c>
      <c r="P419">
        <v>1</v>
      </c>
    </row>
    <row r="420" spans="1:16" x14ac:dyDescent="0.25">
      <c r="A420">
        <v>419</v>
      </c>
      <c r="B420">
        <v>35</v>
      </c>
      <c r="C420">
        <v>60</v>
      </c>
      <c r="D420" t="s">
        <v>20</v>
      </c>
      <c r="E420" t="str">
        <f t="shared" si="6"/>
        <v>1260SS03PT</v>
      </c>
      <c r="F420">
        <f>VLOOKUP(B420,[1]Course!$A$2:$R$329,2,FALSE)</f>
        <v>0</v>
      </c>
      <c r="G420">
        <f>VLOOKUP(B420, [1]Course!$A$2:$L$950, 8, FALSE)</f>
        <v>12</v>
      </c>
      <c r="H420">
        <v>3</v>
      </c>
      <c r="I420">
        <v>1</v>
      </c>
      <c r="M420" t="str">
        <f>VLOOKUP(B420, [1]Course!$A$1:$O$933, 12, FALSE)</f>
        <v>SS</v>
      </c>
      <c r="N420" t="s">
        <v>14</v>
      </c>
      <c r="O420" t="str">
        <f>VLOOKUP(B420, [1]Course!$A$1:$O$933, 14, FALSE)</f>
        <v>SS</v>
      </c>
      <c r="P420">
        <v>1</v>
      </c>
    </row>
    <row r="421" spans="1:16" x14ac:dyDescent="0.25">
      <c r="A421">
        <v>420</v>
      </c>
      <c r="B421">
        <v>36</v>
      </c>
      <c r="C421">
        <v>49</v>
      </c>
      <c r="D421" t="s">
        <v>21</v>
      </c>
      <c r="E421" t="str">
        <f t="shared" si="6"/>
        <v>1249BR03PT</v>
      </c>
      <c r="F421">
        <f>VLOOKUP(B421,[1]Course!$A$2:$R$329,2,FALSE)</f>
        <v>0</v>
      </c>
      <c r="G421">
        <f>VLOOKUP(B421, [1]Course!$A$2:$L$950, 8, FALSE)</f>
        <v>12</v>
      </c>
      <c r="H421">
        <v>3</v>
      </c>
      <c r="I421">
        <v>1</v>
      </c>
      <c r="M421" t="str">
        <f>VLOOKUP(B421, [1]Course!$A$1:$O$933, 12, FALSE)</f>
        <v>BS</v>
      </c>
      <c r="N421" t="s">
        <v>14</v>
      </c>
      <c r="O421" t="str">
        <f>VLOOKUP(B421, [1]Course!$A$1:$O$933, 14, FALSE)</f>
        <v>BR</v>
      </c>
      <c r="P421">
        <v>1</v>
      </c>
    </row>
    <row r="422" spans="1:16" x14ac:dyDescent="0.25">
      <c r="A422">
        <v>421</v>
      </c>
      <c r="B422">
        <v>36</v>
      </c>
      <c r="C422">
        <v>50</v>
      </c>
      <c r="D422" t="s">
        <v>21</v>
      </c>
      <c r="E422" t="str">
        <f t="shared" si="6"/>
        <v>1250BR03PT</v>
      </c>
      <c r="F422">
        <f>VLOOKUP(B422,[1]Course!$A$2:$R$329,2,FALSE)</f>
        <v>0</v>
      </c>
      <c r="G422">
        <f>VLOOKUP(B422, [1]Course!$A$2:$L$950, 8, FALSE)</f>
        <v>12</v>
      </c>
      <c r="H422">
        <v>3</v>
      </c>
      <c r="I422">
        <v>1</v>
      </c>
      <c r="M422" t="str">
        <f>VLOOKUP(B422, [1]Course!$A$1:$O$933, 12, FALSE)</f>
        <v>BS</v>
      </c>
      <c r="N422" t="s">
        <v>14</v>
      </c>
      <c r="O422" t="str">
        <f>VLOOKUP(B422, [1]Course!$A$1:$O$933, 14, FALSE)</f>
        <v>BR</v>
      </c>
      <c r="P422">
        <v>1</v>
      </c>
    </row>
    <row r="423" spans="1:16" x14ac:dyDescent="0.25">
      <c r="A423">
        <v>422</v>
      </c>
      <c r="B423">
        <v>36</v>
      </c>
      <c r="C423">
        <v>51</v>
      </c>
      <c r="D423" t="s">
        <v>21</v>
      </c>
      <c r="E423" t="str">
        <f t="shared" si="6"/>
        <v>1251BR03PT</v>
      </c>
      <c r="F423">
        <f>VLOOKUP(B423,[1]Course!$A$2:$R$329,2,FALSE)</f>
        <v>0</v>
      </c>
      <c r="G423">
        <f>VLOOKUP(B423, [1]Course!$A$2:$L$950, 8, FALSE)</f>
        <v>12</v>
      </c>
      <c r="H423">
        <v>3</v>
      </c>
      <c r="I423">
        <v>1</v>
      </c>
      <c r="M423" t="str">
        <f>VLOOKUP(B423, [1]Course!$A$1:$O$933, 12, FALSE)</f>
        <v>BS</v>
      </c>
      <c r="N423" t="s">
        <v>14</v>
      </c>
      <c r="O423" t="str">
        <f>VLOOKUP(B423, [1]Course!$A$1:$O$933, 14, FALSE)</f>
        <v>BR</v>
      </c>
      <c r="P423">
        <v>1</v>
      </c>
    </row>
    <row r="424" spans="1:16" x14ac:dyDescent="0.25">
      <c r="A424">
        <v>423</v>
      </c>
      <c r="B424">
        <v>36</v>
      </c>
      <c r="C424">
        <v>52</v>
      </c>
      <c r="D424" t="s">
        <v>21</v>
      </c>
      <c r="E424" t="str">
        <f t="shared" si="6"/>
        <v>1252BR03PT</v>
      </c>
      <c r="F424">
        <f>VLOOKUP(B424,[1]Course!$A$2:$R$329,2,FALSE)</f>
        <v>0</v>
      </c>
      <c r="G424">
        <f>VLOOKUP(B424, [1]Course!$A$2:$L$950, 8, FALSE)</f>
        <v>12</v>
      </c>
      <c r="H424">
        <v>3</v>
      </c>
      <c r="I424">
        <v>1</v>
      </c>
      <c r="M424" t="str">
        <f>VLOOKUP(B424, [1]Course!$A$1:$O$933, 12, FALSE)</f>
        <v>BS</v>
      </c>
      <c r="N424" t="s">
        <v>14</v>
      </c>
      <c r="O424" t="str">
        <f>VLOOKUP(B424, [1]Course!$A$1:$O$933, 14, FALSE)</f>
        <v>BR</v>
      </c>
      <c r="P424">
        <v>1</v>
      </c>
    </row>
    <row r="425" spans="1:16" x14ac:dyDescent="0.25">
      <c r="A425">
        <v>424</v>
      </c>
      <c r="B425">
        <v>36</v>
      </c>
      <c r="C425">
        <v>53</v>
      </c>
      <c r="D425" t="s">
        <v>21</v>
      </c>
      <c r="E425" t="str">
        <f t="shared" si="6"/>
        <v>1253BR03PT</v>
      </c>
      <c r="F425">
        <f>VLOOKUP(B425,[1]Course!$A$2:$R$329,2,FALSE)</f>
        <v>0</v>
      </c>
      <c r="G425">
        <f>VLOOKUP(B425, [1]Course!$A$2:$L$950, 8, FALSE)</f>
        <v>12</v>
      </c>
      <c r="H425">
        <v>3</v>
      </c>
      <c r="I425">
        <v>1</v>
      </c>
      <c r="M425" t="str">
        <f>VLOOKUP(B425, [1]Course!$A$1:$O$933, 12, FALSE)</f>
        <v>BS</v>
      </c>
      <c r="N425" t="s">
        <v>14</v>
      </c>
      <c r="O425" t="str">
        <f>VLOOKUP(B425, [1]Course!$A$1:$O$933, 14, FALSE)</f>
        <v>BR</v>
      </c>
      <c r="P425">
        <v>1</v>
      </c>
    </row>
    <row r="426" spans="1:16" x14ac:dyDescent="0.25">
      <c r="A426">
        <v>425</v>
      </c>
      <c r="B426">
        <v>36</v>
      </c>
      <c r="C426">
        <v>54</v>
      </c>
      <c r="D426" t="s">
        <v>21</v>
      </c>
      <c r="E426" t="str">
        <f t="shared" si="6"/>
        <v>1254BR03PT</v>
      </c>
      <c r="F426">
        <f>VLOOKUP(B426,[1]Course!$A$2:$R$329,2,FALSE)</f>
        <v>0</v>
      </c>
      <c r="G426">
        <f>VLOOKUP(B426, [1]Course!$A$2:$L$950, 8, FALSE)</f>
        <v>12</v>
      </c>
      <c r="H426">
        <v>3</v>
      </c>
      <c r="I426">
        <v>1</v>
      </c>
      <c r="M426" t="str">
        <f>VLOOKUP(B426, [1]Course!$A$1:$O$933, 12, FALSE)</f>
        <v>BS</v>
      </c>
      <c r="N426" t="s">
        <v>14</v>
      </c>
      <c r="O426" t="str">
        <f>VLOOKUP(B426, [1]Course!$A$1:$O$933, 14, FALSE)</f>
        <v>BR</v>
      </c>
      <c r="P426">
        <v>1</v>
      </c>
    </row>
    <row r="427" spans="1:16" x14ac:dyDescent="0.25">
      <c r="A427">
        <v>426</v>
      </c>
      <c r="B427">
        <v>36</v>
      </c>
      <c r="C427">
        <v>55</v>
      </c>
      <c r="D427" t="s">
        <v>21</v>
      </c>
      <c r="E427" t="str">
        <f t="shared" si="6"/>
        <v>1255BR03PT</v>
      </c>
      <c r="F427">
        <f>VLOOKUP(B427,[1]Course!$A$2:$R$329,2,FALSE)</f>
        <v>0</v>
      </c>
      <c r="G427">
        <f>VLOOKUP(B427, [1]Course!$A$2:$L$950, 8, FALSE)</f>
        <v>12</v>
      </c>
      <c r="H427">
        <v>3</v>
      </c>
      <c r="I427">
        <v>1</v>
      </c>
      <c r="M427" t="str">
        <f>VLOOKUP(B427, [1]Course!$A$1:$O$933, 12, FALSE)</f>
        <v>BS</v>
      </c>
      <c r="N427" t="s">
        <v>14</v>
      </c>
      <c r="O427" t="str">
        <f>VLOOKUP(B427, [1]Course!$A$1:$O$933, 14, FALSE)</f>
        <v>BR</v>
      </c>
      <c r="P427">
        <v>1</v>
      </c>
    </row>
    <row r="428" spans="1:16" x14ac:dyDescent="0.25">
      <c r="A428">
        <v>427</v>
      </c>
      <c r="B428">
        <v>36</v>
      </c>
      <c r="C428">
        <v>56</v>
      </c>
      <c r="D428" t="s">
        <v>21</v>
      </c>
      <c r="E428" t="str">
        <f t="shared" si="6"/>
        <v>1256BR03PT</v>
      </c>
      <c r="F428">
        <f>VLOOKUP(B428,[1]Course!$A$2:$R$329,2,FALSE)</f>
        <v>0</v>
      </c>
      <c r="G428">
        <f>VLOOKUP(B428, [1]Course!$A$2:$L$950, 8, FALSE)</f>
        <v>12</v>
      </c>
      <c r="H428">
        <v>3</v>
      </c>
      <c r="I428">
        <v>1</v>
      </c>
      <c r="M428" t="str">
        <f>VLOOKUP(B428, [1]Course!$A$1:$O$933, 12, FALSE)</f>
        <v>BS</v>
      </c>
      <c r="N428" t="s">
        <v>14</v>
      </c>
      <c r="O428" t="str">
        <f>VLOOKUP(B428, [1]Course!$A$1:$O$933, 14, FALSE)</f>
        <v>BR</v>
      </c>
      <c r="P428">
        <v>1</v>
      </c>
    </row>
    <row r="429" spans="1:16" x14ac:dyDescent="0.25">
      <c r="A429">
        <v>428</v>
      </c>
      <c r="B429">
        <v>36</v>
      </c>
      <c r="C429">
        <v>57</v>
      </c>
      <c r="D429" t="s">
        <v>21</v>
      </c>
      <c r="E429" t="str">
        <f t="shared" si="6"/>
        <v>1257BR03PT</v>
      </c>
      <c r="F429">
        <f>VLOOKUP(B429,[1]Course!$A$2:$R$329,2,FALSE)</f>
        <v>0</v>
      </c>
      <c r="G429">
        <f>VLOOKUP(B429, [1]Course!$A$2:$L$950, 8, FALSE)</f>
        <v>12</v>
      </c>
      <c r="H429">
        <v>3</v>
      </c>
      <c r="I429">
        <v>1</v>
      </c>
      <c r="M429" t="str">
        <f>VLOOKUP(B429, [1]Course!$A$1:$O$933, 12, FALSE)</f>
        <v>BS</v>
      </c>
      <c r="N429" t="s">
        <v>14</v>
      </c>
      <c r="O429" t="str">
        <f>VLOOKUP(B429, [1]Course!$A$1:$O$933, 14, FALSE)</f>
        <v>BR</v>
      </c>
      <c r="P429">
        <v>1</v>
      </c>
    </row>
    <row r="430" spans="1:16" x14ac:dyDescent="0.25">
      <c r="A430">
        <v>429</v>
      </c>
      <c r="B430">
        <v>36</v>
      </c>
      <c r="C430">
        <v>58</v>
      </c>
      <c r="D430" t="s">
        <v>21</v>
      </c>
      <c r="E430" t="str">
        <f t="shared" si="6"/>
        <v>1258BR03PT</v>
      </c>
      <c r="F430">
        <f>VLOOKUP(B430,[1]Course!$A$2:$R$329,2,FALSE)</f>
        <v>0</v>
      </c>
      <c r="G430">
        <f>VLOOKUP(B430, [1]Course!$A$2:$L$950, 8, FALSE)</f>
        <v>12</v>
      </c>
      <c r="H430">
        <v>3</v>
      </c>
      <c r="I430">
        <v>1</v>
      </c>
      <c r="M430" t="str">
        <f>VLOOKUP(B430, [1]Course!$A$1:$O$933, 12, FALSE)</f>
        <v>BS</v>
      </c>
      <c r="N430" t="s">
        <v>14</v>
      </c>
      <c r="O430" t="str">
        <f>VLOOKUP(B430, [1]Course!$A$1:$O$933, 14, FALSE)</f>
        <v>BR</v>
      </c>
      <c r="P430">
        <v>1</v>
      </c>
    </row>
    <row r="431" spans="1:16" x14ac:dyDescent="0.25">
      <c r="A431">
        <v>430</v>
      </c>
      <c r="B431">
        <v>36</v>
      </c>
      <c r="C431">
        <v>59</v>
      </c>
      <c r="D431" t="s">
        <v>21</v>
      </c>
      <c r="E431" t="str">
        <f t="shared" si="6"/>
        <v>1259BR03PT</v>
      </c>
      <c r="F431">
        <f>VLOOKUP(B431,[1]Course!$A$2:$R$329,2,FALSE)</f>
        <v>0</v>
      </c>
      <c r="G431">
        <f>VLOOKUP(B431, [1]Course!$A$2:$L$950, 8, FALSE)</f>
        <v>12</v>
      </c>
      <c r="H431">
        <v>3</v>
      </c>
      <c r="I431">
        <v>1</v>
      </c>
      <c r="M431" t="str">
        <f>VLOOKUP(B431, [1]Course!$A$1:$O$933, 12, FALSE)</f>
        <v>BS</v>
      </c>
      <c r="N431" t="s">
        <v>14</v>
      </c>
      <c r="O431" t="str">
        <f>VLOOKUP(B431, [1]Course!$A$1:$O$933, 14, FALSE)</f>
        <v>BR</v>
      </c>
      <c r="P431">
        <v>1</v>
      </c>
    </row>
    <row r="432" spans="1:16" x14ac:dyDescent="0.25">
      <c r="A432">
        <v>431</v>
      </c>
      <c r="B432">
        <v>36</v>
      </c>
      <c r="C432">
        <v>60</v>
      </c>
      <c r="D432" t="s">
        <v>21</v>
      </c>
      <c r="E432" t="str">
        <f t="shared" si="6"/>
        <v>1260BR03PT</v>
      </c>
      <c r="F432">
        <f>VLOOKUP(B432,[1]Course!$A$2:$R$329,2,FALSE)</f>
        <v>0</v>
      </c>
      <c r="G432">
        <f>VLOOKUP(B432, [1]Course!$A$2:$L$950, 8, FALSE)</f>
        <v>12</v>
      </c>
      <c r="H432">
        <v>3</v>
      </c>
      <c r="I432">
        <v>1</v>
      </c>
      <c r="M432" t="str">
        <f>VLOOKUP(B432, [1]Course!$A$1:$O$933, 12, FALSE)</f>
        <v>BS</v>
      </c>
      <c r="N432" t="s">
        <v>14</v>
      </c>
      <c r="O432" t="str">
        <f>VLOOKUP(B432, [1]Course!$A$1:$O$933, 14, FALSE)</f>
        <v>BR</v>
      </c>
      <c r="P432">
        <v>1</v>
      </c>
    </row>
    <row r="433" spans="1:16" x14ac:dyDescent="0.25">
      <c r="A433">
        <v>432</v>
      </c>
      <c r="B433">
        <v>37</v>
      </c>
      <c r="C433">
        <v>61</v>
      </c>
      <c r="D433" t="s">
        <v>15</v>
      </c>
      <c r="E433" t="str">
        <f t="shared" si="6"/>
        <v>1261MA03PT</v>
      </c>
      <c r="F433">
        <f>VLOOKUP(B433,[1]Course!$A$2:$R$329,2,FALSE)</f>
        <v>0</v>
      </c>
      <c r="G433">
        <f>VLOOKUP(B433, [1]Course!$A$2:$L$950, 8, FALSE)</f>
        <v>12</v>
      </c>
      <c r="H433">
        <v>3</v>
      </c>
      <c r="I433">
        <v>1</v>
      </c>
      <c r="M433" t="str">
        <f>VLOOKUP(B433, [1]Course!$A$1:$O$933, 12, FALSE)</f>
        <v>MA</v>
      </c>
      <c r="N433" t="s">
        <v>14</v>
      </c>
      <c r="O433" t="str">
        <f>VLOOKUP(B433, [1]Course!$A$1:$O$933, 14, FALSE)</f>
        <v>MA</v>
      </c>
      <c r="P433">
        <v>1</v>
      </c>
    </row>
    <row r="434" spans="1:16" x14ac:dyDescent="0.25">
      <c r="A434">
        <v>433</v>
      </c>
      <c r="B434">
        <v>37</v>
      </c>
      <c r="C434">
        <v>62</v>
      </c>
      <c r="D434" t="s">
        <v>15</v>
      </c>
      <c r="E434" t="str">
        <f t="shared" si="6"/>
        <v>1262MA03PT</v>
      </c>
      <c r="F434">
        <f>VLOOKUP(B434,[1]Course!$A$2:$R$329,2,FALSE)</f>
        <v>0</v>
      </c>
      <c r="G434">
        <f>VLOOKUP(B434, [1]Course!$A$2:$L$950, 8, FALSE)</f>
        <v>12</v>
      </c>
      <c r="H434">
        <v>3</v>
      </c>
      <c r="I434">
        <v>1</v>
      </c>
      <c r="M434" t="str">
        <f>VLOOKUP(B434, [1]Course!$A$1:$O$933, 12, FALSE)</f>
        <v>MA</v>
      </c>
      <c r="N434" t="s">
        <v>14</v>
      </c>
      <c r="O434" t="str">
        <f>VLOOKUP(B434, [1]Course!$A$1:$O$933, 14, FALSE)</f>
        <v>MA</v>
      </c>
      <c r="P434">
        <v>1</v>
      </c>
    </row>
    <row r="435" spans="1:16" x14ac:dyDescent="0.25">
      <c r="A435">
        <v>434</v>
      </c>
      <c r="B435">
        <v>37</v>
      </c>
      <c r="C435">
        <v>63</v>
      </c>
      <c r="D435" t="s">
        <v>15</v>
      </c>
      <c r="E435" t="str">
        <f t="shared" si="6"/>
        <v>1263MA03PT</v>
      </c>
      <c r="F435">
        <f>VLOOKUP(B435,[1]Course!$A$2:$R$329,2,FALSE)</f>
        <v>0</v>
      </c>
      <c r="G435">
        <f>VLOOKUP(B435, [1]Course!$A$2:$L$950, 8, FALSE)</f>
        <v>12</v>
      </c>
      <c r="H435">
        <v>3</v>
      </c>
      <c r="I435">
        <v>1</v>
      </c>
      <c r="M435" t="str">
        <f>VLOOKUP(B435, [1]Course!$A$1:$O$933, 12, FALSE)</f>
        <v>MA</v>
      </c>
      <c r="N435" t="s">
        <v>14</v>
      </c>
      <c r="O435" t="str">
        <f>VLOOKUP(B435, [1]Course!$A$1:$O$933, 14, FALSE)</f>
        <v>MA</v>
      </c>
      <c r="P435">
        <v>1</v>
      </c>
    </row>
    <row r="436" spans="1:16" x14ac:dyDescent="0.25">
      <c r="A436">
        <v>435</v>
      </c>
      <c r="B436">
        <v>37</v>
      </c>
      <c r="C436">
        <v>64</v>
      </c>
      <c r="D436" t="s">
        <v>15</v>
      </c>
      <c r="E436" t="str">
        <f t="shared" si="6"/>
        <v>1264MA03PT</v>
      </c>
      <c r="F436">
        <f>VLOOKUP(B436,[1]Course!$A$2:$R$329,2,FALSE)</f>
        <v>0</v>
      </c>
      <c r="G436">
        <f>VLOOKUP(B436, [1]Course!$A$2:$L$950, 8, FALSE)</f>
        <v>12</v>
      </c>
      <c r="H436">
        <v>3</v>
      </c>
      <c r="I436">
        <v>1</v>
      </c>
      <c r="M436" t="str">
        <f>VLOOKUP(B436, [1]Course!$A$1:$O$933, 12, FALSE)</f>
        <v>MA</v>
      </c>
      <c r="N436" t="s">
        <v>14</v>
      </c>
      <c r="O436" t="str">
        <f>VLOOKUP(B436, [1]Course!$A$1:$O$933, 14, FALSE)</f>
        <v>MA</v>
      </c>
      <c r="P436">
        <v>1</v>
      </c>
    </row>
    <row r="437" spans="1:16" x14ac:dyDescent="0.25">
      <c r="A437">
        <v>436</v>
      </c>
      <c r="B437">
        <v>37</v>
      </c>
      <c r="C437">
        <v>65</v>
      </c>
      <c r="D437" t="s">
        <v>15</v>
      </c>
      <c r="E437" t="str">
        <f t="shared" si="6"/>
        <v>1265MA03PT</v>
      </c>
      <c r="F437">
        <f>VLOOKUP(B437,[1]Course!$A$2:$R$329,2,FALSE)</f>
        <v>0</v>
      </c>
      <c r="G437">
        <f>VLOOKUP(B437, [1]Course!$A$2:$L$950, 8, FALSE)</f>
        <v>12</v>
      </c>
      <c r="H437">
        <v>3</v>
      </c>
      <c r="I437">
        <v>1</v>
      </c>
      <c r="M437" t="str">
        <f>VLOOKUP(B437, [1]Course!$A$1:$O$933, 12, FALSE)</f>
        <v>MA</v>
      </c>
      <c r="N437" t="s">
        <v>14</v>
      </c>
      <c r="O437" t="str">
        <f>VLOOKUP(B437, [1]Course!$A$1:$O$933, 14, FALSE)</f>
        <v>MA</v>
      </c>
      <c r="P437">
        <v>1</v>
      </c>
    </row>
    <row r="438" spans="1:16" x14ac:dyDescent="0.25">
      <c r="A438">
        <v>437</v>
      </c>
      <c r="B438">
        <v>37</v>
      </c>
      <c r="C438">
        <v>66</v>
      </c>
      <c r="D438" t="s">
        <v>15</v>
      </c>
      <c r="E438" t="str">
        <f t="shared" si="6"/>
        <v>1266MA03PT</v>
      </c>
      <c r="F438">
        <f>VLOOKUP(B438,[1]Course!$A$2:$R$329,2,FALSE)</f>
        <v>0</v>
      </c>
      <c r="G438">
        <f>VLOOKUP(B438, [1]Course!$A$2:$L$950, 8, FALSE)</f>
        <v>12</v>
      </c>
      <c r="H438">
        <v>3</v>
      </c>
      <c r="I438">
        <v>1</v>
      </c>
      <c r="M438" t="str">
        <f>VLOOKUP(B438, [1]Course!$A$1:$O$933, 12, FALSE)</f>
        <v>MA</v>
      </c>
      <c r="N438" t="s">
        <v>14</v>
      </c>
      <c r="O438" t="str">
        <f>VLOOKUP(B438, [1]Course!$A$1:$O$933, 14, FALSE)</f>
        <v>MA</v>
      </c>
      <c r="P438">
        <v>1</v>
      </c>
    </row>
    <row r="439" spans="1:16" x14ac:dyDescent="0.25">
      <c r="A439">
        <v>438</v>
      </c>
      <c r="B439">
        <v>37</v>
      </c>
      <c r="C439">
        <v>67</v>
      </c>
      <c r="D439" t="s">
        <v>15</v>
      </c>
      <c r="E439" t="str">
        <f t="shared" si="6"/>
        <v>1267MA03PT</v>
      </c>
      <c r="F439">
        <f>VLOOKUP(B439,[1]Course!$A$2:$R$329,2,FALSE)</f>
        <v>0</v>
      </c>
      <c r="G439">
        <f>VLOOKUP(B439, [1]Course!$A$2:$L$950, 8, FALSE)</f>
        <v>12</v>
      </c>
      <c r="H439">
        <v>3</v>
      </c>
      <c r="I439">
        <v>1</v>
      </c>
      <c r="M439" t="str">
        <f>VLOOKUP(B439, [1]Course!$A$1:$O$933, 12, FALSE)</f>
        <v>MA</v>
      </c>
      <c r="N439" t="s">
        <v>14</v>
      </c>
      <c r="O439" t="str">
        <f>VLOOKUP(B439, [1]Course!$A$1:$O$933, 14, FALSE)</f>
        <v>MA</v>
      </c>
      <c r="P439">
        <v>1</v>
      </c>
    </row>
    <row r="440" spans="1:16" x14ac:dyDescent="0.25">
      <c r="A440">
        <v>439</v>
      </c>
      <c r="B440">
        <v>37</v>
      </c>
      <c r="C440">
        <v>68</v>
      </c>
      <c r="D440" t="s">
        <v>15</v>
      </c>
      <c r="E440" t="str">
        <f t="shared" si="6"/>
        <v>1268MA03PT</v>
      </c>
      <c r="F440">
        <f>VLOOKUP(B440,[1]Course!$A$2:$R$329,2,FALSE)</f>
        <v>0</v>
      </c>
      <c r="G440">
        <f>VLOOKUP(B440, [1]Course!$A$2:$L$950, 8, FALSE)</f>
        <v>12</v>
      </c>
      <c r="H440">
        <v>3</v>
      </c>
      <c r="I440">
        <v>1</v>
      </c>
      <c r="M440" t="str">
        <f>VLOOKUP(B440, [1]Course!$A$1:$O$933, 12, FALSE)</f>
        <v>MA</v>
      </c>
      <c r="N440" t="s">
        <v>14</v>
      </c>
      <c r="O440" t="str">
        <f>VLOOKUP(B440, [1]Course!$A$1:$O$933, 14, FALSE)</f>
        <v>MA</v>
      </c>
      <c r="P440">
        <v>1</v>
      </c>
    </row>
    <row r="441" spans="1:16" x14ac:dyDescent="0.25">
      <c r="A441">
        <v>440</v>
      </c>
      <c r="B441">
        <v>37</v>
      </c>
      <c r="C441">
        <v>69</v>
      </c>
      <c r="D441" t="s">
        <v>15</v>
      </c>
      <c r="E441" t="str">
        <f t="shared" si="6"/>
        <v>1269MA03PT</v>
      </c>
      <c r="F441">
        <f>VLOOKUP(B441,[1]Course!$A$2:$R$329,2,FALSE)</f>
        <v>0</v>
      </c>
      <c r="G441">
        <f>VLOOKUP(B441, [1]Course!$A$2:$L$950, 8, FALSE)</f>
        <v>12</v>
      </c>
      <c r="H441">
        <v>3</v>
      </c>
      <c r="I441">
        <v>1</v>
      </c>
      <c r="M441" t="str">
        <f>VLOOKUP(B441, [1]Course!$A$1:$O$933, 12, FALSE)</f>
        <v>MA</v>
      </c>
      <c r="N441" t="s">
        <v>14</v>
      </c>
      <c r="O441" t="str">
        <f>VLOOKUP(B441, [1]Course!$A$1:$O$933, 14, FALSE)</f>
        <v>MA</v>
      </c>
      <c r="P441">
        <v>1</v>
      </c>
    </row>
    <row r="442" spans="1:16" x14ac:dyDescent="0.25">
      <c r="A442">
        <v>441</v>
      </c>
      <c r="B442">
        <v>37</v>
      </c>
      <c r="C442">
        <v>70</v>
      </c>
      <c r="D442" t="s">
        <v>15</v>
      </c>
      <c r="E442" t="str">
        <f t="shared" si="6"/>
        <v>1270MA03PT</v>
      </c>
      <c r="F442">
        <f>VLOOKUP(B442,[1]Course!$A$2:$R$329,2,FALSE)</f>
        <v>0</v>
      </c>
      <c r="G442">
        <f>VLOOKUP(B442, [1]Course!$A$2:$L$950, 8, FALSE)</f>
        <v>12</v>
      </c>
      <c r="H442">
        <v>3</v>
      </c>
      <c r="I442">
        <v>1</v>
      </c>
      <c r="M442" t="str">
        <f>VLOOKUP(B442, [1]Course!$A$1:$O$933, 12, FALSE)</f>
        <v>MA</v>
      </c>
      <c r="N442" t="s">
        <v>14</v>
      </c>
      <c r="O442" t="str">
        <f>VLOOKUP(B442, [1]Course!$A$1:$O$933, 14, FALSE)</f>
        <v>MA</v>
      </c>
      <c r="P442">
        <v>1</v>
      </c>
    </row>
    <row r="443" spans="1:16" x14ac:dyDescent="0.25">
      <c r="A443">
        <v>442</v>
      </c>
      <c r="B443">
        <v>37</v>
      </c>
      <c r="C443">
        <v>71</v>
      </c>
      <c r="D443" t="s">
        <v>15</v>
      </c>
      <c r="E443" t="str">
        <f t="shared" si="6"/>
        <v>1271MA03PT</v>
      </c>
      <c r="F443">
        <f>VLOOKUP(B443,[1]Course!$A$2:$R$329,2,FALSE)</f>
        <v>0</v>
      </c>
      <c r="G443">
        <f>VLOOKUP(B443, [1]Course!$A$2:$L$950, 8, FALSE)</f>
        <v>12</v>
      </c>
      <c r="H443">
        <v>3</v>
      </c>
      <c r="I443">
        <v>1</v>
      </c>
      <c r="M443" t="str">
        <f>VLOOKUP(B443, [1]Course!$A$1:$O$933, 12, FALSE)</f>
        <v>MA</v>
      </c>
      <c r="N443" t="s">
        <v>14</v>
      </c>
      <c r="O443" t="str">
        <f>VLOOKUP(B443, [1]Course!$A$1:$O$933, 14, FALSE)</f>
        <v>MA</v>
      </c>
      <c r="P443">
        <v>1</v>
      </c>
    </row>
    <row r="444" spans="1:16" x14ac:dyDescent="0.25">
      <c r="A444">
        <v>443</v>
      </c>
      <c r="B444">
        <v>37</v>
      </c>
      <c r="C444">
        <v>72</v>
      </c>
      <c r="D444" t="s">
        <v>15</v>
      </c>
      <c r="E444" t="str">
        <f t="shared" si="6"/>
        <v>1272MA03PT</v>
      </c>
      <c r="F444">
        <f>VLOOKUP(B444,[1]Course!$A$2:$R$329,2,FALSE)</f>
        <v>0</v>
      </c>
      <c r="G444">
        <f>VLOOKUP(B444, [1]Course!$A$2:$L$950, 8, FALSE)</f>
        <v>12</v>
      </c>
      <c r="H444">
        <v>3</v>
      </c>
      <c r="I444">
        <v>1</v>
      </c>
      <c r="M444" t="str">
        <f>VLOOKUP(B444, [1]Course!$A$1:$O$933, 12, FALSE)</f>
        <v>MA</v>
      </c>
      <c r="N444" t="s">
        <v>14</v>
      </c>
      <c r="O444" t="str">
        <f>VLOOKUP(B444, [1]Course!$A$1:$O$933, 14, FALSE)</f>
        <v>MA</v>
      </c>
      <c r="P444">
        <v>1</v>
      </c>
    </row>
    <row r="445" spans="1:16" x14ac:dyDescent="0.25">
      <c r="A445">
        <v>444</v>
      </c>
      <c r="B445">
        <v>38</v>
      </c>
      <c r="C445">
        <v>61</v>
      </c>
      <c r="D445" t="s">
        <v>16</v>
      </c>
      <c r="E445" t="str">
        <f t="shared" si="6"/>
        <v>1261EN03PT</v>
      </c>
      <c r="F445">
        <f>VLOOKUP(B445,[1]Course!$A$2:$R$329,2,FALSE)</f>
        <v>0</v>
      </c>
      <c r="G445">
        <f>VLOOKUP(B445, [1]Course!$A$2:$L$950, 8, FALSE)</f>
        <v>12</v>
      </c>
      <c r="H445">
        <v>3</v>
      </c>
      <c r="I445">
        <v>1</v>
      </c>
      <c r="M445" t="str">
        <f>VLOOKUP(B445, [1]Course!$A$1:$O$933, 12, FALSE)</f>
        <v>LA</v>
      </c>
      <c r="N445" t="s">
        <v>14</v>
      </c>
      <c r="O445" t="str">
        <f>VLOOKUP(B445, [1]Course!$A$1:$O$933, 14, FALSE)</f>
        <v>EN</v>
      </c>
      <c r="P445">
        <v>1</v>
      </c>
    </row>
    <row r="446" spans="1:16" x14ac:dyDescent="0.25">
      <c r="A446">
        <v>445</v>
      </c>
      <c r="B446">
        <v>38</v>
      </c>
      <c r="C446">
        <v>62</v>
      </c>
      <c r="D446" t="s">
        <v>16</v>
      </c>
      <c r="E446" t="str">
        <f t="shared" si="6"/>
        <v>1262EN03PT</v>
      </c>
      <c r="F446">
        <f>VLOOKUP(B446,[1]Course!$A$2:$R$329,2,FALSE)</f>
        <v>0</v>
      </c>
      <c r="G446">
        <f>VLOOKUP(B446, [1]Course!$A$2:$L$950, 8, FALSE)</f>
        <v>12</v>
      </c>
      <c r="H446">
        <v>3</v>
      </c>
      <c r="I446">
        <v>1</v>
      </c>
      <c r="M446" t="str">
        <f>VLOOKUP(B446, [1]Course!$A$1:$O$933, 12, FALSE)</f>
        <v>LA</v>
      </c>
      <c r="N446" t="s">
        <v>14</v>
      </c>
      <c r="O446" t="str">
        <f>VLOOKUP(B446, [1]Course!$A$1:$O$933, 14, FALSE)</f>
        <v>EN</v>
      </c>
      <c r="P446">
        <v>1</v>
      </c>
    </row>
    <row r="447" spans="1:16" x14ac:dyDescent="0.25">
      <c r="A447">
        <v>446</v>
      </c>
      <c r="B447">
        <v>38</v>
      </c>
      <c r="C447">
        <v>63</v>
      </c>
      <c r="D447" t="s">
        <v>16</v>
      </c>
      <c r="E447" t="str">
        <f t="shared" si="6"/>
        <v>1263EN03PT</v>
      </c>
      <c r="F447">
        <f>VLOOKUP(B447,[1]Course!$A$2:$R$329,2,FALSE)</f>
        <v>0</v>
      </c>
      <c r="G447">
        <f>VLOOKUP(B447, [1]Course!$A$2:$L$950, 8, FALSE)</f>
        <v>12</v>
      </c>
      <c r="H447">
        <v>3</v>
      </c>
      <c r="I447">
        <v>1</v>
      </c>
      <c r="M447" t="str">
        <f>VLOOKUP(B447, [1]Course!$A$1:$O$933, 12, FALSE)</f>
        <v>LA</v>
      </c>
      <c r="N447" t="s">
        <v>14</v>
      </c>
      <c r="O447" t="str">
        <f>VLOOKUP(B447, [1]Course!$A$1:$O$933, 14, FALSE)</f>
        <v>EN</v>
      </c>
      <c r="P447">
        <v>1</v>
      </c>
    </row>
    <row r="448" spans="1:16" x14ac:dyDescent="0.25">
      <c r="A448">
        <v>447</v>
      </c>
      <c r="B448">
        <v>38</v>
      </c>
      <c r="C448">
        <v>64</v>
      </c>
      <c r="D448" t="s">
        <v>16</v>
      </c>
      <c r="E448" t="str">
        <f t="shared" si="6"/>
        <v>1264EN03PT</v>
      </c>
      <c r="F448">
        <f>VLOOKUP(B448,[1]Course!$A$2:$R$329,2,FALSE)</f>
        <v>0</v>
      </c>
      <c r="G448">
        <f>VLOOKUP(B448, [1]Course!$A$2:$L$950, 8, FALSE)</f>
        <v>12</v>
      </c>
      <c r="H448">
        <v>3</v>
      </c>
      <c r="I448">
        <v>1</v>
      </c>
      <c r="M448" t="str">
        <f>VLOOKUP(B448, [1]Course!$A$1:$O$933, 12, FALSE)</f>
        <v>LA</v>
      </c>
      <c r="N448" t="s">
        <v>14</v>
      </c>
      <c r="O448" t="str">
        <f>VLOOKUP(B448, [1]Course!$A$1:$O$933, 14, FALSE)</f>
        <v>EN</v>
      </c>
      <c r="P448">
        <v>1</v>
      </c>
    </row>
    <row r="449" spans="1:16" x14ac:dyDescent="0.25">
      <c r="A449">
        <v>448</v>
      </c>
      <c r="B449">
        <v>38</v>
      </c>
      <c r="C449">
        <v>65</v>
      </c>
      <c r="D449" t="s">
        <v>16</v>
      </c>
      <c r="E449" t="str">
        <f t="shared" si="6"/>
        <v>1265EN03PT</v>
      </c>
      <c r="F449">
        <f>VLOOKUP(B449,[1]Course!$A$2:$R$329,2,FALSE)</f>
        <v>0</v>
      </c>
      <c r="G449">
        <f>VLOOKUP(B449, [1]Course!$A$2:$L$950, 8, FALSE)</f>
        <v>12</v>
      </c>
      <c r="H449">
        <v>3</v>
      </c>
      <c r="I449">
        <v>1</v>
      </c>
      <c r="M449" t="str">
        <f>VLOOKUP(B449, [1]Course!$A$1:$O$933, 12, FALSE)</f>
        <v>LA</v>
      </c>
      <c r="N449" t="s">
        <v>14</v>
      </c>
      <c r="O449" t="str">
        <f>VLOOKUP(B449, [1]Course!$A$1:$O$933, 14, FALSE)</f>
        <v>EN</v>
      </c>
      <c r="P449">
        <v>1</v>
      </c>
    </row>
    <row r="450" spans="1:16" x14ac:dyDescent="0.25">
      <c r="A450">
        <v>449</v>
      </c>
      <c r="B450">
        <v>38</v>
      </c>
      <c r="C450">
        <v>66</v>
      </c>
      <c r="D450" t="s">
        <v>16</v>
      </c>
      <c r="E450" t="str">
        <f t="shared" si="6"/>
        <v>1266EN03PT</v>
      </c>
      <c r="F450">
        <f>VLOOKUP(B450,[1]Course!$A$2:$R$329,2,FALSE)</f>
        <v>0</v>
      </c>
      <c r="G450">
        <f>VLOOKUP(B450, [1]Course!$A$2:$L$950, 8, FALSE)</f>
        <v>12</v>
      </c>
      <c r="H450">
        <v>3</v>
      </c>
      <c r="I450">
        <v>1</v>
      </c>
      <c r="M450" t="str">
        <f>VLOOKUP(B450, [1]Course!$A$1:$O$933, 12, FALSE)</f>
        <v>LA</v>
      </c>
      <c r="N450" t="s">
        <v>14</v>
      </c>
      <c r="O450" t="str">
        <f>VLOOKUP(B450, [1]Course!$A$1:$O$933, 14, FALSE)</f>
        <v>EN</v>
      </c>
      <c r="P450">
        <v>1</v>
      </c>
    </row>
    <row r="451" spans="1:16" x14ac:dyDescent="0.25">
      <c r="A451">
        <v>450</v>
      </c>
      <c r="B451">
        <v>38</v>
      </c>
      <c r="C451">
        <v>67</v>
      </c>
      <c r="D451" t="s">
        <v>16</v>
      </c>
      <c r="E451" t="str">
        <f t="shared" ref="E451:E514" si="7">UPPER(LEFT(G451,2)) &amp; RIGHT("0" &amp; C451, 2) &amp; D451 &amp; RIGHT("0" &amp; H451, 2) &amp; N451</f>
        <v>1267EN03PT</v>
      </c>
      <c r="F451">
        <f>VLOOKUP(B451,[1]Course!$A$2:$R$329,2,FALSE)</f>
        <v>0</v>
      </c>
      <c r="G451">
        <f>VLOOKUP(B451, [1]Course!$A$2:$L$950, 8, FALSE)</f>
        <v>12</v>
      </c>
      <c r="H451">
        <v>3</v>
      </c>
      <c r="I451">
        <v>1</v>
      </c>
      <c r="M451" t="str">
        <f>VLOOKUP(B451, [1]Course!$A$1:$O$933, 12, FALSE)</f>
        <v>LA</v>
      </c>
      <c r="N451" t="s">
        <v>14</v>
      </c>
      <c r="O451" t="str">
        <f>VLOOKUP(B451, [1]Course!$A$1:$O$933, 14, FALSE)</f>
        <v>EN</v>
      </c>
      <c r="P451">
        <v>1</v>
      </c>
    </row>
    <row r="452" spans="1:16" x14ac:dyDescent="0.25">
      <c r="A452">
        <v>451</v>
      </c>
      <c r="B452">
        <v>38</v>
      </c>
      <c r="C452">
        <v>68</v>
      </c>
      <c r="D452" t="s">
        <v>16</v>
      </c>
      <c r="E452" t="str">
        <f t="shared" si="7"/>
        <v>1268EN03PT</v>
      </c>
      <c r="F452">
        <f>VLOOKUP(B452,[1]Course!$A$2:$R$329,2,FALSE)</f>
        <v>0</v>
      </c>
      <c r="G452">
        <f>VLOOKUP(B452, [1]Course!$A$2:$L$950, 8, FALSE)</f>
        <v>12</v>
      </c>
      <c r="H452">
        <v>3</v>
      </c>
      <c r="I452">
        <v>1</v>
      </c>
      <c r="M452" t="str">
        <f>VLOOKUP(B452, [1]Course!$A$1:$O$933, 12, FALSE)</f>
        <v>LA</v>
      </c>
      <c r="N452" t="s">
        <v>14</v>
      </c>
      <c r="O452" t="str">
        <f>VLOOKUP(B452, [1]Course!$A$1:$O$933, 14, FALSE)</f>
        <v>EN</v>
      </c>
      <c r="P452">
        <v>1</v>
      </c>
    </row>
    <row r="453" spans="1:16" x14ac:dyDescent="0.25">
      <c r="A453">
        <v>452</v>
      </c>
      <c r="B453">
        <v>38</v>
      </c>
      <c r="C453">
        <v>69</v>
      </c>
      <c r="D453" t="s">
        <v>16</v>
      </c>
      <c r="E453" t="str">
        <f t="shared" si="7"/>
        <v>1269EN03PT</v>
      </c>
      <c r="F453">
        <f>VLOOKUP(B453,[1]Course!$A$2:$R$329,2,FALSE)</f>
        <v>0</v>
      </c>
      <c r="G453">
        <f>VLOOKUP(B453, [1]Course!$A$2:$L$950, 8, FALSE)</f>
        <v>12</v>
      </c>
      <c r="H453">
        <v>3</v>
      </c>
      <c r="I453">
        <v>1</v>
      </c>
      <c r="M453" t="str">
        <f>VLOOKUP(B453, [1]Course!$A$1:$O$933, 12, FALSE)</f>
        <v>LA</v>
      </c>
      <c r="N453" t="s">
        <v>14</v>
      </c>
      <c r="O453" t="str">
        <f>VLOOKUP(B453, [1]Course!$A$1:$O$933, 14, FALSE)</f>
        <v>EN</v>
      </c>
      <c r="P453">
        <v>1</v>
      </c>
    </row>
    <row r="454" spans="1:16" x14ac:dyDescent="0.25">
      <c r="A454">
        <v>453</v>
      </c>
      <c r="B454">
        <v>38</v>
      </c>
      <c r="C454">
        <v>70</v>
      </c>
      <c r="D454" t="s">
        <v>16</v>
      </c>
      <c r="E454" t="str">
        <f t="shared" si="7"/>
        <v>1270EN03PT</v>
      </c>
      <c r="F454">
        <f>VLOOKUP(B454,[1]Course!$A$2:$R$329,2,FALSE)</f>
        <v>0</v>
      </c>
      <c r="G454">
        <f>VLOOKUP(B454, [1]Course!$A$2:$L$950, 8, FALSE)</f>
        <v>12</v>
      </c>
      <c r="H454">
        <v>3</v>
      </c>
      <c r="I454">
        <v>1</v>
      </c>
      <c r="M454" t="str">
        <f>VLOOKUP(B454, [1]Course!$A$1:$O$933, 12, FALSE)</f>
        <v>LA</v>
      </c>
      <c r="N454" t="s">
        <v>14</v>
      </c>
      <c r="O454" t="str">
        <f>VLOOKUP(B454, [1]Course!$A$1:$O$933, 14, FALSE)</f>
        <v>EN</v>
      </c>
      <c r="P454">
        <v>1</v>
      </c>
    </row>
    <row r="455" spans="1:16" x14ac:dyDescent="0.25">
      <c r="A455">
        <v>454</v>
      </c>
      <c r="B455">
        <v>38</v>
      </c>
      <c r="C455">
        <v>71</v>
      </c>
      <c r="D455" t="s">
        <v>16</v>
      </c>
      <c r="E455" t="str">
        <f t="shared" si="7"/>
        <v>1271EN03PT</v>
      </c>
      <c r="F455">
        <f>VLOOKUP(B455,[1]Course!$A$2:$R$329,2,FALSE)</f>
        <v>0</v>
      </c>
      <c r="G455">
        <f>VLOOKUP(B455, [1]Course!$A$2:$L$950, 8, FALSE)</f>
        <v>12</v>
      </c>
      <c r="H455">
        <v>3</v>
      </c>
      <c r="I455">
        <v>1</v>
      </c>
      <c r="M455" t="str">
        <f>VLOOKUP(B455, [1]Course!$A$1:$O$933, 12, FALSE)</f>
        <v>LA</v>
      </c>
      <c r="N455" t="s">
        <v>14</v>
      </c>
      <c r="O455" t="str">
        <f>VLOOKUP(B455, [1]Course!$A$1:$O$933, 14, FALSE)</f>
        <v>EN</v>
      </c>
      <c r="P455">
        <v>1</v>
      </c>
    </row>
    <row r="456" spans="1:16" x14ac:dyDescent="0.25">
      <c r="A456">
        <v>455</v>
      </c>
      <c r="B456">
        <v>38</v>
      </c>
      <c r="C456">
        <v>72</v>
      </c>
      <c r="D456" t="s">
        <v>16</v>
      </c>
      <c r="E456" t="str">
        <f t="shared" si="7"/>
        <v>1272EN03PT</v>
      </c>
      <c r="F456">
        <f>VLOOKUP(B456,[1]Course!$A$2:$R$329,2,FALSE)</f>
        <v>0</v>
      </c>
      <c r="G456">
        <f>VLOOKUP(B456, [1]Course!$A$2:$L$950, 8, FALSE)</f>
        <v>12</v>
      </c>
      <c r="H456">
        <v>3</v>
      </c>
      <c r="I456">
        <v>1</v>
      </c>
      <c r="M456" t="str">
        <f>VLOOKUP(B456, [1]Course!$A$1:$O$933, 12, FALSE)</f>
        <v>LA</v>
      </c>
      <c r="N456" t="s">
        <v>14</v>
      </c>
      <c r="O456" t="str">
        <f>VLOOKUP(B456, [1]Course!$A$1:$O$933, 14, FALSE)</f>
        <v>EN</v>
      </c>
      <c r="P456">
        <v>1</v>
      </c>
    </row>
    <row r="457" spans="1:16" x14ac:dyDescent="0.25">
      <c r="A457">
        <v>456</v>
      </c>
      <c r="B457">
        <v>39</v>
      </c>
      <c r="C457">
        <v>61</v>
      </c>
      <c r="D457" t="s">
        <v>17</v>
      </c>
      <c r="E457" t="str">
        <f t="shared" si="7"/>
        <v>1261WB03PT</v>
      </c>
      <c r="F457">
        <f>VLOOKUP(B457,[1]Course!$A$2:$R$329,2,FALSE)</f>
        <v>0</v>
      </c>
      <c r="G457">
        <f>VLOOKUP(B457, [1]Course!$A$2:$L$950, 8, FALSE)</f>
        <v>12</v>
      </c>
      <c r="H457">
        <v>3</v>
      </c>
      <c r="I457">
        <v>1</v>
      </c>
      <c r="M457" t="str">
        <f>VLOOKUP(B457, [1]Course!$A$1:$O$933, 12, FALSE)</f>
        <v>WB</v>
      </c>
      <c r="N457" t="s">
        <v>14</v>
      </c>
      <c r="O457" t="str">
        <f>VLOOKUP(B457, [1]Course!$A$1:$O$933, 14, FALSE)</f>
        <v>WB</v>
      </c>
      <c r="P457">
        <v>1</v>
      </c>
    </row>
    <row r="458" spans="1:16" x14ac:dyDescent="0.25">
      <c r="A458">
        <v>457</v>
      </c>
      <c r="B458">
        <v>39</v>
      </c>
      <c r="C458">
        <v>62</v>
      </c>
      <c r="D458" t="s">
        <v>17</v>
      </c>
      <c r="E458" t="str">
        <f t="shared" si="7"/>
        <v>1262WB03PT</v>
      </c>
      <c r="F458">
        <f>VLOOKUP(B458,[1]Course!$A$2:$R$329,2,FALSE)</f>
        <v>0</v>
      </c>
      <c r="G458">
        <f>VLOOKUP(B458, [1]Course!$A$2:$L$950, 8, FALSE)</f>
        <v>12</v>
      </c>
      <c r="H458">
        <v>3</v>
      </c>
      <c r="I458">
        <v>1</v>
      </c>
      <c r="M458" t="str">
        <f>VLOOKUP(B458, [1]Course!$A$1:$O$933, 12, FALSE)</f>
        <v>WB</v>
      </c>
      <c r="N458" t="s">
        <v>14</v>
      </c>
      <c r="O458" t="str">
        <f>VLOOKUP(B458, [1]Course!$A$1:$O$933, 14, FALSE)</f>
        <v>WB</v>
      </c>
      <c r="P458">
        <v>1</v>
      </c>
    </row>
    <row r="459" spans="1:16" x14ac:dyDescent="0.25">
      <c r="A459">
        <v>458</v>
      </c>
      <c r="B459">
        <v>39</v>
      </c>
      <c r="C459">
        <v>63</v>
      </c>
      <c r="D459" t="s">
        <v>17</v>
      </c>
      <c r="E459" t="str">
        <f t="shared" si="7"/>
        <v>1263WB03PT</v>
      </c>
      <c r="F459">
        <f>VLOOKUP(B459,[1]Course!$A$2:$R$329,2,FALSE)</f>
        <v>0</v>
      </c>
      <c r="G459">
        <f>VLOOKUP(B459, [1]Course!$A$2:$L$950, 8, FALSE)</f>
        <v>12</v>
      </c>
      <c r="H459">
        <v>3</v>
      </c>
      <c r="I459">
        <v>1</v>
      </c>
      <c r="M459" t="str">
        <f>VLOOKUP(B459, [1]Course!$A$1:$O$933, 12, FALSE)</f>
        <v>WB</v>
      </c>
      <c r="N459" t="s">
        <v>14</v>
      </c>
      <c r="O459" t="str">
        <f>VLOOKUP(B459, [1]Course!$A$1:$O$933, 14, FALSE)</f>
        <v>WB</v>
      </c>
      <c r="P459">
        <v>1</v>
      </c>
    </row>
    <row r="460" spans="1:16" x14ac:dyDescent="0.25">
      <c r="A460">
        <v>459</v>
      </c>
      <c r="B460">
        <v>39</v>
      </c>
      <c r="C460">
        <v>64</v>
      </c>
      <c r="D460" t="s">
        <v>17</v>
      </c>
      <c r="E460" t="str">
        <f t="shared" si="7"/>
        <v>1264WB03PT</v>
      </c>
      <c r="F460">
        <f>VLOOKUP(B460,[1]Course!$A$2:$R$329,2,FALSE)</f>
        <v>0</v>
      </c>
      <c r="G460">
        <f>VLOOKUP(B460, [1]Course!$A$2:$L$950, 8, FALSE)</f>
        <v>12</v>
      </c>
      <c r="H460">
        <v>3</v>
      </c>
      <c r="I460">
        <v>1</v>
      </c>
      <c r="M460" t="str">
        <f>VLOOKUP(B460, [1]Course!$A$1:$O$933, 12, FALSE)</f>
        <v>WB</v>
      </c>
      <c r="N460" t="s">
        <v>14</v>
      </c>
      <c r="O460" t="str">
        <f>VLOOKUP(B460, [1]Course!$A$1:$O$933, 14, FALSE)</f>
        <v>WB</v>
      </c>
      <c r="P460">
        <v>1</v>
      </c>
    </row>
    <row r="461" spans="1:16" x14ac:dyDescent="0.25">
      <c r="A461">
        <v>460</v>
      </c>
      <c r="B461">
        <v>39</v>
      </c>
      <c r="C461">
        <v>65</v>
      </c>
      <c r="D461" t="s">
        <v>17</v>
      </c>
      <c r="E461" t="str">
        <f t="shared" si="7"/>
        <v>1265WB03PT</v>
      </c>
      <c r="F461">
        <f>VLOOKUP(B461,[1]Course!$A$2:$R$329,2,FALSE)</f>
        <v>0</v>
      </c>
      <c r="G461">
        <f>VLOOKUP(B461, [1]Course!$A$2:$L$950, 8, FALSE)</f>
        <v>12</v>
      </c>
      <c r="H461">
        <v>3</v>
      </c>
      <c r="I461">
        <v>1</v>
      </c>
      <c r="M461" t="str">
        <f>VLOOKUP(B461, [1]Course!$A$1:$O$933, 12, FALSE)</f>
        <v>WB</v>
      </c>
      <c r="N461" t="s">
        <v>14</v>
      </c>
      <c r="O461" t="str">
        <f>VLOOKUP(B461, [1]Course!$A$1:$O$933, 14, FALSE)</f>
        <v>WB</v>
      </c>
      <c r="P461">
        <v>1</v>
      </c>
    </row>
    <row r="462" spans="1:16" x14ac:dyDescent="0.25">
      <c r="A462">
        <v>461</v>
      </c>
      <c r="B462">
        <v>39</v>
      </c>
      <c r="C462">
        <v>66</v>
      </c>
      <c r="D462" t="s">
        <v>17</v>
      </c>
      <c r="E462" t="str">
        <f t="shared" si="7"/>
        <v>1266WB03PT</v>
      </c>
      <c r="F462">
        <f>VLOOKUP(B462,[1]Course!$A$2:$R$329,2,FALSE)</f>
        <v>0</v>
      </c>
      <c r="G462">
        <f>VLOOKUP(B462, [1]Course!$A$2:$L$950, 8, FALSE)</f>
        <v>12</v>
      </c>
      <c r="H462">
        <v>3</v>
      </c>
      <c r="I462">
        <v>1</v>
      </c>
      <c r="M462" t="str">
        <f>VLOOKUP(B462, [1]Course!$A$1:$O$933, 12, FALSE)</f>
        <v>WB</v>
      </c>
      <c r="N462" t="s">
        <v>14</v>
      </c>
      <c r="O462" t="str">
        <f>VLOOKUP(B462, [1]Course!$A$1:$O$933, 14, FALSE)</f>
        <v>WB</v>
      </c>
      <c r="P462">
        <v>1</v>
      </c>
    </row>
    <row r="463" spans="1:16" x14ac:dyDescent="0.25">
      <c r="A463">
        <v>462</v>
      </c>
      <c r="B463">
        <v>39</v>
      </c>
      <c r="C463">
        <v>67</v>
      </c>
      <c r="D463" t="s">
        <v>17</v>
      </c>
      <c r="E463" t="str">
        <f t="shared" si="7"/>
        <v>1267WB03PT</v>
      </c>
      <c r="F463">
        <f>VLOOKUP(B463,[1]Course!$A$2:$R$329,2,FALSE)</f>
        <v>0</v>
      </c>
      <c r="G463">
        <f>VLOOKUP(B463, [1]Course!$A$2:$L$950, 8, FALSE)</f>
        <v>12</v>
      </c>
      <c r="H463">
        <v>3</v>
      </c>
      <c r="I463">
        <v>1</v>
      </c>
      <c r="M463" t="str">
        <f>VLOOKUP(B463, [1]Course!$A$1:$O$933, 12, FALSE)</f>
        <v>WB</v>
      </c>
      <c r="N463" t="s">
        <v>14</v>
      </c>
      <c r="O463" t="str">
        <f>VLOOKUP(B463, [1]Course!$A$1:$O$933, 14, FALSE)</f>
        <v>WB</v>
      </c>
      <c r="P463">
        <v>1</v>
      </c>
    </row>
    <row r="464" spans="1:16" x14ac:dyDescent="0.25">
      <c r="A464">
        <v>463</v>
      </c>
      <c r="B464">
        <v>39</v>
      </c>
      <c r="C464">
        <v>68</v>
      </c>
      <c r="D464" t="s">
        <v>17</v>
      </c>
      <c r="E464" t="str">
        <f t="shared" si="7"/>
        <v>1268WB03PT</v>
      </c>
      <c r="F464">
        <f>VLOOKUP(B464,[1]Course!$A$2:$R$329,2,FALSE)</f>
        <v>0</v>
      </c>
      <c r="G464">
        <f>VLOOKUP(B464, [1]Course!$A$2:$L$950, 8, FALSE)</f>
        <v>12</v>
      </c>
      <c r="H464">
        <v>3</v>
      </c>
      <c r="I464">
        <v>1</v>
      </c>
      <c r="M464" t="str">
        <f>VLOOKUP(B464, [1]Course!$A$1:$O$933, 12, FALSE)</f>
        <v>WB</v>
      </c>
      <c r="N464" t="s">
        <v>14</v>
      </c>
      <c r="O464" t="str">
        <f>VLOOKUP(B464, [1]Course!$A$1:$O$933, 14, FALSE)</f>
        <v>WB</v>
      </c>
      <c r="P464">
        <v>1</v>
      </c>
    </row>
    <row r="465" spans="1:16" x14ac:dyDescent="0.25">
      <c r="A465">
        <v>464</v>
      </c>
      <c r="B465">
        <v>39</v>
      </c>
      <c r="C465">
        <v>69</v>
      </c>
      <c r="D465" t="s">
        <v>17</v>
      </c>
      <c r="E465" t="str">
        <f t="shared" si="7"/>
        <v>1269WB03PT</v>
      </c>
      <c r="F465">
        <f>VLOOKUP(B465,[1]Course!$A$2:$R$329,2,FALSE)</f>
        <v>0</v>
      </c>
      <c r="G465">
        <f>VLOOKUP(B465, [1]Course!$A$2:$L$950, 8, FALSE)</f>
        <v>12</v>
      </c>
      <c r="H465">
        <v>3</v>
      </c>
      <c r="I465">
        <v>1</v>
      </c>
      <c r="M465" t="str">
        <f>VLOOKUP(B465, [1]Course!$A$1:$O$933, 12, FALSE)</f>
        <v>WB</v>
      </c>
      <c r="N465" t="s">
        <v>14</v>
      </c>
      <c r="O465" t="str">
        <f>VLOOKUP(B465, [1]Course!$A$1:$O$933, 14, FALSE)</f>
        <v>WB</v>
      </c>
      <c r="P465">
        <v>1</v>
      </c>
    </row>
    <row r="466" spans="1:16" x14ac:dyDescent="0.25">
      <c r="A466">
        <v>465</v>
      </c>
      <c r="B466">
        <v>39</v>
      </c>
      <c r="C466">
        <v>70</v>
      </c>
      <c r="D466" t="s">
        <v>17</v>
      </c>
      <c r="E466" t="str">
        <f t="shared" si="7"/>
        <v>1270WB03PT</v>
      </c>
      <c r="F466">
        <f>VLOOKUP(B466,[1]Course!$A$2:$R$329,2,FALSE)</f>
        <v>0</v>
      </c>
      <c r="G466">
        <f>VLOOKUP(B466, [1]Course!$A$2:$L$950, 8, FALSE)</f>
        <v>12</v>
      </c>
      <c r="H466">
        <v>3</v>
      </c>
      <c r="I466">
        <v>1</v>
      </c>
      <c r="M466" t="str">
        <f>VLOOKUP(B466, [1]Course!$A$1:$O$933, 12, FALSE)</f>
        <v>WB</v>
      </c>
      <c r="N466" t="s">
        <v>14</v>
      </c>
      <c r="O466" t="str">
        <f>VLOOKUP(B466, [1]Course!$A$1:$O$933, 14, FALSE)</f>
        <v>WB</v>
      </c>
      <c r="P466">
        <v>1</v>
      </c>
    </row>
    <row r="467" spans="1:16" x14ac:dyDescent="0.25">
      <c r="A467">
        <v>466</v>
      </c>
      <c r="B467">
        <v>39</v>
      </c>
      <c r="C467">
        <v>71</v>
      </c>
      <c r="D467" t="s">
        <v>17</v>
      </c>
      <c r="E467" t="str">
        <f t="shared" si="7"/>
        <v>1271WB03PT</v>
      </c>
      <c r="F467">
        <f>VLOOKUP(B467,[1]Course!$A$2:$R$329,2,FALSE)</f>
        <v>0</v>
      </c>
      <c r="G467">
        <f>VLOOKUP(B467, [1]Course!$A$2:$L$950, 8, FALSE)</f>
        <v>12</v>
      </c>
      <c r="H467">
        <v>3</v>
      </c>
      <c r="I467">
        <v>1</v>
      </c>
      <c r="M467" t="str">
        <f>VLOOKUP(B467, [1]Course!$A$1:$O$933, 12, FALSE)</f>
        <v>WB</v>
      </c>
      <c r="N467" t="s">
        <v>14</v>
      </c>
      <c r="O467" t="str">
        <f>VLOOKUP(B467, [1]Course!$A$1:$O$933, 14, FALSE)</f>
        <v>WB</v>
      </c>
      <c r="P467">
        <v>1</v>
      </c>
    </row>
    <row r="468" spans="1:16" x14ac:dyDescent="0.25">
      <c r="A468">
        <v>467</v>
      </c>
      <c r="B468">
        <v>39</v>
      </c>
      <c r="C468">
        <v>72</v>
      </c>
      <c r="D468" t="s">
        <v>17</v>
      </c>
      <c r="E468" t="str">
        <f t="shared" si="7"/>
        <v>1272WB03PT</v>
      </c>
      <c r="F468">
        <f>VLOOKUP(B468,[1]Course!$A$2:$R$329,2,FALSE)</f>
        <v>0</v>
      </c>
      <c r="G468">
        <f>VLOOKUP(B468, [1]Course!$A$2:$L$950, 8, FALSE)</f>
        <v>12</v>
      </c>
      <c r="H468">
        <v>3</v>
      </c>
      <c r="I468">
        <v>1</v>
      </c>
      <c r="M468" t="str">
        <f>VLOOKUP(B468, [1]Course!$A$1:$O$933, 12, FALSE)</f>
        <v>WB</v>
      </c>
      <c r="N468" t="s">
        <v>14</v>
      </c>
      <c r="O468" t="str">
        <f>VLOOKUP(B468, [1]Course!$A$1:$O$933, 14, FALSE)</f>
        <v>WB</v>
      </c>
      <c r="P468">
        <v>1</v>
      </c>
    </row>
    <row r="469" spans="1:16" x14ac:dyDescent="0.25">
      <c r="A469">
        <v>468</v>
      </c>
      <c r="B469">
        <v>40</v>
      </c>
      <c r="C469">
        <v>61</v>
      </c>
      <c r="D469" t="s">
        <v>18</v>
      </c>
      <c r="E469" t="str">
        <f t="shared" si="7"/>
        <v>1261LC03PT</v>
      </c>
      <c r="F469">
        <f>VLOOKUP(B469,[1]Course!$A$2:$R$329,2,FALSE)</f>
        <v>0</v>
      </c>
      <c r="G469">
        <f>VLOOKUP(B469, [1]Course!$A$2:$L$950, 8, FALSE)</f>
        <v>12</v>
      </c>
      <c r="H469">
        <v>3</v>
      </c>
      <c r="I469">
        <v>1</v>
      </c>
      <c r="M469" t="str">
        <f>VLOOKUP(B469, [1]Course!$A$1:$O$933, 12, FALSE)</f>
        <v>LI</v>
      </c>
      <c r="N469" t="s">
        <v>14</v>
      </c>
      <c r="O469" t="str">
        <f>VLOOKUP(B469, [1]Course!$A$1:$O$933, 14, FALSE)</f>
        <v>LC</v>
      </c>
      <c r="P469">
        <v>1</v>
      </c>
    </row>
    <row r="470" spans="1:16" x14ac:dyDescent="0.25">
      <c r="A470">
        <v>469</v>
      </c>
      <c r="B470">
        <v>40</v>
      </c>
      <c r="C470">
        <v>62</v>
      </c>
      <c r="D470" t="s">
        <v>18</v>
      </c>
      <c r="E470" t="str">
        <f t="shared" si="7"/>
        <v>1262LC03PT</v>
      </c>
      <c r="F470">
        <f>VLOOKUP(B470,[1]Course!$A$2:$R$329,2,FALSE)</f>
        <v>0</v>
      </c>
      <c r="G470">
        <f>VLOOKUP(B470, [1]Course!$A$2:$L$950, 8, FALSE)</f>
        <v>12</v>
      </c>
      <c r="H470">
        <v>3</v>
      </c>
      <c r="I470">
        <v>1</v>
      </c>
      <c r="M470" t="str">
        <f>VLOOKUP(B470, [1]Course!$A$1:$O$933, 12, FALSE)</f>
        <v>LI</v>
      </c>
      <c r="N470" t="s">
        <v>14</v>
      </c>
      <c r="O470" t="str">
        <f>VLOOKUP(B470, [1]Course!$A$1:$O$933, 14, FALSE)</f>
        <v>LC</v>
      </c>
      <c r="P470">
        <v>1</v>
      </c>
    </row>
    <row r="471" spans="1:16" x14ac:dyDescent="0.25">
      <c r="A471">
        <v>470</v>
      </c>
      <c r="B471">
        <v>40</v>
      </c>
      <c r="C471">
        <v>63</v>
      </c>
      <c r="D471" t="s">
        <v>18</v>
      </c>
      <c r="E471" t="str">
        <f t="shared" si="7"/>
        <v>1263LC03PT</v>
      </c>
      <c r="F471">
        <f>VLOOKUP(B471,[1]Course!$A$2:$R$329,2,FALSE)</f>
        <v>0</v>
      </c>
      <c r="G471">
        <f>VLOOKUP(B471, [1]Course!$A$2:$L$950, 8, FALSE)</f>
        <v>12</v>
      </c>
      <c r="H471">
        <v>3</v>
      </c>
      <c r="I471">
        <v>1</v>
      </c>
      <c r="M471" t="str">
        <f>VLOOKUP(B471, [1]Course!$A$1:$O$933, 12, FALSE)</f>
        <v>LI</v>
      </c>
      <c r="N471" t="s">
        <v>14</v>
      </c>
      <c r="O471" t="str">
        <f>VLOOKUP(B471, [1]Course!$A$1:$O$933, 14, FALSE)</f>
        <v>LC</v>
      </c>
      <c r="P471">
        <v>1</v>
      </c>
    </row>
    <row r="472" spans="1:16" x14ac:dyDescent="0.25">
      <c r="A472">
        <v>471</v>
      </c>
      <c r="B472">
        <v>40</v>
      </c>
      <c r="C472">
        <v>64</v>
      </c>
      <c r="D472" t="s">
        <v>18</v>
      </c>
      <c r="E472" t="str">
        <f t="shared" si="7"/>
        <v>1264LC03PT</v>
      </c>
      <c r="F472">
        <f>VLOOKUP(B472,[1]Course!$A$2:$R$329,2,FALSE)</f>
        <v>0</v>
      </c>
      <c r="G472">
        <f>VLOOKUP(B472, [1]Course!$A$2:$L$950, 8, FALSE)</f>
        <v>12</v>
      </c>
      <c r="H472">
        <v>3</v>
      </c>
      <c r="I472">
        <v>1</v>
      </c>
      <c r="M472" t="str">
        <f>VLOOKUP(B472, [1]Course!$A$1:$O$933, 12, FALSE)</f>
        <v>LI</v>
      </c>
      <c r="N472" t="s">
        <v>14</v>
      </c>
      <c r="O472" t="str">
        <f>VLOOKUP(B472, [1]Course!$A$1:$O$933, 14, FALSE)</f>
        <v>LC</v>
      </c>
      <c r="P472">
        <v>1</v>
      </c>
    </row>
    <row r="473" spans="1:16" x14ac:dyDescent="0.25">
      <c r="A473">
        <v>472</v>
      </c>
      <c r="B473">
        <v>40</v>
      </c>
      <c r="C473">
        <v>65</v>
      </c>
      <c r="D473" t="s">
        <v>18</v>
      </c>
      <c r="E473" t="str">
        <f t="shared" si="7"/>
        <v>1265LC03PT</v>
      </c>
      <c r="F473">
        <f>VLOOKUP(B473,[1]Course!$A$2:$R$329,2,FALSE)</f>
        <v>0</v>
      </c>
      <c r="G473">
        <f>VLOOKUP(B473, [1]Course!$A$2:$L$950, 8, FALSE)</f>
        <v>12</v>
      </c>
      <c r="H473">
        <v>3</v>
      </c>
      <c r="I473">
        <v>1</v>
      </c>
      <c r="M473" t="str">
        <f>VLOOKUP(B473, [1]Course!$A$1:$O$933, 12, FALSE)</f>
        <v>LI</v>
      </c>
      <c r="N473" t="s">
        <v>14</v>
      </c>
      <c r="O473" t="str">
        <f>VLOOKUP(B473, [1]Course!$A$1:$O$933, 14, FALSE)</f>
        <v>LC</v>
      </c>
      <c r="P473">
        <v>1</v>
      </c>
    </row>
    <row r="474" spans="1:16" x14ac:dyDescent="0.25">
      <c r="A474">
        <v>473</v>
      </c>
      <c r="B474">
        <v>40</v>
      </c>
      <c r="C474">
        <v>66</v>
      </c>
      <c r="D474" t="s">
        <v>18</v>
      </c>
      <c r="E474" t="str">
        <f t="shared" si="7"/>
        <v>1266LC03PT</v>
      </c>
      <c r="F474">
        <f>VLOOKUP(B474,[1]Course!$A$2:$R$329,2,FALSE)</f>
        <v>0</v>
      </c>
      <c r="G474">
        <f>VLOOKUP(B474, [1]Course!$A$2:$L$950, 8, FALSE)</f>
        <v>12</v>
      </c>
      <c r="H474">
        <v>3</v>
      </c>
      <c r="I474">
        <v>1</v>
      </c>
      <c r="M474" t="str">
        <f>VLOOKUP(B474, [1]Course!$A$1:$O$933, 12, FALSE)</f>
        <v>LI</v>
      </c>
      <c r="N474" t="s">
        <v>14</v>
      </c>
      <c r="O474" t="str">
        <f>VLOOKUP(B474, [1]Course!$A$1:$O$933, 14, FALSE)</f>
        <v>LC</v>
      </c>
      <c r="P474">
        <v>1</v>
      </c>
    </row>
    <row r="475" spans="1:16" x14ac:dyDescent="0.25">
      <c r="A475">
        <v>474</v>
      </c>
      <c r="B475">
        <v>40</v>
      </c>
      <c r="C475">
        <v>67</v>
      </c>
      <c r="D475" t="s">
        <v>18</v>
      </c>
      <c r="E475" t="str">
        <f t="shared" si="7"/>
        <v>1267LC03PT</v>
      </c>
      <c r="F475">
        <f>VLOOKUP(B475,[1]Course!$A$2:$R$329,2,FALSE)</f>
        <v>0</v>
      </c>
      <c r="G475">
        <f>VLOOKUP(B475, [1]Course!$A$2:$L$950, 8, FALSE)</f>
        <v>12</v>
      </c>
      <c r="H475">
        <v>3</v>
      </c>
      <c r="I475">
        <v>1</v>
      </c>
      <c r="M475" t="str">
        <f>VLOOKUP(B475, [1]Course!$A$1:$O$933, 12, FALSE)</f>
        <v>LI</v>
      </c>
      <c r="N475" t="s">
        <v>14</v>
      </c>
      <c r="O475" t="str">
        <f>VLOOKUP(B475, [1]Course!$A$1:$O$933, 14, FALSE)</f>
        <v>LC</v>
      </c>
      <c r="P475">
        <v>1</v>
      </c>
    </row>
    <row r="476" spans="1:16" x14ac:dyDescent="0.25">
      <c r="A476">
        <v>475</v>
      </c>
      <c r="B476">
        <v>40</v>
      </c>
      <c r="C476">
        <v>68</v>
      </c>
      <c r="D476" t="s">
        <v>18</v>
      </c>
      <c r="E476" t="str">
        <f t="shared" si="7"/>
        <v>1268LC03PT</v>
      </c>
      <c r="F476">
        <f>VLOOKUP(B476,[1]Course!$A$2:$R$329,2,FALSE)</f>
        <v>0</v>
      </c>
      <c r="G476">
        <f>VLOOKUP(B476, [1]Course!$A$2:$L$950, 8, FALSE)</f>
        <v>12</v>
      </c>
      <c r="H476">
        <v>3</v>
      </c>
      <c r="I476">
        <v>1</v>
      </c>
      <c r="M476" t="str">
        <f>VLOOKUP(B476, [1]Course!$A$1:$O$933, 12, FALSE)</f>
        <v>LI</v>
      </c>
      <c r="N476" t="s">
        <v>14</v>
      </c>
      <c r="O476" t="str">
        <f>VLOOKUP(B476, [1]Course!$A$1:$O$933, 14, FALSE)</f>
        <v>LC</v>
      </c>
      <c r="P476">
        <v>1</v>
      </c>
    </row>
    <row r="477" spans="1:16" x14ac:dyDescent="0.25">
      <c r="A477">
        <v>476</v>
      </c>
      <c r="B477">
        <v>40</v>
      </c>
      <c r="C477">
        <v>69</v>
      </c>
      <c r="D477" t="s">
        <v>18</v>
      </c>
      <c r="E477" t="str">
        <f t="shared" si="7"/>
        <v>1269LC03PT</v>
      </c>
      <c r="F477">
        <f>VLOOKUP(B477,[1]Course!$A$2:$R$329,2,FALSE)</f>
        <v>0</v>
      </c>
      <c r="G477">
        <f>VLOOKUP(B477, [1]Course!$A$2:$L$950, 8, FALSE)</f>
        <v>12</v>
      </c>
      <c r="H477">
        <v>3</v>
      </c>
      <c r="I477">
        <v>1</v>
      </c>
      <c r="M477" t="str">
        <f>VLOOKUP(B477, [1]Course!$A$1:$O$933, 12, FALSE)</f>
        <v>LI</v>
      </c>
      <c r="N477" t="s">
        <v>14</v>
      </c>
      <c r="O477" t="str">
        <f>VLOOKUP(B477, [1]Course!$A$1:$O$933, 14, FALSE)</f>
        <v>LC</v>
      </c>
      <c r="P477">
        <v>1</v>
      </c>
    </row>
    <row r="478" spans="1:16" x14ac:dyDescent="0.25">
      <c r="A478">
        <v>477</v>
      </c>
      <c r="B478">
        <v>40</v>
      </c>
      <c r="C478">
        <v>70</v>
      </c>
      <c r="D478" t="s">
        <v>18</v>
      </c>
      <c r="E478" t="str">
        <f t="shared" si="7"/>
        <v>1270LC03PT</v>
      </c>
      <c r="F478">
        <f>VLOOKUP(B478,[1]Course!$A$2:$R$329,2,FALSE)</f>
        <v>0</v>
      </c>
      <c r="G478">
        <f>VLOOKUP(B478, [1]Course!$A$2:$L$950, 8, FALSE)</f>
        <v>12</v>
      </c>
      <c r="H478">
        <v>3</v>
      </c>
      <c r="I478">
        <v>1</v>
      </c>
      <c r="M478" t="str">
        <f>VLOOKUP(B478, [1]Course!$A$1:$O$933, 12, FALSE)</f>
        <v>LI</v>
      </c>
      <c r="N478" t="s">
        <v>14</v>
      </c>
      <c r="O478" t="str">
        <f>VLOOKUP(B478, [1]Course!$A$1:$O$933, 14, FALSE)</f>
        <v>LC</v>
      </c>
      <c r="P478">
        <v>1</v>
      </c>
    </row>
    <row r="479" spans="1:16" x14ac:dyDescent="0.25">
      <c r="A479">
        <v>478</v>
      </c>
      <c r="B479">
        <v>40</v>
      </c>
      <c r="C479">
        <v>71</v>
      </c>
      <c r="D479" t="s">
        <v>18</v>
      </c>
      <c r="E479" t="str">
        <f t="shared" si="7"/>
        <v>1271LC03PT</v>
      </c>
      <c r="F479">
        <f>VLOOKUP(B479,[1]Course!$A$2:$R$329,2,FALSE)</f>
        <v>0</v>
      </c>
      <c r="G479">
        <f>VLOOKUP(B479, [1]Course!$A$2:$L$950, 8, FALSE)</f>
        <v>12</v>
      </c>
      <c r="H479">
        <v>3</v>
      </c>
      <c r="I479">
        <v>1</v>
      </c>
      <c r="M479" t="str">
        <f>VLOOKUP(B479, [1]Course!$A$1:$O$933, 12, FALSE)</f>
        <v>LI</v>
      </c>
      <c r="N479" t="s">
        <v>14</v>
      </c>
      <c r="O479" t="str">
        <f>VLOOKUP(B479, [1]Course!$A$1:$O$933, 14, FALSE)</f>
        <v>LC</v>
      </c>
      <c r="P479">
        <v>1</v>
      </c>
    </row>
    <row r="480" spans="1:16" x14ac:dyDescent="0.25">
      <c r="A480">
        <v>479</v>
      </c>
      <c r="B480">
        <v>40</v>
      </c>
      <c r="C480">
        <v>72</v>
      </c>
      <c r="D480" t="s">
        <v>18</v>
      </c>
      <c r="E480" t="str">
        <f t="shared" si="7"/>
        <v>1272LC03PT</v>
      </c>
      <c r="F480">
        <f>VLOOKUP(B480,[1]Course!$A$2:$R$329,2,FALSE)</f>
        <v>0</v>
      </c>
      <c r="G480">
        <f>VLOOKUP(B480, [1]Course!$A$2:$L$950, 8, FALSE)</f>
        <v>12</v>
      </c>
      <c r="H480">
        <v>3</v>
      </c>
      <c r="I480">
        <v>1</v>
      </c>
      <c r="M480" t="str">
        <f>VLOOKUP(B480, [1]Course!$A$1:$O$933, 12, FALSE)</f>
        <v>LI</v>
      </c>
      <c r="N480" t="s">
        <v>14</v>
      </c>
      <c r="O480" t="str">
        <f>VLOOKUP(B480, [1]Course!$A$1:$O$933, 14, FALSE)</f>
        <v>LC</v>
      </c>
      <c r="P480">
        <v>1</v>
      </c>
    </row>
    <row r="481" spans="1:16" x14ac:dyDescent="0.25">
      <c r="A481">
        <v>480</v>
      </c>
      <c r="B481">
        <v>41</v>
      </c>
      <c r="C481">
        <v>61</v>
      </c>
      <c r="D481" t="s">
        <v>19</v>
      </c>
      <c r="E481" t="str">
        <f t="shared" si="7"/>
        <v>1261SC03PT</v>
      </c>
      <c r="F481" t="str">
        <f>VLOOKUP(B481,[1]Course!$A$2:$R$329,2,FALSE)</f>
        <v>Science 6</v>
      </c>
      <c r="G481">
        <f>VLOOKUP(B481, [1]Course!$A$2:$L$950, 8, FALSE)</f>
        <v>12</v>
      </c>
      <c r="H481">
        <v>3</v>
      </c>
      <c r="I481">
        <v>1</v>
      </c>
      <c r="M481" t="str">
        <f>VLOOKUP(B481, [1]Course!$A$1:$O$933, 12, FALSE)</f>
        <v>SC</v>
      </c>
      <c r="N481" t="s">
        <v>14</v>
      </c>
      <c r="O481" t="str">
        <f>VLOOKUP(B481, [1]Course!$A$1:$O$933, 14, FALSE)</f>
        <v>SC</v>
      </c>
      <c r="P481">
        <v>1</v>
      </c>
    </row>
    <row r="482" spans="1:16" x14ac:dyDescent="0.25">
      <c r="A482">
        <v>481</v>
      </c>
      <c r="B482">
        <v>41</v>
      </c>
      <c r="C482">
        <v>62</v>
      </c>
      <c r="D482" t="s">
        <v>19</v>
      </c>
      <c r="E482" t="str">
        <f t="shared" si="7"/>
        <v>1262SC03PT</v>
      </c>
      <c r="F482" t="str">
        <f>VLOOKUP(B482,[1]Course!$A$2:$R$329,2,FALSE)</f>
        <v>Science 6</v>
      </c>
      <c r="G482">
        <f>VLOOKUP(B482, [1]Course!$A$2:$L$950, 8, FALSE)</f>
        <v>12</v>
      </c>
      <c r="H482">
        <v>3</v>
      </c>
      <c r="I482">
        <v>1</v>
      </c>
      <c r="M482" t="str">
        <f>VLOOKUP(B482, [1]Course!$A$1:$O$933, 12, FALSE)</f>
        <v>SC</v>
      </c>
      <c r="N482" t="s">
        <v>14</v>
      </c>
      <c r="O482" t="str">
        <f>VLOOKUP(B482, [1]Course!$A$1:$O$933, 14, FALSE)</f>
        <v>SC</v>
      </c>
      <c r="P482">
        <v>1</v>
      </c>
    </row>
    <row r="483" spans="1:16" x14ac:dyDescent="0.25">
      <c r="A483">
        <v>482</v>
      </c>
      <c r="B483">
        <v>41</v>
      </c>
      <c r="C483">
        <v>63</v>
      </c>
      <c r="D483" t="s">
        <v>19</v>
      </c>
      <c r="E483" t="str">
        <f t="shared" si="7"/>
        <v>1263SC03PT</v>
      </c>
      <c r="F483" t="str">
        <f>VLOOKUP(B483,[1]Course!$A$2:$R$329,2,FALSE)</f>
        <v>Science 6</v>
      </c>
      <c r="G483">
        <f>VLOOKUP(B483, [1]Course!$A$2:$L$950, 8, FALSE)</f>
        <v>12</v>
      </c>
      <c r="H483">
        <v>3</v>
      </c>
      <c r="I483">
        <v>1</v>
      </c>
      <c r="M483" t="str">
        <f>VLOOKUP(B483, [1]Course!$A$1:$O$933, 12, FALSE)</f>
        <v>SC</v>
      </c>
      <c r="N483" t="s">
        <v>14</v>
      </c>
      <c r="O483" t="str">
        <f>VLOOKUP(B483, [1]Course!$A$1:$O$933, 14, FALSE)</f>
        <v>SC</v>
      </c>
      <c r="P483">
        <v>1</v>
      </c>
    </row>
    <row r="484" spans="1:16" x14ac:dyDescent="0.25">
      <c r="A484">
        <v>483</v>
      </c>
      <c r="B484">
        <v>41</v>
      </c>
      <c r="C484">
        <v>64</v>
      </c>
      <c r="D484" t="s">
        <v>19</v>
      </c>
      <c r="E484" t="str">
        <f t="shared" si="7"/>
        <v>1264SC03PT</v>
      </c>
      <c r="F484" t="str">
        <f>VLOOKUP(B484,[1]Course!$A$2:$R$329,2,FALSE)</f>
        <v>Science 6</v>
      </c>
      <c r="G484">
        <f>VLOOKUP(B484, [1]Course!$A$2:$L$950, 8, FALSE)</f>
        <v>12</v>
      </c>
      <c r="H484">
        <v>3</v>
      </c>
      <c r="I484">
        <v>1</v>
      </c>
      <c r="M484" t="str">
        <f>VLOOKUP(B484, [1]Course!$A$1:$O$933, 12, FALSE)</f>
        <v>SC</v>
      </c>
      <c r="N484" t="s">
        <v>14</v>
      </c>
      <c r="O484" t="str">
        <f>VLOOKUP(B484, [1]Course!$A$1:$O$933, 14, FALSE)</f>
        <v>SC</v>
      </c>
      <c r="P484">
        <v>1</v>
      </c>
    </row>
    <row r="485" spans="1:16" x14ac:dyDescent="0.25">
      <c r="A485">
        <v>484</v>
      </c>
      <c r="B485">
        <v>41</v>
      </c>
      <c r="C485">
        <v>65</v>
      </c>
      <c r="D485" t="s">
        <v>19</v>
      </c>
      <c r="E485" t="str">
        <f t="shared" si="7"/>
        <v>1265SC03PT</v>
      </c>
      <c r="F485" t="str">
        <f>VLOOKUP(B485,[1]Course!$A$2:$R$329,2,FALSE)</f>
        <v>Science 6</v>
      </c>
      <c r="G485">
        <f>VLOOKUP(B485, [1]Course!$A$2:$L$950, 8, FALSE)</f>
        <v>12</v>
      </c>
      <c r="H485">
        <v>3</v>
      </c>
      <c r="I485">
        <v>1</v>
      </c>
      <c r="M485" t="str">
        <f>VLOOKUP(B485, [1]Course!$A$1:$O$933, 12, FALSE)</f>
        <v>SC</v>
      </c>
      <c r="N485" t="s">
        <v>14</v>
      </c>
      <c r="O485" t="str">
        <f>VLOOKUP(B485, [1]Course!$A$1:$O$933, 14, FALSE)</f>
        <v>SC</v>
      </c>
      <c r="P485">
        <v>1</v>
      </c>
    </row>
    <row r="486" spans="1:16" x14ac:dyDescent="0.25">
      <c r="A486">
        <v>485</v>
      </c>
      <c r="B486">
        <v>41</v>
      </c>
      <c r="C486">
        <v>66</v>
      </c>
      <c r="D486" t="s">
        <v>19</v>
      </c>
      <c r="E486" t="str">
        <f t="shared" si="7"/>
        <v>1266SC03PT</v>
      </c>
      <c r="F486" t="str">
        <f>VLOOKUP(B486,[1]Course!$A$2:$R$329,2,FALSE)</f>
        <v>Science 6</v>
      </c>
      <c r="G486">
        <f>VLOOKUP(B486, [1]Course!$A$2:$L$950, 8, FALSE)</f>
        <v>12</v>
      </c>
      <c r="H486">
        <v>3</v>
      </c>
      <c r="I486">
        <v>1</v>
      </c>
      <c r="M486" t="str">
        <f>VLOOKUP(B486, [1]Course!$A$1:$O$933, 12, FALSE)</f>
        <v>SC</v>
      </c>
      <c r="N486" t="s">
        <v>14</v>
      </c>
      <c r="O486" t="str">
        <f>VLOOKUP(B486, [1]Course!$A$1:$O$933, 14, FALSE)</f>
        <v>SC</v>
      </c>
      <c r="P486">
        <v>1</v>
      </c>
    </row>
    <row r="487" spans="1:16" x14ac:dyDescent="0.25">
      <c r="A487">
        <v>486</v>
      </c>
      <c r="B487">
        <v>41</v>
      </c>
      <c r="C487">
        <v>67</v>
      </c>
      <c r="D487" t="s">
        <v>19</v>
      </c>
      <c r="E487" t="str">
        <f t="shared" si="7"/>
        <v>1267SC03PT</v>
      </c>
      <c r="F487" t="str">
        <f>VLOOKUP(B487,[1]Course!$A$2:$R$329,2,FALSE)</f>
        <v>Science 6</v>
      </c>
      <c r="G487">
        <f>VLOOKUP(B487, [1]Course!$A$2:$L$950, 8, FALSE)</f>
        <v>12</v>
      </c>
      <c r="H487">
        <v>3</v>
      </c>
      <c r="I487">
        <v>1</v>
      </c>
      <c r="M487" t="str">
        <f>VLOOKUP(B487, [1]Course!$A$1:$O$933, 12, FALSE)</f>
        <v>SC</v>
      </c>
      <c r="N487" t="s">
        <v>14</v>
      </c>
      <c r="O487" t="str">
        <f>VLOOKUP(B487, [1]Course!$A$1:$O$933, 14, FALSE)</f>
        <v>SC</v>
      </c>
      <c r="P487">
        <v>1</v>
      </c>
    </row>
    <row r="488" spans="1:16" x14ac:dyDescent="0.25">
      <c r="A488">
        <v>487</v>
      </c>
      <c r="B488">
        <v>41</v>
      </c>
      <c r="C488">
        <v>68</v>
      </c>
      <c r="D488" t="s">
        <v>19</v>
      </c>
      <c r="E488" t="str">
        <f t="shared" si="7"/>
        <v>1268SC03PT</v>
      </c>
      <c r="F488" t="str">
        <f>VLOOKUP(B488,[1]Course!$A$2:$R$329,2,FALSE)</f>
        <v>Science 6</v>
      </c>
      <c r="G488">
        <f>VLOOKUP(B488, [1]Course!$A$2:$L$950, 8, FALSE)</f>
        <v>12</v>
      </c>
      <c r="H488">
        <v>3</v>
      </c>
      <c r="I488">
        <v>1</v>
      </c>
      <c r="M488" t="str">
        <f>VLOOKUP(B488, [1]Course!$A$1:$O$933, 12, FALSE)</f>
        <v>SC</v>
      </c>
      <c r="N488" t="s">
        <v>14</v>
      </c>
      <c r="O488" t="str">
        <f>VLOOKUP(B488, [1]Course!$A$1:$O$933, 14, FALSE)</f>
        <v>SC</v>
      </c>
      <c r="P488">
        <v>1</v>
      </c>
    </row>
    <row r="489" spans="1:16" x14ac:dyDescent="0.25">
      <c r="A489">
        <v>488</v>
      </c>
      <c r="B489">
        <v>41</v>
      </c>
      <c r="C489">
        <v>69</v>
      </c>
      <c r="D489" t="s">
        <v>19</v>
      </c>
      <c r="E489" t="str">
        <f t="shared" si="7"/>
        <v>1269SC03PT</v>
      </c>
      <c r="F489" t="str">
        <f>VLOOKUP(B489,[1]Course!$A$2:$R$329,2,FALSE)</f>
        <v>Science 6</v>
      </c>
      <c r="G489">
        <f>VLOOKUP(B489, [1]Course!$A$2:$L$950, 8, FALSE)</f>
        <v>12</v>
      </c>
      <c r="H489">
        <v>3</v>
      </c>
      <c r="I489">
        <v>1</v>
      </c>
      <c r="M489" t="str">
        <f>VLOOKUP(B489, [1]Course!$A$1:$O$933, 12, FALSE)</f>
        <v>SC</v>
      </c>
      <c r="N489" t="s">
        <v>14</v>
      </c>
      <c r="O489" t="str">
        <f>VLOOKUP(B489, [1]Course!$A$1:$O$933, 14, FALSE)</f>
        <v>SC</v>
      </c>
      <c r="P489">
        <v>1</v>
      </c>
    </row>
    <row r="490" spans="1:16" x14ac:dyDescent="0.25">
      <c r="A490">
        <v>489</v>
      </c>
      <c r="B490">
        <v>41</v>
      </c>
      <c r="C490">
        <v>70</v>
      </c>
      <c r="D490" t="s">
        <v>19</v>
      </c>
      <c r="E490" t="str">
        <f t="shared" si="7"/>
        <v>1270SC03PT</v>
      </c>
      <c r="F490" t="str">
        <f>VLOOKUP(B490,[1]Course!$A$2:$R$329,2,FALSE)</f>
        <v>Science 6</v>
      </c>
      <c r="G490">
        <f>VLOOKUP(B490, [1]Course!$A$2:$L$950, 8, FALSE)</f>
        <v>12</v>
      </c>
      <c r="H490">
        <v>3</v>
      </c>
      <c r="I490">
        <v>1</v>
      </c>
      <c r="M490" t="str">
        <f>VLOOKUP(B490, [1]Course!$A$1:$O$933, 12, FALSE)</f>
        <v>SC</v>
      </c>
      <c r="N490" t="s">
        <v>14</v>
      </c>
      <c r="O490" t="str">
        <f>VLOOKUP(B490, [1]Course!$A$1:$O$933, 14, FALSE)</f>
        <v>SC</v>
      </c>
      <c r="P490">
        <v>1</v>
      </c>
    </row>
    <row r="491" spans="1:16" x14ac:dyDescent="0.25">
      <c r="A491">
        <v>490</v>
      </c>
      <c r="B491">
        <v>41</v>
      </c>
      <c r="C491">
        <v>71</v>
      </c>
      <c r="D491" t="s">
        <v>19</v>
      </c>
      <c r="E491" t="str">
        <f t="shared" si="7"/>
        <v>1271SC03PT</v>
      </c>
      <c r="F491" t="str">
        <f>VLOOKUP(B491,[1]Course!$A$2:$R$329,2,FALSE)</f>
        <v>Science 6</v>
      </c>
      <c r="G491">
        <f>VLOOKUP(B491, [1]Course!$A$2:$L$950, 8, FALSE)</f>
        <v>12</v>
      </c>
      <c r="H491">
        <v>3</v>
      </c>
      <c r="I491">
        <v>1</v>
      </c>
      <c r="M491" t="str">
        <f>VLOOKUP(B491, [1]Course!$A$1:$O$933, 12, FALSE)</f>
        <v>SC</v>
      </c>
      <c r="N491" t="s">
        <v>14</v>
      </c>
      <c r="O491" t="str">
        <f>VLOOKUP(B491, [1]Course!$A$1:$O$933, 14, FALSE)</f>
        <v>SC</v>
      </c>
      <c r="P491">
        <v>1</v>
      </c>
    </row>
    <row r="492" spans="1:16" x14ac:dyDescent="0.25">
      <c r="A492">
        <v>491</v>
      </c>
      <c r="B492">
        <v>41</v>
      </c>
      <c r="C492">
        <v>72</v>
      </c>
      <c r="D492" t="s">
        <v>19</v>
      </c>
      <c r="E492" t="str">
        <f t="shared" si="7"/>
        <v>1272SC03PT</v>
      </c>
      <c r="F492" t="str">
        <f>VLOOKUP(B492,[1]Course!$A$2:$R$329,2,FALSE)</f>
        <v>Science 6</v>
      </c>
      <c r="G492">
        <f>VLOOKUP(B492, [1]Course!$A$2:$L$950, 8, FALSE)</f>
        <v>12</v>
      </c>
      <c r="H492">
        <v>3</v>
      </c>
      <c r="I492">
        <v>1</v>
      </c>
      <c r="J492">
        <v>2013</v>
      </c>
      <c r="K492">
        <v>2020</v>
      </c>
      <c r="L492">
        <v>1</v>
      </c>
      <c r="M492" t="str">
        <f>VLOOKUP(B492, [1]Course!$A$1:$O$933, 12, FALSE)</f>
        <v>SC</v>
      </c>
      <c r="N492" t="s">
        <v>14</v>
      </c>
      <c r="O492" t="str">
        <f>VLOOKUP(B492, [1]Course!$A$1:$O$933, 14, FALSE)</f>
        <v>SC</v>
      </c>
      <c r="P492">
        <v>1</v>
      </c>
    </row>
    <row r="493" spans="1:16" x14ac:dyDescent="0.25">
      <c r="A493">
        <v>492</v>
      </c>
      <c r="B493">
        <v>42</v>
      </c>
      <c r="C493">
        <v>61</v>
      </c>
      <c r="D493" t="s">
        <v>20</v>
      </c>
      <c r="E493" t="str">
        <f t="shared" si="7"/>
        <v>1261SS03PT</v>
      </c>
      <c r="F493">
        <f>VLOOKUP(B493,[1]Course!$A$2:$R$329,2,FALSE)</f>
        <v>0</v>
      </c>
      <c r="G493">
        <f>VLOOKUP(B493, [1]Course!$A$2:$L$950, 8, FALSE)</f>
        <v>12</v>
      </c>
      <c r="H493">
        <v>3</v>
      </c>
      <c r="I493">
        <v>1</v>
      </c>
      <c r="M493" t="str">
        <f>VLOOKUP(B493, [1]Course!$A$1:$O$933, 12, FALSE)</f>
        <v>SS</v>
      </c>
      <c r="N493" t="s">
        <v>14</v>
      </c>
      <c r="O493" t="str">
        <f>VLOOKUP(B493, [1]Course!$A$1:$O$933, 14, FALSE)</f>
        <v>SS</v>
      </c>
      <c r="P493">
        <v>1</v>
      </c>
    </row>
    <row r="494" spans="1:16" x14ac:dyDescent="0.25">
      <c r="A494">
        <v>493</v>
      </c>
      <c r="B494">
        <v>42</v>
      </c>
      <c r="C494">
        <v>62</v>
      </c>
      <c r="D494" t="s">
        <v>20</v>
      </c>
      <c r="E494" t="str">
        <f t="shared" si="7"/>
        <v>1262SS03PT</v>
      </c>
      <c r="F494">
        <f>VLOOKUP(B494,[1]Course!$A$2:$R$329,2,FALSE)</f>
        <v>0</v>
      </c>
      <c r="G494">
        <f>VLOOKUP(B494, [1]Course!$A$2:$L$950, 8, FALSE)</f>
        <v>12</v>
      </c>
      <c r="H494">
        <v>3</v>
      </c>
      <c r="I494">
        <v>1</v>
      </c>
      <c r="M494" t="str">
        <f>VLOOKUP(B494, [1]Course!$A$1:$O$933, 12, FALSE)</f>
        <v>SS</v>
      </c>
      <c r="N494" t="s">
        <v>14</v>
      </c>
      <c r="O494" t="str">
        <f>VLOOKUP(B494, [1]Course!$A$1:$O$933, 14, FALSE)</f>
        <v>SS</v>
      </c>
      <c r="P494">
        <v>1</v>
      </c>
    </row>
    <row r="495" spans="1:16" x14ac:dyDescent="0.25">
      <c r="A495">
        <v>494</v>
      </c>
      <c r="B495">
        <v>42</v>
      </c>
      <c r="C495">
        <v>63</v>
      </c>
      <c r="D495" t="s">
        <v>20</v>
      </c>
      <c r="E495" t="str">
        <f t="shared" si="7"/>
        <v>1263SS03PT</v>
      </c>
      <c r="F495">
        <f>VLOOKUP(B495,[1]Course!$A$2:$R$329,2,FALSE)</f>
        <v>0</v>
      </c>
      <c r="G495">
        <f>VLOOKUP(B495, [1]Course!$A$2:$L$950, 8, FALSE)</f>
        <v>12</v>
      </c>
      <c r="H495">
        <v>3</v>
      </c>
      <c r="I495">
        <v>1</v>
      </c>
      <c r="M495" t="str">
        <f>VLOOKUP(B495, [1]Course!$A$1:$O$933, 12, FALSE)</f>
        <v>SS</v>
      </c>
      <c r="N495" t="s">
        <v>14</v>
      </c>
      <c r="O495" t="str">
        <f>VLOOKUP(B495, [1]Course!$A$1:$O$933, 14, FALSE)</f>
        <v>SS</v>
      </c>
      <c r="P495">
        <v>1</v>
      </c>
    </row>
    <row r="496" spans="1:16" x14ac:dyDescent="0.25">
      <c r="A496">
        <v>495</v>
      </c>
      <c r="B496">
        <v>42</v>
      </c>
      <c r="C496">
        <v>64</v>
      </c>
      <c r="D496" t="s">
        <v>20</v>
      </c>
      <c r="E496" t="str">
        <f t="shared" si="7"/>
        <v>1264SS03PT</v>
      </c>
      <c r="F496">
        <f>VLOOKUP(B496,[1]Course!$A$2:$R$329,2,FALSE)</f>
        <v>0</v>
      </c>
      <c r="G496">
        <f>VLOOKUP(B496, [1]Course!$A$2:$L$950, 8, FALSE)</f>
        <v>12</v>
      </c>
      <c r="H496">
        <v>3</v>
      </c>
      <c r="I496">
        <v>1</v>
      </c>
      <c r="M496" t="str">
        <f>VLOOKUP(B496, [1]Course!$A$1:$O$933, 12, FALSE)</f>
        <v>SS</v>
      </c>
      <c r="N496" t="s">
        <v>14</v>
      </c>
      <c r="O496" t="str">
        <f>VLOOKUP(B496, [1]Course!$A$1:$O$933, 14, FALSE)</f>
        <v>SS</v>
      </c>
      <c r="P496">
        <v>1</v>
      </c>
    </row>
    <row r="497" spans="1:16" x14ac:dyDescent="0.25">
      <c r="A497">
        <v>496</v>
      </c>
      <c r="B497">
        <v>42</v>
      </c>
      <c r="C497">
        <v>65</v>
      </c>
      <c r="D497" t="s">
        <v>20</v>
      </c>
      <c r="E497" t="str">
        <f t="shared" si="7"/>
        <v>1265SS03PT</v>
      </c>
      <c r="F497">
        <f>VLOOKUP(B497,[1]Course!$A$2:$R$329,2,FALSE)</f>
        <v>0</v>
      </c>
      <c r="G497">
        <f>VLOOKUP(B497, [1]Course!$A$2:$L$950, 8, FALSE)</f>
        <v>12</v>
      </c>
      <c r="H497">
        <v>3</v>
      </c>
      <c r="I497">
        <v>1</v>
      </c>
      <c r="M497" t="str">
        <f>VLOOKUP(B497, [1]Course!$A$1:$O$933, 12, FALSE)</f>
        <v>SS</v>
      </c>
      <c r="N497" t="s">
        <v>14</v>
      </c>
      <c r="O497" t="str">
        <f>VLOOKUP(B497, [1]Course!$A$1:$O$933, 14, FALSE)</f>
        <v>SS</v>
      </c>
      <c r="P497">
        <v>1</v>
      </c>
    </row>
    <row r="498" spans="1:16" x14ac:dyDescent="0.25">
      <c r="A498">
        <v>497</v>
      </c>
      <c r="B498">
        <v>42</v>
      </c>
      <c r="C498">
        <v>66</v>
      </c>
      <c r="D498" t="s">
        <v>20</v>
      </c>
      <c r="E498" t="str">
        <f t="shared" si="7"/>
        <v>1266SS03PT</v>
      </c>
      <c r="F498">
        <f>VLOOKUP(B498,[1]Course!$A$2:$R$329,2,FALSE)</f>
        <v>0</v>
      </c>
      <c r="G498">
        <f>VLOOKUP(B498, [1]Course!$A$2:$L$950, 8, FALSE)</f>
        <v>12</v>
      </c>
      <c r="H498">
        <v>3</v>
      </c>
      <c r="I498">
        <v>1</v>
      </c>
      <c r="M498" t="str">
        <f>VLOOKUP(B498, [1]Course!$A$1:$O$933, 12, FALSE)</f>
        <v>SS</v>
      </c>
      <c r="N498" t="s">
        <v>14</v>
      </c>
      <c r="O498" t="str">
        <f>VLOOKUP(B498, [1]Course!$A$1:$O$933, 14, FALSE)</f>
        <v>SS</v>
      </c>
      <c r="P498">
        <v>1</v>
      </c>
    </row>
    <row r="499" spans="1:16" x14ac:dyDescent="0.25">
      <c r="A499">
        <v>498</v>
      </c>
      <c r="B499">
        <v>42</v>
      </c>
      <c r="C499">
        <v>67</v>
      </c>
      <c r="D499" t="s">
        <v>20</v>
      </c>
      <c r="E499" t="str">
        <f t="shared" si="7"/>
        <v>1267SS03PT</v>
      </c>
      <c r="F499">
        <f>VLOOKUP(B499,[1]Course!$A$2:$R$329,2,FALSE)</f>
        <v>0</v>
      </c>
      <c r="G499">
        <f>VLOOKUP(B499, [1]Course!$A$2:$L$950, 8, FALSE)</f>
        <v>12</v>
      </c>
      <c r="H499">
        <v>3</v>
      </c>
      <c r="I499">
        <v>1</v>
      </c>
      <c r="M499" t="str">
        <f>VLOOKUP(B499, [1]Course!$A$1:$O$933, 12, FALSE)</f>
        <v>SS</v>
      </c>
      <c r="N499" t="s">
        <v>14</v>
      </c>
      <c r="O499" t="str">
        <f>VLOOKUP(B499, [1]Course!$A$1:$O$933, 14, FALSE)</f>
        <v>SS</v>
      </c>
      <c r="P499">
        <v>1</v>
      </c>
    </row>
    <row r="500" spans="1:16" x14ac:dyDescent="0.25">
      <c r="A500">
        <v>499</v>
      </c>
      <c r="B500">
        <v>42</v>
      </c>
      <c r="C500">
        <v>68</v>
      </c>
      <c r="D500" t="s">
        <v>20</v>
      </c>
      <c r="E500" t="str">
        <f t="shared" si="7"/>
        <v>1268SS03PT</v>
      </c>
      <c r="F500">
        <f>VLOOKUP(B500,[1]Course!$A$2:$R$329,2,FALSE)</f>
        <v>0</v>
      </c>
      <c r="G500">
        <f>VLOOKUP(B500, [1]Course!$A$2:$L$950, 8, FALSE)</f>
        <v>12</v>
      </c>
      <c r="H500">
        <v>3</v>
      </c>
      <c r="I500">
        <v>1</v>
      </c>
      <c r="M500" t="str">
        <f>VLOOKUP(B500, [1]Course!$A$1:$O$933, 12, FALSE)</f>
        <v>SS</v>
      </c>
      <c r="N500" t="s">
        <v>14</v>
      </c>
      <c r="O500" t="str">
        <f>VLOOKUP(B500, [1]Course!$A$1:$O$933, 14, FALSE)</f>
        <v>SS</v>
      </c>
      <c r="P500">
        <v>1</v>
      </c>
    </row>
    <row r="501" spans="1:16" x14ac:dyDescent="0.25">
      <c r="A501">
        <v>500</v>
      </c>
      <c r="B501">
        <v>42</v>
      </c>
      <c r="C501">
        <v>69</v>
      </c>
      <c r="D501" t="s">
        <v>20</v>
      </c>
      <c r="E501" t="str">
        <f t="shared" si="7"/>
        <v>1269SS03PT</v>
      </c>
      <c r="F501">
        <f>VLOOKUP(B501,[1]Course!$A$2:$R$329,2,FALSE)</f>
        <v>0</v>
      </c>
      <c r="G501">
        <f>VLOOKUP(B501, [1]Course!$A$2:$L$950, 8, FALSE)</f>
        <v>12</v>
      </c>
      <c r="H501">
        <v>3</v>
      </c>
      <c r="I501">
        <v>1</v>
      </c>
      <c r="M501" t="str">
        <f>VLOOKUP(B501, [1]Course!$A$1:$O$933, 12, FALSE)</f>
        <v>SS</v>
      </c>
      <c r="N501" t="s">
        <v>14</v>
      </c>
      <c r="O501" t="str">
        <f>VLOOKUP(B501, [1]Course!$A$1:$O$933, 14, FALSE)</f>
        <v>SS</v>
      </c>
      <c r="P501">
        <v>1</v>
      </c>
    </row>
    <row r="502" spans="1:16" x14ac:dyDescent="0.25">
      <c r="A502">
        <v>501</v>
      </c>
      <c r="B502">
        <v>42</v>
      </c>
      <c r="C502">
        <v>70</v>
      </c>
      <c r="D502" t="s">
        <v>20</v>
      </c>
      <c r="E502" t="str">
        <f t="shared" si="7"/>
        <v>1270SS03PT</v>
      </c>
      <c r="F502">
        <f>VLOOKUP(B502,[1]Course!$A$2:$R$329,2,FALSE)</f>
        <v>0</v>
      </c>
      <c r="G502">
        <f>VLOOKUP(B502, [1]Course!$A$2:$L$950, 8, FALSE)</f>
        <v>12</v>
      </c>
      <c r="H502">
        <v>3</v>
      </c>
      <c r="I502">
        <v>1</v>
      </c>
      <c r="M502" t="str">
        <f>VLOOKUP(B502, [1]Course!$A$1:$O$933, 12, FALSE)</f>
        <v>SS</v>
      </c>
      <c r="N502" t="s">
        <v>14</v>
      </c>
      <c r="O502" t="str">
        <f>VLOOKUP(B502, [1]Course!$A$1:$O$933, 14, FALSE)</f>
        <v>SS</v>
      </c>
      <c r="P502">
        <v>1</v>
      </c>
    </row>
    <row r="503" spans="1:16" x14ac:dyDescent="0.25">
      <c r="A503">
        <v>502</v>
      </c>
      <c r="B503">
        <v>42</v>
      </c>
      <c r="C503">
        <v>71</v>
      </c>
      <c r="D503" t="s">
        <v>20</v>
      </c>
      <c r="E503" t="str">
        <f t="shared" si="7"/>
        <v>1271SS03PT</v>
      </c>
      <c r="F503">
        <f>VLOOKUP(B503,[1]Course!$A$2:$R$329,2,FALSE)</f>
        <v>0</v>
      </c>
      <c r="G503">
        <f>VLOOKUP(B503, [1]Course!$A$2:$L$950, 8, FALSE)</f>
        <v>12</v>
      </c>
      <c r="H503">
        <v>3</v>
      </c>
      <c r="I503">
        <v>1</v>
      </c>
      <c r="M503" t="str">
        <f>VLOOKUP(B503, [1]Course!$A$1:$O$933, 12, FALSE)</f>
        <v>SS</v>
      </c>
      <c r="N503" t="s">
        <v>14</v>
      </c>
      <c r="O503" t="str">
        <f>VLOOKUP(B503, [1]Course!$A$1:$O$933, 14, FALSE)</f>
        <v>SS</v>
      </c>
      <c r="P503">
        <v>1</v>
      </c>
    </row>
    <row r="504" spans="1:16" x14ac:dyDescent="0.25">
      <c r="A504">
        <v>503</v>
      </c>
      <c r="B504">
        <v>42</v>
      </c>
      <c r="C504">
        <v>72</v>
      </c>
      <c r="D504" t="s">
        <v>20</v>
      </c>
      <c r="E504" t="str">
        <f t="shared" si="7"/>
        <v>1272SS03PT</v>
      </c>
      <c r="F504">
        <f>VLOOKUP(B504,[1]Course!$A$2:$R$329,2,FALSE)</f>
        <v>0</v>
      </c>
      <c r="G504">
        <f>VLOOKUP(B504, [1]Course!$A$2:$L$950, 8, FALSE)</f>
        <v>12</v>
      </c>
      <c r="H504">
        <v>3</v>
      </c>
      <c r="I504">
        <v>1</v>
      </c>
      <c r="M504" t="str">
        <f>VLOOKUP(B504, [1]Course!$A$1:$O$933, 12, FALSE)</f>
        <v>SS</v>
      </c>
      <c r="N504" t="s">
        <v>14</v>
      </c>
      <c r="O504" t="str">
        <f>VLOOKUP(B504, [1]Course!$A$1:$O$933, 14, FALSE)</f>
        <v>SS</v>
      </c>
      <c r="P504">
        <v>1</v>
      </c>
    </row>
    <row r="505" spans="1:16" x14ac:dyDescent="0.25">
      <c r="A505">
        <v>504</v>
      </c>
      <c r="B505">
        <v>43</v>
      </c>
      <c r="C505">
        <v>61</v>
      </c>
      <c r="D505" t="s">
        <v>21</v>
      </c>
      <c r="E505" t="str">
        <f t="shared" si="7"/>
        <v>1261BR03PT</v>
      </c>
      <c r="F505">
        <f>VLOOKUP(B505,[1]Course!$A$2:$R$329,2,FALSE)</f>
        <v>0</v>
      </c>
      <c r="G505">
        <f>VLOOKUP(B505, [1]Course!$A$2:$L$950, 8, FALSE)</f>
        <v>12</v>
      </c>
      <c r="H505">
        <v>3</v>
      </c>
      <c r="I505">
        <v>1</v>
      </c>
      <c r="M505" t="str">
        <f>VLOOKUP(B505, [1]Course!$A$1:$O$933, 12, FALSE)</f>
        <v>BS</v>
      </c>
      <c r="N505" t="s">
        <v>14</v>
      </c>
      <c r="O505" t="str">
        <f>VLOOKUP(B505, [1]Course!$A$1:$O$933, 14, FALSE)</f>
        <v>BR</v>
      </c>
      <c r="P505">
        <v>1</v>
      </c>
    </row>
    <row r="506" spans="1:16" x14ac:dyDescent="0.25">
      <c r="A506">
        <v>505</v>
      </c>
      <c r="B506">
        <v>43</v>
      </c>
      <c r="C506">
        <v>62</v>
      </c>
      <c r="D506" t="s">
        <v>21</v>
      </c>
      <c r="E506" t="str">
        <f t="shared" si="7"/>
        <v>1262BR03PT</v>
      </c>
      <c r="F506">
        <f>VLOOKUP(B506,[1]Course!$A$2:$R$329,2,FALSE)</f>
        <v>0</v>
      </c>
      <c r="G506">
        <f>VLOOKUP(B506, [1]Course!$A$2:$L$950, 8, FALSE)</f>
        <v>12</v>
      </c>
      <c r="H506">
        <v>3</v>
      </c>
      <c r="I506">
        <v>1</v>
      </c>
      <c r="M506" t="str">
        <f>VLOOKUP(B506, [1]Course!$A$1:$O$933, 12, FALSE)</f>
        <v>BS</v>
      </c>
      <c r="N506" t="s">
        <v>14</v>
      </c>
      <c r="O506" t="str">
        <f>VLOOKUP(B506, [1]Course!$A$1:$O$933, 14, FALSE)</f>
        <v>BR</v>
      </c>
      <c r="P506">
        <v>1</v>
      </c>
    </row>
    <row r="507" spans="1:16" x14ac:dyDescent="0.25">
      <c r="A507">
        <v>506</v>
      </c>
      <c r="B507">
        <v>43</v>
      </c>
      <c r="C507">
        <v>63</v>
      </c>
      <c r="D507" t="s">
        <v>21</v>
      </c>
      <c r="E507" t="str">
        <f t="shared" si="7"/>
        <v>1263BR03PT</v>
      </c>
      <c r="F507">
        <f>VLOOKUP(B507,[1]Course!$A$2:$R$329,2,FALSE)</f>
        <v>0</v>
      </c>
      <c r="G507">
        <f>VLOOKUP(B507, [1]Course!$A$2:$L$950, 8, FALSE)</f>
        <v>12</v>
      </c>
      <c r="H507">
        <v>3</v>
      </c>
      <c r="I507">
        <v>1</v>
      </c>
      <c r="M507" t="str">
        <f>VLOOKUP(B507, [1]Course!$A$1:$O$933, 12, FALSE)</f>
        <v>BS</v>
      </c>
      <c r="N507" t="s">
        <v>14</v>
      </c>
      <c r="O507" t="str">
        <f>VLOOKUP(B507, [1]Course!$A$1:$O$933, 14, FALSE)</f>
        <v>BR</v>
      </c>
      <c r="P507">
        <v>1</v>
      </c>
    </row>
    <row r="508" spans="1:16" x14ac:dyDescent="0.25">
      <c r="A508">
        <v>507</v>
      </c>
      <c r="B508">
        <v>43</v>
      </c>
      <c r="C508">
        <v>64</v>
      </c>
      <c r="D508" t="s">
        <v>21</v>
      </c>
      <c r="E508" t="str">
        <f t="shared" si="7"/>
        <v>1264BR03PT</v>
      </c>
      <c r="F508">
        <f>VLOOKUP(B508,[1]Course!$A$2:$R$329,2,FALSE)</f>
        <v>0</v>
      </c>
      <c r="G508">
        <f>VLOOKUP(B508, [1]Course!$A$2:$L$950, 8, FALSE)</f>
        <v>12</v>
      </c>
      <c r="H508">
        <v>3</v>
      </c>
      <c r="I508">
        <v>1</v>
      </c>
      <c r="M508" t="str">
        <f>VLOOKUP(B508, [1]Course!$A$1:$O$933, 12, FALSE)</f>
        <v>BS</v>
      </c>
      <c r="N508" t="s">
        <v>14</v>
      </c>
      <c r="O508" t="str">
        <f>VLOOKUP(B508, [1]Course!$A$1:$O$933, 14, FALSE)</f>
        <v>BR</v>
      </c>
      <c r="P508">
        <v>1</v>
      </c>
    </row>
    <row r="509" spans="1:16" x14ac:dyDescent="0.25">
      <c r="A509">
        <v>508</v>
      </c>
      <c r="B509">
        <v>43</v>
      </c>
      <c r="C509">
        <v>65</v>
      </c>
      <c r="D509" t="s">
        <v>21</v>
      </c>
      <c r="E509" t="str">
        <f t="shared" si="7"/>
        <v>1265BR03PT</v>
      </c>
      <c r="F509">
        <f>VLOOKUP(B509,[1]Course!$A$2:$R$329,2,FALSE)</f>
        <v>0</v>
      </c>
      <c r="G509">
        <f>VLOOKUP(B509, [1]Course!$A$2:$L$950, 8, FALSE)</f>
        <v>12</v>
      </c>
      <c r="H509">
        <v>3</v>
      </c>
      <c r="I509">
        <v>1</v>
      </c>
      <c r="M509" t="str">
        <f>VLOOKUP(B509, [1]Course!$A$1:$O$933, 12, FALSE)</f>
        <v>BS</v>
      </c>
      <c r="N509" t="s">
        <v>14</v>
      </c>
      <c r="O509" t="str">
        <f>VLOOKUP(B509, [1]Course!$A$1:$O$933, 14, FALSE)</f>
        <v>BR</v>
      </c>
      <c r="P509">
        <v>1</v>
      </c>
    </row>
    <row r="510" spans="1:16" x14ac:dyDescent="0.25">
      <c r="A510">
        <v>509</v>
      </c>
      <c r="B510">
        <v>43</v>
      </c>
      <c r="C510">
        <v>66</v>
      </c>
      <c r="D510" t="s">
        <v>21</v>
      </c>
      <c r="E510" t="str">
        <f t="shared" si="7"/>
        <v>1266BR03PT</v>
      </c>
      <c r="F510">
        <f>VLOOKUP(B510,[1]Course!$A$2:$R$329,2,FALSE)</f>
        <v>0</v>
      </c>
      <c r="G510">
        <f>VLOOKUP(B510, [1]Course!$A$2:$L$950, 8, FALSE)</f>
        <v>12</v>
      </c>
      <c r="H510">
        <v>3</v>
      </c>
      <c r="I510">
        <v>1</v>
      </c>
      <c r="M510" t="str">
        <f>VLOOKUP(B510, [1]Course!$A$1:$O$933, 12, FALSE)</f>
        <v>BS</v>
      </c>
      <c r="N510" t="s">
        <v>14</v>
      </c>
      <c r="O510" t="str">
        <f>VLOOKUP(B510, [1]Course!$A$1:$O$933, 14, FALSE)</f>
        <v>BR</v>
      </c>
      <c r="P510">
        <v>1</v>
      </c>
    </row>
    <row r="511" spans="1:16" x14ac:dyDescent="0.25">
      <c r="A511">
        <v>510</v>
      </c>
      <c r="B511">
        <v>43</v>
      </c>
      <c r="C511">
        <v>67</v>
      </c>
      <c r="D511" t="s">
        <v>21</v>
      </c>
      <c r="E511" t="str">
        <f t="shared" si="7"/>
        <v>1267BR03PT</v>
      </c>
      <c r="F511">
        <f>VLOOKUP(B511,[1]Course!$A$2:$R$329,2,FALSE)</f>
        <v>0</v>
      </c>
      <c r="G511">
        <f>VLOOKUP(B511, [1]Course!$A$2:$L$950, 8, FALSE)</f>
        <v>12</v>
      </c>
      <c r="H511">
        <v>3</v>
      </c>
      <c r="I511">
        <v>1</v>
      </c>
      <c r="M511" t="str">
        <f>VLOOKUP(B511, [1]Course!$A$1:$O$933, 12, FALSE)</f>
        <v>BS</v>
      </c>
      <c r="N511" t="s">
        <v>14</v>
      </c>
      <c r="O511" t="str">
        <f>VLOOKUP(B511, [1]Course!$A$1:$O$933, 14, FALSE)</f>
        <v>BR</v>
      </c>
      <c r="P511">
        <v>1</v>
      </c>
    </row>
    <row r="512" spans="1:16" x14ac:dyDescent="0.25">
      <c r="A512">
        <v>511</v>
      </c>
      <c r="B512">
        <v>43</v>
      </c>
      <c r="C512">
        <v>68</v>
      </c>
      <c r="D512" t="s">
        <v>21</v>
      </c>
      <c r="E512" t="str">
        <f t="shared" si="7"/>
        <v>1268BR03PT</v>
      </c>
      <c r="F512">
        <f>VLOOKUP(B512,[1]Course!$A$2:$R$329,2,FALSE)</f>
        <v>0</v>
      </c>
      <c r="G512">
        <f>VLOOKUP(B512, [1]Course!$A$2:$L$950, 8, FALSE)</f>
        <v>12</v>
      </c>
      <c r="H512">
        <v>3</v>
      </c>
      <c r="I512">
        <v>1</v>
      </c>
      <c r="M512" t="str">
        <f>VLOOKUP(B512, [1]Course!$A$1:$O$933, 12, FALSE)</f>
        <v>BS</v>
      </c>
      <c r="N512" t="s">
        <v>14</v>
      </c>
      <c r="O512" t="str">
        <f>VLOOKUP(B512, [1]Course!$A$1:$O$933, 14, FALSE)</f>
        <v>BR</v>
      </c>
      <c r="P512">
        <v>1</v>
      </c>
    </row>
    <row r="513" spans="1:16" x14ac:dyDescent="0.25">
      <c r="A513">
        <v>512</v>
      </c>
      <c r="B513">
        <v>43</v>
      </c>
      <c r="C513">
        <v>69</v>
      </c>
      <c r="D513" t="s">
        <v>21</v>
      </c>
      <c r="E513" t="str">
        <f t="shared" si="7"/>
        <v>1269BR03PT</v>
      </c>
      <c r="F513">
        <f>VLOOKUP(B513,[1]Course!$A$2:$R$329,2,FALSE)</f>
        <v>0</v>
      </c>
      <c r="G513">
        <f>VLOOKUP(B513, [1]Course!$A$2:$L$950, 8, FALSE)</f>
        <v>12</v>
      </c>
      <c r="H513">
        <v>3</v>
      </c>
      <c r="I513">
        <v>1</v>
      </c>
      <c r="M513" t="str">
        <f>VLOOKUP(B513, [1]Course!$A$1:$O$933, 12, FALSE)</f>
        <v>BS</v>
      </c>
      <c r="N513" t="s">
        <v>14</v>
      </c>
      <c r="O513" t="str">
        <f>VLOOKUP(B513, [1]Course!$A$1:$O$933, 14, FALSE)</f>
        <v>BR</v>
      </c>
      <c r="P513">
        <v>1</v>
      </c>
    </row>
    <row r="514" spans="1:16" x14ac:dyDescent="0.25">
      <c r="A514">
        <v>513</v>
      </c>
      <c r="B514">
        <v>43</v>
      </c>
      <c r="C514">
        <v>70</v>
      </c>
      <c r="D514" t="s">
        <v>21</v>
      </c>
      <c r="E514" t="str">
        <f t="shared" si="7"/>
        <v>1270BR03PT</v>
      </c>
      <c r="F514">
        <f>VLOOKUP(B514,[1]Course!$A$2:$R$329,2,FALSE)</f>
        <v>0</v>
      </c>
      <c r="G514">
        <f>VLOOKUP(B514, [1]Course!$A$2:$L$950, 8, FALSE)</f>
        <v>12</v>
      </c>
      <c r="H514">
        <v>3</v>
      </c>
      <c r="I514">
        <v>1</v>
      </c>
      <c r="M514" t="str">
        <f>VLOOKUP(B514, [1]Course!$A$1:$O$933, 12, FALSE)</f>
        <v>BS</v>
      </c>
      <c r="N514" t="s">
        <v>14</v>
      </c>
      <c r="O514" t="str">
        <f>VLOOKUP(B514, [1]Course!$A$1:$O$933, 14, FALSE)</f>
        <v>BR</v>
      </c>
      <c r="P514">
        <v>1</v>
      </c>
    </row>
    <row r="515" spans="1:16" x14ac:dyDescent="0.25">
      <c r="A515">
        <v>514</v>
      </c>
      <c r="B515">
        <v>43</v>
      </c>
      <c r="C515">
        <v>71</v>
      </c>
      <c r="D515" t="s">
        <v>21</v>
      </c>
      <c r="E515" t="str">
        <f t="shared" ref="E515:E578" si="8">UPPER(LEFT(G515,2)) &amp; RIGHT("0" &amp; C515, 2) &amp; D515 &amp; RIGHT("0" &amp; H515, 2) &amp; N515</f>
        <v>1271BR03PT</v>
      </c>
      <c r="F515">
        <f>VLOOKUP(B515,[1]Course!$A$2:$R$329,2,FALSE)</f>
        <v>0</v>
      </c>
      <c r="G515">
        <f>VLOOKUP(B515, [1]Course!$A$2:$L$950, 8, FALSE)</f>
        <v>12</v>
      </c>
      <c r="H515">
        <v>3</v>
      </c>
      <c r="I515">
        <v>1</v>
      </c>
      <c r="M515" t="str">
        <f>VLOOKUP(B515, [1]Course!$A$1:$O$933, 12, FALSE)</f>
        <v>BS</v>
      </c>
      <c r="N515" t="s">
        <v>14</v>
      </c>
      <c r="O515" t="str">
        <f>VLOOKUP(B515, [1]Course!$A$1:$O$933, 14, FALSE)</f>
        <v>BR</v>
      </c>
      <c r="P515">
        <v>1</v>
      </c>
    </row>
    <row r="516" spans="1:16" x14ac:dyDescent="0.25">
      <c r="A516">
        <v>515</v>
      </c>
      <c r="B516">
        <v>43</v>
      </c>
      <c r="C516">
        <v>72</v>
      </c>
      <c r="D516" t="s">
        <v>21</v>
      </c>
      <c r="E516" t="str">
        <f t="shared" si="8"/>
        <v>1272BR03PT</v>
      </c>
      <c r="F516">
        <f>VLOOKUP(B516,[1]Course!$A$2:$R$329,2,FALSE)</f>
        <v>0</v>
      </c>
      <c r="G516">
        <f>VLOOKUP(B516, [1]Course!$A$2:$L$950, 8, FALSE)</f>
        <v>12</v>
      </c>
      <c r="H516">
        <v>3</v>
      </c>
      <c r="I516">
        <v>1</v>
      </c>
      <c r="M516" t="str">
        <f>VLOOKUP(B516, [1]Course!$A$1:$O$933, 12, FALSE)</f>
        <v>BS</v>
      </c>
      <c r="N516" t="s">
        <v>14</v>
      </c>
      <c r="O516" t="str">
        <f>VLOOKUP(B516, [1]Course!$A$1:$O$933, 14, FALSE)</f>
        <v>BR</v>
      </c>
      <c r="P516">
        <v>1</v>
      </c>
    </row>
    <row r="517" spans="1:16" x14ac:dyDescent="0.25">
      <c r="A517">
        <v>516</v>
      </c>
      <c r="B517">
        <v>44</v>
      </c>
      <c r="C517">
        <v>73</v>
      </c>
      <c r="D517" t="s">
        <v>15</v>
      </c>
      <c r="E517" t="str">
        <f t="shared" si="8"/>
        <v>1273MA03PT</v>
      </c>
      <c r="F517">
        <f>VLOOKUP(B517,[1]Course!$A$2:$R$329,2,FALSE)</f>
        <v>0</v>
      </c>
      <c r="G517">
        <f>VLOOKUP(B517, [1]Course!$A$2:$L$950, 8, FALSE)</f>
        <v>12</v>
      </c>
      <c r="H517">
        <v>3</v>
      </c>
      <c r="I517">
        <v>1</v>
      </c>
      <c r="J517">
        <v>2011</v>
      </c>
      <c r="K517">
        <v>2013</v>
      </c>
      <c r="L517">
        <v>1</v>
      </c>
      <c r="M517" t="str">
        <f>VLOOKUP(B517, [1]Course!$A$1:$O$933, 12, FALSE)</f>
        <v>MA</v>
      </c>
      <c r="N517" t="s">
        <v>14</v>
      </c>
      <c r="O517" t="str">
        <f>VLOOKUP(B517, [1]Course!$A$1:$O$933, 14, FALSE)</f>
        <v>MA</v>
      </c>
      <c r="P517">
        <v>1</v>
      </c>
    </row>
    <row r="518" spans="1:16" x14ac:dyDescent="0.25">
      <c r="A518">
        <v>517</v>
      </c>
      <c r="B518">
        <v>44</v>
      </c>
      <c r="C518">
        <v>74</v>
      </c>
      <c r="D518" t="s">
        <v>15</v>
      </c>
      <c r="E518" t="str">
        <f t="shared" si="8"/>
        <v>1274MA03PT</v>
      </c>
      <c r="F518">
        <f>VLOOKUP(B518,[1]Course!$A$2:$R$329,2,FALSE)</f>
        <v>0</v>
      </c>
      <c r="G518">
        <f>VLOOKUP(B518, [1]Course!$A$2:$L$950, 8, FALSE)</f>
        <v>12</v>
      </c>
      <c r="H518">
        <v>3</v>
      </c>
      <c r="I518">
        <v>1</v>
      </c>
      <c r="J518">
        <v>2011</v>
      </c>
      <c r="K518">
        <v>2018</v>
      </c>
      <c r="L518">
        <v>1</v>
      </c>
      <c r="M518" t="str">
        <f>VLOOKUP(B518, [1]Course!$A$1:$O$933, 12, FALSE)</f>
        <v>MA</v>
      </c>
      <c r="N518" t="s">
        <v>14</v>
      </c>
      <c r="O518" t="str">
        <f>VLOOKUP(B518, [1]Course!$A$1:$O$933, 14, FALSE)</f>
        <v>MA</v>
      </c>
      <c r="P518">
        <v>1</v>
      </c>
    </row>
    <row r="519" spans="1:16" x14ac:dyDescent="0.25">
      <c r="A519">
        <v>518</v>
      </c>
      <c r="B519">
        <v>44</v>
      </c>
      <c r="C519">
        <v>75</v>
      </c>
      <c r="D519" t="s">
        <v>15</v>
      </c>
      <c r="E519" t="str">
        <f t="shared" si="8"/>
        <v>1275MA03PT</v>
      </c>
      <c r="F519">
        <f>VLOOKUP(B519,[1]Course!$A$2:$R$329,2,FALSE)</f>
        <v>0</v>
      </c>
      <c r="G519">
        <f>VLOOKUP(B519, [1]Course!$A$2:$L$950, 8, FALSE)</f>
        <v>12</v>
      </c>
      <c r="H519">
        <v>3</v>
      </c>
      <c r="I519">
        <v>1</v>
      </c>
      <c r="J519">
        <v>2011</v>
      </c>
      <c r="K519">
        <v>2013</v>
      </c>
      <c r="L519">
        <v>1</v>
      </c>
      <c r="M519" t="str">
        <f>VLOOKUP(B519, [1]Course!$A$1:$O$933, 12, FALSE)</f>
        <v>MA</v>
      </c>
      <c r="N519" t="s">
        <v>14</v>
      </c>
      <c r="O519" t="str">
        <f>VLOOKUP(B519, [1]Course!$A$1:$O$933, 14, FALSE)</f>
        <v>MA</v>
      </c>
      <c r="P519">
        <v>1</v>
      </c>
    </row>
    <row r="520" spans="1:16" x14ac:dyDescent="0.25">
      <c r="A520">
        <v>519</v>
      </c>
      <c r="B520">
        <v>44</v>
      </c>
      <c r="C520">
        <v>76</v>
      </c>
      <c r="D520" t="s">
        <v>15</v>
      </c>
      <c r="E520" t="str">
        <f t="shared" si="8"/>
        <v>1276MA03PT</v>
      </c>
      <c r="F520">
        <f>VLOOKUP(B520,[1]Course!$A$2:$R$329,2,FALSE)</f>
        <v>0</v>
      </c>
      <c r="G520">
        <f>VLOOKUP(B520, [1]Course!$A$2:$L$950, 8, FALSE)</f>
        <v>12</v>
      </c>
      <c r="H520">
        <v>3</v>
      </c>
      <c r="I520">
        <v>1</v>
      </c>
      <c r="J520">
        <v>2011</v>
      </c>
      <c r="K520">
        <v>2018</v>
      </c>
      <c r="L520">
        <v>1</v>
      </c>
      <c r="M520" t="str">
        <f>VLOOKUP(B520, [1]Course!$A$1:$O$933, 12, FALSE)</f>
        <v>MA</v>
      </c>
      <c r="N520" t="s">
        <v>14</v>
      </c>
      <c r="O520" t="str">
        <f>VLOOKUP(B520, [1]Course!$A$1:$O$933, 14, FALSE)</f>
        <v>MA</v>
      </c>
      <c r="P520">
        <v>1</v>
      </c>
    </row>
    <row r="521" spans="1:16" x14ac:dyDescent="0.25">
      <c r="A521">
        <v>520</v>
      </c>
      <c r="B521">
        <v>44</v>
      </c>
      <c r="C521">
        <v>77</v>
      </c>
      <c r="D521" t="s">
        <v>15</v>
      </c>
      <c r="E521" t="str">
        <f t="shared" si="8"/>
        <v>1277MA03PT</v>
      </c>
      <c r="F521">
        <f>VLOOKUP(B521,[1]Course!$A$2:$R$329,2,FALSE)</f>
        <v>0</v>
      </c>
      <c r="G521">
        <f>VLOOKUP(B521, [1]Course!$A$2:$L$950, 8, FALSE)</f>
        <v>12</v>
      </c>
      <c r="H521">
        <v>3</v>
      </c>
      <c r="I521">
        <v>1</v>
      </c>
      <c r="J521">
        <v>2011</v>
      </c>
      <c r="K521">
        <v>2015</v>
      </c>
      <c r="L521">
        <v>1</v>
      </c>
      <c r="M521" t="str">
        <f>VLOOKUP(B521, [1]Course!$A$1:$O$933, 12, FALSE)</f>
        <v>MA</v>
      </c>
      <c r="N521" t="s">
        <v>14</v>
      </c>
      <c r="O521" t="str">
        <f>VLOOKUP(B521, [1]Course!$A$1:$O$933, 14, FALSE)</f>
        <v>MA</v>
      </c>
      <c r="P521">
        <v>1</v>
      </c>
    </row>
    <row r="522" spans="1:16" x14ac:dyDescent="0.25">
      <c r="A522">
        <v>521</v>
      </c>
      <c r="B522">
        <v>44</v>
      </c>
      <c r="C522">
        <v>78</v>
      </c>
      <c r="D522" t="s">
        <v>15</v>
      </c>
      <c r="E522" t="str">
        <f t="shared" si="8"/>
        <v>1278MA03PT</v>
      </c>
      <c r="F522">
        <f>VLOOKUP(B522,[1]Course!$A$2:$R$329,2,FALSE)</f>
        <v>0</v>
      </c>
      <c r="G522">
        <f>VLOOKUP(B522, [1]Course!$A$2:$L$950, 8, FALSE)</f>
        <v>12</v>
      </c>
      <c r="H522">
        <v>3</v>
      </c>
      <c r="I522">
        <v>1</v>
      </c>
      <c r="J522">
        <v>2011</v>
      </c>
      <c r="K522">
        <v>2020</v>
      </c>
      <c r="L522">
        <v>1</v>
      </c>
      <c r="M522" t="str">
        <f>VLOOKUP(B522, [1]Course!$A$1:$O$933, 12, FALSE)</f>
        <v>MA</v>
      </c>
      <c r="N522" t="s">
        <v>14</v>
      </c>
      <c r="O522" t="str">
        <f>VLOOKUP(B522, [1]Course!$A$1:$O$933, 14, FALSE)</f>
        <v>MA</v>
      </c>
      <c r="P522">
        <v>1</v>
      </c>
    </row>
    <row r="523" spans="1:16" x14ac:dyDescent="0.25">
      <c r="A523">
        <v>522</v>
      </c>
      <c r="B523">
        <v>44</v>
      </c>
      <c r="C523">
        <v>79</v>
      </c>
      <c r="D523" t="s">
        <v>15</v>
      </c>
      <c r="E523" t="str">
        <f t="shared" si="8"/>
        <v>1279MA03PT</v>
      </c>
      <c r="F523">
        <f>VLOOKUP(B523,[1]Course!$A$2:$R$329,2,FALSE)</f>
        <v>0</v>
      </c>
      <c r="G523">
        <f>VLOOKUP(B523, [1]Course!$A$2:$L$950, 8, FALSE)</f>
        <v>12</v>
      </c>
      <c r="H523">
        <v>3</v>
      </c>
      <c r="I523">
        <v>1</v>
      </c>
      <c r="J523">
        <v>2011</v>
      </c>
      <c r="K523" t="s">
        <v>92</v>
      </c>
      <c r="L523">
        <v>1</v>
      </c>
      <c r="M523" t="str">
        <f>VLOOKUP(B523, [1]Course!$A$1:$O$933, 12, FALSE)</f>
        <v>MA</v>
      </c>
      <c r="N523" t="s">
        <v>14</v>
      </c>
      <c r="O523" t="str">
        <f>VLOOKUP(B523, [1]Course!$A$1:$O$933, 14, FALSE)</f>
        <v>MA</v>
      </c>
      <c r="P523">
        <v>1</v>
      </c>
    </row>
    <row r="524" spans="1:16" x14ac:dyDescent="0.25">
      <c r="A524">
        <v>523</v>
      </c>
      <c r="B524">
        <v>44</v>
      </c>
      <c r="C524">
        <v>80</v>
      </c>
      <c r="D524" t="s">
        <v>15</v>
      </c>
      <c r="E524" t="str">
        <f t="shared" si="8"/>
        <v>1280MA03PT</v>
      </c>
      <c r="F524">
        <f>VLOOKUP(B524,[1]Course!$A$2:$R$329,2,FALSE)</f>
        <v>0</v>
      </c>
      <c r="G524">
        <f>VLOOKUP(B524, [1]Course!$A$2:$L$950, 8, FALSE)</f>
        <v>12</v>
      </c>
      <c r="H524">
        <v>3</v>
      </c>
      <c r="I524">
        <v>1</v>
      </c>
      <c r="J524">
        <v>2011</v>
      </c>
      <c r="K524">
        <v>2013</v>
      </c>
      <c r="L524">
        <v>1</v>
      </c>
      <c r="M524" t="str">
        <f>VLOOKUP(B524, [1]Course!$A$1:$O$933, 12, FALSE)</f>
        <v>MA</v>
      </c>
      <c r="N524" t="s">
        <v>14</v>
      </c>
      <c r="O524" t="str">
        <f>VLOOKUP(B524, [1]Course!$A$1:$O$933, 14, FALSE)</f>
        <v>MA</v>
      </c>
      <c r="P524">
        <v>1</v>
      </c>
    </row>
    <row r="525" spans="1:16" x14ac:dyDescent="0.25">
      <c r="A525">
        <v>524</v>
      </c>
      <c r="B525">
        <v>44</v>
      </c>
      <c r="C525">
        <v>81</v>
      </c>
      <c r="D525" t="s">
        <v>15</v>
      </c>
      <c r="E525" t="str">
        <f t="shared" si="8"/>
        <v>1281MA03PT</v>
      </c>
      <c r="F525">
        <f>VLOOKUP(B525,[1]Course!$A$2:$R$329,2,FALSE)</f>
        <v>0</v>
      </c>
      <c r="G525">
        <f>VLOOKUP(B525, [1]Course!$A$2:$L$950, 8, FALSE)</f>
        <v>12</v>
      </c>
      <c r="H525">
        <v>3</v>
      </c>
      <c r="I525">
        <v>1</v>
      </c>
      <c r="J525">
        <v>2011</v>
      </c>
      <c r="K525">
        <v>2016</v>
      </c>
      <c r="L525">
        <v>1</v>
      </c>
      <c r="M525" t="str">
        <f>VLOOKUP(B525, [1]Course!$A$1:$O$933, 12, FALSE)</f>
        <v>MA</v>
      </c>
      <c r="N525" t="s">
        <v>14</v>
      </c>
      <c r="O525" t="str">
        <f>VLOOKUP(B525, [1]Course!$A$1:$O$933, 14, FALSE)</f>
        <v>MA</v>
      </c>
      <c r="P525">
        <v>1</v>
      </c>
    </row>
    <row r="526" spans="1:16" x14ac:dyDescent="0.25">
      <c r="A526">
        <v>525</v>
      </c>
      <c r="B526">
        <v>44</v>
      </c>
      <c r="C526">
        <v>82</v>
      </c>
      <c r="D526" t="s">
        <v>15</v>
      </c>
      <c r="E526" t="str">
        <f t="shared" si="8"/>
        <v>1282MA03PT</v>
      </c>
      <c r="F526">
        <f>VLOOKUP(B526,[1]Course!$A$2:$R$329,2,FALSE)</f>
        <v>0</v>
      </c>
      <c r="G526">
        <f>VLOOKUP(B526, [1]Course!$A$2:$L$950, 8, FALSE)</f>
        <v>12</v>
      </c>
      <c r="H526">
        <v>3</v>
      </c>
      <c r="I526">
        <v>1</v>
      </c>
      <c r="J526">
        <v>2011</v>
      </c>
      <c r="K526">
        <v>2016</v>
      </c>
      <c r="L526">
        <v>1</v>
      </c>
      <c r="M526" t="str">
        <f>VLOOKUP(B526, [1]Course!$A$1:$O$933, 12, FALSE)</f>
        <v>MA</v>
      </c>
      <c r="N526" t="s">
        <v>14</v>
      </c>
      <c r="O526" t="str">
        <f>VLOOKUP(B526, [1]Course!$A$1:$O$933, 14, FALSE)</f>
        <v>MA</v>
      </c>
      <c r="P526">
        <v>1</v>
      </c>
    </row>
    <row r="527" spans="1:16" x14ac:dyDescent="0.25">
      <c r="A527">
        <v>526</v>
      </c>
      <c r="B527">
        <v>44</v>
      </c>
      <c r="C527">
        <v>83</v>
      </c>
      <c r="D527" t="s">
        <v>15</v>
      </c>
      <c r="E527" t="str">
        <f t="shared" si="8"/>
        <v>1283MA03PT</v>
      </c>
      <c r="F527">
        <f>VLOOKUP(B527,[1]Course!$A$2:$R$329,2,FALSE)</f>
        <v>0</v>
      </c>
      <c r="G527">
        <f>VLOOKUP(B527, [1]Course!$A$2:$L$950, 8, FALSE)</f>
        <v>12</v>
      </c>
      <c r="H527">
        <v>3</v>
      </c>
      <c r="I527">
        <v>1</v>
      </c>
      <c r="M527" t="str">
        <f>VLOOKUP(B527, [1]Course!$A$1:$O$933, 12, FALSE)</f>
        <v>MA</v>
      </c>
      <c r="N527" t="s">
        <v>14</v>
      </c>
      <c r="O527" t="str">
        <f>VLOOKUP(B527, [1]Course!$A$1:$O$933, 14, FALSE)</f>
        <v>MA</v>
      </c>
      <c r="P527">
        <v>1</v>
      </c>
    </row>
    <row r="528" spans="1:16" x14ac:dyDescent="0.25">
      <c r="A528">
        <v>527</v>
      </c>
      <c r="B528">
        <v>44</v>
      </c>
      <c r="C528">
        <v>84</v>
      </c>
      <c r="D528" t="s">
        <v>15</v>
      </c>
      <c r="E528" t="str">
        <f t="shared" si="8"/>
        <v>1284MA03PT</v>
      </c>
      <c r="F528">
        <f>VLOOKUP(B528,[1]Course!$A$2:$R$329,2,FALSE)</f>
        <v>0</v>
      </c>
      <c r="G528">
        <f>VLOOKUP(B528, [1]Course!$A$2:$L$950, 8, FALSE)</f>
        <v>12</v>
      </c>
      <c r="H528">
        <v>3</v>
      </c>
      <c r="I528">
        <v>1</v>
      </c>
      <c r="M528" t="str">
        <f>VLOOKUP(B528, [1]Course!$A$1:$O$933, 12, FALSE)</f>
        <v>MA</v>
      </c>
      <c r="N528" t="s">
        <v>14</v>
      </c>
      <c r="O528" t="str">
        <f>VLOOKUP(B528, [1]Course!$A$1:$O$933, 14, FALSE)</f>
        <v>MA</v>
      </c>
      <c r="P528">
        <v>1</v>
      </c>
    </row>
    <row r="529" spans="1:16" x14ac:dyDescent="0.25">
      <c r="A529">
        <v>528</v>
      </c>
      <c r="B529">
        <v>45</v>
      </c>
      <c r="C529">
        <v>73</v>
      </c>
      <c r="D529" t="s">
        <v>16</v>
      </c>
      <c r="E529" t="str">
        <f t="shared" si="8"/>
        <v>1273EN03PT</v>
      </c>
      <c r="F529">
        <f>VLOOKUP(B529,[1]Course!$A$2:$R$329,2,FALSE)</f>
        <v>0</v>
      </c>
      <c r="G529">
        <f>VLOOKUP(B529, [1]Course!$A$2:$L$950, 8, FALSE)</f>
        <v>12</v>
      </c>
      <c r="H529">
        <v>3</v>
      </c>
      <c r="I529">
        <v>1</v>
      </c>
      <c r="J529">
        <v>1983</v>
      </c>
      <c r="K529">
        <v>2013</v>
      </c>
      <c r="L529">
        <v>1</v>
      </c>
      <c r="M529" t="str">
        <f>VLOOKUP(B529, [1]Course!$A$1:$O$933, 12, FALSE)</f>
        <v>LA</v>
      </c>
      <c r="N529" t="s">
        <v>14</v>
      </c>
      <c r="O529" t="str">
        <f>VLOOKUP(B529, [1]Course!$A$1:$O$933, 14, FALSE)</f>
        <v>EN</v>
      </c>
      <c r="P529">
        <v>1</v>
      </c>
    </row>
    <row r="530" spans="1:16" x14ac:dyDescent="0.25">
      <c r="A530">
        <v>529</v>
      </c>
      <c r="B530">
        <v>45</v>
      </c>
      <c r="C530">
        <v>74</v>
      </c>
      <c r="D530" t="s">
        <v>16</v>
      </c>
      <c r="E530" t="str">
        <f t="shared" si="8"/>
        <v>1274EN03PT</v>
      </c>
      <c r="F530">
        <f>VLOOKUP(B530,[1]Course!$A$2:$R$329,2,FALSE)</f>
        <v>0</v>
      </c>
      <c r="G530">
        <f>VLOOKUP(B530, [1]Course!$A$2:$L$950, 8, FALSE)</f>
        <v>12</v>
      </c>
      <c r="H530">
        <v>3</v>
      </c>
      <c r="I530">
        <v>1</v>
      </c>
      <c r="J530">
        <v>1983</v>
      </c>
      <c r="K530">
        <v>1996</v>
      </c>
      <c r="L530">
        <v>1</v>
      </c>
      <c r="M530" t="str">
        <f>VLOOKUP(B530, [1]Course!$A$1:$O$933, 12, FALSE)</f>
        <v>LA</v>
      </c>
      <c r="N530" t="s">
        <v>14</v>
      </c>
      <c r="O530" t="str">
        <f>VLOOKUP(B530, [1]Course!$A$1:$O$933, 14, FALSE)</f>
        <v>EN</v>
      </c>
      <c r="P530">
        <v>1</v>
      </c>
    </row>
    <row r="531" spans="1:16" x14ac:dyDescent="0.25">
      <c r="A531">
        <v>530</v>
      </c>
      <c r="B531">
        <v>45</v>
      </c>
      <c r="C531">
        <v>75</v>
      </c>
      <c r="D531" t="s">
        <v>16</v>
      </c>
      <c r="E531" t="str">
        <f t="shared" si="8"/>
        <v>1275EN03PT</v>
      </c>
      <c r="F531">
        <f>VLOOKUP(B531,[1]Course!$A$2:$R$329,2,FALSE)</f>
        <v>0</v>
      </c>
      <c r="G531">
        <f>VLOOKUP(B531, [1]Course!$A$2:$L$950, 8, FALSE)</f>
        <v>12</v>
      </c>
      <c r="H531">
        <v>3</v>
      </c>
      <c r="I531">
        <v>1</v>
      </c>
      <c r="J531">
        <v>1983</v>
      </c>
      <c r="K531">
        <v>2006</v>
      </c>
      <c r="L531">
        <v>1</v>
      </c>
      <c r="M531" t="str">
        <f>VLOOKUP(B531, [1]Course!$A$1:$O$933, 12, FALSE)</f>
        <v>LA</v>
      </c>
      <c r="N531" t="s">
        <v>14</v>
      </c>
      <c r="O531" t="str">
        <f>VLOOKUP(B531, [1]Course!$A$1:$O$933, 14, FALSE)</f>
        <v>EN</v>
      </c>
      <c r="P531">
        <v>1</v>
      </c>
    </row>
    <row r="532" spans="1:16" x14ac:dyDescent="0.25">
      <c r="A532">
        <v>531</v>
      </c>
      <c r="B532">
        <v>45</v>
      </c>
      <c r="C532">
        <v>76</v>
      </c>
      <c r="D532" t="s">
        <v>16</v>
      </c>
      <c r="E532" t="str">
        <f t="shared" si="8"/>
        <v>1276EN03PT</v>
      </c>
      <c r="F532">
        <f>VLOOKUP(B532,[1]Course!$A$2:$R$329,2,FALSE)</f>
        <v>0</v>
      </c>
      <c r="G532">
        <f>VLOOKUP(B532, [1]Course!$A$2:$L$950, 8, FALSE)</f>
        <v>12</v>
      </c>
      <c r="H532">
        <v>3</v>
      </c>
      <c r="I532">
        <v>1</v>
      </c>
      <c r="J532">
        <v>2021</v>
      </c>
      <c r="K532" t="s">
        <v>92</v>
      </c>
      <c r="L532">
        <v>1</v>
      </c>
      <c r="M532" t="str">
        <f>VLOOKUP(B532, [1]Course!$A$1:$O$933, 12, FALSE)</f>
        <v>LA</v>
      </c>
      <c r="N532" t="s">
        <v>14</v>
      </c>
      <c r="O532" t="str">
        <f>VLOOKUP(B532, [1]Course!$A$1:$O$933, 14, FALSE)</f>
        <v>EN</v>
      </c>
      <c r="P532">
        <v>1</v>
      </c>
    </row>
    <row r="533" spans="1:16" x14ac:dyDescent="0.25">
      <c r="A533">
        <v>532</v>
      </c>
      <c r="B533">
        <v>45</v>
      </c>
      <c r="C533">
        <v>77</v>
      </c>
      <c r="D533" t="s">
        <v>16</v>
      </c>
      <c r="E533" t="str">
        <f t="shared" si="8"/>
        <v>1277EN03PT</v>
      </c>
      <c r="F533">
        <f>VLOOKUP(B533,[1]Course!$A$2:$R$329,2,FALSE)</f>
        <v>0</v>
      </c>
      <c r="G533">
        <f>VLOOKUP(B533, [1]Course!$A$2:$L$950, 8, FALSE)</f>
        <v>12</v>
      </c>
      <c r="H533">
        <v>3</v>
      </c>
      <c r="I533">
        <v>1</v>
      </c>
      <c r="J533">
        <v>1983</v>
      </c>
      <c r="K533">
        <v>2001</v>
      </c>
      <c r="L533">
        <v>1</v>
      </c>
      <c r="M533" t="str">
        <f>VLOOKUP(B533, [1]Course!$A$1:$O$933, 12, FALSE)</f>
        <v>LA</v>
      </c>
      <c r="N533" t="s">
        <v>14</v>
      </c>
      <c r="O533" t="str">
        <f>VLOOKUP(B533, [1]Course!$A$1:$O$933, 14, FALSE)</f>
        <v>EN</v>
      </c>
      <c r="P533">
        <v>1</v>
      </c>
    </row>
    <row r="534" spans="1:16" x14ac:dyDescent="0.25">
      <c r="A534">
        <v>533</v>
      </c>
      <c r="B534">
        <v>45</v>
      </c>
      <c r="C534">
        <v>78</v>
      </c>
      <c r="D534" t="s">
        <v>16</v>
      </c>
      <c r="E534" t="str">
        <f t="shared" si="8"/>
        <v>1278EN03PT</v>
      </c>
      <c r="F534">
        <f>VLOOKUP(B534,[1]Course!$A$2:$R$329,2,FALSE)</f>
        <v>0</v>
      </c>
      <c r="G534">
        <f>VLOOKUP(B534, [1]Course!$A$2:$L$950, 8, FALSE)</f>
        <v>12</v>
      </c>
      <c r="H534">
        <v>3</v>
      </c>
      <c r="I534">
        <v>1</v>
      </c>
      <c r="J534">
        <v>1983</v>
      </c>
      <c r="K534">
        <v>2009</v>
      </c>
      <c r="L534">
        <v>1</v>
      </c>
      <c r="M534" t="str">
        <f>VLOOKUP(B534, [1]Course!$A$1:$O$933, 12, FALSE)</f>
        <v>LA</v>
      </c>
      <c r="N534" t="s">
        <v>14</v>
      </c>
      <c r="O534" t="str">
        <f>VLOOKUP(B534, [1]Course!$A$1:$O$933, 14, FALSE)</f>
        <v>EN</v>
      </c>
      <c r="P534">
        <v>1</v>
      </c>
    </row>
    <row r="535" spans="1:16" x14ac:dyDescent="0.25">
      <c r="A535">
        <v>534</v>
      </c>
      <c r="B535">
        <v>45</v>
      </c>
      <c r="C535">
        <v>79</v>
      </c>
      <c r="D535" t="s">
        <v>16</v>
      </c>
      <c r="E535" t="str">
        <f t="shared" si="8"/>
        <v>1279EN03PT</v>
      </c>
      <c r="F535">
        <f>VLOOKUP(B535,[1]Course!$A$2:$R$329,2,FALSE)</f>
        <v>0</v>
      </c>
      <c r="G535">
        <f>VLOOKUP(B535, [1]Course!$A$2:$L$950, 8, FALSE)</f>
        <v>12</v>
      </c>
      <c r="H535">
        <v>3</v>
      </c>
      <c r="I535">
        <v>1</v>
      </c>
      <c r="J535">
        <v>1983</v>
      </c>
      <c r="K535">
        <v>1997</v>
      </c>
      <c r="L535">
        <v>1</v>
      </c>
      <c r="M535" t="str">
        <f>VLOOKUP(B535, [1]Course!$A$1:$O$933, 12, FALSE)</f>
        <v>LA</v>
      </c>
      <c r="N535" t="s">
        <v>14</v>
      </c>
      <c r="O535" t="str">
        <f>VLOOKUP(B535, [1]Course!$A$1:$O$933, 14, FALSE)</f>
        <v>EN</v>
      </c>
      <c r="P535">
        <v>1</v>
      </c>
    </row>
    <row r="536" spans="1:16" x14ac:dyDescent="0.25">
      <c r="A536">
        <v>535</v>
      </c>
      <c r="B536">
        <v>45</v>
      </c>
      <c r="C536">
        <v>80</v>
      </c>
      <c r="D536" t="s">
        <v>16</v>
      </c>
      <c r="E536" t="str">
        <f t="shared" si="8"/>
        <v>1280EN03PT</v>
      </c>
      <c r="F536">
        <f>VLOOKUP(B536,[1]Course!$A$2:$R$329,2,FALSE)</f>
        <v>0</v>
      </c>
      <c r="G536">
        <f>VLOOKUP(B536, [1]Course!$A$2:$L$950, 8, FALSE)</f>
        <v>12</v>
      </c>
      <c r="H536">
        <v>3</v>
      </c>
      <c r="I536">
        <v>1</v>
      </c>
      <c r="J536">
        <v>1983</v>
      </c>
      <c r="K536">
        <v>1996</v>
      </c>
      <c r="L536">
        <v>1</v>
      </c>
      <c r="M536" t="str">
        <f>VLOOKUP(B536, [1]Course!$A$1:$O$933, 12, FALSE)</f>
        <v>LA</v>
      </c>
      <c r="N536" t="s">
        <v>14</v>
      </c>
      <c r="O536" t="str">
        <f>VLOOKUP(B536, [1]Course!$A$1:$O$933, 14, FALSE)</f>
        <v>EN</v>
      </c>
      <c r="P536">
        <v>1</v>
      </c>
    </row>
    <row r="537" spans="1:16" x14ac:dyDescent="0.25">
      <c r="A537">
        <v>536</v>
      </c>
      <c r="B537">
        <v>45</v>
      </c>
      <c r="C537">
        <v>81</v>
      </c>
      <c r="D537" t="s">
        <v>16</v>
      </c>
      <c r="E537" t="str">
        <f t="shared" si="8"/>
        <v>1281EN03PT</v>
      </c>
      <c r="F537">
        <f>VLOOKUP(B537,[1]Course!$A$2:$R$329,2,FALSE)</f>
        <v>0</v>
      </c>
      <c r="G537">
        <f>VLOOKUP(B537, [1]Course!$A$2:$L$950, 8, FALSE)</f>
        <v>12</v>
      </c>
      <c r="H537">
        <v>3</v>
      </c>
      <c r="I537">
        <v>1</v>
      </c>
      <c r="J537">
        <v>1983</v>
      </c>
      <c r="K537">
        <v>2007</v>
      </c>
      <c r="L537">
        <v>1</v>
      </c>
      <c r="M537" t="str">
        <f>VLOOKUP(B537, [1]Course!$A$1:$O$933, 12, FALSE)</f>
        <v>LA</v>
      </c>
      <c r="N537" t="s">
        <v>14</v>
      </c>
      <c r="O537" t="str">
        <f>VLOOKUP(B537, [1]Course!$A$1:$O$933, 14, FALSE)</f>
        <v>EN</v>
      </c>
      <c r="P537">
        <v>1</v>
      </c>
    </row>
    <row r="538" spans="1:16" x14ac:dyDescent="0.25">
      <c r="A538">
        <v>537</v>
      </c>
      <c r="B538">
        <v>45</v>
      </c>
      <c r="C538">
        <v>82</v>
      </c>
      <c r="D538" t="s">
        <v>16</v>
      </c>
      <c r="E538" t="str">
        <f t="shared" si="8"/>
        <v>1282EN03PT</v>
      </c>
      <c r="F538">
        <f>VLOOKUP(B538,[1]Course!$A$2:$R$329,2,FALSE)</f>
        <v>0</v>
      </c>
      <c r="G538">
        <f>VLOOKUP(B538, [1]Course!$A$2:$L$950, 8, FALSE)</f>
        <v>12</v>
      </c>
      <c r="H538">
        <v>3</v>
      </c>
      <c r="I538">
        <v>1</v>
      </c>
      <c r="J538">
        <v>1983</v>
      </c>
      <c r="K538">
        <v>2002</v>
      </c>
      <c r="L538">
        <v>1</v>
      </c>
      <c r="M538" t="str">
        <f>VLOOKUP(B538, [1]Course!$A$1:$O$933, 12, FALSE)</f>
        <v>LA</v>
      </c>
      <c r="N538" t="s">
        <v>14</v>
      </c>
      <c r="O538" t="str">
        <f>VLOOKUP(B538, [1]Course!$A$1:$O$933, 14, FALSE)</f>
        <v>EN</v>
      </c>
      <c r="P538">
        <v>1</v>
      </c>
    </row>
    <row r="539" spans="1:16" x14ac:dyDescent="0.25">
      <c r="A539">
        <v>538</v>
      </c>
      <c r="B539">
        <v>45</v>
      </c>
      <c r="C539">
        <v>83</v>
      </c>
      <c r="D539" t="s">
        <v>16</v>
      </c>
      <c r="E539" t="str">
        <f t="shared" si="8"/>
        <v>1283EN03PT</v>
      </c>
      <c r="F539">
        <f>VLOOKUP(B539,[1]Course!$A$2:$R$329,2,FALSE)</f>
        <v>0</v>
      </c>
      <c r="G539">
        <f>VLOOKUP(B539, [1]Course!$A$2:$L$950, 8, FALSE)</f>
        <v>12</v>
      </c>
      <c r="H539">
        <v>3</v>
      </c>
      <c r="I539">
        <v>1</v>
      </c>
      <c r="M539" t="str">
        <f>VLOOKUP(B539, [1]Course!$A$1:$O$933, 12, FALSE)</f>
        <v>LA</v>
      </c>
      <c r="N539" t="s">
        <v>14</v>
      </c>
      <c r="O539" t="str">
        <f>VLOOKUP(B539, [1]Course!$A$1:$O$933, 14, FALSE)</f>
        <v>EN</v>
      </c>
      <c r="P539">
        <v>1</v>
      </c>
    </row>
    <row r="540" spans="1:16" x14ac:dyDescent="0.25">
      <c r="A540">
        <v>539</v>
      </c>
      <c r="B540">
        <v>45</v>
      </c>
      <c r="C540">
        <v>84</v>
      </c>
      <c r="D540" t="s">
        <v>16</v>
      </c>
      <c r="E540" t="str">
        <f t="shared" si="8"/>
        <v>1284EN03PT</v>
      </c>
      <c r="F540">
        <f>VLOOKUP(B540,[1]Course!$A$2:$R$329,2,FALSE)</f>
        <v>0</v>
      </c>
      <c r="G540">
        <f>VLOOKUP(B540, [1]Course!$A$2:$L$950, 8, FALSE)</f>
        <v>12</v>
      </c>
      <c r="H540">
        <v>3</v>
      </c>
      <c r="I540">
        <v>1</v>
      </c>
      <c r="M540" t="str">
        <f>VLOOKUP(B540, [1]Course!$A$1:$O$933, 12, FALSE)</f>
        <v>LA</v>
      </c>
      <c r="N540" t="s">
        <v>14</v>
      </c>
      <c r="O540" t="str">
        <f>VLOOKUP(B540, [1]Course!$A$1:$O$933, 14, FALSE)</f>
        <v>EN</v>
      </c>
      <c r="P540">
        <v>1</v>
      </c>
    </row>
    <row r="541" spans="1:16" x14ac:dyDescent="0.25">
      <c r="A541">
        <v>540</v>
      </c>
      <c r="B541">
        <v>46</v>
      </c>
      <c r="C541">
        <v>73</v>
      </c>
      <c r="D541" t="s">
        <v>22</v>
      </c>
      <c r="E541" t="str">
        <f t="shared" si="8"/>
        <v>1273BA03PT</v>
      </c>
      <c r="F541">
        <f>VLOOKUP(B541,[1]Course!$A$2:$R$329,2,FALSE)</f>
        <v>0</v>
      </c>
      <c r="G541">
        <f>VLOOKUP(B541, [1]Course!$A$2:$L$950, 8, FALSE)</f>
        <v>12</v>
      </c>
      <c r="H541">
        <v>3</v>
      </c>
      <c r="I541">
        <v>1</v>
      </c>
      <c r="M541" t="str">
        <f>VLOOKUP(B541, [1]Course!$A$1:$O$933, 12, FALSE)</f>
        <v>WB</v>
      </c>
      <c r="N541" t="s">
        <v>14</v>
      </c>
      <c r="O541" t="str">
        <f>VLOOKUP(B541, [1]Course!$A$1:$O$933, 14, FALSE)</f>
        <v>BA</v>
      </c>
      <c r="P541">
        <v>1</v>
      </c>
    </row>
    <row r="542" spans="1:16" x14ac:dyDescent="0.25">
      <c r="A542">
        <v>541</v>
      </c>
      <c r="B542">
        <v>46</v>
      </c>
      <c r="C542">
        <v>74</v>
      </c>
      <c r="D542" t="s">
        <v>22</v>
      </c>
      <c r="E542" t="str">
        <f t="shared" si="8"/>
        <v>1274BA03PT</v>
      </c>
      <c r="F542">
        <f>VLOOKUP(B542,[1]Course!$A$2:$R$329,2,FALSE)</f>
        <v>0</v>
      </c>
      <c r="G542">
        <f>VLOOKUP(B542, [1]Course!$A$2:$L$950, 8, FALSE)</f>
        <v>12</v>
      </c>
      <c r="H542">
        <v>3</v>
      </c>
      <c r="I542">
        <v>1</v>
      </c>
      <c r="M542" t="str">
        <f>VLOOKUP(B542, [1]Course!$A$1:$O$933, 12, FALSE)</f>
        <v>WB</v>
      </c>
      <c r="N542" t="s">
        <v>14</v>
      </c>
      <c r="O542" t="str">
        <f>VLOOKUP(B542, [1]Course!$A$1:$O$933, 14, FALSE)</f>
        <v>BA</v>
      </c>
      <c r="P542">
        <v>1</v>
      </c>
    </row>
    <row r="543" spans="1:16" x14ac:dyDescent="0.25">
      <c r="A543">
        <v>542</v>
      </c>
      <c r="B543">
        <v>46</v>
      </c>
      <c r="C543">
        <v>75</v>
      </c>
      <c r="D543" t="s">
        <v>22</v>
      </c>
      <c r="E543" t="str">
        <f t="shared" si="8"/>
        <v>1275BA03PT</v>
      </c>
      <c r="F543">
        <f>VLOOKUP(B543,[1]Course!$A$2:$R$329,2,FALSE)</f>
        <v>0</v>
      </c>
      <c r="G543">
        <f>VLOOKUP(B543, [1]Course!$A$2:$L$950, 8, FALSE)</f>
        <v>12</v>
      </c>
      <c r="H543">
        <v>3</v>
      </c>
      <c r="I543">
        <v>1</v>
      </c>
      <c r="M543" t="str">
        <f>VLOOKUP(B543, [1]Course!$A$1:$O$933, 12, FALSE)</f>
        <v>WB</v>
      </c>
      <c r="N543" t="s">
        <v>14</v>
      </c>
      <c r="O543" t="str">
        <f>VLOOKUP(B543, [1]Course!$A$1:$O$933, 14, FALSE)</f>
        <v>BA</v>
      </c>
      <c r="P543">
        <v>1</v>
      </c>
    </row>
    <row r="544" spans="1:16" x14ac:dyDescent="0.25">
      <c r="A544">
        <v>543</v>
      </c>
      <c r="B544">
        <v>46</v>
      </c>
      <c r="C544">
        <v>76</v>
      </c>
      <c r="D544" t="s">
        <v>22</v>
      </c>
      <c r="E544" t="str">
        <f t="shared" si="8"/>
        <v>1276BA03PT</v>
      </c>
      <c r="F544">
        <f>VLOOKUP(B544,[1]Course!$A$2:$R$329,2,FALSE)</f>
        <v>0</v>
      </c>
      <c r="G544">
        <f>VLOOKUP(B544, [1]Course!$A$2:$L$950, 8, FALSE)</f>
        <v>12</v>
      </c>
      <c r="H544">
        <v>3</v>
      </c>
      <c r="I544">
        <v>1</v>
      </c>
      <c r="M544" t="str">
        <f>VLOOKUP(B544, [1]Course!$A$1:$O$933, 12, FALSE)</f>
        <v>WB</v>
      </c>
      <c r="N544" t="s">
        <v>14</v>
      </c>
      <c r="O544" t="str">
        <f>VLOOKUP(B544, [1]Course!$A$1:$O$933, 14, FALSE)</f>
        <v>BA</v>
      </c>
      <c r="P544">
        <v>1</v>
      </c>
    </row>
    <row r="545" spans="1:16" x14ac:dyDescent="0.25">
      <c r="A545">
        <v>544</v>
      </c>
      <c r="B545">
        <v>46</v>
      </c>
      <c r="C545">
        <v>77</v>
      </c>
      <c r="D545" t="s">
        <v>22</v>
      </c>
      <c r="E545" t="str">
        <f t="shared" si="8"/>
        <v>1277BA03PT</v>
      </c>
      <c r="F545">
        <f>VLOOKUP(B545,[1]Course!$A$2:$R$329,2,FALSE)</f>
        <v>0</v>
      </c>
      <c r="G545">
        <f>VLOOKUP(B545, [1]Course!$A$2:$L$950, 8, FALSE)</f>
        <v>12</v>
      </c>
      <c r="H545">
        <v>3</v>
      </c>
      <c r="I545">
        <v>1</v>
      </c>
      <c r="M545" t="str">
        <f>VLOOKUP(B545, [1]Course!$A$1:$O$933, 12, FALSE)</f>
        <v>WB</v>
      </c>
      <c r="N545" t="s">
        <v>14</v>
      </c>
      <c r="O545" t="str">
        <f>VLOOKUP(B545, [1]Course!$A$1:$O$933, 14, FALSE)</f>
        <v>BA</v>
      </c>
      <c r="P545">
        <v>1</v>
      </c>
    </row>
    <row r="546" spans="1:16" x14ac:dyDescent="0.25">
      <c r="A546">
        <v>545</v>
      </c>
      <c r="B546">
        <v>46</v>
      </c>
      <c r="C546">
        <v>78</v>
      </c>
      <c r="D546" t="s">
        <v>22</v>
      </c>
      <c r="E546" t="str">
        <f t="shared" si="8"/>
        <v>1278BA03PT</v>
      </c>
      <c r="F546">
        <f>VLOOKUP(B546,[1]Course!$A$2:$R$329,2,FALSE)</f>
        <v>0</v>
      </c>
      <c r="G546">
        <f>VLOOKUP(B546, [1]Course!$A$2:$L$950, 8, FALSE)</f>
        <v>12</v>
      </c>
      <c r="H546">
        <v>3</v>
      </c>
      <c r="I546">
        <v>1</v>
      </c>
      <c r="M546" t="str">
        <f>VLOOKUP(B546, [1]Course!$A$1:$O$933, 12, FALSE)</f>
        <v>WB</v>
      </c>
      <c r="N546" t="s">
        <v>14</v>
      </c>
      <c r="O546" t="str">
        <f>VLOOKUP(B546, [1]Course!$A$1:$O$933, 14, FALSE)</f>
        <v>BA</v>
      </c>
      <c r="P546">
        <v>1</v>
      </c>
    </row>
    <row r="547" spans="1:16" x14ac:dyDescent="0.25">
      <c r="A547">
        <v>546</v>
      </c>
      <c r="B547">
        <v>46</v>
      </c>
      <c r="C547">
        <v>79</v>
      </c>
      <c r="D547" t="s">
        <v>22</v>
      </c>
      <c r="E547" t="str">
        <f t="shared" si="8"/>
        <v>1279BA03PT</v>
      </c>
      <c r="F547">
        <f>VLOOKUP(B547,[1]Course!$A$2:$R$329,2,FALSE)</f>
        <v>0</v>
      </c>
      <c r="G547">
        <f>VLOOKUP(B547, [1]Course!$A$2:$L$950, 8, FALSE)</f>
        <v>12</v>
      </c>
      <c r="H547">
        <v>3</v>
      </c>
      <c r="I547">
        <v>1</v>
      </c>
      <c r="M547" t="str">
        <f>VLOOKUP(B547, [1]Course!$A$1:$O$933, 12, FALSE)</f>
        <v>WB</v>
      </c>
      <c r="N547" t="s">
        <v>14</v>
      </c>
      <c r="O547" t="str">
        <f>VLOOKUP(B547, [1]Course!$A$1:$O$933, 14, FALSE)</f>
        <v>BA</v>
      </c>
      <c r="P547">
        <v>1</v>
      </c>
    </row>
    <row r="548" spans="1:16" x14ac:dyDescent="0.25">
      <c r="A548">
        <v>547</v>
      </c>
      <c r="B548">
        <v>46</v>
      </c>
      <c r="C548">
        <v>80</v>
      </c>
      <c r="D548" t="s">
        <v>22</v>
      </c>
      <c r="E548" t="str">
        <f t="shared" si="8"/>
        <v>1280BA03PT</v>
      </c>
      <c r="F548">
        <f>VLOOKUP(B548,[1]Course!$A$2:$R$329,2,FALSE)</f>
        <v>0</v>
      </c>
      <c r="G548">
        <f>VLOOKUP(B548, [1]Course!$A$2:$L$950, 8, FALSE)</f>
        <v>12</v>
      </c>
      <c r="H548">
        <v>3</v>
      </c>
      <c r="I548">
        <v>1</v>
      </c>
      <c r="M548" t="str">
        <f>VLOOKUP(B548, [1]Course!$A$1:$O$933, 12, FALSE)</f>
        <v>WB</v>
      </c>
      <c r="N548" t="s">
        <v>14</v>
      </c>
      <c r="O548" t="str">
        <f>VLOOKUP(B548, [1]Course!$A$1:$O$933, 14, FALSE)</f>
        <v>BA</v>
      </c>
      <c r="P548">
        <v>1</v>
      </c>
    </row>
    <row r="549" spans="1:16" x14ac:dyDescent="0.25">
      <c r="A549">
        <v>548</v>
      </c>
      <c r="B549">
        <v>46</v>
      </c>
      <c r="C549">
        <v>81</v>
      </c>
      <c r="D549" t="s">
        <v>22</v>
      </c>
      <c r="E549" t="str">
        <f t="shared" si="8"/>
        <v>1281BA03PT</v>
      </c>
      <c r="F549">
        <f>VLOOKUP(B549,[1]Course!$A$2:$R$329,2,FALSE)</f>
        <v>0</v>
      </c>
      <c r="G549">
        <f>VLOOKUP(B549, [1]Course!$A$2:$L$950, 8, FALSE)</f>
        <v>12</v>
      </c>
      <c r="H549">
        <v>3</v>
      </c>
      <c r="I549">
        <v>1</v>
      </c>
      <c r="M549" t="str">
        <f>VLOOKUP(B549, [1]Course!$A$1:$O$933, 12, FALSE)</f>
        <v>WB</v>
      </c>
      <c r="N549" t="s">
        <v>14</v>
      </c>
      <c r="O549" t="str">
        <f>VLOOKUP(B549, [1]Course!$A$1:$O$933, 14, FALSE)</f>
        <v>BA</v>
      </c>
      <c r="P549">
        <v>1</v>
      </c>
    </row>
    <row r="550" spans="1:16" x14ac:dyDescent="0.25">
      <c r="A550">
        <v>549</v>
      </c>
      <c r="B550">
        <v>46</v>
      </c>
      <c r="C550">
        <v>82</v>
      </c>
      <c r="D550" t="s">
        <v>22</v>
      </c>
      <c r="E550" t="str">
        <f t="shared" si="8"/>
        <v>1282BA03PT</v>
      </c>
      <c r="F550">
        <f>VLOOKUP(B550,[1]Course!$A$2:$R$329,2,FALSE)</f>
        <v>0</v>
      </c>
      <c r="G550">
        <f>VLOOKUP(B550, [1]Course!$A$2:$L$950, 8, FALSE)</f>
        <v>12</v>
      </c>
      <c r="H550">
        <v>3</v>
      </c>
      <c r="I550">
        <v>1</v>
      </c>
      <c r="M550" t="str">
        <f>VLOOKUP(B550, [1]Course!$A$1:$O$933, 12, FALSE)</f>
        <v>WB</v>
      </c>
      <c r="N550" t="s">
        <v>14</v>
      </c>
      <c r="O550" t="str">
        <f>VLOOKUP(B550, [1]Course!$A$1:$O$933, 14, FALSE)</f>
        <v>BA</v>
      </c>
      <c r="P550">
        <v>1</v>
      </c>
    </row>
    <row r="551" spans="1:16" x14ac:dyDescent="0.25">
      <c r="A551">
        <v>550</v>
      </c>
      <c r="B551">
        <v>46</v>
      </c>
      <c r="C551">
        <v>83</v>
      </c>
      <c r="D551" t="s">
        <v>22</v>
      </c>
      <c r="E551" t="str">
        <f t="shared" si="8"/>
        <v>1283BA03PT</v>
      </c>
      <c r="F551">
        <f>VLOOKUP(B551,[1]Course!$A$2:$R$329,2,FALSE)</f>
        <v>0</v>
      </c>
      <c r="G551">
        <f>VLOOKUP(B551, [1]Course!$A$2:$L$950, 8, FALSE)</f>
        <v>12</v>
      </c>
      <c r="H551">
        <v>3</v>
      </c>
      <c r="I551">
        <v>1</v>
      </c>
      <c r="M551" t="str">
        <f>VLOOKUP(B551, [1]Course!$A$1:$O$933, 12, FALSE)</f>
        <v>WB</v>
      </c>
      <c r="N551" t="s">
        <v>14</v>
      </c>
      <c r="O551" t="str">
        <f>VLOOKUP(B551, [1]Course!$A$1:$O$933, 14, FALSE)</f>
        <v>BA</v>
      </c>
      <c r="P551">
        <v>1</v>
      </c>
    </row>
    <row r="552" spans="1:16" x14ac:dyDescent="0.25">
      <c r="A552">
        <v>551</v>
      </c>
      <c r="B552">
        <v>46</v>
      </c>
      <c r="C552">
        <v>84</v>
      </c>
      <c r="D552" t="s">
        <v>22</v>
      </c>
      <c r="E552" t="str">
        <f t="shared" si="8"/>
        <v>1284BA03PT</v>
      </c>
      <c r="F552">
        <f>VLOOKUP(B552,[1]Course!$A$2:$R$329,2,FALSE)</f>
        <v>0</v>
      </c>
      <c r="G552">
        <f>VLOOKUP(B552, [1]Course!$A$2:$L$950, 8, FALSE)</f>
        <v>12</v>
      </c>
      <c r="H552">
        <v>3</v>
      </c>
      <c r="I552">
        <v>1</v>
      </c>
      <c r="M552" t="str">
        <f>VLOOKUP(B552, [1]Course!$A$1:$O$933, 12, FALSE)</f>
        <v>WB</v>
      </c>
      <c r="N552" t="s">
        <v>14</v>
      </c>
      <c r="O552" t="str">
        <f>VLOOKUP(B552, [1]Course!$A$1:$O$933, 14, FALSE)</f>
        <v>BA</v>
      </c>
      <c r="P552">
        <v>1</v>
      </c>
    </row>
    <row r="553" spans="1:16" x14ac:dyDescent="0.25">
      <c r="A553">
        <v>552</v>
      </c>
      <c r="B553">
        <v>47</v>
      </c>
      <c r="C553">
        <v>73</v>
      </c>
      <c r="D553" t="s">
        <v>17</v>
      </c>
      <c r="E553" t="str">
        <f t="shared" si="8"/>
        <v>1273WB03PT</v>
      </c>
      <c r="F553">
        <f>VLOOKUP(B553,[1]Course!$A$2:$R$329,2,FALSE)</f>
        <v>0</v>
      </c>
      <c r="G553">
        <f>VLOOKUP(B553, [1]Course!$A$2:$L$950, 8, FALSE)</f>
        <v>12</v>
      </c>
      <c r="H553">
        <v>3</v>
      </c>
      <c r="I553">
        <v>1</v>
      </c>
      <c r="M553" t="str">
        <f>VLOOKUP(B553, [1]Course!$A$1:$O$933, 12, FALSE)</f>
        <v>WB</v>
      </c>
      <c r="N553" t="s">
        <v>14</v>
      </c>
      <c r="O553" t="str">
        <f>VLOOKUP(B553, [1]Course!$A$1:$O$933, 14, FALSE)</f>
        <v>WB</v>
      </c>
      <c r="P553">
        <v>1</v>
      </c>
    </row>
    <row r="554" spans="1:16" x14ac:dyDescent="0.25">
      <c r="A554">
        <v>553</v>
      </c>
      <c r="B554">
        <v>47</v>
      </c>
      <c r="C554">
        <v>74</v>
      </c>
      <c r="D554" t="s">
        <v>17</v>
      </c>
      <c r="E554" t="str">
        <f t="shared" si="8"/>
        <v>1274WB03PT</v>
      </c>
      <c r="F554">
        <f>VLOOKUP(B554,[1]Course!$A$2:$R$329,2,FALSE)</f>
        <v>0</v>
      </c>
      <c r="G554">
        <f>VLOOKUP(B554, [1]Course!$A$2:$L$950, 8, FALSE)</f>
        <v>12</v>
      </c>
      <c r="H554">
        <v>3</v>
      </c>
      <c r="I554">
        <v>1</v>
      </c>
      <c r="M554" t="str">
        <f>VLOOKUP(B554, [1]Course!$A$1:$O$933, 12, FALSE)</f>
        <v>WB</v>
      </c>
      <c r="N554" t="s">
        <v>14</v>
      </c>
      <c r="O554" t="str">
        <f>VLOOKUP(B554, [1]Course!$A$1:$O$933, 14, FALSE)</f>
        <v>WB</v>
      </c>
      <c r="P554">
        <v>1</v>
      </c>
    </row>
    <row r="555" spans="1:16" x14ac:dyDescent="0.25">
      <c r="A555">
        <v>554</v>
      </c>
      <c r="B555">
        <v>47</v>
      </c>
      <c r="C555">
        <v>75</v>
      </c>
      <c r="D555" t="s">
        <v>17</v>
      </c>
      <c r="E555" t="str">
        <f t="shared" si="8"/>
        <v>1275WB03PT</v>
      </c>
      <c r="F555">
        <f>VLOOKUP(B555,[1]Course!$A$2:$R$329,2,FALSE)</f>
        <v>0</v>
      </c>
      <c r="G555">
        <f>VLOOKUP(B555, [1]Course!$A$2:$L$950, 8, FALSE)</f>
        <v>12</v>
      </c>
      <c r="H555">
        <v>3</v>
      </c>
      <c r="I555">
        <v>1</v>
      </c>
      <c r="M555" t="str">
        <f>VLOOKUP(B555, [1]Course!$A$1:$O$933, 12, FALSE)</f>
        <v>WB</v>
      </c>
      <c r="N555" t="s">
        <v>14</v>
      </c>
      <c r="O555" t="str">
        <f>VLOOKUP(B555, [1]Course!$A$1:$O$933, 14, FALSE)</f>
        <v>WB</v>
      </c>
      <c r="P555">
        <v>1</v>
      </c>
    </row>
    <row r="556" spans="1:16" x14ac:dyDescent="0.25">
      <c r="A556">
        <v>555</v>
      </c>
      <c r="B556">
        <v>47</v>
      </c>
      <c r="C556">
        <v>76</v>
      </c>
      <c r="D556" t="s">
        <v>17</v>
      </c>
      <c r="E556" t="str">
        <f t="shared" si="8"/>
        <v>1276WB03PT</v>
      </c>
      <c r="F556">
        <f>VLOOKUP(B556,[1]Course!$A$2:$R$329,2,FALSE)</f>
        <v>0</v>
      </c>
      <c r="G556">
        <f>VLOOKUP(B556, [1]Course!$A$2:$L$950, 8, FALSE)</f>
        <v>12</v>
      </c>
      <c r="H556">
        <v>3</v>
      </c>
      <c r="I556">
        <v>1</v>
      </c>
      <c r="M556" t="str">
        <f>VLOOKUP(B556, [1]Course!$A$1:$O$933, 12, FALSE)</f>
        <v>WB</v>
      </c>
      <c r="N556" t="s">
        <v>14</v>
      </c>
      <c r="O556" t="str">
        <f>VLOOKUP(B556, [1]Course!$A$1:$O$933, 14, FALSE)</f>
        <v>WB</v>
      </c>
      <c r="P556">
        <v>1</v>
      </c>
    </row>
    <row r="557" spans="1:16" x14ac:dyDescent="0.25">
      <c r="A557">
        <v>556</v>
      </c>
      <c r="B557">
        <v>47</v>
      </c>
      <c r="C557">
        <v>77</v>
      </c>
      <c r="D557" t="s">
        <v>17</v>
      </c>
      <c r="E557" t="str">
        <f t="shared" si="8"/>
        <v>1277WB03PT</v>
      </c>
      <c r="F557">
        <f>VLOOKUP(B557,[1]Course!$A$2:$R$329,2,FALSE)</f>
        <v>0</v>
      </c>
      <c r="G557">
        <f>VLOOKUP(B557, [1]Course!$A$2:$L$950, 8, FALSE)</f>
        <v>12</v>
      </c>
      <c r="H557">
        <v>3</v>
      </c>
      <c r="I557">
        <v>1</v>
      </c>
      <c r="M557" t="str">
        <f>VLOOKUP(B557, [1]Course!$A$1:$O$933, 12, FALSE)</f>
        <v>WB</v>
      </c>
      <c r="N557" t="s">
        <v>14</v>
      </c>
      <c r="O557" t="str">
        <f>VLOOKUP(B557, [1]Course!$A$1:$O$933, 14, FALSE)</f>
        <v>WB</v>
      </c>
      <c r="P557">
        <v>1</v>
      </c>
    </row>
    <row r="558" spans="1:16" x14ac:dyDescent="0.25">
      <c r="A558">
        <v>557</v>
      </c>
      <c r="B558">
        <v>47</v>
      </c>
      <c r="C558">
        <v>78</v>
      </c>
      <c r="D558" t="s">
        <v>17</v>
      </c>
      <c r="E558" t="str">
        <f t="shared" si="8"/>
        <v>1278WB03PT</v>
      </c>
      <c r="F558">
        <f>VLOOKUP(B558,[1]Course!$A$2:$R$329,2,FALSE)</f>
        <v>0</v>
      </c>
      <c r="G558">
        <f>VLOOKUP(B558, [1]Course!$A$2:$L$950, 8, FALSE)</f>
        <v>12</v>
      </c>
      <c r="H558">
        <v>3</v>
      </c>
      <c r="I558">
        <v>1</v>
      </c>
      <c r="M558" t="str">
        <f>VLOOKUP(B558, [1]Course!$A$1:$O$933, 12, FALSE)</f>
        <v>WB</v>
      </c>
      <c r="N558" t="s">
        <v>14</v>
      </c>
      <c r="O558" t="str">
        <f>VLOOKUP(B558, [1]Course!$A$1:$O$933, 14, FALSE)</f>
        <v>WB</v>
      </c>
      <c r="P558">
        <v>1</v>
      </c>
    </row>
    <row r="559" spans="1:16" x14ac:dyDescent="0.25">
      <c r="A559">
        <v>558</v>
      </c>
      <c r="B559">
        <v>47</v>
      </c>
      <c r="C559">
        <v>79</v>
      </c>
      <c r="D559" t="s">
        <v>17</v>
      </c>
      <c r="E559" t="str">
        <f t="shared" si="8"/>
        <v>1279WB03PT</v>
      </c>
      <c r="F559">
        <f>VLOOKUP(B559,[1]Course!$A$2:$R$329,2,FALSE)</f>
        <v>0</v>
      </c>
      <c r="G559">
        <f>VLOOKUP(B559, [1]Course!$A$2:$L$950, 8, FALSE)</f>
        <v>12</v>
      </c>
      <c r="H559">
        <v>3</v>
      </c>
      <c r="I559">
        <v>1</v>
      </c>
      <c r="M559" t="str">
        <f>VLOOKUP(B559, [1]Course!$A$1:$O$933, 12, FALSE)</f>
        <v>WB</v>
      </c>
      <c r="N559" t="s">
        <v>14</v>
      </c>
      <c r="O559" t="str">
        <f>VLOOKUP(B559, [1]Course!$A$1:$O$933, 14, FALSE)</f>
        <v>WB</v>
      </c>
      <c r="P559">
        <v>1</v>
      </c>
    </row>
    <row r="560" spans="1:16" x14ac:dyDescent="0.25">
      <c r="A560">
        <v>559</v>
      </c>
      <c r="B560">
        <v>47</v>
      </c>
      <c r="C560">
        <v>80</v>
      </c>
      <c r="D560" t="s">
        <v>17</v>
      </c>
      <c r="E560" t="str">
        <f t="shared" si="8"/>
        <v>1280WB03PT</v>
      </c>
      <c r="F560">
        <f>VLOOKUP(B560,[1]Course!$A$2:$R$329,2,FALSE)</f>
        <v>0</v>
      </c>
      <c r="G560">
        <f>VLOOKUP(B560, [1]Course!$A$2:$L$950, 8, FALSE)</f>
        <v>12</v>
      </c>
      <c r="H560">
        <v>3</v>
      </c>
      <c r="I560">
        <v>1</v>
      </c>
      <c r="M560" t="str">
        <f>VLOOKUP(B560, [1]Course!$A$1:$O$933, 12, FALSE)</f>
        <v>WB</v>
      </c>
      <c r="N560" t="s">
        <v>14</v>
      </c>
      <c r="O560" t="str">
        <f>VLOOKUP(B560, [1]Course!$A$1:$O$933, 14, FALSE)</f>
        <v>WB</v>
      </c>
      <c r="P560">
        <v>1</v>
      </c>
    </row>
    <row r="561" spans="1:16" x14ac:dyDescent="0.25">
      <c r="A561">
        <v>560</v>
      </c>
      <c r="B561">
        <v>47</v>
      </c>
      <c r="C561">
        <v>81</v>
      </c>
      <c r="D561" t="s">
        <v>17</v>
      </c>
      <c r="E561" t="str">
        <f t="shared" si="8"/>
        <v>1281WB03PT</v>
      </c>
      <c r="F561">
        <f>VLOOKUP(B561,[1]Course!$A$2:$R$329,2,FALSE)</f>
        <v>0</v>
      </c>
      <c r="G561">
        <f>VLOOKUP(B561, [1]Course!$A$2:$L$950, 8, FALSE)</f>
        <v>12</v>
      </c>
      <c r="H561">
        <v>3</v>
      </c>
      <c r="I561">
        <v>1</v>
      </c>
      <c r="M561" t="str">
        <f>VLOOKUP(B561, [1]Course!$A$1:$O$933, 12, FALSE)</f>
        <v>WB</v>
      </c>
      <c r="N561" t="s">
        <v>14</v>
      </c>
      <c r="O561" t="str">
        <f>VLOOKUP(B561, [1]Course!$A$1:$O$933, 14, FALSE)</f>
        <v>WB</v>
      </c>
      <c r="P561">
        <v>1</v>
      </c>
    </row>
    <row r="562" spans="1:16" x14ac:dyDescent="0.25">
      <c r="A562">
        <v>561</v>
      </c>
      <c r="B562">
        <v>47</v>
      </c>
      <c r="C562">
        <v>82</v>
      </c>
      <c r="D562" t="s">
        <v>17</v>
      </c>
      <c r="E562" t="str">
        <f t="shared" si="8"/>
        <v>1282WB03PT</v>
      </c>
      <c r="F562">
        <f>VLOOKUP(B562,[1]Course!$A$2:$R$329,2,FALSE)</f>
        <v>0</v>
      </c>
      <c r="G562">
        <f>VLOOKUP(B562, [1]Course!$A$2:$L$950, 8, FALSE)</f>
        <v>12</v>
      </c>
      <c r="H562">
        <v>3</v>
      </c>
      <c r="I562">
        <v>1</v>
      </c>
      <c r="M562" t="str">
        <f>VLOOKUP(B562, [1]Course!$A$1:$O$933, 12, FALSE)</f>
        <v>WB</v>
      </c>
      <c r="N562" t="s">
        <v>14</v>
      </c>
      <c r="O562" t="str">
        <f>VLOOKUP(B562, [1]Course!$A$1:$O$933, 14, FALSE)</f>
        <v>WB</v>
      </c>
      <c r="P562">
        <v>1</v>
      </c>
    </row>
    <row r="563" spans="1:16" x14ac:dyDescent="0.25">
      <c r="A563">
        <v>562</v>
      </c>
      <c r="B563">
        <v>47</v>
      </c>
      <c r="C563">
        <v>83</v>
      </c>
      <c r="D563" t="s">
        <v>17</v>
      </c>
      <c r="E563" t="str">
        <f t="shared" si="8"/>
        <v>1283WB03PT</v>
      </c>
      <c r="F563">
        <f>VLOOKUP(B563,[1]Course!$A$2:$R$329,2,FALSE)</f>
        <v>0</v>
      </c>
      <c r="G563">
        <f>VLOOKUP(B563, [1]Course!$A$2:$L$950, 8, FALSE)</f>
        <v>12</v>
      </c>
      <c r="H563">
        <v>3</v>
      </c>
      <c r="I563">
        <v>1</v>
      </c>
      <c r="M563" t="str">
        <f>VLOOKUP(B563, [1]Course!$A$1:$O$933, 12, FALSE)</f>
        <v>WB</v>
      </c>
      <c r="N563" t="s">
        <v>14</v>
      </c>
      <c r="O563" t="str">
        <f>VLOOKUP(B563, [1]Course!$A$1:$O$933, 14, FALSE)</f>
        <v>WB</v>
      </c>
      <c r="P563">
        <v>1</v>
      </c>
    </row>
    <row r="564" spans="1:16" x14ac:dyDescent="0.25">
      <c r="A564">
        <v>563</v>
      </c>
      <c r="B564">
        <v>47</v>
      </c>
      <c r="C564">
        <v>84</v>
      </c>
      <c r="D564" t="s">
        <v>17</v>
      </c>
      <c r="E564" t="str">
        <f t="shared" si="8"/>
        <v>1284WB03PT</v>
      </c>
      <c r="F564">
        <f>VLOOKUP(B564,[1]Course!$A$2:$R$329,2,FALSE)</f>
        <v>0</v>
      </c>
      <c r="G564">
        <f>VLOOKUP(B564, [1]Course!$A$2:$L$950, 8, FALSE)</f>
        <v>12</v>
      </c>
      <c r="H564">
        <v>3</v>
      </c>
      <c r="I564">
        <v>1</v>
      </c>
      <c r="M564" t="str">
        <f>VLOOKUP(B564, [1]Course!$A$1:$O$933, 12, FALSE)</f>
        <v>WB</v>
      </c>
      <c r="N564" t="s">
        <v>14</v>
      </c>
      <c r="O564" t="str">
        <f>VLOOKUP(B564, [1]Course!$A$1:$O$933, 14, FALSE)</f>
        <v>WB</v>
      </c>
      <c r="P564">
        <v>1</v>
      </c>
    </row>
    <row r="565" spans="1:16" x14ac:dyDescent="0.25">
      <c r="A565">
        <v>564</v>
      </c>
      <c r="B565">
        <v>48</v>
      </c>
      <c r="C565">
        <v>74</v>
      </c>
      <c r="D565" t="s">
        <v>18</v>
      </c>
      <c r="E565" t="str">
        <f t="shared" si="8"/>
        <v>1274LC03PT</v>
      </c>
      <c r="F565">
        <f>VLOOKUP(B565,[1]Course!$A$2:$R$329,2,FALSE)</f>
        <v>0</v>
      </c>
      <c r="G565">
        <f>VLOOKUP(B565, [1]Course!$A$2:$L$950, 8, FALSE)</f>
        <v>12</v>
      </c>
      <c r="H565">
        <v>3</v>
      </c>
      <c r="I565">
        <v>1</v>
      </c>
      <c r="M565" t="str">
        <f>VLOOKUP(B565, [1]Course!$A$1:$O$933, 12, FALSE)</f>
        <v>LI</v>
      </c>
      <c r="N565" t="s">
        <v>14</v>
      </c>
      <c r="O565" t="str">
        <f>VLOOKUP(B565, [1]Course!$A$1:$O$933, 14, FALSE)</f>
        <v>LC</v>
      </c>
      <c r="P565">
        <v>1</v>
      </c>
    </row>
    <row r="566" spans="1:16" x14ac:dyDescent="0.25">
      <c r="A566">
        <v>565</v>
      </c>
      <c r="B566">
        <v>48</v>
      </c>
      <c r="C566">
        <v>75</v>
      </c>
      <c r="D566" t="s">
        <v>18</v>
      </c>
      <c r="E566" t="str">
        <f t="shared" si="8"/>
        <v>1275LC03PT</v>
      </c>
      <c r="F566">
        <f>VLOOKUP(B566,[1]Course!$A$2:$R$329,2,FALSE)</f>
        <v>0</v>
      </c>
      <c r="G566">
        <f>VLOOKUP(B566, [1]Course!$A$2:$L$950, 8, FALSE)</f>
        <v>12</v>
      </c>
      <c r="H566">
        <v>3</v>
      </c>
      <c r="I566">
        <v>1</v>
      </c>
      <c r="M566" t="str">
        <f>VLOOKUP(B566, [1]Course!$A$1:$O$933, 12, FALSE)</f>
        <v>LI</v>
      </c>
      <c r="N566" t="s">
        <v>14</v>
      </c>
      <c r="O566" t="str">
        <f>VLOOKUP(B566, [1]Course!$A$1:$O$933, 14, FALSE)</f>
        <v>LC</v>
      </c>
      <c r="P566">
        <v>1</v>
      </c>
    </row>
    <row r="567" spans="1:16" x14ac:dyDescent="0.25">
      <c r="A567">
        <v>566</v>
      </c>
      <c r="B567">
        <v>48</v>
      </c>
      <c r="C567">
        <v>76</v>
      </c>
      <c r="D567" t="s">
        <v>18</v>
      </c>
      <c r="E567" t="str">
        <f t="shared" si="8"/>
        <v>1276LC03PT</v>
      </c>
      <c r="F567">
        <f>VLOOKUP(B567,[1]Course!$A$2:$R$329,2,FALSE)</f>
        <v>0</v>
      </c>
      <c r="G567">
        <f>VLOOKUP(B567, [1]Course!$A$2:$L$950, 8, FALSE)</f>
        <v>12</v>
      </c>
      <c r="H567">
        <v>3</v>
      </c>
      <c r="I567">
        <v>1</v>
      </c>
      <c r="M567" t="str">
        <f>VLOOKUP(B567, [1]Course!$A$1:$O$933, 12, FALSE)</f>
        <v>LI</v>
      </c>
      <c r="N567" t="s">
        <v>14</v>
      </c>
      <c r="O567" t="str">
        <f>VLOOKUP(B567, [1]Course!$A$1:$O$933, 14, FALSE)</f>
        <v>LC</v>
      </c>
      <c r="P567">
        <v>1</v>
      </c>
    </row>
    <row r="568" spans="1:16" x14ac:dyDescent="0.25">
      <c r="A568">
        <v>567</v>
      </c>
      <c r="B568">
        <v>48</v>
      </c>
      <c r="C568">
        <v>77</v>
      </c>
      <c r="D568" t="s">
        <v>18</v>
      </c>
      <c r="E568" t="str">
        <f t="shared" si="8"/>
        <v>1277LC03PT</v>
      </c>
      <c r="F568">
        <f>VLOOKUP(B568,[1]Course!$A$2:$R$329,2,FALSE)</f>
        <v>0</v>
      </c>
      <c r="G568">
        <f>VLOOKUP(B568, [1]Course!$A$2:$L$950, 8, FALSE)</f>
        <v>12</v>
      </c>
      <c r="H568">
        <v>3</v>
      </c>
      <c r="I568">
        <v>1</v>
      </c>
      <c r="M568" t="str">
        <f>VLOOKUP(B568, [1]Course!$A$1:$O$933, 12, FALSE)</f>
        <v>LI</v>
      </c>
      <c r="N568" t="s">
        <v>14</v>
      </c>
      <c r="O568" t="str">
        <f>VLOOKUP(B568, [1]Course!$A$1:$O$933, 14, FALSE)</f>
        <v>LC</v>
      </c>
      <c r="P568">
        <v>1</v>
      </c>
    </row>
    <row r="569" spans="1:16" x14ac:dyDescent="0.25">
      <c r="A569">
        <v>568</v>
      </c>
      <c r="B569">
        <v>48</v>
      </c>
      <c r="C569">
        <v>78</v>
      </c>
      <c r="D569" t="s">
        <v>18</v>
      </c>
      <c r="E569" t="str">
        <f t="shared" si="8"/>
        <v>1278LC03PT</v>
      </c>
      <c r="F569">
        <f>VLOOKUP(B569,[1]Course!$A$2:$R$329,2,FALSE)</f>
        <v>0</v>
      </c>
      <c r="G569">
        <f>VLOOKUP(B569, [1]Course!$A$2:$L$950, 8, FALSE)</f>
        <v>12</v>
      </c>
      <c r="H569">
        <v>3</v>
      </c>
      <c r="I569">
        <v>1</v>
      </c>
      <c r="M569" t="str">
        <f>VLOOKUP(B569, [1]Course!$A$1:$O$933, 12, FALSE)</f>
        <v>LI</v>
      </c>
      <c r="N569" t="s">
        <v>14</v>
      </c>
      <c r="O569" t="str">
        <f>VLOOKUP(B569, [1]Course!$A$1:$O$933, 14, FALSE)</f>
        <v>LC</v>
      </c>
      <c r="P569">
        <v>1</v>
      </c>
    </row>
    <row r="570" spans="1:16" x14ac:dyDescent="0.25">
      <c r="A570">
        <v>569</v>
      </c>
      <c r="B570">
        <v>48</v>
      </c>
      <c r="C570">
        <v>79</v>
      </c>
      <c r="D570" t="s">
        <v>18</v>
      </c>
      <c r="E570" t="str">
        <f t="shared" si="8"/>
        <v>1279LC03PT</v>
      </c>
      <c r="F570">
        <f>VLOOKUP(B570,[1]Course!$A$2:$R$329,2,FALSE)</f>
        <v>0</v>
      </c>
      <c r="G570">
        <f>VLOOKUP(B570, [1]Course!$A$2:$L$950, 8, FALSE)</f>
        <v>12</v>
      </c>
      <c r="H570">
        <v>3</v>
      </c>
      <c r="I570">
        <v>1</v>
      </c>
      <c r="M570" t="str">
        <f>VLOOKUP(B570, [1]Course!$A$1:$O$933, 12, FALSE)</f>
        <v>LI</v>
      </c>
      <c r="N570" t="s">
        <v>14</v>
      </c>
      <c r="O570" t="str">
        <f>VLOOKUP(B570, [1]Course!$A$1:$O$933, 14, FALSE)</f>
        <v>LC</v>
      </c>
      <c r="P570">
        <v>1</v>
      </c>
    </row>
    <row r="571" spans="1:16" x14ac:dyDescent="0.25">
      <c r="A571">
        <v>570</v>
      </c>
      <c r="B571">
        <v>48</v>
      </c>
      <c r="C571">
        <v>80</v>
      </c>
      <c r="D571" t="s">
        <v>18</v>
      </c>
      <c r="E571" t="str">
        <f t="shared" si="8"/>
        <v>1280LC03PT</v>
      </c>
      <c r="F571">
        <f>VLOOKUP(B571,[1]Course!$A$2:$R$329,2,FALSE)</f>
        <v>0</v>
      </c>
      <c r="G571">
        <f>VLOOKUP(B571, [1]Course!$A$2:$L$950, 8, FALSE)</f>
        <v>12</v>
      </c>
      <c r="H571">
        <v>3</v>
      </c>
      <c r="I571">
        <v>1</v>
      </c>
      <c r="M571" t="str">
        <f>VLOOKUP(B571, [1]Course!$A$1:$O$933, 12, FALSE)</f>
        <v>LI</v>
      </c>
      <c r="N571" t="s">
        <v>14</v>
      </c>
      <c r="O571" t="str">
        <f>VLOOKUP(B571, [1]Course!$A$1:$O$933, 14, FALSE)</f>
        <v>LC</v>
      </c>
      <c r="P571">
        <v>1</v>
      </c>
    </row>
    <row r="572" spans="1:16" x14ac:dyDescent="0.25">
      <c r="A572">
        <v>571</v>
      </c>
      <c r="B572">
        <v>48</v>
      </c>
      <c r="C572">
        <v>81</v>
      </c>
      <c r="D572" t="s">
        <v>18</v>
      </c>
      <c r="E572" t="str">
        <f t="shared" si="8"/>
        <v>1281LC03PT</v>
      </c>
      <c r="F572">
        <f>VLOOKUP(B572,[1]Course!$A$2:$R$329,2,FALSE)</f>
        <v>0</v>
      </c>
      <c r="G572">
        <f>VLOOKUP(B572, [1]Course!$A$2:$L$950, 8, FALSE)</f>
        <v>12</v>
      </c>
      <c r="H572">
        <v>3</v>
      </c>
      <c r="I572">
        <v>1</v>
      </c>
      <c r="M572" t="str">
        <f>VLOOKUP(B572, [1]Course!$A$1:$O$933, 12, FALSE)</f>
        <v>LI</v>
      </c>
      <c r="N572" t="s">
        <v>14</v>
      </c>
      <c r="O572" t="str">
        <f>VLOOKUP(B572, [1]Course!$A$1:$O$933, 14, FALSE)</f>
        <v>LC</v>
      </c>
      <c r="P572">
        <v>1</v>
      </c>
    </row>
    <row r="573" spans="1:16" x14ac:dyDescent="0.25">
      <c r="A573">
        <v>572</v>
      </c>
      <c r="B573">
        <v>48</v>
      </c>
      <c r="C573">
        <v>82</v>
      </c>
      <c r="D573" t="s">
        <v>18</v>
      </c>
      <c r="E573" t="str">
        <f t="shared" si="8"/>
        <v>1282LC03PT</v>
      </c>
      <c r="F573">
        <f>VLOOKUP(B573,[1]Course!$A$2:$R$329,2,FALSE)</f>
        <v>0</v>
      </c>
      <c r="G573">
        <f>VLOOKUP(B573, [1]Course!$A$2:$L$950, 8, FALSE)</f>
        <v>12</v>
      </c>
      <c r="H573">
        <v>3</v>
      </c>
      <c r="I573">
        <v>1</v>
      </c>
      <c r="M573" t="str">
        <f>VLOOKUP(B573, [1]Course!$A$1:$O$933, 12, FALSE)</f>
        <v>LI</v>
      </c>
      <c r="N573" t="s">
        <v>14</v>
      </c>
      <c r="O573" t="str">
        <f>VLOOKUP(B573, [1]Course!$A$1:$O$933, 14, FALSE)</f>
        <v>LC</v>
      </c>
      <c r="P573">
        <v>1</v>
      </c>
    </row>
    <row r="574" spans="1:16" x14ac:dyDescent="0.25">
      <c r="A574">
        <v>573</v>
      </c>
      <c r="B574">
        <v>48</v>
      </c>
      <c r="C574">
        <v>83</v>
      </c>
      <c r="D574" t="s">
        <v>18</v>
      </c>
      <c r="E574" t="str">
        <f t="shared" si="8"/>
        <v>1283LC03PT</v>
      </c>
      <c r="F574">
        <f>VLOOKUP(B574,[1]Course!$A$2:$R$329,2,FALSE)</f>
        <v>0</v>
      </c>
      <c r="G574">
        <f>VLOOKUP(B574, [1]Course!$A$2:$L$950, 8, FALSE)</f>
        <v>12</v>
      </c>
      <c r="H574">
        <v>3</v>
      </c>
      <c r="I574">
        <v>1</v>
      </c>
      <c r="M574" t="str">
        <f>VLOOKUP(B574, [1]Course!$A$1:$O$933, 12, FALSE)</f>
        <v>LI</v>
      </c>
      <c r="N574" t="s">
        <v>14</v>
      </c>
      <c r="O574" t="str">
        <f>VLOOKUP(B574, [1]Course!$A$1:$O$933, 14, FALSE)</f>
        <v>LC</v>
      </c>
      <c r="P574">
        <v>1</v>
      </c>
    </row>
    <row r="575" spans="1:16" x14ac:dyDescent="0.25">
      <c r="A575">
        <v>574</v>
      </c>
      <c r="B575">
        <v>48</v>
      </c>
      <c r="C575">
        <v>84</v>
      </c>
      <c r="D575" t="s">
        <v>18</v>
      </c>
      <c r="E575" t="str">
        <f t="shared" si="8"/>
        <v>1284LC03PT</v>
      </c>
      <c r="F575">
        <f>VLOOKUP(B575,[1]Course!$A$2:$R$329,2,FALSE)</f>
        <v>0</v>
      </c>
      <c r="G575">
        <f>VLOOKUP(B575, [1]Course!$A$2:$L$950, 8, FALSE)</f>
        <v>12</v>
      </c>
      <c r="H575">
        <v>3</v>
      </c>
      <c r="I575">
        <v>1</v>
      </c>
      <c r="M575" t="str">
        <f>VLOOKUP(B575, [1]Course!$A$1:$O$933, 12, FALSE)</f>
        <v>LI</v>
      </c>
      <c r="N575" t="s">
        <v>14</v>
      </c>
      <c r="O575" t="str">
        <f>VLOOKUP(B575, [1]Course!$A$1:$O$933, 14, FALSE)</f>
        <v>LC</v>
      </c>
      <c r="P575">
        <v>1</v>
      </c>
    </row>
    <row r="576" spans="1:16" x14ac:dyDescent="0.25">
      <c r="A576">
        <v>575</v>
      </c>
      <c r="B576">
        <v>49</v>
      </c>
      <c r="C576">
        <v>73</v>
      </c>
      <c r="D576" t="s">
        <v>19</v>
      </c>
      <c r="E576" t="str">
        <f t="shared" si="8"/>
        <v>1273SC03PT</v>
      </c>
      <c r="F576" t="str">
        <f>VLOOKUP(B576,[1]Course!$A$2:$R$329,2,FALSE)</f>
        <v>Science 7</v>
      </c>
      <c r="G576">
        <f>VLOOKUP(B576, [1]Course!$A$2:$L$950, 8, FALSE)</f>
        <v>12</v>
      </c>
      <c r="H576">
        <v>3</v>
      </c>
      <c r="I576">
        <v>1</v>
      </c>
      <c r="J576">
        <v>2013</v>
      </c>
      <c r="K576" t="s">
        <v>92</v>
      </c>
      <c r="L576">
        <v>1</v>
      </c>
      <c r="M576" t="str">
        <f>VLOOKUP(B576, [1]Course!$A$1:$O$933, 12, FALSE)</f>
        <v>SC</v>
      </c>
      <c r="N576" t="s">
        <v>14</v>
      </c>
      <c r="O576" t="str">
        <f>VLOOKUP(B576, [1]Course!$A$1:$O$933, 14, FALSE)</f>
        <v>SC</v>
      </c>
      <c r="P576">
        <v>1</v>
      </c>
    </row>
    <row r="577" spans="1:16" x14ac:dyDescent="0.25">
      <c r="A577">
        <v>576</v>
      </c>
      <c r="B577">
        <v>49</v>
      </c>
      <c r="C577">
        <v>74</v>
      </c>
      <c r="D577" t="s">
        <v>19</v>
      </c>
      <c r="E577" t="str">
        <f t="shared" si="8"/>
        <v>1274SC03PT</v>
      </c>
      <c r="F577" t="str">
        <f>VLOOKUP(B577,[1]Course!$A$2:$R$329,2,FALSE)</f>
        <v>Science 7</v>
      </c>
      <c r="G577">
        <f>VLOOKUP(B577, [1]Course!$A$2:$L$950, 8, FALSE)</f>
        <v>12</v>
      </c>
      <c r="H577">
        <v>3</v>
      </c>
      <c r="I577">
        <v>1</v>
      </c>
      <c r="J577">
        <v>2013</v>
      </c>
      <c r="K577" t="s">
        <v>92</v>
      </c>
      <c r="L577">
        <v>1</v>
      </c>
      <c r="M577" t="str">
        <f>VLOOKUP(B577, [1]Course!$A$1:$O$933, 12, FALSE)</f>
        <v>SC</v>
      </c>
      <c r="N577" t="s">
        <v>14</v>
      </c>
      <c r="O577" t="str">
        <f>VLOOKUP(B577, [1]Course!$A$1:$O$933, 14, FALSE)</f>
        <v>SC</v>
      </c>
      <c r="P577">
        <v>1</v>
      </c>
    </row>
    <row r="578" spans="1:16" x14ac:dyDescent="0.25">
      <c r="A578">
        <v>577</v>
      </c>
      <c r="B578">
        <v>49</v>
      </c>
      <c r="C578">
        <v>75</v>
      </c>
      <c r="D578" t="s">
        <v>19</v>
      </c>
      <c r="E578" t="str">
        <f t="shared" si="8"/>
        <v>1275SC03PT</v>
      </c>
      <c r="F578" t="str">
        <f>VLOOKUP(B578,[1]Course!$A$2:$R$329,2,FALSE)</f>
        <v>Science 7</v>
      </c>
      <c r="G578">
        <f>VLOOKUP(B578, [1]Course!$A$2:$L$950, 8, FALSE)</f>
        <v>12</v>
      </c>
      <c r="H578">
        <v>3</v>
      </c>
      <c r="I578">
        <v>1</v>
      </c>
      <c r="M578" t="str">
        <f>VLOOKUP(B578, [1]Course!$A$1:$O$933, 12, FALSE)</f>
        <v>SC</v>
      </c>
      <c r="N578" t="s">
        <v>14</v>
      </c>
      <c r="O578" t="str">
        <f>VLOOKUP(B578, [1]Course!$A$1:$O$933, 14, FALSE)</f>
        <v>SC</v>
      </c>
      <c r="P578">
        <v>1</v>
      </c>
    </row>
    <row r="579" spans="1:16" x14ac:dyDescent="0.25">
      <c r="A579">
        <v>578</v>
      </c>
      <c r="B579">
        <v>49</v>
      </c>
      <c r="C579">
        <v>76</v>
      </c>
      <c r="D579" t="s">
        <v>19</v>
      </c>
      <c r="E579" t="str">
        <f t="shared" ref="E579:E642" si="9">UPPER(LEFT(G579,2)) &amp; RIGHT("0" &amp; C579, 2) &amp; D579 &amp; RIGHT("0" &amp; H579, 2) &amp; N579</f>
        <v>1276SC03PT</v>
      </c>
      <c r="F579" t="str">
        <f>VLOOKUP(B579,[1]Course!$A$2:$R$329,2,FALSE)</f>
        <v>Science 7</v>
      </c>
      <c r="G579">
        <f>VLOOKUP(B579, [1]Course!$A$2:$L$950, 8, FALSE)</f>
        <v>12</v>
      </c>
      <c r="H579">
        <v>3</v>
      </c>
      <c r="I579">
        <v>1</v>
      </c>
      <c r="M579" t="str">
        <f>VLOOKUP(B579, [1]Course!$A$1:$O$933, 12, FALSE)</f>
        <v>SC</v>
      </c>
      <c r="N579" t="s">
        <v>14</v>
      </c>
      <c r="O579" t="str">
        <f>VLOOKUP(B579, [1]Course!$A$1:$O$933, 14, FALSE)</f>
        <v>SC</v>
      </c>
      <c r="P579">
        <v>1</v>
      </c>
    </row>
    <row r="580" spans="1:16" x14ac:dyDescent="0.25">
      <c r="A580">
        <v>579</v>
      </c>
      <c r="B580">
        <v>49</v>
      </c>
      <c r="C580">
        <v>77</v>
      </c>
      <c r="D580" t="s">
        <v>19</v>
      </c>
      <c r="E580" t="str">
        <f t="shared" si="9"/>
        <v>1277SC03PT</v>
      </c>
      <c r="F580" t="str">
        <f>VLOOKUP(B580,[1]Course!$A$2:$R$329,2,FALSE)</f>
        <v>Science 7</v>
      </c>
      <c r="G580">
        <f>VLOOKUP(B580, [1]Course!$A$2:$L$950, 8, FALSE)</f>
        <v>12</v>
      </c>
      <c r="H580">
        <v>3</v>
      </c>
      <c r="I580">
        <v>1</v>
      </c>
      <c r="J580">
        <v>2013</v>
      </c>
      <c r="K580">
        <v>2021</v>
      </c>
      <c r="L580">
        <v>1</v>
      </c>
      <c r="M580" t="str">
        <f>VLOOKUP(B580, [1]Course!$A$1:$O$933, 12, FALSE)</f>
        <v>SC</v>
      </c>
      <c r="N580" t="s">
        <v>14</v>
      </c>
      <c r="O580" t="str">
        <f>VLOOKUP(B580, [1]Course!$A$1:$O$933, 14, FALSE)</f>
        <v>SC</v>
      </c>
      <c r="P580">
        <v>1</v>
      </c>
    </row>
    <row r="581" spans="1:16" x14ac:dyDescent="0.25">
      <c r="A581">
        <v>580</v>
      </c>
      <c r="B581">
        <v>49</v>
      </c>
      <c r="C581">
        <v>78</v>
      </c>
      <c r="D581" t="s">
        <v>19</v>
      </c>
      <c r="E581" t="str">
        <f t="shared" si="9"/>
        <v>1278SC03PT</v>
      </c>
      <c r="F581" t="str">
        <f>VLOOKUP(B581,[1]Course!$A$2:$R$329,2,FALSE)</f>
        <v>Science 7</v>
      </c>
      <c r="G581">
        <f>VLOOKUP(B581, [1]Course!$A$2:$L$950, 8, FALSE)</f>
        <v>12</v>
      </c>
      <c r="H581">
        <v>3</v>
      </c>
      <c r="I581">
        <v>1</v>
      </c>
      <c r="J581">
        <v>2013</v>
      </c>
      <c r="K581">
        <v>2017</v>
      </c>
      <c r="L581">
        <v>1</v>
      </c>
      <c r="M581" t="str">
        <f>VLOOKUP(B581, [1]Course!$A$1:$O$933, 12, FALSE)</f>
        <v>SC</v>
      </c>
      <c r="N581" t="s">
        <v>14</v>
      </c>
      <c r="O581" t="str">
        <f>VLOOKUP(B581, [1]Course!$A$1:$O$933, 14, FALSE)</f>
        <v>SC</v>
      </c>
      <c r="P581">
        <v>1</v>
      </c>
    </row>
    <row r="582" spans="1:16" x14ac:dyDescent="0.25">
      <c r="A582">
        <v>581</v>
      </c>
      <c r="B582">
        <v>49</v>
      </c>
      <c r="C582">
        <v>79</v>
      </c>
      <c r="D582" t="s">
        <v>19</v>
      </c>
      <c r="E582" t="str">
        <f t="shared" si="9"/>
        <v>1279SC03PT</v>
      </c>
      <c r="F582" t="str">
        <f>VLOOKUP(B582,[1]Course!$A$2:$R$329,2,FALSE)</f>
        <v>Science 7</v>
      </c>
      <c r="G582">
        <f>VLOOKUP(B582, [1]Course!$A$2:$L$950, 8, FALSE)</f>
        <v>12</v>
      </c>
      <c r="H582">
        <v>3</v>
      </c>
      <c r="I582">
        <v>1</v>
      </c>
      <c r="J582">
        <v>2013</v>
      </c>
      <c r="K582" t="s">
        <v>92</v>
      </c>
      <c r="L582">
        <v>1</v>
      </c>
      <c r="M582" t="str">
        <f>VLOOKUP(B582, [1]Course!$A$1:$O$933, 12, FALSE)</f>
        <v>SC</v>
      </c>
      <c r="N582" t="s">
        <v>14</v>
      </c>
      <c r="O582" t="str">
        <f>VLOOKUP(B582, [1]Course!$A$1:$O$933, 14, FALSE)</f>
        <v>SC</v>
      </c>
      <c r="P582">
        <v>1</v>
      </c>
    </row>
    <row r="583" spans="1:16" x14ac:dyDescent="0.25">
      <c r="A583">
        <v>582</v>
      </c>
      <c r="B583">
        <v>49</v>
      </c>
      <c r="C583">
        <v>80</v>
      </c>
      <c r="D583" t="s">
        <v>19</v>
      </c>
      <c r="E583" t="str">
        <f t="shared" si="9"/>
        <v>1280SC03PT</v>
      </c>
      <c r="F583" t="str">
        <f>VLOOKUP(B583,[1]Course!$A$2:$R$329,2,FALSE)</f>
        <v>Science 7</v>
      </c>
      <c r="G583">
        <f>VLOOKUP(B583, [1]Course!$A$2:$L$950, 8, FALSE)</f>
        <v>12</v>
      </c>
      <c r="H583">
        <v>3</v>
      </c>
      <c r="I583">
        <v>1</v>
      </c>
      <c r="J583">
        <v>2013</v>
      </c>
      <c r="K583">
        <v>2019</v>
      </c>
      <c r="L583">
        <v>1</v>
      </c>
      <c r="M583" t="str">
        <f>VLOOKUP(B583, [1]Course!$A$1:$O$933, 12, FALSE)</f>
        <v>SC</v>
      </c>
      <c r="N583" t="s">
        <v>14</v>
      </c>
      <c r="O583" t="str">
        <f>VLOOKUP(B583, [1]Course!$A$1:$O$933, 14, FALSE)</f>
        <v>SC</v>
      </c>
      <c r="P583">
        <v>1</v>
      </c>
    </row>
    <row r="584" spans="1:16" x14ac:dyDescent="0.25">
      <c r="A584">
        <v>583</v>
      </c>
      <c r="B584">
        <v>49</v>
      </c>
      <c r="C584">
        <v>81</v>
      </c>
      <c r="D584" t="s">
        <v>19</v>
      </c>
      <c r="E584" t="str">
        <f t="shared" si="9"/>
        <v>1281SC03PT</v>
      </c>
      <c r="F584" t="str">
        <f>VLOOKUP(B584,[1]Course!$A$2:$R$329,2,FALSE)</f>
        <v>Science 7</v>
      </c>
      <c r="G584">
        <f>VLOOKUP(B584, [1]Course!$A$2:$L$950, 8, FALSE)</f>
        <v>12</v>
      </c>
      <c r="H584">
        <v>3</v>
      </c>
      <c r="I584">
        <v>1</v>
      </c>
      <c r="J584">
        <v>2013</v>
      </c>
      <c r="K584" t="s">
        <v>92</v>
      </c>
      <c r="L584">
        <v>1</v>
      </c>
      <c r="M584" t="str">
        <f>VLOOKUP(B584, [1]Course!$A$1:$O$933, 12, FALSE)</f>
        <v>SC</v>
      </c>
      <c r="N584" t="s">
        <v>14</v>
      </c>
      <c r="O584" t="str">
        <f>VLOOKUP(B584, [1]Course!$A$1:$O$933, 14, FALSE)</f>
        <v>SC</v>
      </c>
      <c r="P584">
        <v>1</v>
      </c>
    </row>
    <row r="585" spans="1:16" x14ac:dyDescent="0.25">
      <c r="A585">
        <v>584</v>
      </c>
      <c r="B585">
        <v>49</v>
      </c>
      <c r="C585">
        <v>82</v>
      </c>
      <c r="D585" t="s">
        <v>19</v>
      </c>
      <c r="E585" t="str">
        <f t="shared" si="9"/>
        <v>1282SC03PT</v>
      </c>
      <c r="F585" t="str">
        <f>VLOOKUP(B585,[1]Course!$A$2:$R$329,2,FALSE)</f>
        <v>Science 7</v>
      </c>
      <c r="G585">
        <f>VLOOKUP(B585, [1]Course!$A$2:$L$950, 8, FALSE)</f>
        <v>12</v>
      </c>
      <c r="H585">
        <v>3</v>
      </c>
      <c r="I585">
        <v>1</v>
      </c>
      <c r="M585" t="str">
        <f>VLOOKUP(B585, [1]Course!$A$1:$O$933, 12, FALSE)</f>
        <v>SC</v>
      </c>
      <c r="N585" t="s">
        <v>14</v>
      </c>
      <c r="O585" t="str">
        <f>VLOOKUP(B585, [1]Course!$A$1:$O$933, 14, FALSE)</f>
        <v>SC</v>
      </c>
      <c r="P585">
        <v>1</v>
      </c>
    </row>
    <row r="586" spans="1:16" x14ac:dyDescent="0.25">
      <c r="A586">
        <v>585</v>
      </c>
      <c r="B586">
        <v>49</v>
      </c>
      <c r="C586">
        <v>83</v>
      </c>
      <c r="D586" t="s">
        <v>19</v>
      </c>
      <c r="E586" t="str">
        <f t="shared" si="9"/>
        <v>1283SC03PT</v>
      </c>
      <c r="F586" t="str">
        <f>VLOOKUP(B586,[1]Course!$A$2:$R$329,2,FALSE)</f>
        <v>Science 7</v>
      </c>
      <c r="G586">
        <f>VLOOKUP(B586, [1]Course!$A$2:$L$950, 8, FALSE)</f>
        <v>12</v>
      </c>
      <c r="H586">
        <v>3</v>
      </c>
      <c r="I586">
        <v>1</v>
      </c>
      <c r="J586">
        <v>2013</v>
      </c>
      <c r="K586" t="s">
        <v>92</v>
      </c>
      <c r="L586">
        <v>1</v>
      </c>
      <c r="M586" t="str">
        <f>VLOOKUP(B586, [1]Course!$A$1:$O$933, 12, FALSE)</f>
        <v>SC</v>
      </c>
      <c r="N586" t="s">
        <v>14</v>
      </c>
      <c r="O586" t="str">
        <f>VLOOKUP(B586, [1]Course!$A$1:$O$933, 14, FALSE)</f>
        <v>SC</v>
      </c>
      <c r="P586">
        <v>1</v>
      </c>
    </row>
    <row r="587" spans="1:16" x14ac:dyDescent="0.25">
      <c r="A587">
        <v>586</v>
      </c>
      <c r="B587">
        <v>49</v>
      </c>
      <c r="C587">
        <v>84</v>
      </c>
      <c r="D587" t="s">
        <v>19</v>
      </c>
      <c r="E587" t="str">
        <f t="shared" si="9"/>
        <v>1284SC03PT</v>
      </c>
      <c r="F587" t="str">
        <f>VLOOKUP(B587,[1]Course!$A$2:$R$329,2,FALSE)</f>
        <v>Science 7</v>
      </c>
      <c r="G587">
        <f>VLOOKUP(B587, [1]Course!$A$2:$L$950, 8, FALSE)</f>
        <v>12</v>
      </c>
      <c r="H587">
        <v>3</v>
      </c>
      <c r="I587">
        <v>1</v>
      </c>
      <c r="J587">
        <v>2013</v>
      </c>
      <c r="K587" t="s">
        <v>92</v>
      </c>
      <c r="L587">
        <v>1</v>
      </c>
      <c r="M587" t="str">
        <f>VLOOKUP(B587, [1]Course!$A$1:$O$933, 12, FALSE)</f>
        <v>SC</v>
      </c>
      <c r="N587" t="s">
        <v>14</v>
      </c>
      <c r="O587" t="str">
        <f>VLOOKUP(B587, [1]Course!$A$1:$O$933, 14, FALSE)</f>
        <v>SC</v>
      </c>
      <c r="P587">
        <v>1</v>
      </c>
    </row>
    <row r="588" spans="1:16" x14ac:dyDescent="0.25">
      <c r="A588">
        <v>587</v>
      </c>
      <c r="B588">
        <v>50</v>
      </c>
      <c r="C588">
        <v>73</v>
      </c>
      <c r="D588" t="s">
        <v>20</v>
      </c>
      <c r="E588" t="str">
        <f t="shared" si="9"/>
        <v>673SS03PT</v>
      </c>
      <c r="F588">
        <f>VLOOKUP(B588,[1]Course!$A$2:$R$329,2,FALSE)</f>
        <v>0</v>
      </c>
      <c r="G588">
        <f>VLOOKUP(B588, [1]Course!$A$2:$L$950, 8, FALSE)</f>
        <v>6</v>
      </c>
      <c r="H588">
        <v>3</v>
      </c>
      <c r="I588">
        <v>1</v>
      </c>
      <c r="M588" t="str">
        <f>VLOOKUP(B588, [1]Course!$A$1:$O$933, 12, FALSE)</f>
        <v>SS</v>
      </c>
      <c r="N588" t="s">
        <v>14</v>
      </c>
      <c r="O588" t="str">
        <f>VLOOKUP(B588, [1]Course!$A$1:$O$933, 14, FALSE)</f>
        <v>SS</v>
      </c>
      <c r="P588">
        <v>1</v>
      </c>
    </row>
    <row r="589" spans="1:16" x14ac:dyDescent="0.25">
      <c r="A589">
        <v>588</v>
      </c>
      <c r="B589">
        <v>50</v>
      </c>
      <c r="C589">
        <v>74</v>
      </c>
      <c r="D589" t="s">
        <v>20</v>
      </c>
      <c r="E589" t="str">
        <f t="shared" si="9"/>
        <v>674SS03PT</v>
      </c>
      <c r="F589">
        <f>VLOOKUP(B589,[1]Course!$A$2:$R$329,2,FALSE)</f>
        <v>0</v>
      </c>
      <c r="G589">
        <f>VLOOKUP(B589, [1]Course!$A$2:$L$950, 8, FALSE)</f>
        <v>6</v>
      </c>
      <c r="H589">
        <v>3</v>
      </c>
      <c r="I589">
        <v>1</v>
      </c>
      <c r="M589" t="str">
        <f>VLOOKUP(B589, [1]Course!$A$1:$O$933, 12, FALSE)</f>
        <v>SS</v>
      </c>
      <c r="N589" t="s">
        <v>14</v>
      </c>
      <c r="O589" t="str">
        <f>VLOOKUP(B589, [1]Course!$A$1:$O$933, 14, FALSE)</f>
        <v>SS</v>
      </c>
      <c r="P589">
        <v>1</v>
      </c>
    </row>
    <row r="590" spans="1:16" x14ac:dyDescent="0.25">
      <c r="A590">
        <v>589</v>
      </c>
      <c r="B590">
        <v>50</v>
      </c>
      <c r="C590">
        <v>75</v>
      </c>
      <c r="D590" t="s">
        <v>20</v>
      </c>
      <c r="E590" t="str">
        <f t="shared" si="9"/>
        <v>675SS03PT</v>
      </c>
      <c r="F590">
        <f>VLOOKUP(B590,[1]Course!$A$2:$R$329,2,FALSE)</f>
        <v>0</v>
      </c>
      <c r="G590">
        <f>VLOOKUP(B590, [1]Course!$A$2:$L$950, 8, FALSE)</f>
        <v>6</v>
      </c>
      <c r="H590">
        <v>3</v>
      </c>
      <c r="I590">
        <v>1</v>
      </c>
      <c r="M590" t="str">
        <f>VLOOKUP(B590, [1]Course!$A$1:$O$933, 12, FALSE)</f>
        <v>SS</v>
      </c>
      <c r="N590" t="s">
        <v>14</v>
      </c>
      <c r="O590" t="str">
        <f>VLOOKUP(B590, [1]Course!$A$1:$O$933, 14, FALSE)</f>
        <v>SS</v>
      </c>
      <c r="P590">
        <v>1</v>
      </c>
    </row>
    <row r="591" spans="1:16" x14ac:dyDescent="0.25">
      <c r="A591">
        <v>590</v>
      </c>
      <c r="B591">
        <v>50</v>
      </c>
      <c r="C591">
        <v>76</v>
      </c>
      <c r="D591" t="s">
        <v>20</v>
      </c>
      <c r="E591" t="str">
        <f t="shared" si="9"/>
        <v>676SS03PT</v>
      </c>
      <c r="F591">
        <f>VLOOKUP(B591,[1]Course!$A$2:$R$329,2,FALSE)</f>
        <v>0</v>
      </c>
      <c r="G591">
        <f>VLOOKUP(B591, [1]Course!$A$2:$L$950, 8, FALSE)</f>
        <v>6</v>
      </c>
      <c r="H591">
        <v>3</v>
      </c>
      <c r="I591">
        <v>1</v>
      </c>
      <c r="M591" t="str">
        <f>VLOOKUP(B591, [1]Course!$A$1:$O$933, 12, FALSE)</f>
        <v>SS</v>
      </c>
      <c r="N591" t="s">
        <v>14</v>
      </c>
      <c r="O591" t="str">
        <f>VLOOKUP(B591, [1]Course!$A$1:$O$933, 14, FALSE)</f>
        <v>SS</v>
      </c>
      <c r="P591">
        <v>1</v>
      </c>
    </row>
    <row r="592" spans="1:16" x14ac:dyDescent="0.25">
      <c r="A592">
        <v>591</v>
      </c>
      <c r="B592">
        <v>50</v>
      </c>
      <c r="C592">
        <v>77</v>
      </c>
      <c r="D592" t="s">
        <v>20</v>
      </c>
      <c r="E592" t="str">
        <f t="shared" si="9"/>
        <v>677SS03PT</v>
      </c>
      <c r="F592">
        <f>VLOOKUP(B592,[1]Course!$A$2:$R$329,2,FALSE)</f>
        <v>0</v>
      </c>
      <c r="G592">
        <f>VLOOKUP(B592, [1]Course!$A$2:$L$950, 8, FALSE)</f>
        <v>6</v>
      </c>
      <c r="H592">
        <v>3</v>
      </c>
      <c r="I592">
        <v>1</v>
      </c>
      <c r="M592" t="str">
        <f>VLOOKUP(B592, [1]Course!$A$1:$O$933, 12, FALSE)</f>
        <v>SS</v>
      </c>
      <c r="N592" t="s">
        <v>14</v>
      </c>
      <c r="O592" t="str">
        <f>VLOOKUP(B592, [1]Course!$A$1:$O$933, 14, FALSE)</f>
        <v>SS</v>
      </c>
      <c r="P592">
        <v>1</v>
      </c>
    </row>
    <row r="593" spans="1:16" x14ac:dyDescent="0.25">
      <c r="A593">
        <v>592</v>
      </c>
      <c r="B593">
        <v>50</v>
      </c>
      <c r="C593">
        <v>78</v>
      </c>
      <c r="D593" t="s">
        <v>20</v>
      </c>
      <c r="E593" t="str">
        <f t="shared" si="9"/>
        <v>678SS03PT</v>
      </c>
      <c r="F593">
        <f>VLOOKUP(B593,[1]Course!$A$2:$R$329,2,FALSE)</f>
        <v>0</v>
      </c>
      <c r="G593">
        <f>VLOOKUP(B593, [1]Course!$A$2:$L$950, 8, FALSE)</f>
        <v>6</v>
      </c>
      <c r="H593">
        <v>3</v>
      </c>
      <c r="I593">
        <v>1</v>
      </c>
      <c r="M593" t="str">
        <f>VLOOKUP(B593, [1]Course!$A$1:$O$933, 12, FALSE)</f>
        <v>SS</v>
      </c>
      <c r="N593" t="s">
        <v>14</v>
      </c>
      <c r="O593" t="str">
        <f>VLOOKUP(B593, [1]Course!$A$1:$O$933, 14, FALSE)</f>
        <v>SS</v>
      </c>
      <c r="P593">
        <v>1</v>
      </c>
    </row>
    <row r="594" spans="1:16" x14ac:dyDescent="0.25">
      <c r="A594">
        <v>593</v>
      </c>
      <c r="B594">
        <v>51</v>
      </c>
      <c r="C594">
        <v>1</v>
      </c>
      <c r="D594" t="s">
        <v>23</v>
      </c>
      <c r="E594" t="str">
        <f t="shared" si="9"/>
        <v>301SI03PT</v>
      </c>
      <c r="F594">
        <f>VLOOKUP(B594,[1]Course!$A$2:$R$329,2,FALSE)</f>
        <v>0</v>
      </c>
      <c r="G594">
        <f>VLOOKUP(B594, [1]Course!$A$2:$L$950, 8, FALSE)</f>
        <v>3</v>
      </c>
      <c r="H594">
        <v>3</v>
      </c>
      <c r="I594">
        <v>1</v>
      </c>
      <c r="M594" t="str">
        <f>VLOOKUP(B594, [1]Course!$A$1:$O$933, 12, FALSE)</f>
        <v>SS</v>
      </c>
      <c r="N594" t="s">
        <v>14</v>
      </c>
      <c r="O594" t="str">
        <f>VLOOKUP(B594, [1]Course!$A$1:$O$933, 14, FALSE)</f>
        <v>SI</v>
      </c>
      <c r="P594">
        <v>1</v>
      </c>
    </row>
    <row r="595" spans="1:16" x14ac:dyDescent="0.25">
      <c r="A595">
        <v>594</v>
      </c>
      <c r="B595">
        <v>51</v>
      </c>
      <c r="C595">
        <v>2</v>
      </c>
      <c r="D595" t="s">
        <v>23</v>
      </c>
      <c r="E595" t="str">
        <f t="shared" si="9"/>
        <v>302SI03PT</v>
      </c>
      <c r="F595">
        <f>VLOOKUP(B595,[1]Course!$A$2:$R$329,2,FALSE)</f>
        <v>0</v>
      </c>
      <c r="G595">
        <f>VLOOKUP(B595, [1]Course!$A$2:$L$950, 8, FALSE)</f>
        <v>3</v>
      </c>
      <c r="H595">
        <v>3</v>
      </c>
      <c r="I595">
        <v>1</v>
      </c>
      <c r="M595" t="str">
        <f>VLOOKUP(B595, [1]Course!$A$1:$O$933, 12, FALSE)</f>
        <v>SS</v>
      </c>
      <c r="N595" t="s">
        <v>14</v>
      </c>
      <c r="O595" t="str">
        <f>VLOOKUP(B595, [1]Course!$A$1:$O$933, 14, FALSE)</f>
        <v>SI</v>
      </c>
      <c r="P595">
        <v>1</v>
      </c>
    </row>
    <row r="596" spans="1:16" x14ac:dyDescent="0.25">
      <c r="A596">
        <v>595</v>
      </c>
      <c r="B596">
        <v>51</v>
      </c>
      <c r="C596">
        <v>3</v>
      </c>
      <c r="D596" t="s">
        <v>23</v>
      </c>
      <c r="E596" t="str">
        <f t="shared" si="9"/>
        <v>303SI03PT</v>
      </c>
      <c r="F596">
        <f>VLOOKUP(B596,[1]Course!$A$2:$R$329,2,FALSE)</f>
        <v>0</v>
      </c>
      <c r="G596">
        <f>VLOOKUP(B596, [1]Course!$A$2:$L$950, 8, FALSE)</f>
        <v>3</v>
      </c>
      <c r="H596">
        <v>3</v>
      </c>
      <c r="I596">
        <v>1</v>
      </c>
      <c r="M596" t="str">
        <f>VLOOKUP(B596, [1]Course!$A$1:$O$933, 12, FALSE)</f>
        <v>SS</v>
      </c>
      <c r="N596" t="s">
        <v>14</v>
      </c>
      <c r="O596" t="str">
        <f>VLOOKUP(B596, [1]Course!$A$1:$O$933, 14, FALSE)</f>
        <v>SI</v>
      </c>
      <c r="P596">
        <v>1</v>
      </c>
    </row>
    <row r="597" spans="1:16" x14ac:dyDescent="0.25">
      <c r="A597">
        <v>596</v>
      </c>
      <c r="B597">
        <v>52</v>
      </c>
      <c r="C597">
        <v>73</v>
      </c>
      <c r="D597" t="s">
        <v>21</v>
      </c>
      <c r="E597" t="str">
        <f t="shared" si="9"/>
        <v>1273BR03PT</v>
      </c>
      <c r="F597">
        <f>VLOOKUP(B597,[1]Course!$A$2:$R$329,2,FALSE)</f>
        <v>0</v>
      </c>
      <c r="G597">
        <f>VLOOKUP(B597, [1]Course!$A$2:$L$950, 8, FALSE)</f>
        <v>12</v>
      </c>
      <c r="H597">
        <v>3</v>
      </c>
      <c r="I597">
        <v>1</v>
      </c>
      <c r="M597" t="str">
        <f>VLOOKUP(B597, [1]Course!$A$1:$O$933, 12, FALSE)</f>
        <v>BS</v>
      </c>
      <c r="N597" t="s">
        <v>14</v>
      </c>
      <c r="O597" t="str">
        <f>VLOOKUP(B597, [1]Course!$A$1:$O$933, 14, FALSE)</f>
        <v>BR</v>
      </c>
      <c r="P597">
        <v>1</v>
      </c>
    </row>
    <row r="598" spans="1:16" x14ac:dyDescent="0.25">
      <c r="A598">
        <v>597</v>
      </c>
      <c r="B598">
        <v>52</v>
      </c>
      <c r="C598">
        <v>74</v>
      </c>
      <c r="D598" t="s">
        <v>21</v>
      </c>
      <c r="E598" t="str">
        <f t="shared" si="9"/>
        <v>1274BR03PT</v>
      </c>
      <c r="F598">
        <f>VLOOKUP(B598,[1]Course!$A$2:$R$329,2,FALSE)</f>
        <v>0</v>
      </c>
      <c r="G598">
        <f>VLOOKUP(B598, [1]Course!$A$2:$L$950, 8, FALSE)</f>
        <v>12</v>
      </c>
      <c r="H598">
        <v>3</v>
      </c>
      <c r="I598">
        <v>1</v>
      </c>
      <c r="M598" t="str">
        <f>VLOOKUP(B598, [1]Course!$A$1:$O$933, 12, FALSE)</f>
        <v>BS</v>
      </c>
      <c r="N598" t="s">
        <v>14</v>
      </c>
      <c r="O598" t="str">
        <f>VLOOKUP(B598, [1]Course!$A$1:$O$933, 14, FALSE)</f>
        <v>BR</v>
      </c>
      <c r="P598">
        <v>1</v>
      </c>
    </row>
    <row r="599" spans="1:16" x14ac:dyDescent="0.25">
      <c r="A599">
        <v>598</v>
      </c>
      <c r="B599">
        <v>52</v>
      </c>
      <c r="C599">
        <v>75</v>
      </c>
      <c r="D599" t="s">
        <v>21</v>
      </c>
      <c r="E599" t="str">
        <f t="shared" si="9"/>
        <v>1275BR03PT</v>
      </c>
      <c r="F599">
        <f>VLOOKUP(B599,[1]Course!$A$2:$R$329,2,FALSE)</f>
        <v>0</v>
      </c>
      <c r="G599">
        <f>VLOOKUP(B599, [1]Course!$A$2:$L$950, 8, FALSE)</f>
        <v>12</v>
      </c>
      <c r="H599">
        <v>3</v>
      </c>
      <c r="I599">
        <v>1</v>
      </c>
      <c r="M599" t="str">
        <f>VLOOKUP(B599, [1]Course!$A$1:$O$933, 12, FALSE)</f>
        <v>BS</v>
      </c>
      <c r="N599" t="s">
        <v>14</v>
      </c>
      <c r="O599" t="str">
        <f>VLOOKUP(B599, [1]Course!$A$1:$O$933, 14, FALSE)</f>
        <v>BR</v>
      </c>
      <c r="P599">
        <v>1</v>
      </c>
    </row>
    <row r="600" spans="1:16" x14ac:dyDescent="0.25">
      <c r="A600">
        <v>599</v>
      </c>
      <c r="B600">
        <v>52</v>
      </c>
      <c r="C600">
        <v>76</v>
      </c>
      <c r="D600" t="s">
        <v>21</v>
      </c>
      <c r="E600" t="str">
        <f t="shared" si="9"/>
        <v>1276BR03PT</v>
      </c>
      <c r="F600">
        <f>VLOOKUP(B600,[1]Course!$A$2:$R$329,2,FALSE)</f>
        <v>0</v>
      </c>
      <c r="G600">
        <f>VLOOKUP(B600, [1]Course!$A$2:$L$950, 8, FALSE)</f>
        <v>12</v>
      </c>
      <c r="H600">
        <v>3</v>
      </c>
      <c r="I600">
        <v>1</v>
      </c>
      <c r="M600" t="str">
        <f>VLOOKUP(B600, [1]Course!$A$1:$O$933, 12, FALSE)</f>
        <v>BS</v>
      </c>
      <c r="N600" t="s">
        <v>14</v>
      </c>
      <c r="O600" t="str">
        <f>VLOOKUP(B600, [1]Course!$A$1:$O$933, 14, FALSE)</f>
        <v>BR</v>
      </c>
      <c r="P600">
        <v>1</v>
      </c>
    </row>
    <row r="601" spans="1:16" x14ac:dyDescent="0.25">
      <c r="A601">
        <v>600</v>
      </c>
      <c r="B601">
        <v>52</v>
      </c>
      <c r="C601">
        <v>77</v>
      </c>
      <c r="D601" t="s">
        <v>21</v>
      </c>
      <c r="E601" t="str">
        <f t="shared" si="9"/>
        <v>1277BR03PT</v>
      </c>
      <c r="F601">
        <f>VLOOKUP(B601,[1]Course!$A$2:$R$329,2,FALSE)</f>
        <v>0</v>
      </c>
      <c r="G601">
        <f>VLOOKUP(B601, [1]Course!$A$2:$L$950, 8, FALSE)</f>
        <v>12</v>
      </c>
      <c r="H601">
        <v>3</v>
      </c>
      <c r="I601">
        <v>1</v>
      </c>
      <c r="M601" t="str">
        <f>VLOOKUP(B601, [1]Course!$A$1:$O$933, 12, FALSE)</f>
        <v>BS</v>
      </c>
      <c r="N601" t="s">
        <v>14</v>
      </c>
      <c r="O601" t="str">
        <f>VLOOKUP(B601, [1]Course!$A$1:$O$933, 14, FALSE)</f>
        <v>BR</v>
      </c>
      <c r="P601">
        <v>1</v>
      </c>
    </row>
    <row r="602" spans="1:16" x14ac:dyDescent="0.25">
      <c r="A602">
        <v>601</v>
      </c>
      <c r="B602">
        <v>52</v>
      </c>
      <c r="C602">
        <v>78</v>
      </c>
      <c r="D602" t="s">
        <v>21</v>
      </c>
      <c r="E602" t="str">
        <f t="shared" si="9"/>
        <v>1278BR03PT</v>
      </c>
      <c r="F602">
        <f>VLOOKUP(B602,[1]Course!$A$2:$R$329,2,FALSE)</f>
        <v>0</v>
      </c>
      <c r="G602">
        <f>VLOOKUP(B602, [1]Course!$A$2:$L$950, 8, FALSE)</f>
        <v>12</v>
      </c>
      <c r="H602">
        <v>3</v>
      </c>
      <c r="I602">
        <v>1</v>
      </c>
      <c r="M602" t="str">
        <f>VLOOKUP(B602, [1]Course!$A$1:$O$933, 12, FALSE)</f>
        <v>BS</v>
      </c>
      <c r="N602" t="s">
        <v>14</v>
      </c>
      <c r="O602" t="str">
        <f>VLOOKUP(B602, [1]Course!$A$1:$O$933, 14, FALSE)</f>
        <v>BR</v>
      </c>
      <c r="P602">
        <v>1</v>
      </c>
    </row>
    <row r="603" spans="1:16" x14ac:dyDescent="0.25">
      <c r="A603">
        <v>602</v>
      </c>
      <c r="B603">
        <v>52</v>
      </c>
      <c r="C603">
        <v>79</v>
      </c>
      <c r="D603" t="s">
        <v>21</v>
      </c>
      <c r="E603" t="str">
        <f t="shared" si="9"/>
        <v>1279BR03PT</v>
      </c>
      <c r="F603">
        <f>VLOOKUP(B603,[1]Course!$A$2:$R$329,2,FALSE)</f>
        <v>0</v>
      </c>
      <c r="G603">
        <f>VLOOKUP(B603, [1]Course!$A$2:$L$950, 8, FALSE)</f>
        <v>12</v>
      </c>
      <c r="H603">
        <v>3</v>
      </c>
      <c r="I603">
        <v>1</v>
      </c>
      <c r="M603" t="str">
        <f>VLOOKUP(B603, [1]Course!$A$1:$O$933, 12, FALSE)</f>
        <v>BS</v>
      </c>
      <c r="N603" t="s">
        <v>14</v>
      </c>
      <c r="O603" t="str">
        <f>VLOOKUP(B603, [1]Course!$A$1:$O$933, 14, FALSE)</f>
        <v>BR</v>
      </c>
      <c r="P603">
        <v>1</v>
      </c>
    </row>
    <row r="604" spans="1:16" x14ac:dyDescent="0.25">
      <c r="A604">
        <v>603</v>
      </c>
      <c r="B604">
        <v>52</v>
      </c>
      <c r="C604">
        <v>80</v>
      </c>
      <c r="D604" t="s">
        <v>21</v>
      </c>
      <c r="E604" t="str">
        <f t="shared" si="9"/>
        <v>1280BR03PT</v>
      </c>
      <c r="F604">
        <f>VLOOKUP(B604,[1]Course!$A$2:$R$329,2,FALSE)</f>
        <v>0</v>
      </c>
      <c r="G604">
        <f>VLOOKUP(B604, [1]Course!$A$2:$L$950, 8, FALSE)</f>
        <v>12</v>
      </c>
      <c r="H604">
        <v>3</v>
      </c>
      <c r="I604">
        <v>1</v>
      </c>
      <c r="M604" t="str">
        <f>VLOOKUP(B604, [1]Course!$A$1:$O$933, 12, FALSE)</f>
        <v>BS</v>
      </c>
      <c r="N604" t="s">
        <v>14</v>
      </c>
      <c r="O604" t="str">
        <f>VLOOKUP(B604, [1]Course!$A$1:$O$933, 14, FALSE)</f>
        <v>BR</v>
      </c>
      <c r="P604">
        <v>1</v>
      </c>
    </row>
    <row r="605" spans="1:16" x14ac:dyDescent="0.25">
      <c r="A605">
        <v>604</v>
      </c>
      <c r="B605">
        <v>52</v>
      </c>
      <c r="C605">
        <v>81</v>
      </c>
      <c r="D605" t="s">
        <v>21</v>
      </c>
      <c r="E605" t="str">
        <f t="shared" si="9"/>
        <v>1281BR03PT</v>
      </c>
      <c r="F605">
        <f>VLOOKUP(B605,[1]Course!$A$2:$R$329,2,FALSE)</f>
        <v>0</v>
      </c>
      <c r="G605">
        <f>VLOOKUP(B605, [1]Course!$A$2:$L$950, 8, FALSE)</f>
        <v>12</v>
      </c>
      <c r="H605">
        <v>3</v>
      </c>
      <c r="I605">
        <v>1</v>
      </c>
      <c r="M605" t="str">
        <f>VLOOKUP(B605, [1]Course!$A$1:$O$933, 12, FALSE)</f>
        <v>BS</v>
      </c>
      <c r="N605" t="s">
        <v>14</v>
      </c>
      <c r="O605" t="str">
        <f>VLOOKUP(B605, [1]Course!$A$1:$O$933, 14, FALSE)</f>
        <v>BR</v>
      </c>
      <c r="P605">
        <v>1</v>
      </c>
    </row>
    <row r="606" spans="1:16" x14ac:dyDescent="0.25">
      <c r="A606">
        <v>605</v>
      </c>
      <c r="B606">
        <v>52</v>
      </c>
      <c r="C606">
        <v>82</v>
      </c>
      <c r="D606" t="s">
        <v>21</v>
      </c>
      <c r="E606" t="str">
        <f t="shared" si="9"/>
        <v>1282BR03PT</v>
      </c>
      <c r="F606">
        <f>VLOOKUP(B606,[1]Course!$A$2:$R$329,2,FALSE)</f>
        <v>0</v>
      </c>
      <c r="G606">
        <f>VLOOKUP(B606, [1]Course!$A$2:$L$950, 8, FALSE)</f>
        <v>12</v>
      </c>
      <c r="H606">
        <v>3</v>
      </c>
      <c r="I606">
        <v>1</v>
      </c>
      <c r="M606" t="str">
        <f>VLOOKUP(B606, [1]Course!$A$1:$O$933, 12, FALSE)</f>
        <v>BS</v>
      </c>
      <c r="N606" t="s">
        <v>14</v>
      </c>
      <c r="O606" t="str">
        <f>VLOOKUP(B606, [1]Course!$A$1:$O$933, 14, FALSE)</f>
        <v>BR</v>
      </c>
      <c r="P606">
        <v>1</v>
      </c>
    </row>
    <row r="607" spans="1:16" x14ac:dyDescent="0.25">
      <c r="A607">
        <v>606</v>
      </c>
      <c r="B607">
        <v>52</v>
      </c>
      <c r="C607">
        <v>83</v>
      </c>
      <c r="D607" t="s">
        <v>21</v>
      </c>
      <c r="E607" t="str">
        <f t="shared" si="9"/>
        <v>1283BR03PT</v>
      </c>
      <c r="F607">
        <f>VLOOKUP(B607,[1]Course!$A$2:$R$329,2,FALSE)</f>
        <v>0</v>
      </c>
      <c r="G607">
        <f>VLOOKUP(B607, [1]Course!$A$2:$L$950, 8, FALSE)</f>
        <v>12</v>
      </c>
      <c r="H607">
        <v>3</v>
      </c>
      <c r="I607">
        <v>1</v>
      </c>
      <c r="M607" t="str">
        <f>VLOOKUP(B607, [1]Course!$A$1:$O$933, 12, FALSE)</f>
        <v>BS</v>
      </c>
      <c r="N607" t="s">
        <v>14</v>
      </c>
      <c r="O607" t="str">
        <f>VLOOKUP(B607, [1]Course!$A$1:$O$933, 14, FALSE)</f>
        <v>BR</v>
      </c>
      <c r="P607">
        <v>1</v>
      </c>
    </row>
    <row r="608" spans="1:16" x14ac:dyDescent="0.25">
      <c r="A608">
        <v>607</v>
      </c>
      <c r="B608">
        <v>52</v>
      </c>
      <c r="C608">
        <v>84</v>
      </c>
      <c r="D608" t="s">
        <v>21</v>
      </c>
      <c r="E608" t="str">
        <f t="shared" si="9"/>
        <v>1284BR03PT</v>
      </c>
      <c r="F608">
        <f>VLOOKUP(B608,[1]Course!$A$2:$R$329,2,FALSE)</f>
        <v>0</v>
      </c>
      <c r="G608">
        <f>VLOOKUP(B608, [1]Course!$A$2:$L$950, 8, FALSE)</f>
        <v>12</v>
      </c>
      <c r="H608">
        <v>3</v>
      </c>
      <c r="I608">
        <v>1</v>
      </c>
      <c r="M608" t="str">
        <f>VLOOKUP(B608, [1]Course!$A$1:$O$933, 12, FALSE)</f>
        <v>BS</v>
      </c>
      <c r="N608" t="s">
        <v>14</v>
      </c>
      <c r="O608" t="str">
        <f>VLOOKUP(B608, [1]Course!$A$1:$O$933, 14, FALSE)</f>
        <v>BR</v>
      </c>
      <c r="P608">
        <v>1</v>
      </c>
    </row>
    <row r="609" spans="1:16" x14ac:dyDescent="0.25">
      <c r="A609">
        <v>608</v>
      </c>
      <c r="B609">
        <v>53</v>
      </c>
      <c r="C609">
        <v>85</v>
      </c>
      <c r="D609" t="s">
        <v>24</v>
      </c>
      <c r="E609" t="str">
        <f t="shared" si="9"/>
        <v>1285GM03PT</v>
      </c>
      <c r="F609">
        <f>VLOOKUP(B609,[1]Course!$A$2:$R$329,2,FALSE)</f>
        <v>0</v>
      </c>
      <c r="G609">
        <f>VLOOKUP(B609, [1]Course!$A$2:$L$950, 8, FALSE)</f>
        <v>12</v>
      </c>
      <c r="H609">
        <v>3</v>
      </c>
      <c r="I609">
        <v>1</v>
      </c>
      <c r="M609" t="str">
        <f>VLOOKUP(B609, [1]Course!$A$1:$O$933, 12, FALSE)</f>
        <v>MA</v>
      </c>
      <c r="N609" t="s">
        <v>14</v>
      </c>
      <c r="O609" t="str">
        <f>VLOOKUP(B609, [1]Course!$A$1:$O$933, 14, FALSE)</f>
        <v>GM</v>
      </c>
      <c r="P609">
        <v>1</v>
      </c>
    </row>
    <row r="610" spans="1:16" x14ac:dyDescent="0.25">
      <c r="A610">
        <v>609</v>
      </c>
      <c r="B610">
        <v>53</v>
      </c>
      <c r="C610">
        <v>86</v>
      </c>
      <c r="D610" t="s">
        <v>24</v>
      </c>
      <c r="E610" t="str">
        <f t="shared" si="9"/>
        <v>1286GM03PT</v>
      </c>
      <c r="F610">
        <f>VLOOKUP(B610,[1]Course!$A$2:$R$329,2,FALSE)</f>
        <v>0</v>
      </c>
      <c r="G610">
        <f>VLOOKUP(B610, [1]Course!$A$2:$L$950, 8, FALSE)</f>
        <v>12</v>
      </c>
      <c r="H610">
        <v>3</v>
      </c>
      <c r="I610">
        <v>1</v>
      </c>
      <c r="M610" t="str">
        <f>VLOOKUP(B610, [1]Course!$A$1:$O$933, 12, FALSE)</f>
        <v>MA</v>
      </c>
      <c r="N610" t="s">
        <v>14</v>
      </c>
      <c r="O610" t="str">
        <f>VLOOKUP(B610, [1]Course!$A$1:$O$933, 14, FALSE)</f>
        <v>GM</v>
      </c>
      <c r="P610">
        <v>1</v>
      </c>
    </row>
    <row r="611" spans="1:16" x14ac:dyDescent="0.25">
      <c r="A611">
        <v>610</v>
      </c>
      <c r="B611">
        <v>53</v>
      </c>
      <c r="C611">
        <v>87</v>
      </c>
      <c r="D611" t="s">
        <v>24</v>
      </c>
      <c r="E611" t="str">
        <f t="shared" si="9"/>
        <v>1287GM03PT</v>
      </c>
      <c r="F611">
        <f>VLOOKUP(B611,[1]Course!$A$2:$R$329,2,FALSE)</f>
        <v>0</v>
      </c>
      <c r="G611">
        <f>VLOOKUP(B611, [1]Course!$A$2:$L$950, 8, FALSE)</f>
        <v>12</v>
      </c>
      <c r="H611">
        <v>3</v>
      </c>
      <c r="I611">
        <v>1</v>
      </c>
      <c r="M611" t="str">
        <f>VLOOKUP(B611, [1]Course!$A$1:$O$933, 12, FALSE)</f>
        <v>MA</v>
      </c>
      <c r="N611" t="s">
        <v>14</v>
      </c>
      <c r="O611" t="str">
        <f>VLOOKUP(B611, [1]Course!$A$1:$O$933, 14, FALSE)</f>
        <v>GM</v>
      </c>
      <c r="P611">
        <v>1</v>
      </c>
    </row>
    <row r="612" spans="1:16" x14ac:dyDescent="0.25">
      <c r="A612">
        <v>611</v>
      </c>
      <c r="B612">
        <v>53</v>
      </c>
      <c r="C612">
        <v>88</v>
      </c>
      <c r="D612" t="s">
        <v>24</v>
      </c>
      <c r="E612" t="str">
        <f t="shared" si="9"/>
        <v>1288GM03PT</v>
      </c>
      <c r="F612">
        <f>VLOOKUP(B612,[1]Course!$A$2:$R$329,2,FALSE)</f>
        <v>0</v>
      </c>
      <c r="G612">
        <f>VLOOKUP(B612, [1]Course!$A$2:$L$950, 8, FALSE)</f>
        <v>12</v>
      </c>
      <c r="H612">
        <v>3</v>
      </c>
      <c r="I612">
        <v>1</v>
      </c>
      <c r="J612">
        <v>2012</v>
      </c>
      <c r="K612">
        <v>2019</v>
      </c>
      <c r="L612">
        <v>1</v>
      </c>
      <c r="M612" t="str">
        <f>VLOOKUP(B612, [1]Course!$A$1:$O$933, 12, FALSE)</f>
        <v>MA</v>
      </c>
      <c r="N612" t="s">
        <v>14</v>
      </c>
      <c r="O612" t="str">
        <f>VLOOKUP(B612, [1]Course!$A$1:$O$933, 14, FALSE)</f>
        <v>GM</v>
      </c>
      <c r="P612">
        <v>1</v>
      </c>
    </row>
    <row r="613" spans="1:16" x14ac:dyDescent="0.25">
      <c r="A613">
        <v>612</v>
      </c>
      <c r="B613">
        <v>53</v>
      </c>
      <c r="C613">
        <v>89</v>
      </c>
      <c r="D613" t="s">
        <v>24</v>
      </c>
      <c r="E613" t="str">
        <f t="shared" si="9"/>
        <v>1289GM03PT</v>
      </c>
      <c r="F613">
        <f>VLOOKUP(B613,[1]Course!$A$2:$R$329,2,FALSE)</f>
        <v>0</v>
      </c>
      <c r="G613">
        <f>VLOOKUP(B613, [1]Course!$A$2:$L$950, 8, FALSE)</f>
        <v>12</v>
      </c>
      <c r="H613">
        <v>3</v>
      </c>
      <c r="I613">
        <v>1</v>
      </c>
      <c r="M613" t="str">
        <f>VLOOKUP(B613, [1]Course!$A$1:$O$933, 12, FALSE)</f>
        <v>MA</v>
      </c>
      <c r="N613" t="s">
        <v>14</v>
      </c>
      <c r="O613" t="str">
        <f>VLOOKUP(B613, [1]Course!$A$1:$O$933, 14, FALSE)</f>
        <v>GM</v>
      </c>
      <c r="P613">
        <v>1</v>
      </c>
    </row>
    <row r="614" spans="1:16" x14ac:dyDescent="0.25">
      <c r="A614">
        <v>613</v>
      </c>
      <c r="B614">
        <v>53</v>
      </c>
      <c r="C614">
        <v>90</v>
      </c>
      <c r="D614" t="s">
        <v>24</v>
      </c>
      <c r="E614" t="str">
        <f t="shared" si="9"/>
        <v>1290GM03PT</v>
      </c>
      <c r="F614">
        <f>VLOOKUP(B614,[1]Course!$A$2:$R$329,2,FALSE)</f>
        <v>0</v>
      </c>
      <c r="G614">
        <f>VLOOKUP(B614, [1]Course!$A$2:$L$950, 8, FALSE)</f>
        <v>12</v>
      </c>
      <c r="H614">
        <v>3</v>
      </c>
      <c r="I614">
        <v>1</v>
      </c>
      <c r="M614" t="str">
        <f>VLOOKUP(B614, [1]Course!$A$1:$O$933, 12, FALSE)</f>
        <v>MA</v>
      </c>
      <c r="N614" t="s">
        <v>14</v>
      </c>
      <c r="O614" t="str">
        <f>VLOOKUP(B614, [1]Course!$A$1:$O$933, 14, FALSE)</f>
        <v>GM</v>
      </c>
      <c r="P614">
        <v>1</v>
      </c>
    </row>
    <row r="615" spans="1:16" x14ac:dyDescent="0.25">
      <c r="A615">
        <v>614</v>
      </c>
      <c r="B615">
        <v>53</v>
      </c>
      <c r="C615">
        <v>91</v>
      </c>
      <c r="D615" t="s">
        <v>24</v>
      </c>
      <c r="E615" t="str">
        <f t="shared" si="9"/>
        <v>1291GM03PT</v>
      </c>
      <c r="F615">
        <f>VLOOKUP(B615,[1]Course!$A$2:$R$329,2,FALSE)</f>
        <v>0</v>
      </c>
      <c r="G615">
        <f>VLOOKUP(B615, [1]Course!$A$2:$L$950, 8, FALSE)</f>
        <v>12</v>
      </c>
      <c r="H615">
        <v>3</v>
      </c>
      <c r="I615">
        <v>1</v>
      </c>
      <c r="M615" t="str">
        <f>VLOOKUP(B615, [1]Course!$A$1:$O$933, 12, FALSE)</f>
        <v>MA</v>
      </c>
      <c r="N615" t="s">
        <v>14</v>
      </c>
      <c r="O615" t="str">
        <f>VLOOKUP(B615, [1]Course!$A$1:$O$933, 14, FALSE)</f>
        <v>GM</v>
      </c>
      <c r="P615">
        <v>1</v>
      </c>
    </row>
    <row r="616" spans="1:16" x14ac:dyDescent="0.25">
      <c r="A616">
        <v>615</v>
      </c>
      <c r="B616">
        <v>53</v>
      </c>
      <c r="C616">
        <v>92</v>
      </c>
      <c r="D616" t="s">
        <v>24</v>
      </c>
      <c r="E616" t="str">
        <f t="shared" si="9"/>
        <v>1292GM03PT</v>
      </c>
      <c r="F616">
        <f>VLOOKUP(B616,[1]Course!$A$2:$R$329,2,FALSE)</f>
        <v>0</v>
      </c>
      <c r="G616">
        <f>VLOOKUP(B616, [1]Course!$A$2:$L$950, 8, FALSE)</f>
        <v>12</v>
      </c>
      <c r="H616">
        <v>3</v>
      </c>
      <c r="I616">
        <v>1</v>
      </c>
      <c r="J616">
        <v>2012</v>
      </c>
      <c r="K616">
        <v>2018</v>
      </c>
      <c r="L616">
        <v>1</v>
      </c>
      <c r="M616" t="str">
        <f>VLOOKUP(B616, [1]Course!$A$1:$O$933, 12, FALSE)</f>
        <v>MA</v>
      </c>
      <c r="N616" t="s">
        <v>14</v>
      </c>
      <c r="O616" t="str">
        <f>VLOOKUP(B616, [1]Course!$A$1:$O$933, 14, FALSE)</f>
        <v>GM</v>
      </c>
      <c r="P616">
        <v>1</v>
      </c>
    </row>
    <row r="617" spans="1:16" x14ac:dyDescent="0.25">
      <c r="A617">
        <v>616</v>
      </c>
      <c r="B617">
        <v>53</v>
      </c>
      <c r="C617">
        <v>93</v>
      </c>
      <c r="D617" t="s">
        <v>24</v>
      </c>
      <c r="E617" t="str">
        <f t="shared" si="9"/>
        <v>1293GM03PT</v>
      </c>
      <c r="F617">
        <f>VLOOKUP(B617,[1]Course!$A$2:$R$329,2,FALSE)</f>
        <v>0</v>
      </c>
      <c r="G617">
        <f>VLOOKUP(B617, [1]Course!$A$2:$L$950, 8, FALSE)</f>
        <v>12</v>
      </c>
      <c r="H617">
        <v>3</v>
      </c>
      <c r="I617">
        <v>1</v>
      </c>
      <c r="M617" t="str">
        <f>VLOOKUP(B617, [1]Course!$A$1:$O$933, 12, FALSE)</f>
        <v>MA</v>
      </c>
      <c r="N617" t="s">
        <v>14</v>
      </c>
      <c r="O617" t="str">
        <f>VLOOKUP(B617, [1]Course!$A$1:$O$933, 14, FALSE)</f>
        <v>GM</v>
      </c>
      <c r="P617">
        <v>1</v>
      </c>
    </row>
    <row r="618" spans="1:16" x14ac:dyDescent="0.25">
      <c r="A618">
        <v>617</v>
      </c>
      <c r="B618">
        <v>53</v>
      </c>
      <c r="C618">
        <v>94</v>
      </c>
      <c r="D618" t="s">
        <v>24</v>
      </c>
      <c r="E618" t="str">
        <f t="shared" si="9"/>
        <v>1294GM03PT</v>
      </c>
      <c r="F618">
        <f>VLOOKUP(B618,[1]Course!$A$2:$R$329,2,FALSE)</f>
        <v>0</v>
      </c>
      <c r="G618">
        <f>VLOOKUP(B618, [1]Course!$A$2:$L$950, 8, FALSE)</f>
        <v>12</v>
      </c>
      <c r="H618">
        <v>3</v>
      </c>
      <c r="I618">
        <v>1</v>
      </c>
      <c r="M618" t="str">
        <f>VLOOKUP(B618, [1]Course!$A$1:$O$933, 12, FALSE)</f>
        <v>MA</v>
      </c>
      <c r="N618" t="s">
        <v>14</v>
      </c>
      <c r="O618" t="str">
        <f>VLOOKUP(B618, [1]Course!$A$1:$O$933, 14, FALSE)</f>
        <v>GM</v>
      </c>
      <c r="P618">
        <v>1</v>
      </c>
    </row>
    <row r="619" spans="1:16" x14ac:dyDescent="0.25">
      <c r="A619">
        <v>618</v>
      </c>
      <c r="B619">
        <v>53</v>
      </c>
      <c r="C619">
        <v>95</v>
      </c>
      <c r="D619" t="s">
        <v>24</v>
      </c>
      <c r="E619" t="str">
        <f t="shared" si="9"/>
        <v>1295GM03PT</v>
      </c>
      <c r="F619">
        <f>VLOOKUP(B619,[1]Course!$A$2:$R$329,2,FALSE)</f>
        <v>0</v>
      </c>
      <c r="G619">
        <f>VLOOKUP(B619, [1]Course!$A$2:$L$950, 8, FALSE)</f>
        <v>12</v>
      </c>
      <c r="H619">
        <v>3</v>
      </c>
      <c r="I619">
        <v>1</v>
      </c>
      <c r="M619" t="str">
        <f>VLOOKUP(B619, [1]Course!$A$1:$O$933, 12, FALSE)</f>
        <v>MA</v>
      </c>
      <c r="N619" t="s">
        <v>14</v>
      </c>
      <c r="O619" t="str">
        <f>VLOOKUP(B619, [1]Course!$A$1:$O$933, 14, FALSE)</f>
        <v>GM</v>
      </c>
      <c r="P619">
        <v>1</v>
      </c>
    </row>
    <row r="620" spans="1:16" x14ac:dyDescent="0.25">
      <c r="A620">
        <v>619</v>
      </c>
      <c r="B620">
        <v>53</v>
      </c>
      <c r="C620">
        <v>96</v>
      </c>
      <c r="D620" t="s">
        <v>24</v>
      </c>
      <c r="E620" t="str">
        <f t="shared" si="9"/>
        <v>1296GM03PT</v>
      </c>
      <c r="F620">
        <f>VLOOKUP(B620,[1]Course!$A$2:$R$329,2,FALSE)</f>
        <v>0</v>
      </c>
      <c r="G620">
        <f>VLOOKUP(B620, [1]Course!$A$2:$L$950, 8, FALSE)</f>
        <v>12</v>
      </c>
      <c r="H620">
        <v>3</v>
      </c>
      <c r="I620">
        <v>1</v>
      </c>
      <c r="M620" t="str">
        <f>VLOOKUP(B620, [1]Course!$A$1:$O$933, 12, FALSE)</f>
        <v>MA</v>
      </c>
      <c r="N620" t="s">
        <v>14</v>
      </c>
      <c r="O620" t="str">
        <f>VLOOKUP(B620, [1]Course!$A$1:$O$933, 14, FALSE)</f>
        <v>GM</v>
      </c>
      <c r="P620">
        <v>1</v>
      </c>
    </row>
    <row r="621" spans="1:16" x14ac:dyDescent="0.25">
      <c r="A621">
        <v>620</v>
      </c>
      <c r="B621">
        <v>54</v>
      </c>
      <c r="C621">
        <v>85</v>
      </c>
      <c r="D621" t="s">
        <v>16</v>
      </c>
      <c r="E621" t="str">
        <f t="shared" si="9"/>
        <v>1285EN03PT</v>
      </c>
      <c r="F621">
        <f>VLOOKUP(B621,[1]Course!$A$2:$R$329,2,FALSE)</f>
        <v>0</v>
      </c>
      <c r="G621">
        <f>VLOOKUP(B621, [1]Course!$A$2:$L$950, 8, FALSE)</f>
        <v>12</v>
      </c>
      <c r="H621">
        <v>3</v>
      </c>
      <c r="I621">
        <v>1</v>
      </c>
      <c r="J621">
        <v>1985</v>
      </c>
      <c r="K621">
        <v>1997</v>
      </c>
      <c r="L621">
        <v>1</v>
      </c>
      <c r="M621" t="str">
        <f>VLOOKUP(B621, [1]Course!$A$1:$O$933, 12, FALSE)</f>
        <v>LA</v>
      </c>
      <c r="N621" t="s">
        <v>14</v>
      </c>
      <c r="O621" t="str">
        <f>VLOOKUP(B621, [1]Course!$A$1:$O$933, 14, FALSE)</f>
        <v>EN</v>
      </c>
      <c r="P621">
        <v>1</v>
      </c>
    </row>
    <row r="622" spans="1:16" x14ac:dyDescent="0.25">
      <c r="A622">
        <v>621</v>
      </c>
      <c r="B622">
        <v>54</v>
      </c>
      <c r="C622">
        <v>86</v>
      </c>
      <c r="D622" t="s">
        <v>16</v>
      </c>
      <c r="E622" t="str">
        <f t="shared" si="9"/>
        <v>1286EN03PT</v>
      </c>
      <c r="F622">
        <f>VLOOKUP(B622,[1]Course!$A$2:$R$329,2,FALSE)</f>
        <v>0</v>
      </c>
      <c r="G622">
        <f>VLOOKUP(B622, [1]Course!$A$2:$L$950, 8, FALSE)</f>
        <v>12</v>
      </c>
      <c r="H622">
        <v>3</v>
      </c>
      <c r="I622">
        <v>1</v>
      </c>
      <c r="M622" t="str">
        <f>VLOOKUP(B622, [1]Course!$A$1:$O$933, 12, FALSE)</f>
        <v>LA</v>
      </c>
      <c r="N622" t="s">
        <v>14</v>
      </c>
      <c r="O622" t="str">
        <f>VLOOKUP(B622, [1]Course!$A$1:$O$933, 14, FALSE)</f>
        <v>EN</v>
      </c>
      <c r="P622">
        <v>1</v>
      </c>
    </row>
    <row r="623" spans="1:16" x14ac:dyDescent="0.25">
      <c r="A623">
        <v>622</v>
      </c>
      <c r="B623">
        <v>54</v>
      </c>
      <c r="C623">
        <v>87</v>
      </c>
      <c r="D623" t="s">
        <v>16</v>
      </c>
      <c r="E623" t="str">
        <f t="shared" si="9"/>
        <v>1287EN03PT</v>
      </c>
      <c r="F623">
        <f>VLOOKUP(B623,[1]Course!$A$2:$R$329,2,FALSE)</f>
        <v>0</v>
      </c>
      <c r="G623">
        <f>VLOOKUP(B623, [1]Course!$A$2:$L$950, 8, FALSE)</f>
        <v>12</v>
      </c>
      <c r="H623">
        <v>3</v>
      </c>
      <c r="I623">
        <v>1</v>
      </c>
      <c r="J623">
        <v>1985</v>
      </c>
      <c r="K623">
        <v>2015</v>
      </c>
      <c r="L623">
        <v>1</v>
      </c>
      <c r="M623" t="str">
        <f>VLOOKUP(B623, [1]Course!$A$1:$O$933, 12, FALSE)</f>
        <v>LA</v>
      </c>
      <c r="N623" t="s">
        <v>14</v>
      </c>
      <c r="O623" t="str">
        <f>VLOOKUP(B623, [1]Course!$A$1:$O$933, 14, FALSE)</f>
        <v>EN</v>
      </c>
      <c r="P623">
        <v>1</v>
      </c>
    </row>
    <row r="624" spans="1:16" x14ac:dyDescent="0.25">
      <c r="A624">
        <v>623</v>
      </c>
      <c r="B624">
        <v>54</v>
      </c>
      <c r="C624">
        <v>88</v>
      </c>
      <c r="D624" t="s">
        <v>16</v>
      </c>
      <c r="E624" t="str">
        <f t="shared" si="9"/>
        <v>1288EN03PT</v>
      </c>
      <c r="F624">
        <f>VLOOKUP(B624,[1]Course!$A$2:$R$329,2,FALSE)</f>
        <v>0</v>
      </c>
      <c r="G624">
        <f>VLOOKUP(B624, [1]Course!$A$2:$L$950, 8, FALSE)</f>
        <v>12</v>
      </c>
      <c r="H624">
        <v>3</v>
      </c>
      <c r="I624">
        <v>1</v>
      </c>
      <c r="J624">
        <v>1985</v>
      </c>
      <c r="K624">
        <v>1998</v>
      </c>
      <c r="L624">
        <v>1</v>
      </c>
      <c r="M624" t="str">
        <f>VLOOKUP(B624, [1]Course!$A$1:$O$933, 12, FALSE)</f>
        <v>LA</v>
      </c>
      <c r="N624" t="s">
        <v>14</v>
      </c>
      <c r="O624" t="str">
        <f>VLOOKUP(B624, [1]Course!$A$1:$O$933, 14, FALSE)</f>
        <v>EN</v>
      </c>
      <c r="P624">
        <v>1</v>
      </c>
    </row>
    <row r="625" spans="1:16" x14ac:dyDescent="0.25">
      <c r="A625">
        <v>624</v>
      </c>
      <c r="B625">
        <v>54</v>
      </c>
      <c r="C625">
        <v>89</v>
      </c>
      <c r="D625" t="s">
        <v>16</v>
      </c>
      <c r="E625" t="str">
        <f t="shared" si="9"/>
        <v>1289EN03PT</v>
      </c>
      <c r="F625">
        <f>VLOOKUP(B625,[1]Course!$A$2:$R$329,2,FALSE)</f>
        <v>0</v>
      </c>
      <c r="G625">
        <f>VLOOKUP(B625, [1]Course!$A$2:$L$950, 8, FALSE)</f>
        <v>12</v>
      </c>
      <c r="H625">
        <v>3</v>
      </c>
      <c r="I625">
        <v>1</v>
      </c>
      <c r="M625" t="str">
        <f>VLOOKUP(B625, [1]Course!$A$1:$O$933, 12, FALSE)</f>
        <v>LA</v>
      </c>
      <c r="N625" t="s">
        <v>14</v>
      </c>
      <c r="O625" t="str">
        <f>VLOOKUP(B625, [1]Course!$A$1:$O$933, 14, FALSE)</f>
        <v>EN</v>
      </c>
      <c r="P625">
        <v>1</v>
      </c>
    </row>
    <row r="626" spans="1:16" x14ac:dyDescent="0.25">
      <c r="A626">
        <v>625</v>
      </c>
      <c r="B626">
        <v>54</v>
      </c>
      <c r="C626">
        <v>90</v>
      </c>
      <c r="D626" t="s">
        <v>16</v>
      </c>
      <c r="E626" t="str">
        <f t="shared" si="9"/>
        <v>1290EN03PT</v>
      </c>
      <c r="F626">
        <f>VLOOKUP(B626,[1]Course!$A$2:$R$329,2,FALSE)</f>
        <v>0</v>
      </c>
      <c r="G626">
        <f>VLOOKUP(B626, [1]Course!$A$2:$L$950, 8, FALSE)</f>
        <v>12</v>
      </c>
      <c r="H626">
        <v>3</v>
      </c>
      <c r="I626">
        <v>1</v>
      </c>
      <c r="M626" t="str">
        <f>VLOOKUP(B626, [1]Course!$A$1:$O$933, 12, FALSE)</f>
        <v>LA</v>
      </c>
      <c r="N626" t="s">
        <v>14</v>
      </c>
      <c r="O626" t="str">
        <f>VLOOKUP(B626, [1]Course!$A$1:$O$933, 14, FALSE)</f>
        <v>EN</v>
      </c>
      <c r="P626">
        <v>1</v>
      </c>
    </row>
    <row r="627" spans="1:16" x14ac:dyDescent="0.25">
      <c r="A627">
        <v>626</v>
      </c>
      <c r="B627">
        <v>54</v>
      </c>
      <c r="C627">
        <v>91</v>
      </c>
      <c r="D627" t="s">
        <v>16</v>
      </c>
      <c r="E627" t="str">
        <f t="shared" si="9"/>
        <v>1291EN03PT</v>
      </c>
      <c r="F627">
        <f>VLOOKUP(B627,[1]Course!$A$2:$R$329,2,FALSE)</f>
        <v>0</v>
      </c>
      <c r="G627">
        <f>VLOOKUP(B627, [1]Course!$A$2:$L$950, 8, FALSE)</f>
        <v>12</v>
      </c>
      <c r="H627">
        <v>3</v>
      </c>
      <c r="I627">
        <v>1</v>
      </c>
      <c r="M627" t="str">
        <f>VLOOKUP(B627, [1]Course!$A$1:$O$933, 12, FALSE)</f>
        <v>LA</v>
      </c>
      <c r="N627" t="s">
        <v>14</v>
      </c>
      <c r="O627" t="str">
        <f>VLOOKUP(B627, [1]Course!$A$1:$O$933, 14, FALSE)</f>
        <v>EN</v>
      </c>
      <c r="P627">
        <v>1</v>
      </c>
    </row>
    <row r="628" spans="1:16" x14ac:dyDescent="0.25">
      <c r="A628">
        <v>627</v>
      </c>
      <c r="B628">
        <v>54</v>
      </c>
      <c r="C628">
        <v>92</v>
      </c>
      <c r="D628" t="s">
        <v>16</v>
      </c>
      <c r="E628" t="str">
        <f t="shared" si="9"/>
        <v>1292EN03PT</v>
      </c>
      <c r="F628">
        <f>VLOOKUP(B628,[1]Course!$A$2:$R$329,2,FALSE)</f>
        <v>0</v>
      </c>
      <c r="G628">
        <f>VLOOKUP(B628, [1]Course!$A$2:$L$950, 8, FALSE)</f>
        <v>12</v>
      </c>
      <c r="H628">
        <v>3</v>
      </c>
      <c r="I628">
        <v>1</v>
      </c>
      <c r="J628">
        <v>1985</v>
      </c>
      <c r="K628">
        <v>1996</v>
      </c>
      <c r="L628">
        <v>2</v>
      </c>
      <c r="M628" t="str">
        <f>VLOOKUP(B628, [1]Course!$A$1:$O$933, 12, FALSE)</f>
        <v>LA</v>
      </c>
      <c r="N628" t="s">
        <v>14</v>
      </c>
      <c r="O628" t="str">
        <f>VLOOKUP(B628, [1]Course!$A$1:$O$933, 14, FALSE)</f>
        <v>EN</v>
      </c>
      <c r="P628">
        <v>1</v>
      </c>
    </row>
    <row r="629" spans="1:16" x14ac:dyDescent="0.25">
      <c r="A629">
        <v>628</v>
      </c>
      <c r="B629">
        <v>54</v>
      </c>
      <c r="C629">
        <v>93</v>
      </c>
      <c r="D629" t="s">
        <v>16</v>
      </c>
      <c r="E629" t="str">
        <f t="shared" si="9"/>
        <v>1293EN03PT</v>
      </c>
      <c r="F629">
        <f>VLOOKUP(B629,[1]Course!$A$2:$R$329,2,FALSE)</f>
        <v>0</v>
      </c>
      <c r="G629">
        <f>VLOOKUP(B629, [1]Course!$A$2:$L$950, 8, FALSE)</f>
        <v>12</v>
      </c>
      <c r="H629">
        <v>3</v>
      </c>
      <c r="I629">
        <v>1</v>
      </c>
      <c r="J629">
        <v>1985</v>
      </c>
      <c r="K629">
        <v>1996</v>
      </c>
      <c r="L629">
        <v>1</v>
      </c>
      <c r="M629" t="str">
        <f>VLOOKUP(B629, [1]Course!$A$1:$O$933, 12, FALSE)</f>
        <v>LA</v>
      </c>
      <c r="N629" t="s">
        <v>14</v>
      </c>
      <c r="O629" t="str">
        <f>VLOOKUP(B629, [1]Course!$A$1:$O$933, 14, FALSE)</f>
        <v>EN</v>
      </c>
      <c r="P629">
        <v>1</v>
      </c>
    </row>
    <row r="630" spans="1:16" x14ac:dyDescent="0.25">
      <c r="A630">
        <v>629</v>
      </c>
      <c r="B630">
        <v>54</v>
      </c>
      <c r="C630">
        <v>94</v>
      </c>
      <c r="D630" t="s">
        <v>16</v>
      </c>
      <c r="E630" t="str">
        <f t="shared" si="9"/>
        <v>1294EN03PT</v>
      </c>
      <c r="F630">
        <f>VLOOKUP(B630,[1]Course!$A$2:$R$329,2,FALSE)</f>
        <v>0</v>
      </c>
      <c r="G630">
        <f>VLOOKUP(B630, [1]Course!$A$2:$L$950, 8, FALSE)</f>
        <v>12</v>
      </c>
      <c r="H630">
        <v>3</v>
      </c>
      <c r="I630">
        <v>1</v>
      </c>
      <c r="L630">
        <v>1</v>
      </c>
      <c r="M630" t="str">
        <f>VLOOKUP(B630, [1]Course!$A$1:$O$933, 12, FALSE)</f>
        <v>LA</v>
      </c>
      <c r="N630" t="s">
        <v>14</v>
      </c>
      <c r="O630" t="str">
        <f>VLOOKUP(B630, [1]Course!$A$1:$O$933, 14, FALSE)</f>
        <v>EN</v>
      </c>
      <c r="P630">
        <v>1</v>
      </c>
    </row>
    <row r="631" spans="1:16" x14ac:dyDescent="0.25">
      <c r="A631">
        <v>630</v>
      </c>
      <c r="B631">
        <v>54</v>
      </c>
      <c r="C631">
        <v>95</v>
      </c>
      <c r="D631" t="s">
        <v>16</v>
      </c>
      <c r="E631" t="str">
        <f t="shared" si="9"/>
        <v>1295EN03PT</v>
      </c>
      <c r="F631">
        <f>VLOOKUP(B631,[1]Course!$A$2:$R$329,2,FALSE)</f>
        <v>0</v>
      </c>
      <c r="G631">
        <f>VLOOKUP(B631, [1]Course!$A$2:$L$950, 8, FALSE)</f>
        <v>12</v>
      </c>
      <c r="H631">
        <v>3</v>
      </c>
      <c r="I631">
        <v>1</v>
      </c>
      <c r="L631">
        <v>1</v>
      </c>
      <c r="M631" t="str">
        <f>VLOOKUP(B631, [1]Course!$A$1:$O$933, 12, FALSE)</f>
        <v>LA</v>
      </c>
      <c r="N631" t="s">
        <v>14</v>
      </c>
      <c r="O631" t="str">
        <f>VLOOKUP(B631, [1]Course!$A$1:$O$933, 14, FALSE)</f>
        <v>EN</v>
      </c>
      <c r="P631">
        <v>1</v>
      </c>
    </row>
    <row r="632" spans="1:16" x14ac:dyDescent="0.25">
      <c r="A632">
        <v>631</v>
      </c>
      <c r="B632">
        <v>54</v>
      </c>
      <c r="C632">
        <v>96</v>
      </c>
      <c r="D632" t="s">
        <v>16</v>
      </c>
      <c r="E632" t="str">
        <f t="shared" si="9"/>
        <v>1296EN03PT</v>
      </c>
      <c r="F632">
        <f>VLOOKUP(B632,[1]Course!$A$2:$R$329,2,FALSE)</f>
        <v>0</v>
      </c>
      <c r="G632">
        <f>VLOOKUP(B632, [1]Course!$A$2:$L$950, 8, FALSE)</f>
        <v>12</v>
      </c>
      <c r="H632">
        <v>3</v>
      </c>
      <c r="I632">
        <v>1</v>
      </c>
      <c r="L632">
        <v>1</v>
      </c>
      <c r="M632" t="str">
        <f>VLOOKUP(B632, [1]Course!$A$1:$O$933, 12, FALSE)</f>
        <v>LA</v>
      </c>
      <c r="N632" t="s">
        <v>14</v>
      </c>
      <c r="O632" t="str">
        <f>VLOOKUP(B632, [1]Course!$A$1:$O$933, 14, FALSE)</f>
        <v>EN</v>
      </c>
      <c r="P632">
        <v>1</v>
      </c>
    </row>
    <row r="633" spans="1:16" x14ac:dyDescent="0.25">
      <c r="A633">
        <v>632</v>
      </c>
      <c r="B633">
        <v>55</v>
      </c>
      <c r="C633">
        <v>85</v>
      </c>
      <c r="D633" t="s">
        <v>17</v>
      </c>
      <c r="E633" t="str">
        <f t="shared" si="9"/>
        <v>1285WB03PT</v>
      </c>
      <c r="F633">
        <f>VLOOKUP(B633,[1]Course!$A$2:$R$329,2,FALSE)</f>
        <v>0</v>
      </c>
      <c r="G633">
        <f>VLOOKUP(B633, [1]Course!$A$2:$L$950, 8, FALSE)</f>
        <v>12</v>
      </c>
      <c r="H633">
        <v>3</v>
      </c>
      <c r="I633">
        <v>1</v>
      </c>
      <c r="M633" t="str">
        <f>VLOOKUP(B633, [1]Course!$A$1:$O$933, 12, FALSE)</f>
        <v>WB</v>
      </c>
      <c r="N633" t="s">
        <v>14</v>
      </c>
      <c r="O633" t="str">
        <f>VLOOKUP(B633, [1]Course!$A$1:$O$933, 14, FALSE)</f>
        <v>WB</v>
      </c>
      <c r="P633">
        <v>1</v>
      </c>
    </row>
    <row r="634" spans="1:16" x14ac:dyDescent="0.25">
      <c r="A634">
        <v>633</v>
      </c>
      <c r="B634">
        <v>55</v>
      </c>
      <c r="C634">
        <v>86</v>
      </c>
      <c r="D634" t="s">
        <v>17</v>
      </c>
      <c r="E634" t="str">
        <f t="shared" si="9"/>
        <v>1286WB03PT</v>
      </c>
      <c r="F634">
        <f>VLOOKUP(B634,[1]Course!$A$2:$R$329,2,FALSE)</f>
        <v>0</v>
      </c>
      <c r="G634">
        <f>VLOOKUP(B634, [1]Course!$A$2:$L$950, 8, FALSE)</f>
        <v>12</v>
      </c>
      <c r="H634">
        <v>3</v>
      </c>
      <c r="I634">
        <v>1</v>
      </c>
      <c r="M634" t="str">
        <f>VLOOKUP(B634, [1]Course!$A$1:$O$933, 12, FALSE)</f>
        <v>WB</v>
      </c>
      <c r="N634" t="s">
        <v>14</v>
      </c>
      <c r="O634" t="str">
        <f>VLOOKUP(B634, [1]Course!$A$1:$O$933, 14, FALSE)</f>
        <v>WB</v>
      </c>
      <c r="P634">
        <v>1</v>
      </c>
    </row>
    <row r="635" spans="1:16" x14ac:dyDescent="0.25">
      <c r="A635">
        <v>634</v>
      </c>
      <c r="B635">
        <v>55</v>
      </c>
      <c r="C635">
        <v>87</v>
      </c>
      <c r="D635" t="s">
        <v>17</v>
      </c>
      <c r="E635" t="str">
        <f t="shared" si="9"/>
        <v>1287WB03PT</v>
      </c>
      <c r="F635">
        <f>VLOOKUP(B635,[1]Course!$A$2:$R$329,2,FALSE)</f>
        <v>0</v>
      </c>
      <c r="G635">
        <f>VLOOKUP(B635, [1]Course!$A$2:$L$950, 8, FALSE)</f>
        <v>12</v>
      </c>
      <c r="H635">
        <v>3</v>
      </c>
      <c r="I635">
        <v>1</v>
      </c>
      <c r="M635" t="str">
        <f>VLOOKUP(B635, [1]Course!$A$1:$O$933, 12, FALSE)</f>
        <v>WB</v>
      </c>
      <c r="N635" t="s">
        <v>14</v>
      </c>
      <c r="O635" t="str">
        <f>VLOOKUP(B635, [1]Course!$A$1:$O$933, 14, FALSE)</f>
        <v>WB</v>
      </c>
      <c r="P635">
        <v>1</v>
      </c>
    </row>
    <row r="636" spans="1:16" x14ac:dyDescent="0.25">
      <c r="A636">
        <v>635</v>
      </c>
      <c r="B636">
        <v>55</v>
      </c>
      <c r="C636">
        <v>88</v>
      </c>
      <c r="D636" t="s">
        <v>17</v>
      </c>
      <c r="E636" t="str">
        <f t="shared" si="9"/>
        <v>1288WB03PT</v>
      </c>
      <c r="F636">
        <f>VLOOKUP(B636,[1]Course!$A$2:$R$329,2,FALSE)</f>
        <v>0</v>
      </c>
      <c r="G636">
        <f>VLOOKUP(B636, [1]Course!$A$2:$L$950, 8, FALSE)</f>
        <v>12</v>
      </c>
      <c r="H636">
        <v>3</v>
      </c>
      <c r="I636">
        <v>1</v>
      </c>
      <c r="M636" t="str">
        <f>VLOOKUP(B636, [1]Course!$A$1:$O$933, 12, FALSE)</f>
        <v>WB</v>
      </c>
      <c r="N636" t="s">
        <v>14</v>
      </c>
      <c r="O636" t="str">
        <f>VLOOKUP(B636, [1]Course!$A$1:$O$933, 14, FALSE)</f>
        <v>WB</v>
      </c>
      <c r="P636">
        <v>1</v>
      </c>
    </row>
    <row r="637" spans="1:16" x14ac:dyDescent="0.25">
      <c r="A637">
        <v>636</v>
      </c>
      <c r="B637">
        <v>55</v>
      </c>
      <c r="C637">
        <v>89</v>
      </c>
      <c r="D637" t="s">
        <v>17</v>
      </c>
      <c r="E637" t="str">
        <f t="shared" si="9"/>
        <v>1289WB03PT</v>
      </c>
      <c r="F637">
        <f>VLOOKUP(B637,[1]Course!$A$2:$R$329,2,FALSE)</f>
        <v>0</v>
      </c>
      <c r="G637">
        <f>VLOOKUP(B637, [1]Course!$A$2:$L$950, 8, FALSE)</f>
        <v>12</v>
      </c>
      <c r="H637">
        <v>3</v>
      </c>
      <c r="I637">
        <v>1</v>
      </c>
      <c r="M637" t="str">
        <f>VLOOKUP(B637, [1]Course!$A$1:$O$933, 12, FALSE)</f>
        <v>WB</v>
      </c>
      <c r="N637" t="s">
        <v>14</v>
      </c>
      <c r="O637" t="str">
        <f>VLOOKUP(B637, [1]Course!$A$1:$O$933, 14, FALSE)</f>
        <v>WB</v>
      </c>
      <c r="P637">
        <v>1</v>
      </c>
    </row>
    <row r="638" spans="1:16" x14ac:dyDescent="0.25">
      <c r="A638">
        <v>637</v>
      </c>
      <c r="B638">
        <v>55</v>
      </c>
      <c r="C638">
        <v>90</v>
      </c>
      <c r="D638" t="s">
        <v>17</v>
      </c>
      <c r="E638" t="str">
        <f t="shared" si="9"/>
        <v>1290WB03PT</v>
      </c>
      <c r="F638">
        <f>VLOOKUP(B638,[1]Course!$A$2:$R$329,2,FALSE)</f>
        <v>0</v>
      </c>
      <c r="G638">
        <f>VLOOKUP(B638, [1]Course!$A$2:$L$950, 8, FALSE)</f>
        <v>12</v>
      </c>
      <c r="H638">
        <v>3</v>
      </c>
      <c r="I638">
        <v>1</v>
      </c>
      <c r="M638" t="str">
        <f>VLOOKUP(B638, [1]Course!$A$1:$O$933, 12, FALSE)</f>
        <v>WB</v>
      </c>
      <c r="N638" t="s">
        <v>14</v>
      </c>
      <c r="O638" t="str">
        <f>VLOOKUP(B638, [1]Course!$A$1:$O$933, 14, FALSE)</f>
        <v>WB</v>
      </c>
      <c r="P638">
        <v>1</v>
      </c>
    </row>
    <row r="639" spans="1:16" x14ac:dyDescent="0.25">
      <c r="A639">
        <v>638</v>
      </c>
      <c r="B639">
        <v>55</v>
      </c>
      <c r="C639">
        <v>91</v>
      </c>
      <c r="D639" t="s">
        <v>17</v>
      </c>
      <c r="E639" t="str">
        <f t="shared" si="9"/>
        <v>1291WB03PT</v>
      </c>
      <c r="F639">
        <f>VLOOKUP(B639,[1]Course!$A$2:$R$329,2,FALSE)</f>
        <v>0</v>
      </c>
      <c r="G639">
        <f>VLOOKUP(B639, [1]Course!$A$2:$L$950, 8, FALSE)</f>
        <v>12</v>
      </c>
      <c r="H639">
        <v>3</v>
      </c>
      <c r="I639">
        <v>1</v>
      </c>
      <c r="M639" t="str">
        <f>VLOOKUP(B639, [1]Course!$A$1:$O$933, 12, FALSE)</f>
        <v>WB</v>
      </c>
      <c r="N639" t="s">
        <v>14</v>
      </c>
      <c r="O639" t="str">
        <f>VLOOKUP(B639, [1]Course!$A$1:$O$933, 14, FALSE)</f>
        <v>WB</v>
      </c>
      <c r="P639">
        <v>1</v>
      </c>
    </row>
    <row r="640" spans="1:16" x14ac:dyDescent="0.25">
      <c r="A640">
        <v>639</v>
      </c>
      <c r="B640">
        <v>55</v>
      </c>
      <c r="C640">
        <v>92</v>
      </c>
      <c r="D640" t="s">
        <v>17</v>
      </c>
      <c r="E640" t="str">
        <f t="shared" si="9"/>
        <v>1292WB03PT</v>
      </c>
      <c r="F640">
        <f>VLOOKUP(B640,[1]Course!$A$2:$R$329,2,FALSE)</f>
        <v>0</v>
      </c>
      <c r="G640">
        <f>VLOOKUP(B640, [1]Course!$A$2:$L$950, 8, FALSE)</f>
        <v>12</v>
      </c>
      <c r="H640">
        <v>3</v>
      </c>
      <c r="I640">
        <v>1</v>
      </c>
      <c r="M640" t="str">
        <f>VLOOKUP(B640, [1]Course!$A$1:$O$933, 12, FALSE)</f>
        <v>WB</v>
      </c>
      <c r="N640" t="s">
        <v>14</v>
      </c>
      <c r="O640" t="str">
        <f>VLOOKUP(B640, [1]Course!$A$1:$O$933, 14, FALSE)</f>
        <v>WB</v>
      </c>
      <c r="P640">
        <v>1</v>
      </c>
    </row>
    <row r="641" spans="1:16" x14ac:dyDescent="0.25">
      <c r="A641">
        <v>640</v>
      </c>
      <c r="B641">
        <v>55</v>
      </c>
      <c r="C641">
        <v>93</v>
      </c>
      <c r="D641" t="s">
        <v>17</v>
      </c>
      <c r="E641" t="str">
        <f t="shared" si="9"/>
        <v>1293WB03PT</v>
      </c>
      <c r="F641">
        <f>VLOOKUP(B641,[1]Course!$A$2:$R$329,2,FALSE)</f>
        <v>0</v>
      </c>
      <c r="G641">
        <f>VLOOKUP(B641, [1]Course!$A$2:$L$950, 8, FALSE)</f>
        <v>12</v>
      </c>
      <c r="H641">
        <v>3</v>
      </c>
      <c r="I641">
        <v>1</v>
      </c>
      <c r="M641" t="str">
        <f>VLOOKUP(B641, [1]Course!$A$1:$O$933, 12, FALSE)</f>
        <v>WB</v>
      </c>
      <c r="N641" t="s">
        <v>14</v>
      </c>
      <c r="O641" t="str">
        <f>VLOOKUP(B641, [1]Course!$A$1:$O$933, 14, FALSE)</f>
        <v>WB</v>
      </c>
      <c r="P641">
        <v>1</v>
      </c>
    </row>
    <row r="642" spans="1:16" x14ac:dyDescent="0.25">
      <c r="A642">
        <v>641</v>
      </c>
      <c r="B642">
        <v>55</v>
      </c>
      <c r="C642">
        <v>94</v>
      </c>
      <c r="D642" t="s">
        <v>17</v>
      </c>
      <c r="E642" t="str">
        <f t="shared" si="9"/>
        <v>1294WB03PT</v>
      </c>
      <c r="F642">
        <f>VLOOKUP(B642,[1]Course!$A$2:$R$329,2,FALSE)</f>
        <v>0</v>
      </c>
      <c r="G642">
        <f>VLOOKUP(B642, [1]Course!$A$2:$L$950, 8, FALSE)</f>
        <v>12</v>
      </c>
      <c r="H642">
        <v>3</v>
      </c>
      <c r="I642">
        <v>1</v>
      </c>
      <c r="M642" t="str">
        <f>VLOOKUP(B642, [1]Course!$A$1:$O$933, 12, FALSE)</f>
        <v>WB</v>
      </c>
      <c r="N642" t="s">
        <v>14</v>
      </c>
      <c r="O642" t="str">
        <f>VLOOKUP(B642, [1]Course!$A$1:$O$933, 14, FALSE)</f>
        <v>WB</v>
      </c>
      <c r="P642">
        <v>1</v>
      </c>
    </row>
    <row r="643" spans="1:16" x14ac:dyDescent="0.25">
      <c r="A643">
        <v>642</v>
      </c>
      <c r="B643">
        <v>55</v>
      </c>
      <c r="C643">
        <v>95</v>
      </c>
      <c r="D643" t="s">
        <v>17</v>
      </c>
      <c r="E643" t="str">
        <f t="shared" ref="E643:E706" si="10">UPPER(LEFT(G643,2)) &amp; RIGHT("0" &amp; C643, 2) &amp; D643 &amp; RIGHT("0" &amp; H643, 2) &amp; N643</f>
        <v>1295WB03PT</v>
      </c>
      <c r="F643">
        <f>VLOOKUP(B643,[1]Course!$A$2:$R$329,2,FALSE)</f>
        <v>0</v>
      </c>
      <c r="G643">
        <f>VLOOKUP(B643, [1]Course!$A$2:$L$950, 8, FALSE)</f>
        <v>12</v>
      </c>
      <c r="H643">
        <v>3</v>
      </c>
      <c r="I643">
        <v>1</v>
      </c>
      <c r="M643" t="str">
        <f>VLOOKUP(B643, [1]Course!$A$1:$O$933, 12, FALSE)</f>
        <v>WB</v>
      </c>
      <c r="N643" t="s">
        <v>14</v>
      </c>
      <c r="O643" t="str">
        <f>VLOOKUP(B643, [1]Course!$A$1:$O$933, 14, FALSE)</f>
        <v>WB</v>
      </c>
      <c r="P643">
        <v>1</v>
      </c>
    </row>
    <row r="644" spans="1:16" x14ac:dyDescent="0.25">
      <c r="A644">
        <v>643</v>
      </c>
      <c r="B644">
        <v>55</v>
      </c>
      <c r="C644">
        <v>96</v>
      </c>
      <c r="D644" t="s">
        <v>17</v>
      </c>
      <c r="E644" t="str">
        <f t="shared" si="10"/>
        <v>1296WB03PT</v>
      </c>
      <c r="F644">
        <f>VLOOKUP(B644,[1]Course!$A$2:$R$329,2,FALSE)</f>
        <v>0</v>
      </c>
      <c r="G644">
        <f>VLOOKUP(B644, [1]Course!$A$2:$L$950, 8, FALSE)</f>
        <v>12</v>
      </c>
      <c r="H644">
        <v>3</v>
      </c>
      <c r="I644">
        <v>1</v>
      </c>
      <c r="M644" t="str">
        <f>VLOOKUP(B644, [1]Course!$A$1:$O$933, 12, FALSE)</f>
        <v>WB</v>
      </c>
      <c r="N644" t="s">
        <v>14</v>
      </c>
      <c r="O644" t="str">
        <f>VLOOKUP(B644, [1]Course!$A$1:$O$933, 14, FALSE)</f>
        <v>WB</v>
      </c>
      <c r="P644">
        <v>1</v>
      </c>
    </row>
    <row r="645" spans="1:16" x14ac:dyDescent="0.25">
      <c r="A645">
        <v>644</v>
      </c>
      <c r="B645">
        <v>56</v>
      </c>
      <c r="C645">
        <v>86</v>
      </c>
      <c r="D645" t="s">
        <v>18</v>
      </c>
      <c r="E645" t="str">
        <f t="shared" si="10"/>
        <v>1186LC03PT</v>
      </c>
      <c r="F645">
        <f>VLOOKUP(B645,[1]Course!$A$2:$R$329,2,FALSE)</f>
        <v>0</v>
      </c>
      <c r="G645">
        <f>VLOOKUP(B645, [1]Course!$A$2:$L$950, 8, FALSE)</f>
        <v>11</v>
      </c>
      <c r="H645">
        <v>3</v>
      </c>
      <c r="I645">
        <v>1</v>
      </c>
      <c r="M645" t="str">
        <f>VLOOKUP(B645, [1]Course!$A$1:$O$933, 12, FALSE)</f>
        <v>LI</v>
      </c>
      <c r="N645" t="s">
        <v>14</v>
      </c>
      <c r="O645" t="str">
        <f>VLOOKUP(B645, [1]Course!$A$1:$O$933, 14, FALSE)</f>
        <v>LC</v>
      </c>
      <c r="P645">
        <v>1</v>
      </c>
    </row>
    <row r="646" spans="1:16" x14ac:dyDescent="0.25">
      <c r="A646">
        <v>645</v>
      </c>
      <c r="B646">
        <v>56</v>
      </c>
      <c r="C646">
        <v>87</v>
      </c>
      <c r="D646" t="s">
        <v>18</v>
      </c>
      <c r="E646" t="str">
        <f t="shared" si="10"/>
        <v>1187LC03PT</v>
      </c>
      <c r="F646">
        <f>VLOOKUP(B646,[1]Course!$A$2:$R$329,2,FALSE)</f>
        <v>0</v>
      </c>
      <c r="G646">
        <f>VLOOKUP(B646, [1]Course!$A$2:$L$950, 8, FALSE)</f>
        <v>11</v>
      </c>
      <c r="H646">
        <v>3</v>
      </c>
      <c r="I646">
        <v>1</v>
      </c>
      <c r="M646" t="str">
        <f>VLOOKUP(B646, [1]Course!$A$1:$O$933, 12, FALSE)</f>
        <v>LI</v>
      </c>
      <c r="N646" t="s">
        <v>14</v>
      </c>
      <c r="O646" t="str">
        <f>VLOOKUP(B646, [1]Course!$A$1:$O$933, 14, FALSE)</f>
        <v>LC</v>
      </c>
      <c r="P646">
        <v>1</v>
      </c>
    </row>
    <row r="647" spans="1:16" x14ac:dyDescent="0.25">
      <c r="A647">
        <v>646</v>
      </c>
      <c r="B647">
        <v>56</v>
      </c>
      <c r="C647">
        <v>88</v>
      </c>
      <c r="D647" t="s">
        <v>18</v>
      </c>
      <c r="E647" t="str">
        <f t="shared" si="10"/>
        <v>1188LC03PT</v>
      </c>
      <c r="F647">
        <f>VLOOKUP(B647,[1]Course!$A$2:$R$329,2,FALSE)</f>
        <v>0</v>
      </c>
      <c r="G647">
        <f>VLOOKUP(B647, [1]Course!$A$2:$L$950, 8, FALSE)</f>
        <v>11</v>
      </c>
      <c r="H647">
        <v>3</v>
      </c>
      <c r="I647">
        <v>1</v>
      </c>
      <c r="M647" t="str">
        <f>VLOOKUP(B647, [1]Course!$A$1:$O$933, 12, FALSE)</f>
        <v>LI</v>
      </c>
      <c r="N647" t="s">
        <v>14</v>
      </c>
      <c r="O647" t="str">
        <f>VLOOKUP(B647, [1]Course!$A$1:$O$933, 14, FALSE)</f>
        <v>LC</v>
      </c>
      <c r="P647">
        <v>1</v>
      </c>
    </row>
    <row r="648" spans="1:16" x14ac:dyDescent="0.25">
      <c r="A648">
        <v>647</v>
      </c>
      <c r="B648">
        <v>56</v>
      </c>
      <c r="C648">
        <v>89</v>
      </c>
      <c r="D648" t="s">
        <v>18</v>
      </c>
      <c r="E648" t="str">
        <f t="shared" si="10"/>
        <v>1189LC03PT</v>
      </c>
      <c r="F648">
        <f>VLOOKUP(B648,[1]Course!$A$2:$R$329,2,FALSE)</f>
        <v>0</v>
      </c>
      <c r="G648">
        <f>VLOOKUP(B648, [1]Course!$A$2:$L$950, 8, FALSE)</f>
        <v>11</v>
      </c>
      <c r="H648">
        <v>3</v>
      </c>
      <c r="I648">
        <v>1</v>
      </c>
      <c r="M648" t="str">
        <f>VLOOKUP(B648, [1]Course!$A$1:$O$933, 12, FALSE)</f>
        <v>LI</v>
      </c>
      <c r="N648" t="s">
        <v>14</v>
      </c>
      <c r="O648" t="str">
        <f>VLOOKUP(B648, [1]Course!$A$1:$O$933, 14, FALSE)</f>
        <v>LC</v>
      </c>
      <c r="P648">
        <v>1</v>
      </c>
    </row>
    <row r="649" spans="1:16" x14ac:dyDescent="0.25">
      <c r="A649">
        <v>648</v>
      </c>
      <c r="B649">
        <v>56</v>
      </c>
      <c r="C649">
        <v>90</v>
      </c>
      <c r="D649" t="s">
        <v>18</v>
      </c>
      <c r="E649" t="str">
        <f t="shared" si="10"/>
        <v>1190LC03PT</v>
      </c>
      <c r="F649">
        <f>VLOOKUP(B649,[1]Course!$A$2:$R$329,2,FALSE)</f>
        <v>0</v>
      </c>
      <c r="G649">
        <f>VLOOKUP(B649, [1]Course!$A$2:$L$950, 8, FALSE)</f>
        <v>11</v>
      </c>
      <c r="H649">
        <v>3</v>
      </c>
      <c r="I649">
        <v>1</v>
      </c>
      <c r="M649" t="str">
        <f>VLOOKUP(B649, [1]Course!$A$1:$O$933, 12, FALSE)</f>
        <v>LI</v>
      </c>
      <c r="N649" t="s">
        <v>14</v>
      </c>
      <c r="O649" t="str">
        <f>VLOOKUP(B649, [1]Course!$A$1:$O$933, 14, FALSE)</f>
        <v>LC</v>
      </c>
      <c r="P649">
        <v>1</v>
      </c>
    </row>
    <row r="650" spans="1:16" x14ac:dyDescent="0.25">
      <c r="A650">
        <v>649</v>
      </c>
      <c r="B650">
        <v>56</v>
      </c>
      <c r="C650">
        <v>91</v>
      </c>
      <c r="D650" t="s">
        <v>18</v>
      </c>
      <c r="E650" t="str">
        <f t="shared" si="10"/>
        <v>1191LC03PT</v>
      </c>
      <c r="F650">
        <f>VLOOKUP(B650,[1]Course!$A$2:$R$329,2,FALSE)</f>
        <v>0</v>
      </c>
      <c r="G650">
        <f>VLOOKUP(B650, [1]Course!$A$2:$L$950, 8, FALSE)</f>
        <v>11</v>
      </c>
      <c r="H650">
        <v>3</v>
      </c>
      <c r="I650">
        <v>1</v>
      </c>
      <c r="M650" t="str">
        <f>VLOOKUP(B650, [1]Course!$A$1:$O$933, 12, FALSE)</f>
        <v>LI</v>
      </c>
      <c r="N650" t="s">
        <v>14</v>
      </c>
      <c r="O650" t="str">
        <f>VLOOKUP(B650, [1]Course!$A$1:$O$933, 14, FALSE)</f>
        <v>LC</v>
      </c>
      <c r="P650">
        <v>1</v>
      </c>
    </row>
    <row r="651" spans="1:16" x14ac:dyDescent="0.25">
      <c r="A651">
        <v>650</v>
      </c>
      <c r="B651">
        <v>56</v>
      </c>
      <c r="C651">
        <v>92</v>
      </c>
      <c r="D651" t="s">
        <v>18</v>
      </c>
      <c r="E651" t="str">
        <f t="shared" si="10"/>
        <v>1192LC03PT</v>
      </c>
      <c r="F651">
        <f>VLOOKUP(B651,[1]Course!$A$2:$R$329,2,FALSE)</f>
        <v>0</v>
      </c>
      <c r="G651">
        <f>VLOOKUP(B651, [1]Course!$A$2:$L$950, 8, FALSE)</f>
        <v>11</v>
      </c>
      <c r="H651">
        <v>3</v>
      </c>
      <c r="I651">
        <v>1</v>
      </c>
      <c r="M651" t="str">
        <f>VLOOKUP(B651, [1]Course!$A$1:$O$933, 12, FALSE)</f>
        <v>LI</v>
      </c>
      <c r="N651" t="s">
        <v>14</v>
      </c>
      <c r="O651" t="str">
        <f>VLOOKUP(B651, [1]Course!$A$1:$O$933, 14, FALSE)</f>
        <v>LC</v>
      </c>
      <c r="P651">
        <v>1</v>
      </c>
    </row>
    <row r="652" spans="1:16" x14ac:dyDescent="0.25">
      <c r="A652">
        <v>651</v>
      </c>
      <c r="B652">
        <v>56</v>
      </c>
      <c r="C652">
        <v>93</v>
      </c>
      <c r="D652" t="s">
        <v>18</v>
      </c>
      <c r="E652" t="str">
        <f t="shared" si="10"/>
        <v>1193LC03PT</v>
      </c>
      <c r="F652">
        <f>VLOOKUP(B652,[1]Course!$A$2:$R$329,2,FALSE)</f>
        <v>0</v>
      </c>
      <c r="G652">
        <f>VLOOKUP(B652, [1]Course!$A$2:$L$950, 8, FALSE)</f>
        <v>11</v>
      </c>
      <c r="H652">
        <v>3</v>
      </c>
      <c r="I652">
        <v>1</v>
      </c>
      <c r="M652" t="str">
        <f>VLOOKUP(B652, [1]Course!$A$1:$O$933, 12, FALSE)</f>
        <v>LI</v>
      </c>
      <c r="N652" t="s">
        <v>14</v>
      </c>
      <c r="O652" t="str">
        <f>VLOOKUP(B652, [1]Course!$A$1:$O$933, 14, FALSE)</f>
        <v>LC</v>
      </c>
      <c r="P652">
        <v>1</v>
      </c>
    </row>
    <row r="653" spans="1:16" x14ac:dyDescent="0.25">
      <c r="A653">
        <v>652</v>
      </c>
      <c r="B653">
        <v>56</v>
      </c>
      <c r="C653">
        <v>94</v>
      </c>
      <c r="D653" t="s">
        <v>18</v>
      </c>
      <c r="E653" t="str">
        <f t="shared" si="10"/>
        <v>1194LC03PT</v>
      </c>
      <c r="F653">
        <f>VLOOKUP(B653,[1]Course!$A$2:$R$329,2,FALSE)</f>
        <v>0</v>
      </c>
      <c r="G653">
        <f>VLOOKUP(B653, [1]Course!$A$2:$L$950, 8, FALSE)</f>
        <v>11</v>
      </c>
      <c r="H653">
        <v>3</v>
      </c>
      <c r="I653">
        <v>1</v>
      </c>
      <c r="M653" t="str">
        <f>VLOOKUP(B653, [1]Course!$A$1:$O$933, 12, FALSE)</f>
        <v>LI</v>
      </c>
      <c r="N653" t="s">
        <v>14</v>
      </c>
      <c r="O653" t="str">
        <f>VLOOKUP(B653, [1]Course!$A$1:$O$933, 14, FALSE)</f>
        <v>LC</v>
      </c>
      <c r="P653">
        <v>1</v>
      </c>
    </row>
    <row r="654" spans="1:16" x14ac:dyDescent="0.25">
      <c r="A654">
        <v>653</v>
      </c>
      <c r="B654">
        <v>56</v>
      </c>
      <c r="C654">
        <v>95</v>
      </c>
      <c r="D654" t="s">
        <v>18</v>
      </c>
      <c r="E654" t="str">
        <f t="shared" si="10"/>
        <v>1195LC03PT</v>
      </c>
      <c r="F654">
        <f>VLOOKUP(B654,[1]Course!$A$2:$R$329,2,FALSE)</f>
        <v>0</v>
      </c>
      <c r="G654">
        <f>VLOOKUP(B654, [1]Course!$A$2:$L$950, 8, FALSE)</f>
        <v>11</v>
      </c>
      <c r="H654">
        <v>3</v>
      </c>
      <c r="I654">
        <v>1</v>
      </c>
      <c r="M654" t="str">
        <f>VLOOKUP(B654, [1]Course!$A$1:$O$933, 12, FALSE)</f>
        <v>LI</v>
      </c>
      <c r="N654" t="s">
        <v>14</v>
      </c>
      <c r="O654" t="str">
        <f>VLOOKUP(B654, [1]Course!$A$1:$O$933, 14, FALSE)</f>
        <v>LC</v>
      </c>
      <c r="P654">
        <v>1</v>
      </c>
    </row>
    <row r="655" spans="1:16" x14ac:dyDescent="0.25">
      <c r="A655">
        <v>654</v>
      </c>
      <c r="B655">
        <v>56</v>
      </c>
      <c r="C655">
        <v>96</v>
      </c>
      <c r="D655" t="s">
        <v>18</v>
      </c>
      <c r="E655" t="str">
        <f t="shared" si="10"/>
        <v>1196LC03PT</v>
      </c>
      <c r="F655">
        <f>VLOOKUP(B655,[1]Course!$A$2:$R$329,2,FALSE)</f>
        <v>0</v>
      </c>
      <c r="G655">
        <f>VLOOKUP(B655, [1]Course!$A$2:$L$950, 8, FALSE)</f>
        <v>11</v>
      </c>
      <c r="H655">
        <v>3</v>
      </c>
      <c r="I655">
        <v>1</v>
      </c>
      <c r="M655" t="str">
        <f>VLOOKUP(B655, [1]Course!$A$1:$O$933, 12, FALSE)</f>
        <v>LI</v>
      </c>
      <c r="N655" t="s">
        <v>14</v>
      </c>
      <c r="O655" t="str">
        <f>VLOOKUP(B655, [1]Course!$A$1:$O$933, 14, FALSE)</f>
        <v>LC</v>
      </c>
      <c r="P655">
        <v>1</v>
      </c>
    </row>
    <row r="656" spans="1:16" x14ac:dyDescent="0.25">
      <c r="A656">
        <v>655</v>
      </c>
      <c r="B656">
        <v>57</v>
      </c>
      <c r="C656">
        <v>85</v>
      </c>
      <c r="D656" t="s">
        <v>25</v>
      </c>
      <c r="E656" t="str">
        <f t="shared" si="10"/>
        <v>1285ES03PT</v>
      </c>
      <c r="F656" t="str">
        <f>VLOOKUP(B656,[1]Course!$A$2:$R$329,2,FALSE)</f>
        <v>Science 8</v>
      </c>
      <c r="G656">
        <f>VLOOKUP(B656, [1]Course!$A$2:$L$950, 8, FALSE)</f>
        <v>12</v>
      </c>
      <c r="H656">
        <v>3</v>
      </c>
      <c r="I656">
        <v>1</v>
      </c>
      <c r="J656">
        <v>2016</v>
      </c>
      <c r="K656" t="s">
        <v>92</v>
      </c>
      <c r="L656">
        <v>1</v>
      </c>
      <c r="M656" t="str">
        <f>VLOOKUP(B656, [1]Course!$A$1:$O$933, 12, FALSE)</f>
        <v>SC</v>
      </c>
      <c r="N656" t="s">
        <v>14</v>
      </c>
      <c r="O656" t="str">
        <f>VLOOKUP(B656, [1]Course!$A$1:$O$933, 14, FALSE)</f>
        <v>ES</v>
      </c>
      <c r="P656">
        <v>1</v>
      </c>
    </row>
    <row r="657" spans="1:16" x14ac:dyDescent="0.25">
      <c r="A657">
        <v>656</v>
      </c>
      <c r="B657">
        <v>57</v>
      </c>
      <c r="C657">
        <v>86</v>
      </c>
      <c r="D657" t="s">
        <v>25</v>
      </c>
      <c r="E657" t="str">
        <f t="shared" si="10"/>
        <v>1286ES03PT</v>
      </c>
      <c r="F657" t="str">
        <f>VLOOKUP(B657,[1]Course!$A$2:$R$329,2,FALSE)</f>
        <v>Science 8</v>
      </c>
      <c r="G657">
        <f>VLOOKUP(B657, [1]Course!$A$2:$L$950, 8, FALSE)</f>
        <v>12</v>
      </c>
      <c r="H657">
        <v>3</v>
      </c>
      <c r="I657">
        <v>1</v>
      </c>
      <c r="J657">
        <v>2016</v>
      </c>
      <c r="K657" t="s">
        <v>92</v>
      </c>
      <c r="L657">
        <v>1</v>
      </c>
      <c r="M657" t="str">
        <f>VLOOKUP(B657, [1]Course!$A$1:$O$933, 12, FALSE)</f>
        <v>SC</v>
      </c>
      <c r="N657" t="s">
        <v>14</v>
      </c>
      <c r="O657" t="str">
        <f>VLOOKUP(B657, [1]Course!$A$1:$O$933, 14, FALSE)</f>
        <v>ES</v>
      </c>
      <c r="P657">
        <v>1</v>
      </c>
    </row>
    <row r="658" spans="1:16" x14ac:dyDescent="0.25">
      <c r="A658">
        <v>657</v>
      </c>
      <c r="B658">
        <v>57</v>
      </c>
      <c r="C658">
        <v>87</v>
      </c>
      <c r="D658" t="s">
        <v>25</v>
      </c>
      <c r="E658" t="str">
        <f t="shared" si="10"/>
        <v>1287ES03PT</v>
      </c>
      <c r="F658" t="str">
        <f>VLOOKUP(B658,[1]Course!$A$2:$R$329,2,FALSE)</f>
        <v>Science 8</v>
      </c>
      <c r="G658">
        <f>VLOOKUP(B658, [1]Course!$A$2:$L$950, 8, FALSE)</f>
        <v>12</v>
      </c>
      <c r="H658">
        <v>3</v>
      </c>
      <c r="I658">
        <v>1</v>
      </c>
      <c r="M658" t="str">
        <f>VLOOKUP(B658, [1]Course!$A$1:$O$933, 12, FALSE)</f>
        <v>SC</v>
      </c>
      <c r="N658" t="s">
        <v>14</v>
      </c>
      <c r="O658" t="str">
        <f>VLOOKUP(B658, [1]Course!$A$1:$O$933, 14, FALSE)</f>
        <v>ES</v>
      </c>
      <c r="P658">
        <v>1</v>
      </c>
    </row>
    <row r="659" spans="1:16" x14ac:dyDescent="0.25">
      <c r="A659">
        <v>658</v>
      </c>
      <c r="B659">
        <v>57</v>
      </c>
      <c r="C659">
        <v>88</v>
      </c>
      <c r="D659" t="s">
        <v>25</v>
      </c>
      <c r="E659" t="str">
        <f t="shared" si="10"/>
        <v>1288ES03PT</v>
      </c>
      <c r="F659" t="str">
        <f>VLOOKUP(B659,[1]Course!$A$2:$R$329,2,FALSE)</f>
        <v>Science 8</v>
      </c>
      <c r="G659">
        <f>VLOOKUP(B659, [1]Course!$A$2:$L$950, 8, FALSE)</f>
        <v>12</v>
      </c>
      <c r="H659">
        <v>3</v>
      </c>
      <c r="I659">
        <v>1</v>
      </c>
      <c r="M659" t="str">
        <f>VLOOKUP(B659, [1]Course!$A$1:$O$933, 12, FALSE)</f>
        <v>SC</v>
      </c>
      <c r="N659" t="s">
        <v>14</v>
      </c>
      <c r="O659" t="str">
        <f>VLOOKUP(B659, [1]Course!$A$1:$O$933, 14, FALSE)</f>
        <v>ES</v>
      </c>
      <c r="P659">
        <v>1</v>
      </c>
    </row>
    <row r="660" spans="1:16" x14ac:dyDescent="0.25">
      <c r="A660">
        <v>659</v>
      </c>
      <c r="B660">
        <v>57</v>
      </c>
      <c r="C660">
        <v>89</v>
      </c>
      <c r="D660" t="s">
        <v>25</v>
      </c>
      <c r="E660" t="str">
        <f t="shared" si="10"/>
        <v>1289ES03PT</v>
      </c>
      <c r="F660" t="str">
        <f>VLOOKUP(B660,[1]Course!$A$2:$R$329,2,FALSE)</f>
        <v>Science 8</v>
      </c>
      <c r="G660">
        <f>VLOOKUP(B660, [1]Course!$A$2:$L$950, 8, FALSE)</f>
        <v>12</v>
      </c>
      <c r="H660">
        <v>3</v>
      </c>
      <c r="I660">
        <v>1</v>
      </c>
      <c r="M660" t="str">
        <f>VLOOKUP(B660, [1]Course!$A$1:$O$933, 12, FALSE)</f>
        <v>SC</v>
      </c>
      <c r="N660" t="s">
        <v>14</v>
      </c>
      <c r="O660" t="str">
        <f>VLOOKUP(B660, [1]Course!$A$1:$O$933, 14, FALSE)</f>
        <v>ES</v>
      </c>
      <c r="P660">
        <v>1</v>
      </c>
    </row>
    <row r="661" spans="1:16" x14ac:dyDescent="0.25">
      <c r="A661">
        <v>660</v>
      </c>
      <c r="B661">
        <v>57</v>
      </c>
      <c r="C661">
        <v>90</v>
      </c>
      <c r="D661" t="s">
        <v>25</v>
      </c>
      <c r="E661" t="str">
        <f t="shared" si="10"/>
        <v>1290ES03PT</v>
      </c>
      <c r="F661" t="str">
        <f>VLOOKUP(B661,[1]Course!$A$2:$R$329,2,FALSE)</f>
        <v>Science 8</v>
      </c>
      <c r="G661">
        <f>VLOOKUP(B661, [1]Course!$A$2:$L$950, 8, FALSE)</f>
        <v>12</v>
      </c>
      <c r="H661">
        <v>3</v>
      </c>
      <c r="I661">
        <v>1</v>
      </c>
      <c r="M661" t="str">
        <f>VLOOKUP(B661, [1]Course!$A$1:$O$933, 12, FALSE)</f>
        <v>SC</v>
      </c>
      <c r="N661" t="s">
        <v>14</v>
      </c>
      <c r="O661" t="str">
        <f>VLOOKUP(B661, [1]Course!$A$1:$O$933, 14, FALSE)</f>
        <v>ES</v>
      </c>
      <c r="P661">
        <v>1</v>
      </c>
    </row>
    <row r="662" spans="1:16" x14ac:dyDescent="0.25">
      <c r="A662">
        <v>661</v>
      </c>
      <c r="B662">
        <v>57</v>
      </c>
      <c r="C662">
        <v>91</v>
      </c>
      <c r="D662" t="s">
        <v>25</v>
      </c>
      <c r="E662" t="str">
        <f t="shared" si="10"/>
        <v>1291ES03PT</v>
      </c>
      <c r="F662" t="str">
        <f>VLOOKUP(B662,[1]Course!$A$2:$R$329,2,FALSE)</f>
        <v>Science 8</v>
      </c>
      <c r="G662">
        <f>VLOOKUP(B662, [1]Course!$A$2:$L$950, 8, FALSE)</f>
        <v>12</v>
      </c>
      <c r="H662">
        <v>3</v>
      </c>
      <c r="I662">
        <v>1</v>
      </c>
      <c r="M662" t="str">
        <f>VLOOKUP(B662, [1]Course!$A$1:$O$933, 12, FALSE)</f>
        <v>SC</v>
      </c>
      <c r="N662" t="s">
        <v>14</v>
      </c>
      <c r="O662" t="str">
        <f>VLOOKUP(B662, [1]Course!$A$1:$O$933, 14, FALSE)</f>
        <v>ES</v>
      </c>
      <c r="P662">
        <v>1</v>
      </c>
    </row>
    <row r="663" spans="1:16" x14ac:dyDescent="0.25">
      <c r="A663">
        <v>662</v>
      </c>
      <c r="B663">
        <v>57</v>
      </c>
      <c r="C663">
        <v>92</v>
      </c>
      <c r="D663" t="s">
        <v>25</v>
      </c>
      <c r="E663" t="str">
        <f t="shared" si="10"/>
        <v>1292ES03PT</v>
      </c>
      <c r="F663" t="str">
        <f>VLOOKUP(B663,[1]Course!$A$2:$R$329,2,FALSE)</f>
        <v>Science 8</v>
      </c>
      <c r="G663">
        <f>VLOOKUP(B663, [1]Course!$A$2:$L$950, 8, FALSE)</f>
        <v>12</v>
      </c>
      <c r="H663">
        <v>3</v>
      </c>
      <c r="I663">
        <v>1</v>
      </c>
      <c r="J663">
        <v>2016</v>
      </c>
      <c r="K663" t="s">
        <v>92</v>
      </c>
      <c r="L663">
        <v>1</v>
      </c>
      <c r="M663" t="str">
        <f>VLOOKUP(B663, [1]Course!$A$1:$O$933, 12, FALSE)</f>
        <v>SC</v>
      </c>
      <c r="N663" t="s">
        <v>14</v>
      </c>
      <c r="O663" t="str">
        <f>VLOOKUP(B663, [1]Course!$A$1:$O$933, 14, FALSE)</f>
        <v>ES</v>
      </c>
      <c r="P663">
        <v>1</v>
      </c>
    </row>
    <row r="664" spans="1:16" x14ac:dyDescent="0.25">
      <c r="A664">
        <v>663</v>
      </c>
      <c r="B664">
        <v>57</v>
      </c>
      <c r="C664">
        <v>93</v>
      </c>
      <c r="D664" t="s">
        <v>25</v>
      </c>
      <c r="E664" t="str">
        <f t="shared" si="10"/>
        <v>1293ES03PT</v>
      </c>
      <c r="F664" t="str">
        <f>VLOOKUP(B664,[1]Course!$A$2:$R$329,2,FALSE)</f>
        <v>Science 8</v>
      </c>
      <c r="G664">
        <f>VLOOKUP(B664, [1]Course!$A$2:$L$950, 8, FALSE)</f>
        <v>12</v>
      </c>
      <c r="H664">
        <v>3</v>
      </c>
      <c r="I664">
        <v>1</v>
      </c>
      <c r="J664">
        <v>2016</v>
      </c>
      <c r="K664" t="s">
        <v>92</v>
      </c>
      <c r="L664">
        <v>1</v>
      </c>
      <c r="M664" t="str">
        <f>VLOOKUP(B664, [1]Course!$A$1:$O$933, 12, FALSE)</f>
        <v>SC</v>
      </c>
      <c r="N664" t="s">
        <v>14</v>
      </c>
      <c r="O664" t="str">
        <f>VLOOKUP(B664, [1]Course!$A$1:$O$933, 14, FALSE)</f>
        <v>ES</v>
      </c>
      <c r="P664">
        <v>1</v>
      </c>
    </row>
    <row r="665" spans="1:16" x14ac:dyDescent="0.25">
      <c r="A665">
        <v>664</v>
      </c>
      <c r="B665">
        <v>57</v>
      </c>
      <c r="C665">
        <v>94</v>
      </c>
      <c r="D665" t="s">
        <v>25</v>
      </c>
      <c r="E665" t="str">
        <f t="shared" si="10"/>
        <v>1294ES03PT</v>
      </c>
      <c r="F665" t="str">
        <f>VLOOKUP(B665,[1]Course!$A$2:$R$329,2,FALSE)</f>
        <v>Science 8</v>
      </c>
      <c r="G665">
        <f>VLOOKUP(B665, [1]Course!$A$2:$L$950, 8, FALSE)</f>
        <v>12</v>
      </c>
      <c r="H665">
        <v>3</v>
      </c>
      <c r="I665">
        <v>1</v>
      </c>
      <c r="M665" t="str">
        <f>VLOOKUP(B665, [1]Course!$A$1:$O$933, 12, FALSE)</f>
        <v>SC</v>
      </c>
      <c r="N665" t="s">
        <v>14</v>
      </c>
      <c r="O665" t="str">
        <f>VLOOKUP(B665, [1]Course!$A$1:$O$933, 14, FALSE)</f>
        <v>ES</v>
      </c>
      <c r="P665">
        <v>1</v>
      </c>
    </row>
    <row r="666" spans="1:16" x14ac:dyDescent="0.25">
      <c r="A666">
        <v>665</v>
      </c>
      <c r="B666">
        <v>57</v>
      </c>
      <c r="C666">
        <v>95</v>
      </c>
      <c r="D666" t="s">
        <v>25</v>
      </c>
      <c r="E666" t="str">
        <f t="shared" si="10"/>
        <v>1295ES03PT</v>
      </c>
      <c r="F666" t="str">
        <f>VLOOKUP(B666,[1]Course!$A$2:$R$329,2,FALSE)</f>
        <v>Science 8</v>
      </c>
      <c r="G666">
        <f>VLOOKUP(B666, [1]Course!$A$2:$L$950, 8, FALSE)</f>
        <v>12</v>
      </c>
      <c r="H666">
        <v>3</v>
      </c>
      <c r="I666">
        <v>1</v>
      </c>
      <c r="M666" t="str">
        <f>VLOOKUP(B666, [1]Course!$A$1:$O$933, 12, FALSE)</f>
        <v>SC</v>
      </c>
      <c r="N666" t="s">
        <v>14</v>
      </c>
      <c r="O666" t="str">
        <f>VLOOKUP(B666, [1]Course!$A$1:$O$933, 14, FALSE)</f>
        <v>ES</v>
      </c>
      <c r="P666">
        <v>1</v>
      </c>
    </row>
    <row r="667" spans="1:16" x14ac:dyDescent="0.25">
      <c r="A667">
        <v>666</v>
      </c>
      <c r="B667">
        <v>57</v>
      </c>
      <c r="C667">
        <v>96</v>
      </c>
      <c r="D667" t="s">
        <v>25</v>
      </c>
      <c r="E667" t="str">
        <f t="shared" si="10"/>
        <v>1296ES03PT</v>
      </c>
      <c r="F667" t="str">
        <f>VLOOKUP(B667,[1]Course!$A$2:$R$329,2,FALSE)</f>
        <v>Science 8</v>
      </c>
      <c r="G667">
        <f>VLOOKUP(B667, [1]Course!$A$2:$L$950, 8, FALSE)</f>
        <v>12</v>
      </c>
      <c r="H667">
        <v>3</v>
      </c>
      <c r="I667">
        <v>1</v>
      </c>
      <c r="M667" t="str">
        <f>VLOOKUP(B667, [1]Course!$A$1:$O$933, 12, FALSE)</f>
        <v>SC</v>
      </c>
      <c r="N667" t="s">
        <v>14</v>
      </c>
      <c r="O667" t="str">
        <f>VLOOKUP(B667, [1]Course!$A$1:$O$933, 14, FALSE)</f>
        <v>ES</v>
      </c>
      <c r="P667">
        <v>1</v>
      </c>
    </row>
    <row r="668" spans="1:16" x14ac:dyDescent="0.25">
      <c r="A668">
        <v>667</v>
      </c>
      <c r="B668">
        <v>58</v>
      </c>
      <c r="C668">
        <v>85</v>
      </c>
      <c r="D668" t="s">
        <v>26</v>
      </c>
      <c r="E668" t="str">
        <f t="shared" si="10"/>
        <v>1285UK03PT</v>
      </c>
      <c r="F668">
        <f>VLOOKUP(B668,[1]Course!$A$2:$R$329,2,FALSE)</f>
        <v>0</v>
      </c>
      <c r="G668">
        <f>VLOOKUP(B668, [1]Course!$A$2:$L$950, 8, FALSE)</f>
        <v>12</v>
      </c>
      <c r="H668">
        <v>3</v>
      </c>
      <c r="I668">
        <v>1</v>
      </c>
      <c r="M668" t="str">
        <f>VLOOKUP(B668, [1]Course!$A$1:$O$933, 12, FALSE)</f>
        <v>SS</v>
      </c>
      <c r="N668" t="s">
        <v>14</v>
      </c>
      <c r="O668" t="str">
        <f>VLOOKUP(B668, [1]Course!$A$1:$O$933, 14, FALSE)</f>
        <v>UK</v>
      </c>
      <c r="P668">
        <v>1</v>
      </c>
    </row>
    <row r="669" spans="1:16" x14ac:dyDescent="0.25">
      <c r="A669">
        <v>668</v>
      </c>
      <c r="B669">
        <v>58</v>
      </c>
      <c r="C669">
        <v>86</v>
      </c>
      <c r="D669" t="s">
        <v>26</v>
      </c>
      <c r="E669" t="str">
        <f t="shared" si="10"/>
        <v>1286UK03PT</v>
      </c>
      <c r="F669">
        <f>VLOOKUP(B669,[1]Course!$A$2:$R$329,2,FALSE)</f>
        <v>0</v>
      </c>
      <c r="G669">
        <f>VLOOKUP(B669, [1]Course!$A$2:$L$950, 8, FALSE)</f>
        <v>12</v>
      </c>
      <c r="H669">
        <v>3</v>
      </c>
      <c r="I669">
        <v>1</v>
      </c>
      <c r="M669" t="str">
        <f>VLOOKUP(B669, [1]Course!$A$1:$O$933, 12, FALSE)</f>
        <v>SS</v>
      </c>
      <c r="N669" t="s">
        <v>14</v>
      </c>
      <c r="O669" t="str">
        <f>VLOOKUP(B669, [1]Course!$A$1:$O$933, 14, FALSE)</f>
        <v>UK</v>
      </c>
      <c r="P669">
        <v>1</v>
      </c>
    </row>
    <row r="670" spans="1:16" x14ac:dyDescent="0.25">
      <c r="A670">
        <v>669</v>
      </c>
      <c r="B670">
        <v>58</v>
      </c>
      <c r="C670">
        <v>87</v>
      </c>
      <c r="D670" t="s">
        <v>26</v>
      </c>
      <c r="E670" t="str">
        <f t="shared" si="10"/>
        <v>1287UK03PT</v>
      </c>
      <c r="F670">
        <f>VLOOKUP(B670,[1]Course!$A$2:$R$329,2,FALSE)</f>
        <v>0</v>
      </c>
      <c r="G670">
        <f>VLOOKUP(B670, [1]Course!$A$2:$L$950, 8, FALSE)</f>
        <v>12</v>
      </c>
      <c r="H670">
        <v>3</v>
      </c>
      <c r="I670">
        <v>1</v>
      </c>
      <c r="M670" t="str">
        <f>VLOOKUP(B670, [1]Course!$A$1:$O$933, 12, FALSE)</f>
        <v>SS</v>
      </c>
      <c r="N670" t="s">
        <v>14</v>
      </c>
      <c r="O670" t="str">
        <f>VLOOKUP(B670, [1]Course!$A$1:$O$933, 14, FALSE)</f>
        <v>UK</v>
      </c>
      <c r="P670">
        <v>1</v>
      </c>
    </row>
    <row r="671" spans="1:16" x14ac:dyDescent="0.25">
      <c r="A671">
        <v>670</v>
      </c>
      <c r="B671">
        <v>58</v>
      </c>
      <c r="C671">
        <v>88</v>
      </c>
      <c r="D671" t="s">
        <v>26</v>
      </c>
      <c r="E671" t="str">
        <f t="shared" si="10"/>
        <v>1288UK03PT</v>
      </c>
      <c r="F671">
        <f>VLOOKUP(B671,[1]Course!$A$2:$R$329,2,FALSE)</f>
        <v>0</v>
      </c>
      <c r="G671">
        <f>VLOOKUP(B671, [1]Course!$A$2:$L$950, 8, FALSE)</f>
        <v>12</v>
      </c>
      <c r="H671">
        <v>3</v>
      </c>
      <c r="I671">
        <v>1</v>
      </c>
      <c r="M671" t="str">
        <f>VLOOKUP(B671, [1]Course!$A$1:$O$933, 12, FALSE)</f>
        <v>SS</v>
      </c>
      <c r="N671" t="s">
        <v>14</v>
      </c>
      <c r="O671" t="str">
        <f>VLOOKUP(B671, [1]Course!$A$1:$O$933, 14, FALSE)</f>
        <v>UK</v>
      </c>
      <c r="P671">
        <v>1</v>
      </c>
    </row>
    <row r="672" spans="1:16" x14ac:dyDescent="0.25">
      <c r="A672">
        <v>671</v>
      </c>
      <c r="B672">
        <v>58</v>
      </c>
      <c r="C672">
        <v>89</v>
      </c>
      <c r="D672" t="s">
        <v>26</v>
      </c>
      <c r="E672" t="str">
        <f t="shared" si="10"/>
        <v>1289UK03PT</v>
      </c>
      <c r="F672">
        <f>VLOOKUP(B672,[1]Course!$A$2:$R$329,2,FALSE)</f>
        <v>0</v>
      </c>
      <c r="G672">
        <f>VLOOKUP(B672, [1]Course!$A$2:$L$950, 8, FALSE)</f>
        <v>12</v>
      </c>
      <c r="H672">
        <v>3</v>
      </c>
      <c r="I672">
        <v>1</v>
      </c>
      <c r="M672" t="str">
        <f>VLOOKUP(B672, [1]Course!$A$1:$O$933, 12, FALSE)</f>
        <v>SS</v>
      </c>
      <c r="N672" t="s">
        <v>14</v>
      </c>
      <c r="O672" t="str">
        <f>VLOOKUP(B672, [1]Course!$A$1:$O$933, 14, FALSE)</f>
        <v>UK</v>
      </c>
      <c r="P672">
        <v>1</v>
      </c>
    </row>
    <row r="673" spans="1:16" x14ac:dyDescent="0.25">
      <c r="A673">
        <v>672</v>
      </c>
      <c r="B673">
        <v>58</v>
      </c>
      <c r="C673">
        <v>90</v>
      </c>
      <c r="D673" t="s">
        <v>26</v>
      </c>
      <c r="E673" t="str">
        <f t="shared" si="10"/>
        <v>1290UK03PT</v>
      </c>
      <c r="F673">
        <f>VLOOKUP(B673,[1]Course!$A$2:$R$329,2,FALSE)</f>
        <v>0</v>
      </c>
      <c r="G673">
        <f>VLOOKUP(B673, [1]Course!$A$2:$L$950, 8, FALSE)</f>
        <v>12</v>
      </c>
      <c r="H673">
        <v>3</v>
      </c>
      <c r="I673">
        <v>1</v>
      </c>
      <c r="M673" t="str">
        <f>VLOOKUP(B673, [1]Course!$A$1:$O$933, 12, FALSE)</f>
        <v>SS</v>
      </c>
      <c r="N673" t="s">
        <v>14</v>
      </c>
      <c r="O673" t="str">
        <f>VLOOKUP(B673, [1]Course!$A$1:$O$933, 14, FALSE)</f>
        <v>UK</v>
      </c>
      <c r="P673">
        <v>1</v>
      </c>
    </row>
    <row r="674" spans="1:16" x14ac:dyDescent="0.25">
      <c r="A674">
        <v>673</v>
      </c>
      <c r="B674">
        <v>58</v>
      </c>
      <c r="C674">
        <v>91</v>
      </c>
      <c r="D674" t="s">
        <v>26</v>
      </c>
      <c r="E674" t="str">
        <f t="shared" si="10"/>
        <v>1291UK03PT</v>
      </c>
      <c r="F674">
        <f>VLOOKUP(B674,[1]Course!$A$2:$R$329,2,FALSE)</f>
        <v>0</v>
      </c>
      <c r="G674">
        <f>VLOOKUP(B674, [1]Course!$A$2:$L$950, 8, FALSE)</f>
        <v>12</v>
      </c>
      <c r="H674">
        <v>3</v>
      </c>
      <c r="I674">
        <v>1</v>
      </c>
      <c r="M674" t="str">
        <f>VLOOKUP(B674, [1]Course!$A$1:$O$933, 12, FALSE)</f>
        <v>SS</v>
      </c>
      <c r="N674" t="s">
        <v>14</v>
      </c>
      <c r="O674" t="str">
        <f>VLOOKUP(B674, [1]Course!$A$1:$O$933, 14, FALSE)</f>
        <v>UK</v>
      </c>
      <c r="P674">
        <v>1</v>
      </c>
    </row>
    <row r="675" spans="1:16" x14ac:dyDescent="0.25">
      <c r="A675">
        <v>674</v>
      </c>
      <c r="B675">
        <v>58</v>
      </c>
      <c r="C675">
        <v>92</v>
      </c>
      <c r="D675" t="s">
        <v>26</v>
      </c>
      <c r="E675" t="str">
        <f t="shared" si="10"/>
        <v>1292UK03PT</v>
      </c>
      <c r="F675">
        <f>VLOOKUP(B675,[1]Course!$A$2:$R$329,2,FALSE)</f>
        <v>0</v>
      </c>
      <c r="G675">
        <f>VLOOKUP(B675, [1]Course!$A$2:$L$950, 8, FALSE)</f>
        <v>12</v>
      </c>
      <c r="H675">
        <v>3</v>
      </c>
      <c r="I675">
        <v>1</v>
      </c>
      <c r="M675" t="str">
        <f>VLOOKUP(B675, [1]Course!$A$1:$O$933, 12, FALSE)</f>
        <v>SS</v>
      </c>
      <c r="N675" t="s">
        <v>14</v>
      </c>
      <c r="O675" t="str">
        <f>VLOOKUP(B675, [1]Course!$A$1:$O$933, 14, FALSE)</f>
        <v>UK</v>
      </c>
      <c r="P675">
        <v>1</v>
      </c>
    </row>
    <row r="676" spans="1:16" x14ac:dyDescent="0.25">
      <c r="A676">
        <v>675</v>
      </c>
      <c r="B676">
        <v>58</v>
      </c>
      <c r="C676">
        <v>93</v>
      </c>
      <c r="D676" t="s">
        <v>26</v>
      </c>
      <c r="E676" t="str">
        <f t="shared" si="10"/>
        <v>1293UK03PT</v>
      </c>
      <c r="F676">
        <f>VLOOKUP(B676,[1]Course!$A$2:$R$329,2,FALSE)</f>
        <v>0</v>
      </c>
      <c r="G676">
        <f>VLOOKUP(B676, [1]Course!$A$2:$L$950, 8, FALSE)</f>
        <v>12</v>
      </c>
      <c r="H676">
        <v>3</v>
      </c>
      <c r="I676">
        <v>1</v>
      </c>
      <c r="M676" t="str">
        <f>VLOOKUP(B676, [1]Course!$A$1:$O$933, 12, FALSE)</f>
        <v>SS</v>
      </c>
      <c r="N676" t="s">
        <v>14</v>
      </c>
      <c r="O676" t="str">
        <f>VLOOKUP(B676, [1]Course!$A$1:$O$933, 14, FALSE)</f>
        <v>UK</v>
      </c>
      <c r="P676">
        <v>1</v>
      </c>
    </row>
    <row r="677" spans="1:16" x14ac:dyDescent="0.25">
      <c r="A677">
        <v>676</v>
      </c>
      <c r="B677">
        <v>58</v>
      </c>
      <c r="C677">
        <v>94</v>
      </c>
      <c r="D677" t="s">
        <v>26</v>
      </c>
      <c r="E677" t="str">
        <f t="shared" si="10"/>
        <v>1294UK03PT</v>
      </c>
      <c r="F677">
        <f>VLOOKUP(B677,[1]Course!$A$2:$R$329,2,FALSE)</f>
        <v>0</v>
      </c>
      <c r="G677">
        <f>VLOOKUP(B677, [1]Course!$A$2:$L$950, 8, FALSE)</f>
        <v>12</v>
      </c>
      <c r="H677">
        <v>3</v>
      </c>
      <c r="I677">
        <v>1</v>
      </c>
      <c r="M677" t="str">
        <f>VLOOKUP(B677, [1]Course!$A$1:$O$933, 12, FALSE)</f>
        <v>SS</v>
      </c>
      <c r="N677" t="s">
        <v>14</v>
      </c>
      <c r="O677" t="str">
        <f>VLOOKUP(B677, [1]Course!$A$1:$O$933, 14, FALSE)</f>
        <v>UK</v>
      </c>
      <c r="P677">
        <v>1</v>
      </c>
    </row>
    <row r="678" spans="1:16" x14ac:dyDescent="0.25">
      <c r="A678">
        <v>677</v>
      </c>
      <c r="B678">
        <v>58</v>
      </c>
      <c r="C678">
        <v>95</v>
      </c>
      <c r="D678" t="s">
        <v>26</v>
      </c>
      <c r="E678" t="str">
        <f t="shared" si="10"/>
        <v>1295UK03PT</v>
      </c>
      <c r="F678">
        <f>VLOOKUP(B678,[1]Course!$A$2:$R$329,2,FALSE)</f>
        <v>0</v>
      </c>
      <c r="G678">
        <f>VLOOKUP(B678, [1]Course!$A$2:$L$950, 8, FALSE)</f>
        <v>12</v>
      </c>
      <c r="H678">
        <v>3</v>
      </c>
      <c r="I678">
        <v>1</v>
      </c>
      <c r="M678" t="str">
        <f>VLOOKUP(B678, [1]Course!$A$1:$O$933, 12, FALSE)</f>
        <v>SS</v>
      </c>
      <c r="N678" t="s">
        <v>14</v>
      </c>
      <c r="O678" t="str">
        <f>VLOOKUP(B678, [1]Course!$A$1:$O$933, 14, FALSE)</f>
        <v>UK</v>
      </c>
      <c r="P678">
        <v>1</v>
      </c>
    </row>
    <row r="679" spans="1:16" x14ac:dyDescent="0.25">
      <c r="A679">
        <v>678</v>
      </c>
      <c r="B679">
        <v>58</v>
      </c>
      <c r="C679">
        <v>96</v>
      </c>
      <c r="D679" t="s">
        <v>26</v>
      </c>
      <c r="E679" t="str">
        <f t="shared" si="10"/>
        <v>1296UK03PT</v>
      </c>
      <c r="F679">
        <f>VLOOKUP(B679,[1]Course!$A$2:$R$329,2,FALSE)</f>
        <v>0</v>
      </c>
      <c r="G679">
        <f>VLOOKUP(B679, [1]Course!$A$2:$L$950, 8, FALSE)</f>
        <v>12</v>
      </c>
      <c r="H679">
        <v>3</v>
      </c>
      <c r="I679">
        <v>1</v>
      </c>
      <c r="M679" t="str">
        <f>VLOOKUP(B679, [1]Course!$A$1:$O$933, 12, FALSE)</f>
        <v>SS</v>
      </c>
      <c r="N679" t="s">
        <v>14</v>
      </c>
      <c r="O679" t="str">
        <f>VLOOKUP(B679, [1]Course!$A$1:$O$933, 14, FALSE)</f>
        <v>UK</v>
      </c>
      <c r="P679">
        <v>1</v>
      </c>
    </row>
    <row r="680" spans="1:16" x14ac:dyDescent="0.25">
      <c r="A680">
        <v>679</v>
      </c>
      <c r="B680">
        <v>59</v>
      </c>
      <c r="C680">
        <v>97</v>
      </c>
      <c r="D680" t="s">
        <v>27</v>
      </c>
      <c r="E680" t="str">
        <f t="shared" si="10"/>
        <v>1297WH02PT</v>
      </c>
      <c r="F680" t="str">
        <f>VLOOKUP(B680,[1]Course!$A$2:$R$329,2,FALSE)</f>
        <v>World History</v>
      </c>
      <c r="G680">
        <f>VLOOKUP(B680, [1]Course!$A$2:$L$950, 8, FALSE)</f>
        <v>12</v>
      </c>
      <c r="H680">
        <v>2</v>
      </c>
      <c r="I680">
        <v>1</v>
      </c>
      <c r="J680">
        <v>1974</v>
      </c>
      <c r="K680" t="s">
        <v>92</v>
      </c>
      <c r="L680">
        <v>1</v>
      </c>
      <c r="M680" t="str">
        <f>VLOOKUP(B680, [1]Course!$A$1:$O$933, 12, FALSE)</f>
        <v>SS</v>
      </c>
      <c r="N680" t="s">
        <v>14</v>
      </c>
      <c r="O680" t="str">
        <f>VLOOKUP(B680, [1]Course!$A$1:$O$933, 14, FALSE)</f>
        <v>WH</v>
      </c>
      <c r="P680">
        <v>1</v>
      </c>
    </row>
    <row r="681" spans="1:16" x14ac:dyDescent="0.25">
      <c r="A681">
        <v>680</v>
      </c>
      <c r="B681">
        <v>59</v>
      </c>
      <c r="C681">
        <v>98</v>
      </c>
      <c r="D681" t="s">
        <v>27</v>
      </c>
      <c r="E681" t="str">
        <f t="shared" si="10"/>
        <v>1298WH02PT</v>
      </c>
      <c r="F681" t="str">
        <f>VLOOKUP(B681,[1]Course!$A$2:$R$329,2,FALSE)</f>
        <v>World History</v>
      </c>
      <c r="G681">
        <f>VLOOKUP(B681, [1]Course!$A$2:$L$950, 8, FALSE)</f>
        <v>12</v>
      </c>
      <c r="H681">
        <v>2</v>
      </c>
      <c r="I681">
        <v>1</v>
      </c>
      <c r="J681">
        <v>1974</v>
      </c>
      <c r="K681">
        <v>2005</v>
      </c>
      <c r="L681">
        <v>1</v>
      </c>
      <c r="M681" t="str">
        <f>VLOOKUP(B681, [1]Course!$A$1:$O$933, 12, FALSE)</f>
        <v>SS</v>
      </c>
      <c r="N681" t="s">
        <v>14</v>
      </c>
      <c r="O681" t="str">
        <f>VLOOKUP(B681, [1]Course!$A$1:$O$933, 14, FALSE)</f>
        <v>WH</v>
      </c>
      <c r="P681">
        <v>1</v>
      </c>
    </row>
    <row r="682" spans="1:16" x14ac:dyDescent="0.25">
      <c r="A682">
        <v>681</v>
      </c>
      <c r="B682">
        <v>59</v>
      </c>
      <c r="C682">
        <v>99</v>
      </c>
      <c r="D682" t="s">
        <v>27</v>
      </c>
      <c r="E682" t="str">
        <f t="shared" si="10"/>
        <v>1299WH02PT</v>
      </c>
      <c r="F682" t="str">
        <f>VLOOKUP(B682,[1]Course!$A$2:$R$329,2,FALSE)</f>
        <v>World History</v>
      </c>
      <c r="G682">
        <f>VLOOKUP(B682, [1]Course!$A$2:$L$950, 8, FALSE)</f>
        <v>12</v>
      </c>
      <c r="H682">
        <v>2</v>
      </c>
      <c r="I682">
        <v>1</v>
      </c>
      <c r="J682">
        <v>1974</v>
      </c>
      <c r="K682">
        <v>2002</v>
      </c>
      <c r="L682">
        <v>1</v>
      </c>
      <c r="M682" t="str">
        <f>VLOOKUP(B682, [1]Course!$A$1:$O$933, 12, FALSE)</f>
        <v>SS</v>
      </c>
      <c r="N682" t="s">
        <v>14</v>
      </c>
      <c r="O682" t="str">
        <f>VLOOKUP(B682, [1]Course!$A$1:$O$933, 14, FALSE)</f>
        <v>WH</v>
      </c>
      <c r="P682">
        <v>1</v>
      </c>
    </row>
    <row r="683" spans="1:16" x14ac:dyDescent="0.25">
      <c r="A683">
        <v>682</v>
      </c>
      <c r="B683">
        <v>59</v>
      </c>
      <c r="C683">
        <v>100</v>
      </c>
      <c r="D683" t="s">
        <v>27</v>
      </c>
      <c r="E683" t="str">
        <f t="shared" si="10"/>
        <v>1200WH02PT</v>
      </c>
      <c r="F683" t="str">
        <f>VLOOKUP(B683,[1]Course!$A$2:$R$329,2,FALSE)</f>
        <v>World History</v>
      </c>
      <c r="G683">
        <f>VLOOKUP(B683, [1]Course!$A$2:$L$950, 8, FALSE)</f>
        <v>12</v>
      </c>
      <c r="H683">
        <v>2</v>
      </c>
      <c r="I683">
        <v>1</v>
      </c>
      <c r="J683">
        <v>1974</v>
      </c>
      <c r="K683">
        <v>1995</v>
      </c>
      <c r="L683">
        <v>1</v>
      </c>
      <c r="M683" t="str">
        <f>VLOOKUP(B683, [1]Course!$A$1:$O$933, 12, FALSE)</f>
        <v>SS</v>
      </c>
      <c r="N683" t="s">
        <v>14</v>
      </c>
      <c r="O683" t="str">
        <f>VLOOKUP(B683, [1]Course!$A$1:$O$933, 14, FALSE)</f>
        <v>WH</v>
      </c>
      <c r="P683">
        <v>1</v>
      </c>
    </row>
    <row r="684" spans="1:16" x14ac:dyDescent="0.25">
      <c r="A684">
        <v>683</v>
      </c>
      <c r="B684">
        <v>59</v>
      </c>
      <c r="C684">
        <v>101</v>
      </c>
      <c r="D684" t="s">
        <v>27</v>
      </c>
      <c r="E684" t="str">
        <f t="shared" si="10"/>
        <v>1201WH02PT</v>
      </c>
      <c r="F684" t="str">
        <f>VLOOKUP(B684,[1]Course!$A$2:$R$329,2,FALSE)</f>
        <v>World History</v>
      </c>
      <c r="G684">
        <f>VLOOKUP(B684, [1]Course!$A$2:$L$950, 8, FALSE)</f>
        <v>12</v>
      </c>
      <c r="H684">
        <v>2</v>
      </c>
      <c r="I684">
        <v>1</v>
      </c>
      <c r="M684" t="str">
        <f>VLOOKUP(B684, [1]Course!$A$1:$O$933, 12, FALSE)</f>
        <v>SS</v>
      </c>
      <c r="N684" t="s">
        <v>14</v>
      </c>
      <c r="O684" t="str">
        <f>VLOOKUP(B684, [1]Course!$A$1:$O$933, 14, FALSE)</f>
        <v>WH</v>
      </c>
      <c r="P684">
        <v>1</v>
      </c>
    </row>
    <row r="685" spans="1:16" x14ac:dyDescent="0.25">
      <c r="A685">
        <v>684</v>
      </c>
      <c r="B685">
        <v>59</v>
      </c>
      <c r="C685">
        <v>102</v>
      </c>
      <c r="D685" t="s">
        <v>27</v>
      </c>
      <c r="E685" t="str">
        <f t="shared" si="10"/>
        <v>1202WH02PT</v>
      </c>
      <c r="F685" t="str">
        <f>VLOOKUP(B685,[1]Course!$A$2:$R$329,2,FALSE)</f>
        <v>World History</v>
      </c>
      <c r="G685">
        <f>VLOOKUP(B685, [1]Course!$A$2:$L$950, 8, FALSE)</f>
        <v>12</v>
      </c>
      <c r="H685">
        <v>2</v>
      </c>
      <c r="I685">
        <v>1</v>
      </c>
      <c r="J685">
        <v>1974</v>
      </c>
      <c r="K685">
        <v>1997</v>
      </c>
      <c r="L685">
        <v>1</v>
      </c>
      <c r="M685" t="str">
        <f>VLOOKUP(B685, [1]Course!$A$1:$O$933, 12, FALSE)</f>
        <v>SS</v>
      </c>
      <c r="N685" t="s">
        <v>14</v>
      </c>
      <c r="O685" t="str">
        <f>VLOOKUP(B685, [1]Course!$A$1:$O$933, 14, FALSE)</f>
        <v>WH</v>
      </c>
      <c r="P685">
        <v>1</v>
      </c>
    </row>
    <row r="686" spans="1:16" x14ac:dyDescent="0.25">
      <c r="A686">
        <v>685</v>
      </c>
      <c r="B686">
        <v>59</v>
      </c>
      <c r="C686">
        <v>103</v>
      </c>
      <c r="D686" t="s">
        <v>27</v>
      </c>
      <c r="E686" t="str">
        <f t="shared" si="10"/>
        <v>1203WH02PT</v>
      </c>
      <c r="F686" t="str">
        <f>VLOOKUP(B686,[1]Course!$A$2:$R$329,2,FALSE)</f>
        <v>World History</v>
      </c>
      <c r="G686">
        <f>VLOOKUP(B686, [1]Course!$A$2:$L$950, 8, FALSE)</f>
        <v>12</v>
      </c>
      <c r="H686">
        <v>2</v>
      </c>
      <c r="I686">
        <v>1</v>
      </c>
      <c r="J686">
        <v>1974</v>
      </c>
      <c r="K686">
        <v>2002</v>
      </c>
      <c r="L686">
        <v>2</v>
      </c>
      <c r="M686" t="str">
        <f>VLOOKUP(B686, [1]Course!$A$1:$O$933, 12, FALSE)</f>
        <v>SS</v>
      </c>
      <c r="N686" t="s">
        <v>14</v>
      </c>
      <c r="O686" t="str">
        <f>VLOOKUP(B686, [1]Course!$A$1:$O$933, 14, FALSE)</f>
        <v>WH</v>
      </c>
      <c r="P686">
        <v>1</v>
      </c>
    </row>
    <row r="687" spans="1:16" x14ac:dyDescent="0.25">
      <c r="A687">
        <v>686</v>
      </c>
      <c r="B687">
        <v>59</v>
      </c>
      <c r="C687">
        <v>104</v>
      </c>
      <c r="D687" t="s">
        <v>27</v>
      </c>
      <c r="E687" t="str">
        <f t="shared" si="10"/>
        <v>1204WH02PT</v>
      </c>
      <c r="F687" t="str">
        <f>VLOOKUP(B687,[1]Course!$A$2:$R$329,2,FALSE)</f>
        <v>World History</v>
      </c>
      <c r="G687">
        <f>VLOOKUP(B687, [1]Course!$A$2:$L$950, 8, FALSE)</f>
        <v>12</v>
      </c>
      <c r="H687">
        <v>2</v>
      </c>
      <c r="I687">
        <v>1</v>
      </c>
      <c r="J687">
        <v>1974</v>
      </c>
      <c r="K687">
        <v>2002</v>
      </c>
      <c r="M687" t="str">
        <f>VLOOKUP(B687, [1]Course!$A$1:$O$933, 12, FALSE)</f>
        <v>SS</v>
      </c>
      <c r="N687" t="s">
        <v>14</v>
      </c>
      <c r="O687" t="str">
        <f>VLOOKUP(B687, [1]Course!$A$1:$O$933, 14, FALSE)</f>
        <v>WH</v>
      </c>
      <c r="P687">
        <v>1</v>
      </c>
    </row>
    <row r="688" spans="1:16" x14ac:dyDescent="0.25">
      <c r="A688">
        <v>687</v>
      </c>
      <c r="B688">
        <v>59</v>
      </c>
      <c r="C688">
        <v>105</v>
      </c>
      <c r="D688" t="s">
        <v>27</v>
      </c>
      <c r="E688" t="str">
        <f t="shared" si="10"/>
        <v>1205WH02PT</v>
      </c>
      <c r="F688" t="str">
        <f>VLOOKUP(B688,[1]Course!$A$2:$R$329,2,FALSE)</f>
        <v>World History</v>
      </c>
      <c r="G688">
        <f>VLOOKUP(B688, [1]Course!$A$2:$L$950, 8, FALSE)</f>
        <v>12</v>
      </c>
      <c r="H688">
        <v>2</v>
      </c>
      <c r="I688">
        <v>1</v>
      </c>
      <c r="J688">
        <v>1974</v>
      </c>
      <c r="K688" t="s">
        <v>92</v>
      </c>
      <c r="L688">
        <v>2</v>
      </c>
      <c r="M688" t="str">
        <f>VLOOKUP(B688, [1]Course!$A$1:$O$933, 12, FALSE)</f>
        <v>SS</v>
      </c>
      <c r="N688" t="s">
        <v>14</v>
      </c>
      <c r="O688" t="str">
        <f>VLOOKUP(B688, [1]Course!$A$1:$O$933, 14, FALSE)</f>
        <v>WH</v>
      </c>
      <c r="P688">
        <v>1</v>
      </c>
    </row>
    <row r="689" spans="1:16" x14ac:dyDescent="0.25">
      <c r="A689">
        <v>688</v>
      </c>
      <c r="B689">
        <v>59</v>
      </c>
      <c r="C689">
        <v>106</v>
      </c>
      <c r="D689" t="s">
        <v>27</v>
      </c>
      <c r="E689" t="str">
        <f t="shared" si="10"/>
        <v>1206WH02PT</v>
      </c>
      <c r="F689" t="str">
        <f>VLOOKUP(B689,[1]Course!$A$2:$R$329,2,FALSE)</f>
        <v>World History</v>
      </c>
      <c r="G689">
        <f>VLOOKUP(B689, [1]Course!$A$2:$L$950, 8, FALSE)</f>
        <v>12</v>
      </c>
      <c r="H689">
        <v>2</v>
      </c>
      <c r="I689">
        <v>1</v>
      </c>
      <c r="J689">
        <v>1974</v>
      </c>
      <c r="K689">
        <v>1995</v>
      </c>
      <c r="L689">
        <v>2</v>
      </c>
      <c r="M689" t="str">
        <f>VLOOKUP(B689, [1]Course!$A$1:$O$933, 12, FALSE)</f>
        <v>SS</v>
      </c>
      <c r="N689" t="s">
        <v>14</v>
      </c>
      <c r="O689" t="str">
        <f>VLOOKUP(B689, [1]Course!$A$1:$O$933, 14, FALSE)</f>
        <v>WH</v>
      </c>
      <c r="P689">
        <v>1</v>
      </c>
    </row>
    <row r="690" spans="1:16" x14ac:dyDescent="0.25">
      <c r="A690">
        <v>689</v>
      </c>
      <c r="B690">
        <v>59</v>
      </c>
      <c r="C690">
        <v>107</v>
      </c>
      <c r="D690" t="s">
        <v>27</v>
      </c>
      <c r="E690" t="str">
        <f t="shared" si="10"/>
        <v>1207WH02PT</v>
      </c>
      <c r="F690" t="str">
        <f>VLOOKUP(B690,[1]Course!$A$2:$R$329,2,FALSE)</f>
        <v>World History</v>
      </c>
      <c r="G690">
        <f>VLOOKUP(B690, [1]Course!$A$2:$L$950, 8, FALSE)</f>
        <v>12</v>
      </c>
      <c r="H690">
        <v>2</v>
      </c>
      <c r="I690">
        <v>1</v>
      </c>
      <c r="J690">
        <v>1974</v>
      </c>
      <c r="K690">
        <v>2002</v>
      </c>
      <c r="L690">
        <v>1</v>
      </c>
      <c r="M690" t="str">
        <f>VLOOKUP(B690, [1]Course!$A$1:$O$933, 12, FALSE)</f>
        <v>SS</v>
      </c>
      <c r="N690" t="s">
        <v>14</v>
      </c>
      <c r="O690" t="str">
        <f>VLOOKUP(B690, [1]Course!$A$1:$O$933, 14, FALSE)</f>
        <v>WH</v>
      </c>
      <c r="P690">
        <v>1</v>
      </c>
    </row>
    <row r="691" spans="1:16" x14ac:dyDescent="0.25">
      <c r="A691">
        <v>690</v>
      </c>
      <c r="B691">
        <v>59</v>
      </c>
      <c r="C691">
        <v>108</v>
      </c>
      <c r="D691" t="s">
        <v>27</v>
      </c>
      <c r="E691" t="str">
        <f t="shared" si="10"/>
        <v>1208WH02PT</v>
      </c>
      <c r="F691" t="str">
        <f>VLOOKUP(B691,[1]Course!$A$2:$R$329,2,FALSE)</f>
        <v>World History</v>
      </c>
      <c r="G691">
        <f>VLOOKUP(B691, [1]Course!$A$2:$L$950, 8, FALSE)</f>
        <v>12</v>
      </c>
      <c r="H691">
        <v>2</v>
      </c>
      <c r="I691">
        <v>1</v>
      </c>
      <c r="J691">
        <v>2010</v>
      </c>
      <c r="K691">
        <v>2018</v>
      </c>
      <c r="L691">
        <v>1</v>
      </c>
      <c r="M691" t="str">
        <f>VLOOKUP(B691, [1]Course!$A$1:$O$933, 12, FALSE)</f>
        <v>SS</v>
      </c>
      <c r="N691" t="s">
        <v>14</v>
      </c>
      <c r="O691" t="str">
        <f>VLOOKUP(B691, [1]Course!$A$1:$O$933, 14, FALSE)</f>
        <v>WH</v>
      </c>
      <c r="P691">
        <v>1</v>
      </c>
    </row>
    <row r="692" spans="1:16" x14ac:dyDescent="0.25">
      <c r="A692">
        <v>691</v>
      </c>
      <c r="B692">
        <v>60</v>
      </c>
      <c r="C692">
        <v>97</v>
      </c>
      <c r="D692" t="s">
        <v>102</v>
      </c>
      <c r="E692" t="str">
        <f t="shared" si="10"/>
        <v>1297NTS03PT</v>
      </c>
      <c r="F692" t="str">
        <f>VLOOKUP(B692,[1]Course!$A$2:$R$329,2,FALSE)</f>
        <v>Biblical Studies I: New Testament Survey</v>
      </c>
      <c r="G692">
        <f>VLOOKUP(B692, [1]Course!$A$2:$L$950, 8, FALSE)</f>
        <v>12</v>
      </c>
      <c r="H692">
        <v>3</v>
      </c>
      <c r="I692">
        <v>1</v>
      </c>
      <c r="M692" t="str">
        <f>VLOOKUP(B692, [1]Course!$A$1:$O$933, 12, FALSE)</f>
        <v>BS</v>
      </c>
      <c r="N692" t="s">
        <v>14</v>
      </c>
      <c r="O692" t="str">
        <f>VLOOKUP(B692, [1]Course!$A$1:$O$933, 14, FALSE)</f>
        <v>NT</v>
      </c>
      <c r="P692">
        <v>1</v>
      </c>
    </row>
    <row r="693" spans="1:16" x14ac:dyDescent="0.25">
      <c r="A693">
        <v>692</v>
      </c>
      <c r="B693">
        <v>60</v>
      </c>
      <c r="C693">
        <v>98</v>
      </c>
      <c r="D693" t="s">
        <v>102</v>
      </c>
      <c r="E693" t="str">
        <f t="shared" si="10"/>
        <v>1298NTS03PT</v>
      </c>
      <c r="F693" t="str">
        <f>VLOOKUP(B693,[1]Course!$A$2:$R$329,2,FALSE)</f>
        <v>Biblical Studies I: New Testament Survey</v>
      </c>
      <c r="G693">
        <f>VLOOKUP(B693, [1]Course!$A$2:$L$950, 8, FALSE)</f>
        <v>12</v>
      </c>
      <c r="H693">
        <v>3</v>
      </c>
      <c r="I693">
        <v>1</v>
      </c>
      <c r="J693">
        <v>2017</v>
      </c>
      <c r="K693" t="s">
        <v>92</v>
      </c>
      <c r="L693">
        <v>1</v>
      </c>
      <c r="M693" t="str">
        <f>VLOOKUP(B693, [1]Course!$A$1:$O$933, 12, FALSE)</f>
        <v>BS</v>
      </c>
      <c r="N693" t="s">
        <v>14</v>
      </c>
      <c r="O693" t="str">
        <f>VLOOKUP(B693, [1]Course!$A$1:$O$933, 14, FALSE)</f>
        <v>NT</v>
      </c>
      <c r="P693">
        <v>1</v>
      </c>
    </row>
    <row r="694" spans="1:16" x14ac:dyDescent="0.25">
      <c r="A694">
        <v>693</v>
      </c>
      <c r="B694">
        <v>60</v>
      </c>
      <c r="C694">
        <v>99</v>
      </c>
      <c r="D694" t="s">
        <v>102</v>
      </c>
      <c r="E694" t="str">
        <f t="shared" si="10"/>
        <v>1299NTS03PT</v>
      </c>
      <c r="F694" t="str">
        <f>VLOOKUP(B694,[1]Course!$A$2:$R$329,2,FALSE)</f>
        <v>Biblical Studies I: New Testament Survey</v>
      </c>
      <c r="G694">
        <f>VLOOKUP(B694, [1]Course!$A$2:$L$950, 8, FALSE)</f>
        <v>12</v>
      </c>
      <c r="H694">
        <v>3</v>
      </c>
      <c r="I694">
        <v>1</v>
      </c>
      <c r="J694">
        <v>2017</v>
      </c>
      <c r="K694" t="s">
        <v>92</v>
      </c>
      <c r="L694">
        <v>1</v>
      </c>
      <c r="M694" t="str">
        <f>VLOOKUP(B694, [1]Course!$A$1:$O$933, 12, FALSE)</f>
        <v>BS</v>
      </c>
      <c r="N694" t="s">
        <v>14</v>
      </c>
      <c r="O694" t="str">
        <f>VLOOKUP(B694, [1]Course!$A$1:$O$933, 14, FALSE)</f>
        <v>NT</v>
      </c>
      <c r="P694">
        <v>1</v>
      </c>
    </row>
    <row r="695" spans="1:16" x14ac:dyDescent="0.25">
      <c r="A695">
        <v>694</v>
      </c>
      <c r="B695">
        <v>60</v>
      </c>
      <c r="C695">
        <v>100</v>
      </c>
      <c r="D695" t="s">
        <v>102</v>
      </c>
      <c r="E695" t="str">
        <f t="shared" si="10"/>
        <v>1200NTS03PT</v>
      </c>
      <c r="F695" t="str">
        <f>VLOOKUP(B695,[1]Course!$A$2:$R$329,2,FALSE)</f>
        <v>Biblical Studies I: New Testament Survey</v>
      </c>
      <c r="G695">
        <f>VLOOKUP(B695, [1]Course!$A$2:$L$950, 8, FALSE)</f>
        <v>12</v>
      </c>
      <c r="H695">
        <v>3</v>
      </c>
      <c r="I695">
        <v>1</v>
      </c>
      <c r="J695">
        <v>2017</v>
      </c>
      <c r="K695" t="s">
        <v>92</v>
      </c>
      <c r="L695">
        <v>1</v>
      </c>
      <c r="M695" t="str">
        <f>VLOOKUP(B695, [1]Course!$A$1:$O$933, 12, FALSE)</f>
        <v>BS</v>
      </c>
      <c r="N695" t="s">
        <v>14</v>
      </c>
      <c r="O695" t="str">
        <f>VLOOKUP(B695, [1]Course!$A$1:$O$933, 14, FALSE)</f>
        <v>NT</v>
      </c>
      <c r="P695">
        <v>1</v>
      </c>
    </row>
    <row r="696" spans="1:16" x14ac:dyDescent="0.25">
      <c r="A696">
        <v>695</v>
      </c>
      <c r="B696">
        <v>60</v>
      </c>
      <c r="C696">
        <v>101</v>
      </c>
      <c r="D696" t="s">
        <v>102</v>
      </c>
      <c r="E696" t="str">
        <f t="shared" si="10"/>
        <v>1201NTS03PT</v>
      </c>
      <c r="F696" t="str">
        <f>VLOOKUP(B696,[1]Course!$A$2:$R$329,2,FALSE)</f>
        <v>Biblical Studies I: New Testament Survey</v>
      </c>
      <c r="G696">
        <f>VLOOKUP(B696, [1]Course!$A$2:$L$950, 8, FALSE)</f>
        <v>12</v>
      </c>
      <c r="H696">
        <v>3</v>
      </c>
      <c r="I696">
        <v>1</v>
      </c>
      <c r="M696" t="str">
        <f>VLOOKUP(B696, [1]Course!$A$1:$O$933, 12, FALSE)</f>
        <v>BS</v>
      </c>
      <c r="N696" t="s">
        <v>14</v>
      </c>
      <c r="O696" t="str">
        <f>VLOOKUP(B696, [1]Course!$A$1:$O$933, 14, FALSE)</f>
        <v>NT</v>
      </c>
      <c r="P696">
        <v>1</v>
      </c>
    </row>
    <row r="697" spans="1:16" x14ac:dyDescent="0.25">
      <c r="A697">
        <v>696</v>
      </c>
      <c r="B697">
        <v>60</v>
      </c>
      <c r="C697">
        <v>102</v>
      </c>
      <c r="D697" t="s">
        <v>102</v>
      </c>
      <c r="E697" t="str">
        <f t="shared" si="10"/>
        <v>1202NTS03PT</v>
      </c>
      <c r="F697" t="str">
        <f>VLOOKUP(B697,[1]Course!$A$2:$R$329,2,FALSE)</f>
        <v>Biblical Studies I: New Testament Survey</v>
      </c>
      <c r="G697">
        <f>VLOOKUP(B697, [1]Course!$A$2:$L$950, 8, FALSE)</f>
        <v>12</v>
      </c>
      <c r="H697">
        <v>3</v>
      </c>
      <c r="I697">
        <v>1</v>
      </c>
      <c r="M697" t="str">
        <f>VLOOKUP(B697, [1]Course!$A$1:$O$933, 12, FALSE)</f>
        <v>BS</v>
      </c>
      <c r="N697" t="s">
        <v>14</v>
      </c>
      <c r="O697" t="str">
        <f>VLOOKUP(B697, [1]Course!$A$1:$O$933, 14, FALSE)</f>
        <v>NT</v>
      </c>
      <c r="P697">
        <v>1</v>
      </c>
    </row>
    <row r="698" spans="1:16" x14ac:dyDescent="0.25">
      <c r="A698">
        <v>697</v>
      </c>
      <c r="B698">
        <v>61</v>
      </c>
      <c r="C698">
        <v>97</v>
      </c>
      <c r="D698" t="s">
        <v>28</v>
      </c>
      <c r="E698" t="str">
        <f t="shared" si="10"/>
        <v>1297AL03PT</v>
      </c>
      <c r="F698">
        <f>VLOOKUP(B698,[1]Course!$A$2:$R$329,2,FALSE)</f>
        <v>0</v>
      </c>
      <c r="G698">
        <f>VLOOKUP(B698, [1]Course!$A$2:$L$950, 8, FALSE)</f>
        <v>12</v>
      </c>
      <c r="H698">
        <v>3</v>
      </c>
      <c r="I698">
        <v>1</v>
      </c>
      <c r="M698" t="str">
        <f>VLOOKUP(B698, [1]Course!$A$1:$O$933, 12, FALSE)</f>
        <v>MA</v>
      </c>
      <c r="N698" t="s">
        <v>14</v>
      </c>
      <c r="O698" t="str">
        <f>VLOOKUP(B698, [1]Course!$A$1:$O$933, 14, FALSE)</f>
        <v>AL</v>
      </c>
      <c r="P698">
        <v>1</v>
      </c>
    </row>
    <row r="699" spans="1:16" x14ac:dyDescent="0.25">
      <c r="A699">
        <v>698</v>
      </c>
      <c r="B699">
        <v>61</v>
      </c>
      <c r="C699">
        <v>98</v>
      </c>
      <c r="D699" t="s">
        <v>28</v>
      </c>
      <c r="E699" t="str">
        <f t="shared" si="10"/>
        <v>1298AL03PT</v>
      </c>
      <c r="F699">
        <f>VLOOKUP(B699,[1]Course!$A$2:$R$329,2,FALSE)</f>
        <v>0</v>
      </c>
      <c r="G699">
        <f>VLOOKUP(B699, [1]Course!$A$2:$L$950, 8, FALSE)</f>
        <v>12</v>
      </c>
      <c r="H699">
        <v>3</v>
      </c>
      <c r="I699">
        <v>1</v>
      </c>
      <c r="M699" t="str">
        <f>VLOOKUP(B699, [1]Course!$A$1:$O$933, 12, FALSE)</f>
        <v>MA</v>
      </c>
      <c r="N699" t="s">
        <v>14</v>
      </c>
      <c r="O699" t="str">
        <f>VLOOKUP(B699, [1]Course!$A$1:$O$933, 14, FALSE)</f>
        <v>AL</v>
      </c>
      <c r="P699">
        <v>1</v>
      </c>
    </row>
    <row r="700" spans="1:16" x14ac:dyDescent="0.25">
      <c r="A700">
        <v>699</v>
      </c>
      <c r="B700">
        <v>61</v>
      </c>
      <c r="C700">
        <v>99</v>
      </c>
      <c r="D700" t="s">
        <v>28</v>
      </c>
      <c r="E700" t="str">
        <f t="shared" si="10"/>
        <v>1299AL03PT</v>
      </c>
      <c r="F700">
        <f>VLOOKUP(B700,[1]Course!$A$2:$R$329,2,FALSE)</f>
        <v>0</v>
      </c>
      <c r="G700">
        <f>VLOOKUP(B700, [1]Course!$A$2:$L$950, 8, FALSE)</f>
        <v>12</v>
      </c>
      <c r="H700">
        <v>3</v>
      </c>
      <c r="I700">
        <v>1</v>
      </c>
      <c r="M700" t="str">
        <f>VLOOKUP(B700, [1]Course!$A$1:$O$933, 12, FALSE)</f>
        <v>MA</v>
      </c>
      <c r="N700" t="s">
        <v>14</v>
      </c>
      <c r="O700" t="str">
        <f>VLOOKUP(B700, [1]Course!$A$1:$O$933, 14, FALSE)</f>
        <v>AL</v>
      </c>
      <c r="P700">
        <v>1</v>
      </c>
    </row>
    <row r="701" spans="1:16" x14ac:dyDescent="0.25">
      <c r="A701">
        <v>700</v>
      </c>
      <c r="B701">
        <v>61</v>
      </c>
      <c r="C701">
        <v>100</v>
      </c>
      <c r="D701" t="s">
        <v>28</v>
      </c>
      <c r="E701" t="str">
        <f t="shared" si="10"/>
        <v>1200AL03PT</v>
      </c>
      <c r="F701">
        <f>VLOOKUP(B701,[1]Course!$A$2:$R$329,2,FALSE)</f>
        <v>0</v>
      </c>
      <c r="G701">
        <f>VLOOKUP(B701, [1]Course!$A$2:$L$950, 8, FALSE)</f>
        <v>12</v>
      </c>
      <c r="H701">
        <v>3</v>
      </c>
      <c r="I701">
        <v>1</v>
      </c>
      <c r="J701">
        <v>1996</v>
      </c>
      <c r="K701" t="s">
        <v>92</v>
      </c>
      <c r="L701">
        <v>1</v>
      </c>
      <c r="M701" t="str">
        <f>VLOOKUP(B701, [1]Course!$A$1:$O$933, 12, FALSE)</f>
        <v>MA</v>
      </c>
      <c r="N701" t="s">
        <v>14</v>
      </c>
      <c r="O701" t="str">
        <f>VLOOKUP(B701, [1]Course!$A$1:$O$933, 14, FALSE)</f>
        <v>AL</v>
      </c>
      <c r="P701">
        <v>1</v>
      </c>
    </row>
    <row r="702" spans="1:16" x14ac:dyDescent="0.25">
      <c r="A702">
        <v>701</v>
      </c>
      <c r="B702">
        <v>61</v>
      </c>
      <c r="C702">
        <v>101</v>
      </c>
      <c r="D702" t="s">
        <v>28</v>
      </c>
      <c r="E702" t="str">
        <f t="shared" si="10"/>
        <v>1201AL03PT</v>
      </c>
      <c r="F702">
        <f>VLOOKUP(B702,[1]Course!$A$2:$R$329,2,FALSE)</f>
        <v>0</v>
      </c>
      <c r="G702">
        <f>VLOOKUP(B702, [1]Course!$A$2:$L$950, 8, FALSE)</f>
        <v>12</v>
      </c>
      <c r="H702">
        <v>3</v>
      </c>
      <c r="I702">
        <v>1</v>
      </c>
      <c r="J702">
        <v>1996</v>
      </c>
      <c r="K702">
        <v>2005</v>
      </c>
      <c r="L702">
        <v>1</v>
      </c>
      <c r="M702" t="str">
        <f>VLOOKUP(B702, [1]Course!$A$1:$O$933, 12, FALSE)</f>
        <v>MA</v>
      </c>
      <c r="N702" t="s">
        <v>14</v>
      </c>
      <c r="O702" t="str">
        <f>VLOOKUP(B702, [1]Course!$A$1:$O$933, 14, FALSE)</f>
        <v>AL</v>
      </c>
      <c r="P702">
        <v>1</v>
      </c>
    </row>
    <row r="703" spans="1:16" x14ac:dyDescent="0.25">
      <c r="A703">
        <v>702</v>
      </c>
      <c r="B703">
        <v>61</v>
      </c>
      <c r="C703">
        <v>102</v>
      </c>
      <c r="D703" t="s">
        <v>28</v>
      </c>
      <c r="E703" t="str">
        <f t="shared" si="10"/>
        <v>1202AL03PT</v>
      </c>
      <c r="F703">
        <f>VLOOKUP(B703,[1]Course!$A$2:$R$329,2,FALSE)</f>
        <v>0</v>
      </c>
      <c r="G703">
        <f>VLOOKUP(B703, [1]Course!$A$2:$L$950, 8, FALSE)</f>
        <v>12</v>
      </c>
      <c r="H703">
        <v>3</v>
      </c>
      <c r="I703">
        <v>1</v>
      </c>
      <c r="J703">
        <v>1996</v>
      </c>
      <c r="K703">
        <v>2005</v>
      </c>
      <c r="L703">
        <v>1</v>
      </c>
      <c r="M703" t="str">
        <f>VLOOKUP(B703, [1]Course!$A$1:$O$933, 12, FALSE)</f>
        <v>MA</v>
      </c>
      <c r="N703" t="s">
        <v>14</v>
      </c>
      <c r="O703" t="str">
        <f>VLOOKUP(B703, [1]Course!$A$1:$O$933, 14, FALSE)</f>
        <v>AL</v>
      </c>
      <c r="P703">
        <v>1</v>
      </c>
    </row>
    <row r="704" spans="1:16" x14ac:dyDescent="0.25">
      <c r="A704">
        <v>703</v>
      </c>
      <c r="B704">
        <v>61</v>
      </c>
      <c r="C704">
        <v>103</v>
      </c>
      <c r="D704" t="s">
        <v>28</v>
      </c>
      <c r="E704" t="str">
        <f t="shared" si="10"/>
        <v>1203AL03PT</v>
      </c>
      <c r="F704">
        <f>VLOOKUP(B704,[1]Course!$A$2:$R$329,2,FALSE)</f>
        <v>0</v>
      </c>
      <c r="G704">
        <f>VLOOKUP(B704, [1]Course!$A$2:$L$950, 8, FALSE)</f>
        <v>12</v>
      </c>
      <c r="H704">
        <v>3</v>
      </c>
      <c r="I704">
        <v>1</v>
      </c>
      <c r="J704">
        <v>1996</v>
      </c>
      <c r="K704">
        <v>2001</v>
      </c>
      <c r="L704">
        <v>1</v>
      </c>
      <c r="M704" t="str">
        <f>VLOOKUP(B704, [1]Course!$A$1:$O$933, 12, FALSE)</f>
        <v>MA</v>
      </c>
      <c r="N704" t="s">
        <v>14</v>
      </c>
      <c r="O704" t="str">
        <f>VLOOKUP(B704, [1]Course!$A$1:$O$933, 14, FALSE)</f>
        <v>AL</v>
      </c>
      <c r="P704">
        <v>1</v>
      </c>
    </row>
    <row r="705" spans="1:16" x14ac:dyDescent="0.25">
      <c r="A705">
        <v>704</v>
      </c>
      <c r="B705">
        <v>61</v>
      </c>
      <c r="C705">
        <v>104</v>
      </c>
      <c r="D705" t="s">
        <v>28</v>
      </c>
      <c r="E705" t="str">
        <f t="shared" si="10"/>
        <v>1204AL03PT</v>
      </c>
      <c r="F705">
        <f>VLOOKUP(B705,[1]Course!$A$2:$R$329,2,FALSE)</f>
        <v>0</v>
      </c>
      <c r="G705">
        <f>VLOOKUP(B705, [1]Course!$A$2:$L$950, 8, FALSE)</f>
        <v>12</v>
      </c>
      <c r="H705">
        <v>3</v>
      </c>
      <c r="I705">
        <v>1</v>
      </c>
      <c r="J705">
        <v>1996</v>
      </c>
      <c r="K705">
        <v>2000</v>
      </c>
      <c r="L705">
        <v>1</v>
      </c>
      <c r="M705" t="str">
        <f>VLOOKUP(B705, [1]Course!$A$1:$O$933, 12, FALSE)</f>
        <v>MA</v>
      </c>
      <c r="N705" t="s">
        <v>14</v>
      </c>
      <c r="O705" t="str">
        <f>VLOOKUP(B705, [1]Course!$A$1:$O$933, 14, FALSE)</f>
        <v>AL</v>
      </c>
      <c r="P705">
        <v>1</v>
      </c>
    </row>
    <row r="706" spans="1:16" x14ac:dyDescent="0.25">
      <c r="A706">
        <v>705</v>
      </c>
      <c r="B706">
        <v>61</v>
      </c>
      <c r="C706">
        <v>105</v>
      </c>
      <c r="D706" t="s">
        <v>28</v>
      </c>
      <c r="E706" t="str">
        <f t="shared" si="10"/>
        <v>1205AL03PT</v>
      </c>
      <c r="F706">
        <f>VLOOKUP(B706,[1]Course!$A$2:$R$329,2,FALSE)</f>
        <v>0</v>
      </c>
      <c r="G706">
        <f>VLOOKUP(B706, [1]Course!$A$2:$L$950, 8, FALSE)</f>
        <v>12</v>
      </c>
      <c r="H706">
        <v>3</v>
      </c>
      <c r="I706">
        <v>1</v>
      </c>
      <c r="J706">
        <v>1996</v>
      </c>
      <c r="K706">
        <v>2000</v>
      </c>
      <c r="L706">
        <v>1</v>
      </c>
      <c r="M706" t="str">
        <f>VLOOKUP(B706, [1]Course!$A$1:$O$933, 12, FALSE)</f>
        <v>MA</v>
      </c>
      <c r="N706" t="s">
        <v>14</v>
      </c>
      <c r="O706" t="str">
        <f>VLOOKUP(B706, [1]Course!$A$1:$O$933, 14, FALSE)</f>
        <v>AL</v>
      </c>
      <c r="P706">
        <v>1</v>
      </c>
    </row>
    <row r="707" spans="1:16" x14ac:dyDescent="0.25">
      <c r="A707">
        <v>706</v>
      </c>
      <c r="B707">
        <v>61</v>
      </c>
      <c r="C707">
        <v>106</v>
      </c>
      <c r="D707" t="s">
        <v>28</v>
      </c>
      <c r="E707" t="str">
        <f t="shared" ref="E707:E770" si="11">UPPER(LEFT(G707,2)) &amp; RIGHT("0" &amp; C707, 2) &amp; D707 &amp; RIGHT("0" &amp; H707, 2) &amp; N707</f>
        <v>1206AL03PT</v>
      </c>
      <c r="F707">
        <f>VLOOKUP(B707,[1]Course!$A$2:$R$329,2,FALSE)</f>
        <v>0</v>
      </c>
      <c r="G707">
        <f>VLOOKUP(B707, [1]Course!$A$2:$L$950, 8, FALSE)</f>
        <v>12</v>
      </c>
      <c r="H707">
        <v>3</v>
      </c>
      <c r="I707">
        <v>1</v>
      </c>
      <c r="J707">
        <v>1996</v>
      </c>
      <c r="K707">
        <v>2001</v>
      </c>
      <c r="L707">
        <v>1</v>
      </c>
      <c r="M707" t="str">
        <f>VLOOKUP(B707, [1]Course!$A$1:$O$933, 12, FALSE)</f>
        <v>MA</v>
      </c>
      <c r="N707" t="s">
        <v>14</v>
      </c>
      <c r="O707" t="str">
        <f>VLOOKUP(B707, [1]Course!$A$1:$O$933, 14, FALSE)</f>
        <v>AL</v>
      </c>
      <c r="P707">
        <v>1</v>
      </c>
    </row>
    <row r="708" spans="1:16" x14ac:dyDescent="0.25">
      <c r="A708">
        <v>707</v>
      </c>
      <c r="B708">
        <v>61</v>
      </c>
      <c r="C708">
        <v>107</v>
      </c>
      <c r="D708" t="s">
        <v>28</v>
      </c>
      <c r="E708" t="str">
        <f t="shared" si="11"/>
        <v>1207AL03PT</v>
      </c>
      <c r="F708">
        <f>VLOOKUP(B708,[1]Course!$A$2:$R$329,2,FALSE)</f>
        <v>0</v>
      </c>
      <c r="G708">
        <f>VLOOKUP(B708, [1]Course!$A$2:$L$950, 8, FALSE)</f>
        <v>12</v>
      </c>
      <c r="H708">
        <v>3</v>
      </c>
      <c r="I708">
        <v>1</v>
      </c>
      <c r="J708">
        <v>1996</v>
      </c>
      <c r="K708">
        <v>1999</v>
      </c>
      <c r="L708">
        <v>1</v>
      </c>
      <c r="M708" t="str">
        <f>VLOOKUP(B708, [1]Course!$A$1:$O$933, 12, FALSE)</f>
        <v>MA</v>
      </c>
      <c r="N708" t="s">
        <v>14</v>
      </c>
      <c r="O708" t="str">
        <f>VLOOKUP(B708, [1]Course!$A$1:$O$933, 14, FALSE)</f>
        <v>AL</v>
      </c>
      <c r="P708">
        <v>1</v>
      </c>
    </row>
    <row r="709" spans="1:16" x14ac:dyDescent="0.25">
      <c r="A709">
        <v>708</v>
      </c>
      <c r="B709">
        <v>61</v>
      </c>
      <c r="C709">
        <v>108</v>
      </c>
      <c r="D709" t="s">
        <v>28</v>
      </c>
      <c r="E709" t="str">
        <f t="shared" si="11"/>
        <v>1208AL03PT</v>
      </c>
      <c r="F709">
        <f>VLOOKUP(B709,[1]Course!$A$2:$R$329,2,FALSE)</f>
        <v>0</v>
      </c>
      <c r="G709">
        <f>VLOOKUP(B709, [1]Course!$A$2:$L$950, 8, FALSE)</f>
        <v>12</v>
      </c>
      <c r="H709">
        <v>3</v>
      </c>
      <c r="I709">
        <v>1</v>
      </c>
      <c r="J709">
        <v>1996</v>
      </c>
      <c r="K709">
        <v>2002</v>
      </c>
      <c r="L709">
        <v>1</v>
      </c>
      <c r="M709" t="str">
        <f>VLOOKUP(B709, [1]Course!$A$1:$O$933, 12, FALSE)</f>
        <v>MA</v>
      </c>
      <c r="N709" t="s">
        <v>14</v>
      </c>
      <c r="O709" t="str">
        <f>VLOOKUP(B709, [1]Course!$A$1:$O$933, 14, FALSE)</f>
        <v>AL</v>
      </c>
      <c r="P709">
        <v>1</v>
      </c>
    </row>
    <row r="710" spans="1:16" x14ac:dyDescent="0.25">
      <c r="A710">
        <v>709</v>
      </c>
      <c r="B710">
        <v>62</v>
      </c>
      <c r="C710">
        <v>97</v>
      </c>
      <c r="D710" t="s">
        <v>16</v>
      </c>
      <c r="E710" t="str">
        <f t="shared" si="11"/>
        <v>1297EN03PT</v>
      </c>
      <c r="F710">
        <f>VLOOKUP(B710,[1]Course!$A$2:$R$329,2,FALSE)</f>
        <v>0</v>
      </c>
      <c r="G710">
        <f>VLOOKUP(B710, [1]Course!$A$2:$L$950, 8, FALSE)</f>
        <v>12</v>
      </c>
      <c r="H710">
        <v>3</v>
      </c>
      <c r="I710">
        <v>1</v>
      </c>
      <c r="J710">
        <v>1987</v>
      </c>
      <c r="K710">
        <v>2005</v>
      </c>
      <c r="L710">
        <v>1</v>
      </c>
      <c r="M710" t="str">
        <f>VLOOKUP(B710, [1]Course!$A$1:$O$933, 12, FALSE)</f>
        <v>LA</v>
      </c>
      <c r="N710" t="s">
        <v>14</v>
      </c>
      <c r="O710" t="str">
        <f>VLOOKUP(B710, [1]Course!$A$1:$O$933, 14, FALSE)</f>
        <v>EN</v>
      </c>
      <c r="P710">
        <v>1</v>
      </c>
    </row>
    <row r="711" spans="1:16" x14ac:dyDescent="0.25">
      <c r="A711">
        <v>710</v>
      </c>
      <c r="B711">
        <v>62</v>
      </c>
      <c r="C711">
        <v>98</v>
      </c>
      <c r="D711" t="s">
        <v>16</v>
      </c>
      <c r="E711" t="str">
        <f t="shared" si="11"/>
        <v>1298EN03PT</v>
      </c>
      <c r="F711">
        <f>VLOOKUP(B711,[1]Course!$A$2:$R$329,2,FALSE)</f>
        <v>0</v>
      </c>
      <c r="G711">
        <f>VLOOKUP(B711, [1]Course!$A$2:$L$950, 8, FALSE)</f>
        <v>12</v>
      </c>
      <c r="H711">
        <v>3</v>
      </c>
      <c r="I711">
        <v>1</v>
      </c>
      <c r="J711">
        <v>1987</v>
      </c>
      <c r="K711">
        <v>2011</v>
      </c>
      <c r="L711">
        <v>1</v>
      </c>
      <c r="M711" t="str">
        <f>VLOOKUP(B711, [1]Course!$A$1:$O$933, 12, FALSE)</f>
        <v>LA</v>
      </c>
      <c r="N711" t="s">
        <v>14</v>
      </c>
      <c r="O711" t="str">
        <f>VLOOKUP(B711, [1]Course!$A$1:$O$933, 14, FALSE)</f>
        <v>EN</v>
      </c>
      <c r="P711">
        <v>1</v>
      </c>
    </row>
    <row r="712" spans="1:16" x14ac:dyDescent="0.25">
      <c r="A712">
        <v>711</v>
      </c>
      <c r="B712">
        <v>62</v>
      </c>
      <c r="C712">
        <v>99</v>
      </c>
      <c r="D712" t="s">
        <v>16</v>
      </c>
      <c r="E712" t="str">
        <f t="shared" si="11"/>
        <v>1299EN03PT</v>
      </c>
      <c r="F712">
        <f>VLOOKUP(B712,[1]Course!$A$2:$R$329,2,FALSE)</f>
        <v>0</v>
      </c>
      <c r="G712">
        <f>VLOOKUP(B712, [1]Course!$A$2:$L$950, 8, FALSE)</f>
        <v>12</v>
      </c>
      <c r="H712">
        <v>3</v>
      </c>
      <c r="I712">
        <v>1</v>
      </c>
      <c r="J712">
        <v>1987</v>
      </c>
      <c r="K712">
        <v>2006</v>
      </c>
      <c r="L712">
        <v>1</v>
      </c>
      <c r="M712" t="str">
        <f>VLOOKUP(B712, [1]Course!$A$1:$O$933, 12, FALSE)</f>
        <v>LA</v>
      </c>
      <c r="N712" t="s">
        <v>14</v>
      </c>
      <c r="O712" t="str">
        <f>VLOOKUP(B712, [1]Course!$A$1:$O$933, 14, FALSE)</f>
        <v>EN</v>
      </c>
      <c r="P712">
        <v>1</v>
      </c>
    </row>
    <row r="713" spans="1:16" x14ac:dyDescent="0.25">
      <c r="A713">
        <v>712</v>
      </c>
      <c r="B713">
        <v>62</v>
      </c>
      <c r="C713">
        <v>100</v>
      </c>
      <c r="D713" t="s">
        <v>16</v>
      </c>
      <c r="E713" t="str">
        <f t="shared" si="11"/>
        <v>1200EN03PT</v>
      </c>
      <c r="F713">
        <f>VLOOKUP(B713,[1]Course!$A$2:$R$329,2,FALSE)</f>
        <v>0</v>
      </c>
      <c r="G713">
        <f>VLOOKUP(B713, [1]Course!$A$2:$L$950, 8, FALSE)</f>
        <v>12</v>
      </c>
      <c r="H713">
        <v>3</v>
      </c>
      <c r="I713">
        <v>1</v>
      </c>
      <c r="J713">
        <v>1987</v>
      </c>
      <c r="K713">
        <v>2002</v>
      </c>
      <c r="L713">
        <v>1</v>
      </c>
      <c r="M713" t="str">
        <f>VLOOKUP(B713, [1]Course!$A$1:$O$933, 12, FALSE)</f>
        <v>LA</v>
      </c>
      <c r="N713" t="s">
        <v>14</v>
      </c>
      <c r="O713" t="str">
        <f>VLOOKUP(B713, [1]Course!$A$1:$O$933, 14, FALSE)</f>
        <v>EN</v>
      </c>
      <c r="P713">
        <v>1</v>
      </c>
    </row>
    <row r="714" spans="1:16" x14ac:dyDescent="0.25">
      <c r="A714">
        <v>713</v>
      </c>
      <c r="B714">
        <v>62</v>
      </c>
      <c r="C714">
        <v>101</v>
      </c>
      <c r="D714" t="s">
        <v>16</v>
      </c>
      <c r="E714" t="str">
        <f t="shared" si="11"/>
        <v>1201EN03PT</v>
      </c>
      <c r="F714">
        <f>VLOOKUP(B714,[1]Course!$A$2:$R$329,2,FALSE)</f>
        <v>0</v>
      </c>
      <c r="G714">
        <f>VLOOKUP(B714, [1]Course!$A$2:$L$950, 8, FALSE)</f>
        <v>12</v>
      </c>
      <c r="H714">
        <v>3</v>
      </c>
      <c r="I714">
        <v>1</v>
      </c>
      <c r="L714">
        <v>1</v>
      </c>
      <c r="M714" t="str">
        <f>VLOOKUP(B714, [1]Course!$A$1:$O$933, 12, FALSE)</f>
        <v>LA</v>
      </c>
      <c r="N714" t="s">
        <v>14</v>
      </c>
      <c r="O714" t="str">
        <f>VLOOKUP(B714, [1]Course!$A$1:$O$933, 14, FALSE)</f>
        <v>EN</v>
      </c>
      <c r="P714">
        <v>1</v>
      </c>
    </row>
    <row r="715" spans="1:16" x14ac:dyDescent="0.25">
      <c r="A715">
        <v>714</v>
      </c>
      <c r="B715">
        <v>62</v>
      </c>
      <c r="C715">
        <v>102</v>
      </c>
      <c r="D715" t="s">
        <v>16</v>
      </c>
      <c r="E715" t="str">
        <f t="shared" si="11"/>
        <v>1202EN03PT</v>
      </c>
      <c r="F715">
        <f>VLOOKUP(B715,[1]Course!$A$2:$R$329,2,FALSE)</f>
        <v>0</v>
      </c>
      <c r="G715">
        <f>VLOOKUP(B715, [1]Course!$A$2:$L$950, 8, FALSE)</f>
        <v>12</v>
      </c>
      <c r="H715">
        <v>3</v>
      </c>
      <c r="I715">
        <v>1</v>
      </c>
      <c r="J715">
        <v>1987</v>
      </c>
      <c r="K715">
        <v>1996</v>
      </c>
      <c r="L715">
        <v>1</v>
      </c>
      <c r="M715" t="str">
        <f>VLOOKUP(B715, [1]Course!$A$1:$O$933, 12, FALSE)</f>
        <v>LA</v>
      </c>
      <c r="N715" t="s">
        <v>14</v>
      </c>
      <c r="O715" t="str">
        <f>VLOOKUP(B715, [1]Course!$A$1:$O$933, 14, FALSE)</f>
        <v>EN</v>
      </c>
      <c r="P715">
        <v>1</v>
      </c>
    </row>
    <row r="716" spans="1:16" x14ac:dyDescent="0.25">
      <c r="A716">
        <v>715</v>
      </c>
      <c r="B716">
        <v>62</v>
      </c>
      <c r="C716">
        <v>103</v>
      </c>
      <c r="D716" t="s">
        <v>16</v>
      </c>
      <c r="E716" t="str">
        <f t="shared" si="11"/>
        <v>1203EN03PT</v>
      </c>
      <c r="F716">
        <f>VLOOKUP(B716,[1]Course!$A$2:$R$329,2,FALSE)</f>
        <v>0</v>
      </c>
      <c r="G716">
        <f>VLOOKUP(B716, [1]Course!$A$2:$L$950, 8, FALSE)</f>
        <v>12</v>
      </c>
      <c r="H716">
        <v>3</v>
      </c>
      <c r="I716">
        <v>1</v>
      </c>
      <c r="J716">
        <v>1987</v>
      </c>
      <c r="K716">
        <v>2001</v>
      </c>
      <c r="L716">
        <v>1</v>
      </c>
      <c r="M716" t="str">
        <f>VLOOKUP(B716, [1]Course!$A$1:$O$933, 12, FALSE)</f>
        <v>LA</v>
      </c>
      <c r="N716" t="s">
        <v>14</v>
      </c>
      <c r="O716" t="str">
        <f>VLOOKUP(B716, [1]Course!$A$1:$O$933, 14, FALSE)</f>
        <v>EN</v>
      </c>
      <c r="P716">
        <v>1</v>
      </c>
    </row>
    <row r="717" spans="1:16" x14ac:dyDescent="0.25">
      <c r="A717">
        <v>716</v>
      </c>
      <c r="B717">
        <v>62</v>
      </c>
      <c r="C717">
        <v>104</v>
      </c>
      <c r="D717" t="s">
        <v>16</v>
      </c>
      <c r="E717" t="str">
        <f t="shared" si="11"/>
        <v>1204EN03PT</v>
      </c>
      <c r="F717">
        <f>VLOOKUP(B717,[1]Course!$A$2:$R$329,2,FALSE)</f>
        <v>0</v>
      </c>
      <c r="G717">
        <f>VLOOKUP(B717, [1]Course!$A$2:$L$950, 8, FALSE)</f>
        <v>12</v>
      </c>
      <c r="H717">
        <v>3</v>
      </c>
      <c r="I717">
        <v>1</v>
      </c>
      <c r="J717">
        <v>1987</v>
      </c>
      <c r="K717">
        <v>1996</v>
      </c>
      <c r="L717">
        <v>1</v>
      </c>
      <c r="M717" t="str">
        <f>VLOOKUP(B717, [1]Course!$A$1:$O$933, 12, FALSE)</f>
        <v>LA</v>
      </c>
      <c r="N717" t="s">
        <v>14</v>
      </c>
      <c r="O717" t="str">
        <f>VLOOKUP(B717, [1]Course!$A$1:$O$933, 14, FALSE)</f>
        <v>EN</v>
      </c>
      <c r="P717">
        <v>1</v>
      </c>
    </row>
    <row r="718" spans="1:16" x14ac:dyDescent="0.25">
      <c r="A718">
        <v>717</v>
      </c>
      <c r="B718">
        <v>62</v>
      </c>
      <c r="C718">
        <v>105</v>
      </c>
      <c r="D718" t="s">
        <v>16</v>
      </c>
      <c r="E718" t="str">
        <f t="shared" si="11"/>
        <v>1205EN03PT</v>
      </c>
      <c r="F718">
        <f>VLOOKUP(B718,[1]Course!$A$2:$R$329,2,FALSE)</f>
        <v>0</v>
      </c>
      <c r="G718">
        <f>VLOOKUP(B718, [1]Course!$A$2:$L$950, 8, FALSE)</f>
        <v>12</v>
      </c>
      <c r="H718">
        <v>3</v>
      </c>
      <c r="I718">
        <v>1</v>
      </c>
      <c r="L718">
        <v>1</v>
      </c>
      <c r="M718" t="str">
        <f>VLOOKUP(B718, [1]Course!$A$1:$O$933, 12, FALSE)</f>
        <v>LA</v>
      </c>
      <c r="N718" t="s">
        <v>14</v>
      </c>
      <c r="O718" t="str">
        <f>VLOOKUP(B718, [1]Course!$A$1:$O$933, 14, FALSE)</f>
        <v>EN</v>
      </c>
      <c r="P718">
        <v>1</v>
      </c>
    </row>
    <row r="719" spans="1:16" x14ac:dyDescent="0.25">
      <c r="A719">
        <v>718</v>
      </c>
      <c r="B719">
        <v>62</v>
      </c>
      <c r="C719">
        <v>106</v>
      </c>
      <c r="D719" t="s">
        <v>16</v>
      </c>
      <c r="E719" t="str">
        <f t="shared" si="11"/>
        <v>1206EN03PT</v>
      </c>
      <c r="F719">
        <f>VLOOKUP(B719,[1]Course!$A$2:$R$329,2,FALSE)</f>
        <v>0</v>
      </c>
      <c r="G719">
        <f>VLOOKUP(B719, [1]Course!$A$2:$L$950, 8, FALSE)</f>
        <v>12</v>
      </c>
      <c r="H719">
        <v>3</v>
      </c>
      <c r="I719">
        <v>1</v>
      </c>
      <c r="L719">
        <v>1</v>
      </c>
      <c r="M719" t="str">
        <f>VLOOKUP(B719, [1]Course!$A$1:$O$933, 12, FALSE)</f>
        <v>LA</v>
      </c>
      <c r="N719" t="s">
        <v>14</v>
      </c>
      <c r="O719" t="str">
        <f>VLOOKUP(B719, [1]Course!$A$1:$O$933, 14, FALSE)</f>
        <v>EN</v>
      </c>
      <c r="P719">
        <v>1</v>
      </c>
    </row>
    <row r="720" spans="1:16" x14ac:dyDescent="0.25">
      <c r="A720">
        <v>719</v>
      </c>
      <c r="B720">
        <v>62</v>
      </c>
      <c r="C720">
        <v>107</v>
      </c>
      <c r="D720" t="s">
        <v>16</v>
      </c>
      <c r="E720" t="str">
        <f t="shared" si="11"/>
        <v>1207EN03PT</v>
      </c>
      <c r="F720">
        <f>VLOOKUP(B720,[1]Course!$A$2:$R$329,2,FALSE)</f>
        <v>0</v>
      </c>
      <c r="G720">
        <f>VLOOKUP(B720, [1]Course!$A$2:$L$950, 8, FALSE)</f>
        <v>12</v>
      </c>
      <c r="H720">
        <v>3</v>
      </c>
      <c r="I720">
        <v>1</v>
      </c>
      <c r="J720">
        <v>1987</v>
      </c>
      <c r="K720">
        <v>2014</v>
      </c>
      <c r="L720">
        <v>1</v>
      </c>
      <c r="M720" t="str">
        <f>VLOOKUP(B720, [1]Course!$A$1:$O$933, 12, FALSE)</f>
        <v>LA</v>
      </c>
      <c r="N720" t="s">
        <v>14</v>
      </c>
      <c r="O720" t="str">
        <f>VLOOKUP(B720, [1]Course!$A$1:$O$933, 14, FALSE)</f>
        <v>EN</v>
      </c>
      <c r="P720">
        <v>1</v>
      </c>
    </row>
    <row r="721" spans="1:16" x14ac:dyDescent="0.25">
      <c r="A721">
        <v>720</v>
      </c>
      <c r="B721">
        <v>62</v>
      </c>
      <c r="C721">
        <v>108</v>
      </c>
      <c r="D721" t="s">
        <v>16</v>
      </c>
      <c r="E721" t="str">
        <f t="shared" si="11"/>
        <v>1208EN03PT</v>
      </c>
      <c r="F721">
        <f>VLOOKUP(B721,[1]Course!$A$2:$R$329,2,FALSE)</f>
        <v>0</v>
      </c>
      <c r="G721">
        <f>VLOOKUP(B721, [1]Course!$A$2:$L$950, 8, FALSE)</f>
        <v>12</v>
      </c>
      <c r="H721">
        <v>3</v>
      </c>
      <c r="I721">
        <v>1</v>
      </c>
      <c r="J721">
        <v>1987</v>
      </c>
      <c r="K721">
        <v>2013</v>
      </c>
      <c r="L721">
        <v>1</v>
      </c>
      <c r="M721" t="str">
        <f>VLOOKUP(B721, [1]Course!$A$1:$O$933, 12, FALSE)</f>
        <v>LA</v>
      </c>
      <c r="N721" t="s">
        <v>14</v>
      </c>
      <c r="O721" t="str">
        <f>VLOOKUP(B721, [1]Course!$A$1:$O$933, 14, FALSE)</f>
        <v>EN</v>
      </c>
      <c r="P721">
        <v>1</v>
      </c>
    </row>
    <row r="722" spans="1:16" x14ac:dyDescent="0.25">
      <c r="A722">
        <v>721</v>
      </c>
      <c r="B722">
        <v>63</v>
      </c>
      <c r="C722">
        <v>97</v>
      </c>
      <c r="D722" t="s">
        <v>29</v>
      </c>
      <c r="E722" t="str">
        <f t="shared" si="11"/>
        <v>1297FR03PT</v>
      </c>
      <c r="F722">
        <f>VLOOKUP(B722,[1]Course!$A$2:$R$329,2,FALSE)</f>
        <v>0</v>
      </c>
      <c r="G722">
        <f>VLOOKUP(B722, [1]Course!$A$2:$L$950, 8, FALSE)</f>
        <v>12</v>
      </c>
      <c r="H722">
        <v>3</v>
      </c>
      <c r="I722">
        <v>1</v>
      </c>
      <c r="M722" t="str">
        <f>VLOOKUP(B722, [1]Course!$A$1:$O$933, 12, FALSE)</f>
        <v>LA</v>
      </c>
      <c r="N722" t="s">
        <v>14</v>
      </c>
      <c r="O722" t="str">
        <f>VLOOKUP(B722, [1]Course!$A$1:$O$933, 14, FALSE)</f>
        <v>FR</v>
      </c>
      <c r="P722">
        <v>1</v>
      </c>
    </row>
    <row r="723" spans="1:16" x14ac:dyDescent="0.25">
      <c r="A723">
        <v>722</v>
      </c>
      <c r="B723">
        <v>63</v>
      </c>
      <c r="C723">
        <v>98</v>
      </c>
      <c r="D723" t="s">
        <v>29</v>
      </c>
      <c r="E723" t="str">
        <f t="shared" si="11"/>
        <v>1298FR03PT</v>
      </c>
      <c r="F723">
        <f>VLOOKUP(B723,[1]Course!$A$2:$R$329,2,FALSE)</f>
        <v>0</v>
      </c>
      <c r="G723">
        <f>VLOOKUP(B723, [1]Course!$A$2:$L$950, 8, FALSE)</f>
        <v>12</v>
      </c>
      <c r="H723">
        <v>3</v>
      </c>
      <c r="I723">
        <v>1</v>
      </c>
      <c r="M723" t="str">
        <f>VLOOKUP(B723, [1]Course!$A$1:$O$933, 12, FALSE)</f>
        <v>LA</v>
      </c>
      <c r="N723" t="s">
        <v>14</v>
      </c>
      <c r="O723" t="str">
        <f>VLOOKUP(B723, [1]Course!$A$1:$O$933, 14, FALSE)</f>
        <v>FR</v>
      </c>
      <c r="P723">
        <v>1</v>
      </c>
    </row>
    <row r="724" spans="1:16" x14ac:dyDescent="0.25">
      <c r="A724">
        <v>723</v>
      </c>
      <c r="B724">
        <v>63</v>
      </c>
      <c r="C724">
        <v>99</v>
      </c>
      <c r="D724" t="s">
        <v>29</v>
      </c>
      <c r="E724" t="str">
        <f t="shared" si="11"/>
        <v>1299FR03PT</v>
      </c>
      <c r="F724">
        <f>VLOOKUP(B724,[1]Course!$A$2:$R$329,2,FALSE)</f>
        <v>0</v>
      </c>
      <c r="G724">
        <f>VLOOKUP(B724, [1]Course!$A$2:$L$950, 8, FALSE)</f>
        <v>12</v>
      </c>
      <c r="H724">
        <v>3</v>
      </c>
      <c r="I724">
        <v>1</v>
      </c>
      <c r="M724" t="str">
        <f>VLOOKUP(B724, [1]Course!$A$1:$O$933, 12, FALSE)</f>
        <v>LA</v>
      </c>
      <c r="N724" t="s">
        <v>14</v>
      </c>
      <c r="O724" t="str">
        <f>VLOOKUP(B724, [1]Course!$A$1:$O$933, 14, FALSE)</f>
        <v>FR</v>
      </c>
      <c r="P724">
        <v>1</v>
      </c>
    </row>
    <row r="725" spans="1:16" x14ac:dyDescent="0.25">
      <c r="A725">
        <v>724</v>
      </c>
      <c r="B725">
        <v>63</v>
      </c>
      <c r="C725">
        <v>100</v>
      </c>
      <c r="D725" t="s">
        <v>29</v>
      </c>
      <c r="E725" t="str">
        <f t="shared" si="11"/>
        <v>1200FR03PT</v>
      </c>
      <c r="F725">
        <f>VLOOKUP(B725,[1]Course!$A$2:$R$329,2,FALSE)</f>
        <v>0</v>
      </c>
      <c r="G725">
        <f>VLOOKUP(B725, [1]Course!$A$2:$L$950, 8, FALSE)</f>
        <v>12</v>
      </c>
      <c r="H725">
        <v>3</v>
      </c>
      <c r="I725">
        <v>1</v>
      </c>
      <c r="M725" t="str">
        <f>VLOOKUP(B725, [1]Course!$A$1:$O$933, 12, FALSE)</f>
        <v>LA</v>
      </c>
      <c r="N725" t="s">
        <v>14</v>
      </c>
      <c r="O725" t="str">
        <f>VLOOKUP(B725, [1]Course!$A$1:$O$933, 14, FALSE)</f>
        <v>FR</v>
      </c>
      <c r="P725">
        <v>1</v>
      </c>
    </row>
    <row r="726" spans="1:16" x14ac:dyDescent="0.25">
      <c r="A726">
        <v>725</v>
      </c>
      <c r="B726">
        <v>63</v>
      </c>
      <c r="C726">
        <v>101</v>
      </c>
      <c r="D726" t="s">
        <v>29</v>
      </c>
      <c r="E726" t="str">
        <f t="shared" si="11"/>
        <v>1201FR03PT</v>
      </c>
      <c r="F726">
        <f>VLOOKUP(B726,[1]Course!$A$2:$R$329,2,FALSE)</f>
        <v>0</v>
      </c>
      <c r="G726">
        <f>VLOOKUP(B726, [1]Course!$A$2:$L$950, 8, FALSE)</f>
        <v>12</v>
      </c>
      <c r="H726">
        <v>3</v>
      </c>
      <c r="I726">
        <v>1</v>
      </c>
      <c r="M726" t="str">
        <f>VLOOKUP(B726, [1]Course!$A$1:$O$933, 12, FALSE)</f>
        <v>LA</v>
      </c>
      <c r="N726" t="s">
        <v>14</v>
      </c>
      <c r="O726" t="str">
        <f>VLOOKUP(B726, [1]Course!$A$1:$O$933, 14, FALSE)</f>
        <v>FR</v>
      </c>
      <c r="P726">
        <v>1</v>
      </c>
    </row>
    <row r="727" spans="1:16" x14ac:dyDescent="0.25">
      <c r="A727">
        <v>726</v>
      </c>
      <c r="B727">
        <v>63</v>
      </c>
      <c r="C727">
        <v>102</v>
      </c>
      <c r="D727" t="s">
        <v>29</v>
      </c>
      <c r="E727" t="str">
        <f t="shared" si="11"/>
        <v>1202FR03PT</v>
      </c>
      <c r="F727">
        <f>VLOOKUP(B727,[1]Course!$A$2:$R$329,2,FALSE)</f>
        <v>0</v>
      </c>
      <c r="G727">
        <f>VLOOKUP(B727, [1]Course!$A$2:$L$950, 8, FALSE)</f>
        <v>12</v>
      </c>
      <c r="H727">
        <v>3</v>
      </c>
      <c r="I727">
        <v>1</v>
      </c>
      <c r="M727" t="str">
        <f>VLOOKUP(B727, [1]Course!$A$1:$O$933, 12, FALSE)</f>
        <v>LA</v>
      </c>
      <c r="N727" t="s">
        <v>14</v>
      </c>
      <c r="O727" t="str">
        <f>VLOOKUP(B727, [1]Course!$A$1:$O$933, 14, FALSE)</f>
        <v>FR</v>
      </c>
      <c r="P727">
        <v>1</v>
      </c>
    </row>
    <row r="728" spans="1:16" x14ac:dyDescent="0.25">
      <c r="A728">
        <v>727</v>
      </c>
      <c r="B728">
        <v>63</v>
      </c>
      <c r="C728">
        <v>103</v>
      </c>
      <c r="D728" t="s">
        <v>29</v>
      </c>
      <c r="E728" t="str">
        <f t="shared" si="11"/>
        <v>1203FR03PT</v>
      </c>
      <c r="F728">
        <f>VLOOKUP(B728,[1]Course!$A$2:$R$329,2,FALSE)</f>
        <v>0</v>
      </c>
      <c r="G728">
        <f>VLOOKUP(B728, [1]Course!$A$2:$L$950, 8, FALSE)</f>
        <v>12</v>
      </c>
      <c r="H728">
        <v>3</v>
      </c>
      <c r="I728">
        <v>1</v>
      </c>
      <c r="M728" t="str">
        <f>VLOOKUP(B728, [1]Course!$A$1:$O$933, 12, FALSE)</f>
        <v>LA</v>
      </c>
      <c r="N728" t="s">
        <v>14</v>
      </c>
      <c r="O728" t="str">
        <f>VLOOKUP(B728, [1]Course!$A$1:$O$933, 14, FALSE)</f>
        <v>FR</v>
      </c>
      <c r="P728">
        <v>1</v>
      </c>
    </row>
    <row r="729" spans="1:16" x14ac:dyDescent="0.25">
      <c r="A729">
        <v>728</v>
      </c>
      <c r="B729">
        <v>63</v>
      </c>
      <c r="C729">
        <v>104</v>
      </c>
      <c r="D729" t="s">
        <v>29</v>
      </c>
      <c r="E729" t="str">
        <f t="shared" si="11"/>
        <v>1204FR03PT</v>
      </c>
      <c r="F729">
        <f>VLOOKUP(B729,[1]Course!$A$2:$R$329,2,FALSE)</f>
        <v>0</v>
      </c>
      <c r="G729">
        <f>VLOOKUP(B729, [1]Course!$A$2:$L$950, 8, FALSE)</f>
        <v>12</v>
      </c>
      <c r="H729">
        <v>3</v>
      </c>
      <c r="I729">
        <v>1</v>
      </c>
      <c r="M729" t="str">
        <f>VLOOKUP(B729, [1]Course!$A$1:$O$933, 12, FALSE)</f>
        <v>LA</v>
      </c>
      <c r="N729" t="s">
        <v>14</v>
      </c>
      <c r="O729" t="str">
        <f>VLOOKUP(B729, [1]Course!$A$1:$O$933, 14, FALSE)</f>
        <v>FR</v>
      </c>
      <c r="P729">
        <v>1</v>
      </c>
    </row>
    <row r="730" spans="1:16" x14ac:dyDescent="0.25">
      <c r="A730">
        <v>729</v>
      </c>
      <c r="B730">
        <v>63</v>
      </c>
      <c r="C730">
        <v>105</v>
      </c>
      <c r="D730" t="s">
        <v>29</v>
      </c>
      <c r="E730" t="str">
        <f t="shared" si="11"/>
        <v>1205FR03PT</v>
      </c>
      <c r="F730">
        <f>VLOOKUP(B730,[1]Course!$A$2:$R$329,2,FALSE)</f>
        <v>0</v>
      </c>
      <c r="G730">
        <f>VLOOKUP(B730, [1]Course!$A$2:$L$950, 8, FALSE)</f>
        <v>12</v>
      </c>
      <c r="H730">
        <v>3</v>
      </c>
      <c r="I730">
        <v>1</v>
      </c>
      <c r="M730" t="str">
        <f>VLOOKUP(B730, [1]Course!$A$1:$O$933, 12, FALSE)</f>
        <v>LA</v>
      </c>
      <c r="N730" t="s">
        <v>14</v>
      </c>
      <c r="O730" t="str">
        <f>VLOOKUP(B730, [1]Course!$A$1:$O$933, 14, FALSE)</f>
        <v>FR</v>
      </c>
      <c r="P730">
        <v>1</v>
      </c>
    </row>
    <row r="731" spans="1:16" x14ac:dyDescent="0.25">
      <c r="A731">
        <v>730</v>
      </c>
      <c r="B731">
        <v>63</v>
      </c>
      <c r="C731">
        <v>106</v>
      </c>
      <c r="D731" t="s">
        <v>29</v>
      </c>
      <c r="E731" t="str">
        <f t="shared" si="11"/>
        <v>1206FR03PT</v>
      </c>
      <c r="F731">
        <f>VLOOKUP(B731,[1]Course!$A$2:$R$329,2,FALSE)</f>
        <v>0</v>
      </c>
      <c r="G731">
        <f>VLOOKUP(B731, [1]Course!$A$2:$L$950, 8, FALSE)</f>
        <v>12</v>
      </c>
      <c r="H731">
        <v>3</v>
      </c>
      <c r="I731">
        <v>1</v>
      </c>
      <c r="M731" t="str">
        <f>VLOOKUP(B731, [1]Course!$A$1:$O$933, 12, FALSE)</f>
        <v>LA</v>
      </c>
      <c r="N731" t="s">
        <v>14</v>
      </c>
      <c r="O731" t="str">
        <f>VLOOKUP(B731, [1]Course!$A$1:$O$933, 14, FALSE)</f>
        <v>FR</v>
      </c>
      <c r="P731">
        <v>1</v>
      </c>
    </row>
    <row r="732" spans="1:16" x14ac:dyDescent="0.25">
      <c r="A732">
        <v>731</v>
      </c>
      <c r="B732">
        <v>63</v>
      </c>
      <c r="C732">
        <v>107</v>
      </c>
      <c r="D732" t="s">
        <v>29</v>
      </c>
      <c r="E732" t="str">
        <f t="shared" si="11"/>
        <v>1207FR03PT</v>
      </c>
      <c r="F732">
        <f>VLOOKUP(B732,[1]Course!$A$2:$R$329,2,FALSE)</f>
        <v>0</v>
      </c>
      <c r="G732">
        <f>VLOOKUP(B732, [1]Course!$A$2:$L$950, 8, FALSE)</f>
        <v>12</v>
      </c>
      <c r="H732">
        <v>3</v>
      </c>
      <c r="I732">
        <v>1</v>
      </c>
      <c r="M732" t="str">
        <f>VLOOKUP(B732, [1]Course!$A$1:$O$933, 12, FALSE)</f>
        <v>LA</v>
      </c>
      <c r="N732" t="s">
        <v>14</v>
      </c>
      <c r="O732" t="str">
        <f>VLOOKUP(B732, [1]Course!$A$1:$O$933, 14, FALSE)</f>
        <v>FR</v>
      </c>
      <c r="P732">
        <v>1</v>
      </c>
    </row>
    <row r="733" spans="1:16" x14ac:dyDescent="0.25">
      <c r="A733">
        <v>732</v>
      </c>
      <c r="B733">
        <v>63</v>
      </c>
      <c r="C733">
        <v>108</v>
      </c>
      <c r="D733" t="s">
        <v>29</v>
      </c>
      <c r="E733" t="str">
        <f t="shared" si="11"/>
        <v>1208FR03PT</v>
      </c>
      <c r="F733">
        <f>VLOOKUP(B733,[1]Course!$A$2:$R$329,2,FALSE)</f>
        <v>0</v>
      </c>
      <c r="G733">
        <f>VLOOKUP(B733, [1]Course!$A$2:$L$950, 8, FALSE)</f>
        <v>12</v>
      </c>
      <c r="H733">
        <v>3</v>
      </c>
      <c r="I733">
        <v>1</v>
      </c>
      <c r="M733" t="str">
        <f>VLOOKUP(B733, [1]Course!$A$1:$O$933, 12, FALSE)</f>
        <v>LA</v>
      </c>
      <c r="N733" t="s">
        <v>14</v>
      </c>
      <c r="O733" t="str">
        <f>VLOOKUP(B733, [1]Course!$A$1:$O$933, 14, FALSE)</f>
        <v>FR</v>
      </c>
      <c r="P733">
        <v>1</v>
      </c>
    </row>
    <row r="734" spans="1:16" x14ac:dyDescent="0.25">
      <c r="A734">
        <v>733</v>
      </c>
      <c r="B734">
        <v>64</v>
      </c>
      <c r="C734">
        <v>1</v>
      </c>
      <c r="D734" t="s">
        <v>30</v>
      </c>
      <c r="E734" t="str">
        <f t="shared" si="11"/>
        <v>201RS03PT</v>
      </c>
      <c r="F734">
        <f>VLOOKUP(B734,[1]Course!$A$2:$R$329,2,FALSE)</f>
        <v>0</v>
      </c>
      <c r="G734">
        <f>VLOOKUP(B734, [1]Course!$A$2:$L$950, 8, FALSE)</f>
        <v>2</v>
      </c>
      <c r="H734">
        <v>3</v>
      </c>
      <c r="I734">
        <v>1</v>
      </c>
      <c r="M734" t="str">
        <f>VLOOKUP(B734, [1]Course!$A$1:$O$933, 12, FALSE)</f>
        <v>LA</v>
      </c>
      <c r="N734" t="s">
        <v>14</v>
      </c>
      <c r="O734" t="str">
        <f>VLOOKUP(B734, [1]Course!$A$1:$O$933, 14, FALSE)</f>
        <v>RS</v>
      </c>
      <c r="P734">
        <v>1</v>
      </c>
    </row>
    <row r="735" spans="1:16" x14ac:dyDescent="0.25">
      <c r="A735">
        <v>734</v>
      </c>
      <c r="B735">
        <v>64</v>
      </c>
      <c r="C735">
        <v>2</v>
      </c>
      <c r="D735" t="s">
        <v>30</v>
      </c>
      <c r="E735" t="str">
        <f t="shared" si="11"/>
        <v>202RS03PT</v>
      </c>
      <c r="F735">
        <f>VLOOKUP(B735,[1]Course!$A$2:$R$329,2,FALSE)</f>
        <v>0</v>
      </c>
      <c r="G735">
        <f>VLOOKUP(B735, [1]Course!$A$2:$L$950, 8, FALSE)</f>
        <v>2</v>
      </c>
      <c r="H735">
        <v>3</v>
      </c>
      <c r="I735">
        <v>1</v>
      </c>
      <c r="M735" t="str">
        <f>VLOOKUP(B735, [1]Course!$A$1:$O$933, 12, FALSE)</f>
        <v>LA</v>
      </c>
      <c r="N735" t="s">
        <v>14</v>
      </c>
      <c r="O735" t="str">
        <f>VLOOKUP(B735, [1]Course!$A$1:$O$933, 14, FALSE)</f>
        <v>RS</v>
      </c>
      <c r="P735">
        <v>1</v>
      </c>
    </row>
    <row r="736" spans="1:16" x14ac:dyDescent="0.25">
      <c r="A736">
        <v>735</v>
      </c>
      <c r="B736">
        <v>65</v>
      </c>
      <c r="C736">
        <v>1</v>
      </c>
      <c r="D736" t="s">
        <v>25</v>
      </c>
      <c r="E736" t="str">
        <f t="shared" si="11"/>
        <v>1201ES03PT</v>
      </c>
      <c r="F736">
        <f>VLOOKUP(B736,[1]Course!$A$2:$R$329,2,FALSE)</f>
        <v>0</v>
      </c>
      <c r="G736">
        <f>VLOOKUP(B736, [1]Course!$A$2:$L$950, 8, FALSE)</f>
        <v>12</v>
      </c>
      <c r="H736">
        <v>3</v>
      </c>
      <c r="I736">
        <v>1</v>
      </c>
      <c r="J736">
        <v>1996</v>
      </c>
      <c r="K736">
        <v>2005</v>
      </c>
      <c r="L736">
        <v>1</v>
      </c>
      <c r="M736" t="str">
        <f>VLOOKUP(B736, [1]Course!$A$1:$O$933, 12, FALSE)</f>
        <v>LA</v>
      </c>
      <c r="N736" t="s">
        <v>14</v>
      </c>
      <c r="O736" t="str">
        <f>VLOOKUP(B736, [1]Course!$A$1:$O$933, 14, FALSE)</f>
        <v>ES</v>
      </c>
      <c r="P736">
        <v>1</v>
      </c>
    </row>
    <row r="737" spans="1:16" x14ac:dyDescent="0.25">
      <c r="A737">
        <v>736</v>
      </c>
      <c r="B737">
        <v>65</v>
      </c>
      <c r="C737">
        <v>2</v>
      </c>
      <c r="D737" t="s">
        <v>25</v>
      </c>
      <c r="E737" t="str">
        <f t="shared" si="11"/>
        <v>1202ES03PT</v>
      </c>
      <c r="F737">
        <f>VLOOKUP(B737,[1]Course!$A$2:$R$329,2,FALSE)</f>
        <v>0</v>
      </c>
      <c r="G737">
        <f>VLOOKUP(B737, [1]Course!$A$2:$L$950, 8, FALSE)</f>
        <v>12</v>
      </c>
      <c r="H737">
        <v>3</v>
      </c>
      <c r="I737">
        <v>1</v>
      </c>
      <c r="J737">
        <v>1996</v>
      </c>
      <c r="K737" t="s">
        <v>92</v>
      </c>
      <c r="L737">
        <v>1</v>
      </c>
      <c r="M737" t="str">
        <f>VLOOKUP(B737, [1]Course!$A$1:$O$933, 12, FALSE)</f>
        <v>LA</v>
      </c>
      <c r="N737" t="s">
        <v>14</v>
      </c>
      <c r="O737" t="str">
        <f>VLOOKUP(B737, [1]Course!$A$1:$O$933, 14, FALSE)</f>
        <v>ES</v>
      </c>
      <c r="P737">
        <v>1</v>
      </c>
    </row>
    <row r="738" spans="1:16" x14ac:dyDescent="0.25">
      <c r="A738">
        <v>737</v>
      </c>
      <c r="B738">
        <v>65</v>
      </c>
      <c r="C738">
        <v>3</v>
      </c>
      <c r="D738" t="s">
        <v>25</v>
      </c>
      <c r="E738" t="str">
        <f t="shared" si="11"/>
        <v>1203ES03PT</v>
      </c>
      <c r="F738">
        <f>VLOOKUP(B738,[1]Course!$A$2:$R$329,2,FALSE)</f>
        <v>0</v>
      </c>
      <c r="G738">
        <f>VLOOKUP(B738, [1]Course!$A$2:$L$950, 8, FALSE)</f>
        <v>12</v>
      </c>
      <c r="H738">
        <v>3</v>
      </c>
      <c r="I738">
        <v>1</v>
      </c>
      <c r="J738">
        <v>1996</v>
      </c>
      <c r="K738">
        <v>2000</v>
      </c>
      <c r="L738">
        <v>1</v>
      </c>
      <c r="M738" t="str">
        <f>VLOOKUP(B738, [1]Course!$A$1:$O$933, 12, FALSE)</f>
        <v>LA</v>
      </c>
      <c r="N738" t="s">
        <v>14</v>
      </c>
      <c r="O738" t="str">
        <f>VLOOKUP(B738, [1]Course!$A$1:$O$933, 14, FALSE)</f>
        <v>ES</v>
      </c>
      <c r="P738">
        <v>1</v>
      </c>
    </row>
    <row r="739" spans="1:16" x14ac:dyDescent="0.25">
      <c r="A739">
        <v>738</v>
      </c>
      <c r="B739">
        <v>65</v>
      </c>
      <c r="C739">
        <v>4</v>
      </c>
      <c r="D739" t="s">
        <v>25</v>
      </c>
      <c r="E739" t="str">
        <f t="shared" si="11"/>
        <v>1204ES03PT</v>
      </c>
      <c r="F739">
        <f>VLOOKUP(B739,[1]Course!$A$2:$R$329,2,FALSE)</f>
        <v>0</v>
      </c>
      <c r="G739">
        <f>VLOOKUP(B739, [1]Course!$A$2:$L$950, 8, FALSE)</f>
        <v>12</v>
      </c>
      <c r="H739">
        <v>3</v>
      </c>
      <c r="I739">
        <v>1</v>
      </c>
      <c r="J739">
        <v>1996</v>
      </c>
      <c r="K739" t="s">
        <v>92</v>
      </c>
      <c r="L739">
        <v>1</v>
      </c>
      <c r="M739" t="str">
        <f>VLOOKUP(B739, [1]Course!$A$1:$O$933, 12, FALSE)</f>
        <v>LA</v>
      </c>
      <c r="N739" t="s">
        <v>14</v>
      </c>
      <c r="O739" t="str">
        <f>VLOOKUP(B739, [1]Course!$A$1:$O$933, 14, FALSE)</f>
        <v>ES</v>
      </c>
      <c r="P739">
        <v>1</v>
      </c>
    </row>
    <row r="740" spans="1:16" x14ac:dyDescent="0.25">
      <c r="A740">
        <v>739</v>
      </c>
      <c r="B740">
        <v>65</v>
      </c>
      <c r="C740">
        <v>5</v>
      </c>
      <c r="D740" t="s">
        <v>25</v>
      </c>
      <c r="E740" t="str">
        <f t="shared" si="11"/>
        <v>1205ES03PT</v>
      </c>
      <c r="F740">
        <f>VLOOKUP(B740,[1]Course!$A$2:$R$329,2,FALSE)</f>
        <v>0</v>
      </c>
      <c r="G740">
        <f>VLOOKUP(B740, [1]Course!$A$2:$L$950, 8, FALSE)</f>
        <v>12</v>
      </c>
      <c r="H740">
        <v>3</v>
      </c>
      <c r="I740">
        <v>1</v>
      </c>
      <c r="J740">
        <v>1996</v>
      </c>
      <c r="K740" t="s">
        <v>92</v>
      </c>
      <c r="L740">
        <v>1</v>
      </c>
      <c r="M740" t="str">
        <f>VLOOKUP(B740, [1]Course!$A$1:$O$933, 12, FALSE)</f>
        <v>LA</v>
      </c>
      <c r="N740" t="s">
        <v>14</v>
      </c>
      <c r="O740" t="str">
        <f>VLOOKUP(B740, [1]Course!$A$1:$O$933, 14, FALSE)</f>
        <v>ES</v>
      </c>
      <c r="P740">
        <v>1</v>
      </c>
    </row>
    <row r="741" spans="1:16" x14ac:dyDescent="0.25">
      <c r="A741">
        <v>740</v>
      </c>
      <c r="B741">
        <v>65</v>
      </c>
      <c r="C741">
        <v>6</v>
      </c>
      <c r="D741" t="s">
        <v>25</v>
      </c>
      <c r="E741" t="str">
        <f t="shared" si="11"/>
        <v>1206ES03PT</v>
      </c>
      <c r="F741">
        <f>VLOOKUP(B741,[1]Course!$A$2:$R$329,2,FALSE)</f>
        <v>0</v>
      </c>
      <c r="G741">
        <f>VLOOKUP(B741, [1]Course!$A$2:$L$950, 8, FALSE)</f>
        <v>12</v>
      </c>
      <c r="H741">
        <v>3</v>
      </c>
      <c r="I741">
        <v>1</v>
      </c>
      <c r="J741">
        <v>1996</v>
      </c>
      <c r="K741">
        <v>2013</v>
      </c>
      <c r="L741">
        <v>1</v>
      </c>
      <c r="M741" t="str">
        <f>VLOOKUP(B741, [1]Course!$A$1:$O$933, 12, FALSE)</f>
        <v>LA</v>
      </c>
      <c r="N741" t="s">
        <v>14</v>
      </c>
      <c r="O741" t="str">
        <f>VLOOKUP(B741, [1]Course!$A$1:$O$933, 14, FALSE)</f>
        <v>ES</v>
      </c>
      <c r="P741">
        <v>1</v>
      </c>
    </row>
    <row r="742" spans="1:16" x14ac:dyDescent="0.25">
      <c r="A742">
        <v>741</v>
      </c>
      <c r="B742">
        <v>65</v>
      </c>
      <c r="C742">
        <v>7</v>
      </c>
      <c r="D742" t="s">
        <v>25</v>
      </c>
      <c r="E742" t="str">
        <f t="shared" si="11"/>
        <v>1207ES03PT</v>
      </c>
      <c r="F742">
        <f>VLOOKUP(B742,[1]Course!$A$2:$R$329,2,FALSE)</f>
        <v>0</v>
      </c>
      <c r="G742">
        <f>VLOOKUP(B742, [1]Course!$A$2:$L$950, 8, FALSE)</f>
        <v>12</v>
      </c>
      <c r="H742">
        <v>3</v>
      </c>
      <c r="I742">
        <v>1</v>
      </c>
      <c r="J742">
        <v>1996</v>
      </c>
      <c r="K742" t="s">
        <v>92</v>
      </c>
      <c r="L742">
        <v>1</v>
      </c>
      <c r="M742" t="str">
        <f>VLOOKUP(B742, [1]Course!$A$1:$O$933, 12, FALSE)</f>
        <v>LA</v>
      </c>
      <c r="N742" t="s">
        <v>14</v>
      </c>
      <c r="O742" t="str">
        <f>VLOOKUP(B742, [1]Course!$A$1:$O$933, 14, FALSE)</f>
        <v>ES</v>
      </c>
      <c r="P742">
        <v>1</v>
      </c>
    </row>
    <row r="743" spans="1:16" x14ac:dyDescent="0.25">
      <c r="A743">
        <v>742</v>
      </c>
      <c r="B743">
        <v>65</v>
      </c>
      <c r="C743">
        <v>8</v>
      </c>
      <c r="D743" t="s">
        <v>25</v>
      </c>
      <c r="E743" t="str">
        <f t="shared" si="11"/>
        <v>1208ES03PT</v>
      </c>
      <c r="F743">
        <f>VLOOKUP(B743,[1]Course!$A$2:$R$329,2,FALSE)</f>
        <v>0</v>
      </c>
      <c r="G743">
        <f>VLOOKUP(B743, [1]Course!$A$2:$L$950, 8, FALSE)</f>
        <v>12</v>
      </c>
      <c r="H743">
        <v>3</v>
      </c>
      <c r="I743">
        <v>1</v>
      </c>
      <c r="J743">
        <v>1996</v>
      </c>
      <c r="K743" t="s">
        <v>92</v>
      </c>
      <c r="L743">
        <v>1</v>
      </c>
      <c r="M743" t="str">
        <f>VLOOKUP(B743, [1]Course!$A$1:$O$933, 12, FALSE)</f>
        <v>LA</v>
      </c>
      <c r="N743" t="s">
        <v>14</v>
      </c>
      <c r="O743" t="str">
        <f>VLOOKUP(B743, [1]Course!$A$1:$O$933, 14, FALSE)</f>
        <v>ES</v>
      </c>
      <c r="P743">
        <v>1</v>
      </c>
    </row>
    <row r="744" spans="1:16" x14ac:dyDescent="0.25">
      <c r="A744">
        <v>743</v>
      </c>
      <c r="B744">
        <v>65</v>
      </c>
      <c r="C744">
        <v>9</v>
      </c>
      <c r="D744" t="s">
        <v>25</v>
      </c>
      <c r="E744" t="str">
        <f t="shared" si="11"/>
        <v>1209ES03PT</v>
      </c>
      <c r="F744">
        <f>VLOOKUP(B744,[1]Course!$A$2:$R$329,2,FALSE)</f>
        <v>0</v>
      </c>
      <c r="G744">
        <f>VLOOKUP(B744, [1]Course!$A$2:$L$950, 8, FALSE)</f>
        <v>12</v>
      </c>
      <c r="H744">
        <v>3</v>
      </c>
      <c r="I744">
        <v>1</v>
      </c>
      <c r="J744">
        <v>1996</v>
      </c>
      <c r="K744" t="s">
        <v>92</v>
      </c>
      <c r="L744">
        <v>1</v>
      </c>
      <c r="M744" t="str">
        <f>VLOOKUP(B744, [1]Course!$A$1:$O$933, 12, FALSE)</f>
        <v>LA</v>
      </c>
      <c r="N744" t="s">
        <v>14</v>
      </c>
      <c r="O744" t="str">
        <f>VLOOKUP(B744, [1]Course!$A$1:$O$933, 14, FALSE)</f>
        <v>ES</v>
      </c>
      <c r="P744">
        <v>1</v>
      </c>
    </row>
    <row r="745" spans="1:16" x14ac:dyDescent="0.25">
      <c r="A745">
        <v>744</v>
      </c>
      <c r="B745">
        <v>65</v>
      </c>
      <c r="C745">
        <v>10</v>
      </c>
      <c r="D745" t="s">
        <v>25</v>
      </c>
      <c r="E745" t="str">
        <f t="shared" si="11"/>
        <v>1210ES03PT</v>
      </c>
      <c r="F745">
        <f>VLOOKUP(B745,[1]Course!$A$2:$R$329,2,FALSE)</f>
        <v>0</v>
      </c>
      <c r="G745">
        <f>VLOOKUP(B745, [1]Course!$A$2:$L$950, 8, FALSE)</f>
        <v>12</v>
      </c>
      <c r="H745">
        <v>3</v>
      </c>
      <c r="I745">
        <v>1</v>
      </c>
      <c r="J745">
        <v>1996</v>
      </c>
      <c r="K745" t="s">
        <v>92</v>
      </c>
      <c r="L745">
        <v>1</v>
      </c>
      <c r="M745" t="str">
        <f>VLOOKUP(B745, [1]Course!$A$1:$O$933, 12, FALSE)</f>
        <v>LA</v>
      </c>
      <c r="N745" t="s">
        <v>14</v>
      </c>
      <c r="O745" t="str">
        <f>VLOOKUP(B745, [1]Course!$A$1:$O$933, 14, FALSE)</f>
        <v>ES</v>
      </c>
      <c r="P745">
        <v>1</v>
      </c>
    </row>
    <row r="746" spans="1:16" x14ac:dyDescent="0.25">
      <c r="A746">
        <v>745</v>
      </c>
      <c r="B746">
        <v>65</v>
      </c>
      <c r="C746">
        <v>11</v>
      </c>
      <c r="D746" t="s">
        <v>25</v>
      </c>
      <c r="E746" t="str">
        <f t="shared" si="11"/>
        <v>1211ES03PT</v>
      </c>
      <c r="F746">
        <f>VLOOKUP(B746,[1]Course!$A$2:$R$329,2,FALSE)</f>
        <v>0</v>
      </c>
      <c r="G746">
        <f>VLOOKUP(B746, [1]Course!$A$2:$L$950, 8, FALSE)</f>
        <v>12</v>
      </c>
      <c r="H746">
        <v>3</v>
      </c>
      <c r="I746">
        <v>1</v>
      </c>
      <c r="J746">
        <v>1996</v>
      </c>
      <c r="K746">
        <v>2001</v>
      </c>
      <c r="L746">
        <v>1</v>
      </c>
      <c r="M746" t="str">
        <f>VLOOKUP(B746, [1]Course!$A$1:$O$933, 12, FALSE)</f>
        <v>LA</v>
      </c>
      <c r="N746" t="s">
        <v>14</v>
      </c>
      <c r="O746" t="str">
        <f>VLOOKUP(B746, [1]Course!$A$1:$O$933, 14, FALSE)</f>
        <v>ES</v>
      </c>
      <c r="P746">
        <v>1</v>
      </c>
    </row>
    <row r="747" spans="1:16" x14ac:dyDescent="0.25">
      <c r="A747">
        <v>746</v>
      </c>
      <c r="B747">
        <v>65</v>
      </c>
      <c r="C747">
        <v>12</v>
      </c>
      <c r="D747" t="s">
        <v>25</v>
      </c>
      <c r="E747" t="str">
        <f t="shared" si="11"/>
        <v>1212ES03PT</v>
      </c>
      <c r="F747">
        <f>VLOOKUP(B747,[1]Course!$A$2:$R$329,2,FALSE)</f>
        <v>0</v>
      </c>
      <c r="G747">
        <f>VLOOKUP(B747, [1]Course!$A$2:$L$950, 8, FALSE)</f>
        <v>12</v>
      </c>
      <c r="H747">
        <v>3</v>
      </c>
      <c r="I747">
        <v>1</v>
      </c>
      <c r="J747">
        <v>1996</v>
      </c>
      <c r="K747" t="s">
        <v>92</v>
      </c>
      <c r="L747">
        <v>1</v>
      </c>
      <c r="M747" t="str">
        <f>VLOOKUP(B747, [1]Course!$A$1:$O$933, 12, FALSE)</f>
        <v>LA</v>
      </c>
      <c r="N747" t="s">
        <v>14</v>
      </c>
      <c r="O747" t="str">
        <f>VLOOKUP(B747, [1]Course!$A$1:$O$933, 14, FALSE)</f>
        <v>ES</v>
      </c>
      <c r="P747">
        <v>1</v>
      </c>
    </row>
    <row r="748" spans="1:16" x14ac:dyDescent="0.25">
      <c r="A748">
        <v>747</v>
      </c>
      <c r="B748">
        <v>66</v>
      </c>
      <c r="C748">
        <v>97</v>
      </c>
      <c r="D748" t="s">
        <v>31</v>
      </c>
      <c r="E748" t="str">
        <f t="shared" si="11"/>
        <v>1297AA03PT</v>
      </c>
      <c r="F748">
        <f>VLOOKUP(B748,[1]Course!$A$2:$R$329,2,FALSE)</f>
        <v>0</v>
      </c>
      <c r="G748">
        <f>VLOOKUP(B748, [1]Course!$A$2:$L$950, 8, FALSE)</f>
        <v>12</v>
      </c>
      <c r="H748">
        <v>3</v>
      </c>
      <c r="I748">
        <v>1</v>
      </c>
      <c r="M748" t="str">
        <f>VLOOKUP(B748, [1]Course!$A$1:$O$933, 12, FALSE)</f>
        <v>SU</v>
      </c>
      <c r="N748" t="s">
        <v>14</v>
      </c>
      <c r="O748" t="str">
        <f>VLOOKUP(B748, [1]Course!$A$1:$O$933, 14, FALSE)</f>
        <v>AA</v>
      </c>
      <c r="P748">
        <v>1</v>
      </c>
    </row>
    <row r="749" spans="1:16" x14ac:dyDescent="0.25">
      <c r="A749">
        <v>748</v>
      </c>
      <c r="B749">
        <v>66</v>
      </c>
      <c r="C749">
        <v>98</v>
      </c>
      <c r="D749" t="s">
        <v>31</v>
      </c>
      <c r="E749" t="str">
        <f t="shared" si="11"/>
        <v>1298AA03PT</v>
      </c>
      <c r="F749">
        <f>VLOOKUP(B749,[1]Course!$A$2:$R$329,2,FALSE)</f>
        <v>0</v>
      </c>
      <c r="G749">
        <f>VLOOKUP(B749, [1]Course!$A$2:$L$950, 8, FALSE)</f>
        <v>12</v>
      </c>
      <c r="H749">
        <v>3</v>
      </c>
      <c r="I749">
        <v>1</v>
      </c>
      <c r="M749" t="str">
        <f>VLOOKUP(B749, [1]Course!$A$1:$O$933, 12, FALSE)</f>
        <v>SU</v>
      </c>
      <c r="N749" t="s">
        <v>14</v>
      </c>
      <c r="O749" t="str">
        <f>VLOOKUP(B749, [1]Course!$A$1:$O$933, 14, FALSE)</f>
        <v>AA</v>
      </c>
      <c r="P749">
        <v>1</v>
      </c>
    </row>
    <row r="750" spans="1:16" x14ac:dyDescent="0.25">
      <c r="A750">
        <v>749</v>
      </c>
      <c r="B750">
        <v>66</v>
      </c>
      <c r="C750">
        <v>99</v>
      </c>
      <c r="D750" t="s">
        <v>31</v>
      </c>
      <c r="E750" t="str">
        <f t="shared" si="11"/>
        <v>1299AA03PT</v>
      </c>
      <c r="F750">
        <f>VLOOKUP(B750,[1]Course!$A$2:$R$329,2,FALSE)</f>
        <v>0</v>
      </c>
      <c r="G750">
        <f>VLOOKUP(B750, [1]Course!$A$2:$L$950, 8, FALSE)</f>
        <v>12</v>
      </c>
      <c r="H750">
        <v>3</v>
      </c>
      <c r="I750">
        <v>1</v>
      </c>
      <c r="M750" t="str">
        <f>VLOOKUP(B750, [1]Course!$A$1:$O$933, 12, FALSE)</f>
        <v>SU</v>
      </c>
      <c r="N750" t="s">
        <v>14</v>
      </c>
      <c r="O750" t="str">
        <f>VLOOKUP(B750, [1]Course!$A$1:$O$933, 14, FALSE)</f>
        <v>AA</v>
      </c>
      <c r="P750">
        <v>1</v>
      </c>
    </row>
    <row r="751" spans="1:16" x14ac:dyDescent="0.25">
      <c r="A751">
        <v>750</v>
      </c>
      <c r="B751">
        <v>66</v>
      </c>
      <c r="C751">
        <v>100</v>
      </c>
      <c r="D751" t="s">
        <v>31</v>
      </c>
      <c r="E751" t="str">
        <f t="shared" si="11"/>
        <v>1200AA03PT</v>
      </c>
      <c r="F751">
        <f>VLOOKUP(B751,[1]Course!$A$2:$R$329,2,FALSE)</f>
        <v>0</v>
      </c>
      <c r="G751">
        <f>VLOOKUP(B751, [1]Course!$A$2:$L$950, 8, FALSE)</f>
        <v>12</v>
      </c>
      <c r="H751">
        <v>3</v>
      </c>
      <c r="I751">
        <v>1</v>
      </c>
      <c r="M751" t="str">
        <f>VLOOKUP(B751, [1]Course!$A$1:$O$933, 12, FALSE)</f>
        <v>SU</v>
      </c>
      <c r="N751" t="s">
        <v>14</v>
      </c>
      <c r="O751" t="str">
        <f>VLOOKUP(B751, [1]Course!$A$1:$O$933, 14, FALSE)</f>
        <v>AA</v>
      </c>
      <c r="P751">
        <v>1</v>
      </c>
    </row>
    <row r="752" spans="1:16" x14ac:dyDescent="0.25">
      <c r="A752">
        <v>751</v>
      </c>
      <c r="B752">
        <v>66</v>
      </c>
      <c r="C752">
        <v>101</v>
      </c>
      <c r="D752" t="s">
        <v>31</v>
      </c>
      <c r="E752" t="str">
        <f t="shared" si="11"/>
        <v>1201AA03PT</v>
      </c>
      <c r="F752">
        <f>VLOOKUP(B752,[1]Course!$A$2:$R$329,2,FALSE)</f>
        <v>0</v>
      </c>
      <c r="G752">
        <f>VLOOKUP(B752, [1]Course!$A$2:$L$950, 8, FALSE)</f>
        <v>12</v>
      </c>
      <c r="H752">
        <v>3</v>
      </c>
      <c r="I752">
        <v>1</v>
      </c>
      <c r="M752" t="str">
        <f>VLOOKUP(B752, [1]Course!$A$1:$O$933, 12, FALSE)</f>
        <v>SU</v>
      </c>
      <c r="N752" t="s">
        <v>14</v>
      </c>
      <c r="O752" t="str">
        <f>VLOOKUP(B752, [1]Course!$A$1:$O$933, 14, FALSE)</f>
        <v>AA</v>
      </c>
      <c r="P752">
        <v>1</v>
      </c>
    </row>
    <row r="753" spans="1:16" x14ac:dyDescent="0.25">
      <c r="A753">
        <v>752</v>
      </c>
      <c r="B753">
        <v>66</v>
      </c>
      <c r="C753">
        <v>102</v>
      </c>
      <c r="D753" t="s">
        <v>31</v>
      </c>
      <c r="E753" t="str">
        <f t="shared" si="11"/>
        <v>1202AA03PT</v>
      </c>
      <c r="F753">
        <f>VLOOKUP(B753,[1]Course!$A$2:$R$329,2,FALSE)</f>
        <v>0</v>
      </c>
      <c r="G753">
        <f>VLOOKUP(B753, [1]Course!$A$2:$L$950, 8, FALSE)</f>
        <v>12</v>
      </c>
      <c r="H753">
        <v>3</v>
      </c>
      <c r="I753">
        <v>1</v>
      </c>
      <c r="M753" t="str">
        <f>VLOOKUP(B753, [1]Course!$A$1:$O$933, 12, FALSE)</f>
        <v>SU</v>
      </c>
      <c r="N753" t="s">
        <v>14</v>
      </c>
      <c r="O753" t="str">
        <f>VLOOKUP(B753, [1]Course!$A$1:$O$933, 14, FALSE)</f>
        <v>AA</v>
      </c>
      <c r="P753">
        <v>1</v>
      </c>
    </row>
    <row r="754" spans="1:16" x14ac:dyDescent="0.25">
      <c r="A754">
        <v>753</v>
      </c>
      <c r="B754">
        <v>66</v>
      </c>
      <c r="C754">
        <v>103</v>
      </c>
      <c r="D754" t="s">
        <v>31</v>
      </c>
      <c r="E754" t="str">
        <f t="shared" si="11"/>
        <v>1203AA03PT</v>
      </c>
      <c r="F754">
        <f>VLOOKUP(B754,[1]Course!$A$2:$R$329,2,FALSE)</f>
        <v>0</v>
      </c>
      <c r="G754">
        <f>VLOOKUP(B754, [1]Course!$A$2:$L$950, 8, FALSE)</f>
        <v>12</v>
      </c>
      <c r="H754">
        <v>3</v>
      </c>
      <c r="I754">
        <v>1</v>
      </c>
      <c r="M754" t="str">
        <f>VLOOKUP(B754, [1]Course!$A$1:$O$933, 12, FALSE)</f>
        <v>SU</v>
      </c>
      <c r="N754" t="s">
        <v>14</v>
      </c>
      <c r="O754" t="str">
        <f>VLOOKUP(B754, [1]Course!$A$1:$O$933, 14, FALSE)</f>
        <v>AA</v>
      </c>
      <c r="P754">
        <v>1</v>
      </c>
    </row>
    <row r="755" spans="1:16" x14ac:dyDescent="0.25">
      <c r="A755">
        <v>754</v>
      </c>
      <c r="B755">
        <v>66</v>
      </c>
      <c r="C755">
        <v>104</v>
      </c>
      <c r="D755" t="s">
        <v>31</v>
      </c>
      <c r="E755" t="str">
        <f t="shared" si="11"/>
        <v>1204AA03PT</v>
      </c>
      <c r="F755">
        <f>VLOOKUP(B755,[1]Course!$A$2:$R$329,2,FALSE)</f>
        <v>0</v>
      </c>
      <c r="G755">
        <f>VLOOKUP(B755, [1]Course!$A$2:$L$950, 8, FALSE)</f>
        <v>12</v>
      </c>
      <c r="H755">
        <v>3</v>
      </c>
      <c r="I755">
        <v>1</v>
      </c>
      <c r="M755" t="str">
        <f>VLOOKUP(B755, [1]Course!$A$1:$O$933, 12, FALSE)</f>
        <v>SU</v>
      </c>
      <c r="N755" t="s">
        <v>14</v>
      </c>
      <c r="O755" t="str">
        <f>VLOOKUP(B755, [1]Course!$A$1:$O$933, 14, FALSE)</f>
        <v>AA</v>
      </c>
      <c r="P755">
        <v>1</v>
      </c>
    </row>
    <row r="756" spans="1:16" x14ac:dyDescent="0.25">
      <c r="A756">
        <v>755</v>
      </c>
      <c r="B756">
        <v>66</v>
      </c>
      <c r="C756">
        <v>105</v>
      </c>
      <c r="D756" t="s">
        <v>31</v>
      </c>
      <c r="E756" t="str">
        <f t="shared" si="11"/>
        <v>1205AA03PT</v>
      </c>
      <c r="F756">
        <f>VLOOKUP(B756,[1]Course!$A$2:$R$329,2,FALSE)</f>
        <v>0</v>
      </c>
      <c r="G756">
        <f>VLOOKUP(B756, [1]Course!$A$2:$L$950, 8, FALSE)</f>
        <v>12</v>
      </c>
      <c r="H756">
        <v>3</v>
      </c>
      <c r="I756">
        <v>1</v>
      </c>
      <c r="M756" t="str">
        <f>VLOOKUP(B756, [1]Course!$A$1:$O$933, 12, FALSE)</f>
        <v>SU</v>
      </c>
      <c r="N756" t="s">
        <v>14</v>
      </c>
      <c r="O756" t="str">
        <f>VLOOKUP(B756, [1]Course!$A$1:$O$933, 14, FALSE)</f>
        <v>AA</v>
      </c>
      <c r="P756">
        <v>1</v>
      </c>
    </row>
    <row r="757" spans="1:16" x14ac:dyDescent="0.25">
      <c r="A757">
        <v>756</v>
      </c>
      <c r="B757">
        <v>66</v>
      </c>
      <c r="C757">
        <v>106</v>
      </c>
      <c r="D757" t="s">
        <v>31</v>
      </c>
      <c r="E757" t="str">
        <f t="shared" si="11"/>
        <v>1206AA03PT</v>
      </c>
      <c r="F757">
        <f>VLOOKUP(B757,[1]Course!$A$2:$R$329,2,FALSE)</f>
        <v>0</v>
      </c>
      <c r="G757">
        <f>VLOOKUP(B757, [1]Course!$A$2:$L$950, 8, FALSE)</f>
        <v>12</v>
      </c>
      <c r="H757">
        <v>3</v>
      </c>
      <c r="I757">
        <v>1</v>
      </c>
      <c r="M757" t="str">
        <f>VLOOKUP(B757, [1]Course!$A$1:$O$933, 12, FALSE)</f>
        <v>SU</v>
      </c>
      <c r="N757" t="s">
        <v>14</v>
      </c>
      <c r="O757" t="str">
        <f>VLOOKUP(B757, [1]Course!$A$1:$O$933, 14, FALSE)</f>
        <v>AA</v>
      </c>
      <c r="P757">
        <v>1</v>
      </c>
    </row>
    <row r="758" spans="1:16" x14ac:dyDescent="0.25">
      <c r="A758">
        <v>757</v>
      </c>
      <c r="B758">
        <v>66</v>
      </c>
      <c r="C758">
        <v>107</v>
      </c>
      <c r="D758" t="s">
        <v>31</v>
      </c>
      <c r="E758" t="str">
        <f t="shared" si="11"/>
        <v>1207AA03PT</v>
      </c>
      <c r="F758">
        <f>VLOOKUP(B758,[1]Course!$A$2:$R$329,2,FALSE)</f>
        <v>0</v>
      </c>
      <c r="G758">
        <f>VLOOKUP(B758, [1]Course!$A$2:$L$950, 8, FALSE)</f>
        <v>12</v>
      </c>
      <c r="H758">
        <v>3</v>
      </c>
      <c r="I758">
        <v>1</v>
      </c>
      <c r="M758" t="str">
        <f>VLOOKUP(B758, [1]Course!$A$1:$O$933, 12, FALSE)</f>
        <v>SU</v>
      </c>
      <c r="N758" t="s">
        <v>14</v>
      </c>
      <c r="O758" t="str">
        <f>VLOOKUP(B758, [1]Course!$A$1:$O$933, 14, FALSE)</f>
        <v>AA</v>
      </c>
      <c r="P758">
        <v>1</v>
      </c>
    </row>
    <row r="759" spans="1:16" x14ac:dyDescent="0.25">
      <c r="A759">
        <v>758</v>
      </c>
      <c r="B759">
        <v>66</v>
      </c>
      <c r="C759">
        <v>108</v>
      </c>
      <c r="D759" t="s">
        <v>31</v>
      </c>
      <c r="E759" t="str">
        <f t="shared" si="11"/>
        <v>1208AA03PT</v>
      </c>
      <c r="F759">
        <f>VLOOKUP(B759,[1]Course!$A$2:$R$329,2,FALSE)</f>
        <v>0</v>
      </c>
      <c r="G759">
        <f>VLOOKUP(B759, [1]Course!$A$2:$L$950, 8, FALSE)</f>
        <v>12</v>
      </c>
      <c r="H759">
        <v>3</v>
      </c>
      <c r="I759">
        <v>1</v>
      </c>
      <c r="M759" t="str">
        <f>VLOOKUP(B759, [1]Course!$A$1:$O$933, 12, FALSE)</f>
        <v>SU</v>
      </c>
      <c r="N759" t="s">
        <v>14</v>
      </c>
      <c r="O759" t="str">
        <f>VLOOKUP(B759, [1]Course!$A$1:$O$933, 14, FALSE)</f>
        <v>AA</v>
      </c>
      <c r="P759">
        <v>1</v>
      </c>
    </row>
    <row r="760" spans="1:16" x14ac:dyDescent="0.25">
      <c r="A760">
        <v>759</v>
      </c>
      <c r="B760">
        <v>67</v>
      </c>
      <c r="C760">
        <v>1</v>
      </c>
      <c r="D760" t="s">
        <v>32</v>
      </c>
      <c r="E760" t="str">
        <f t="shared" si="11"/>
        <v>1001CA03PT</v>
      </c>
      <c r="F760">
        <f>VLOOKUP(B760,[1]Course!$A$2:$R$329,2,FALSE)</f>
        <v>0</v>
      </c>
      <c r="G760">
        <f>VLOOKUP(B760, [1]Course!$A$2:$L$950, 8, FALSE)</f>
        <v>10</v>
      </c>
      <c r="H760">
        <v>3</v>
      </c>
      <c r="I760">
        <v>1</v>
      </c>
      <c r="M760" t="str">
        <f>VLOOKUP(B760, [1]Course!$A$1:$O$933, 12, FALSE)</f>
        <v>SU</v>
      </c>
      <c r="N760" t="s">
        <v>14</v>
      </c>
      <c r="O760" t="str">
        <f>VLOOKUP(B760, [1]Course!$A$1:$O$933, 14, FALSE)</f>
        <v>CA</v>
      </c>
      <c r="P760">
        <v>1</v>
      </c>
    </row>
    <row r="761" spans="1:16" x14ac:dyDescent="0.25">
      <c r="A761">
        <v>760</v>
      </c>
      <c r="B761">
        <v>67</v>
      </c>
      <c r="C761">
        <v>2</v>
      </c>
      <c r="D761" t="s">
        <v>32</v>
      </c>
      <c r="E761" t="str">
        <f t="shared" si="11"/>
        <v>1002CA03PT</v>
      </c>
      <c r="F761">
        <f>VLOOKUP(B761,[1]Course!$A$2:$R$329,2,FALSE)</f>
        <v>0</v>
      </c>
      <c r="G761">
        <f>VLOOKUP(B761, [1]Course!$A$2:$L$950, 8, FALSE)</f>
        <v>10</v>
      </c>
      <c r="H761">
        <v>3</v>
      </c>
      <c r="I761">
        <v>1</v>
      </c>
      <c r="M761" t="str">
        <f>VLOOKUP(B761, [1]Course!$A$1:$O$933, 12, FALSE)</f>
        <v>SU</v>
      </c>
      <c r="N761" t="s">
        <v>14</v>
      </c>
      <c r="O761" t="str">
        <f>VLOOKUP(B761, [1]Course!$A$1:$O$933, 14, FALSE)</f>
        <v>CA</v>
      </c>
      <c r="P761">
        <v>1</v>
      </c>
    </row>
    <row r="762" spans="1:16" x14ac:dyDescent="0.25">
      <c r="A762">
        <v>761</v>
      </c>
      <c r="B762">
        <v>67</v>
      </c>
      <c r="C762">
        <v>3</v>
      </c>
      <c r="D762" t="s">
        <v>32</v>
      </c>
      <c r="E762" t="str">
        <f t="shared" si="11"/>
        <v>1003CA03PT</v>
      </c>
      <c r="F762">
        <f>VLOOKUP(B762,[1]Course!$A$2:$R$329,2,FALSE)</f>
        <v>0</v>
      </c>
      <c r="G762">
        <f>VLOOKUP(B762, [1]Course!$A$2:$L$950, 8, FALSE)</f>
        <v>10</v>
      </c>
      <c r="H762">
        <v>3</v>
      </c>
      <c r="I762">
        <v>1</v>
      </c>
      <c r="M762" t="str">
        <f>VLOOKUP(B762, [1]Course!$A$1:$O$933, 12, FALSE)</f>
        <v>SU</v>
      </c>
      <c r="N762" t="s">
        <v>14</v>
      </c>
      <c r="O762" t="str">
        <f>VLOOKUP(B762, [1]Course!$A$1:$O$933, 14, FALSE)</f>
        <v>CA</v>
      </c>
      <c r="P762">
        <v>1</v>
      </c>
    </row>
    <row r="763" spans="1:16" x14ac:dyDescent="0.25">
      <c r="A763">
        <v>762</v>
      </c>
      <c r="B763">
        <v>67</v>
      </c>
      <c r="C763">
        <v>4</v>
      </c>
      <c r="D763" t="s">
        <v>32</v>
      </c>
      <c r="E763" t="str">
        <f t="shared" si="11"/>
        <v>1004CA03PT</v>
      </c>
      <c r="F763">
        <f>VLOOKUP(B763,[1]Course!$A$2:$R$329,2,FALSE)</f>
        <v>0</v>
      </c>
      <c r="G763">
        <f>VLOOKUP(B763, [1]Course!$A$2:$L$950, 8, FALSE)</f>
        <v>10</v>
      </c>
      <c r="H763">
        <v>3</v>
      </c>
      <c r="I763">
        <v>1</v>
      </c>
      <c r="M763" t="str">
        <f>VLOOKUP(B763, [1]Course!$A$1:$O$933, 12, FALSE)</f>
        <v>SU</v>
      </c>
      <c r="N763" t="s">
        <v>14</v>
      </c>
      <c r="O763" t="str">
        <f>VLOOKUP(B763, [1]Course!$A$1:$O$933, 14, FALSE)</f>
        <v>CA</v>
      </c>
      <c r="P763">
        <v>1</v>
      </c>
    </row>
    <row r="764" spans="1:16" x14ac:dyDescent="0.25">
      <c r="A764">
        <v>763</v>
      </c>
      <c r="B764">
        <v>67</v>
      </c>
      <c r="C764">
        <v>5</v>
      </c>
      <c r="D764" t="s">
        <v>32</v>
      </c>
      <c r="E764" t="str">
        <f t="shared" si="11"/>
        <v>1005CA03PT</v>
      </c>
      <c r="F764">
        <f>VLOOKUP(B764,[1]Course!$A$2:$R$329,2,FALSE)</f>
        <v>0</v>
      </c>
      <c r="G764">
        <f>VLOOKUP(B764, [1]Course!$A$2:$L$950, 8, FALSE)</f>
        <v>10</v>
      </c>
      <c r="H764">
        <v>3</v>
      </c>
      <c r="I764">
        <v>1</v>
      </c>
      <c r="M764" t="str">
        <f>VLOOKUP(B764, [1]Course!$A$1:$O$933, 12, FALSE)</f>
        <v>SU</v>
      </c>
      <c r="N764" t="s">
        <v>14</v>
      </c>
      <c r="O764" t="str">
        <f>VLOOKUP(B764, [1]Course!$A$1:$O$933, 14, FALSE)</f>
        <v>CA</v>
      </c>
      <c r="P764">
        <v>1</v>
      </c>
    </row>
    <row r="765" spans="1:16" x14ac:dyDescent="0.25">
      <c r="A765">
        <v>764</v>
      </c>
      <c r="B765">
        <v>67</v>
      </c>
      <c r="C765">
        <v>6</v>
      </c>
      <c r="D765" t="s">
        <v>32</v>
      </c>
      <c r="E765" t="str">
        <f t="shared" si="11"/>
        <v>1006CA03PT</v>
      </c>
      <c r="F765">
        <f>VLOOKUP(B765,[1]Course!$A$2:$R$329,2,FALSE)</f>
        <v>0</v>
      </c>
      <c r="G765">
        <f>VLOOKUP(B765, [1]Course!$A$2:$L$950, 8, FALSE)</f>
        <v>10</v>
      </c>
      <c r="H765">
        <v>3</v>
      </c>
      <c r="I765">
        <v>1</v>
      </c>
      <c r="M765" t="str">
        <f>VLOOKUP(B765, [1]Course!$A$1:$O$933, 12, FALSE)</f>
        <v>SU</v>
      </c>
      <c r="N765" t="s">
        <v>14</v>
      </c>
      <c r="O765" t="str">
        <f>VLOOKUP(B765, [1]Course!$A$1:$O$933, 14, FALSE)</f>
        <v>CA</v>
      </c>
      <c r="P765">
        <v>1</v>
      </c>
    </row>
    <row r="766" spans="1:16" x14ac:dyDescent="0.25">
      <c r="A766">
        <v>765</v>
      </c>
      <c r="B766">
        <v>67</v>
      </c>
      <c r="C766">
        <v>7</v>
      </c>
      <c r="D766" t="s">
        <v>32</v>
      </c>
      <c r="E766" t="str">
        <f t="shared" si="11"/>
        <v>1007CA03PT</v>
      </c>
      <c r="F766">
        <f>VLOOKUP(B766,[1]Course!$A$2:$R$329,2,FALSE)</f>
        <v>0</v>
      </c>
      <c r="G766">
        <f>VLOOKUP(B766, [1]Course!$A$2:$L$950, 8, FALSE)</f>
        <v>10</v>
      </c>
      <c r="H766">
        <v>3</v>
      </c>
      <c r="I766">
        <v>1</v>
      </c>
      <c r="M766" t="str">
        <f>VLOOKUP(B766, [1]Course!$A$1:$O$933, 12, FALSE)</f>
        <v>SU</v>
      </c>
      <c r="N766" t="s">
        <v>14</v>
      </c>
      <c r="O766" t="str">
        <f>VLOOKUP(B766, [1]Course!$A$1:$O$933, 14, FALSE)</f>
        <v>CA</v>
      </c>
      <c r="P766">
        <v>1</v>
      </c>
    </row>
    <row r="767" spans="1:16" x14ac:dyDescent="0.25">
      <c r="A767">
        <v>766</v>
      </c>
      <c r="B767">
        <v>67</v>
      </c>
      <c r="C767">
        <v>8</v>
      </c>
      <c r="D767" t="s">
        <v>32</v>
      </c>
      <c r="E767" t="str">
        <f t="shared" si="11"/>
        <v>1008CA03PT</v>
      </c>
      <c r="F767">
        <f>VLOOKUP(B767,[1]Course!$A$2:$R$329,2,FALSE)</f>
        <v>0</v>
      </c>
      <c r="G767">
        <f>VLOOKUP(B767, [1]Course!$A$2:$L$950, 8, FALSE)</f>
        <v>10</v>
      </c>
      <c r="H767">
        <v>3</v>
      </c>
      <c r="I767">
        <v>1</v>
      </c>
      <c r="M767" t="str">
        <f>VLOOKUP(B767, [1]Course!$A$1:$O$933, 12, FALSE)</f>
        <v>SU</v>
      </c>
      <c r="N767" t="s">
        <v>14</v>
      </c>
      <c r="O767" t="str">
        <f>VLOOKUP(B767, [1]Course!$A$1:$O$933, 14, FALSE)</f>
        <v>CA</v>
      </c>
      <c r="P767">
        <v>1</v>
      </c>
    </row>
    <row r="768" spans="1:16" x14ac:dyDescent="0.25">
      <c r="A768">
        <v>767</v>
      </c>
      <c r="B768">
        <v>67</v>
      </c>
      <c r="C768">
        <v>9</v>
      </c>
      <c r="D768" t="s">
        <v>32</v>
      </c>
      <c r="E768" t="str">
        <f t="shared" si="11"/>
        <v>1009CA03PT</v>
      </c>
      <c r="F768">
        <f>VLOOKUP(B768,[1]Course!$A$2:$R$329,2,FALSE)</f>
        <v>0</v>
      </c>
      <c r="G768">
        <f>VLOOKUP(B768, [1]Course!$A$2:$L$950, 8, FALSE)</f>
        <v>10</v>
      </c>
      <c r="H768">
        <v>3</v>
      </c>
      <c r="I768">
        <v>1</v>
      </c>
      <c r="M768" t="str">
        <f>VLOOKUP(B768, [1]Course!$A$1:$O$933, 12, FALSE)</f>
        <v>SU</v>
      </c>
      <c r="N768" t="s">
        <v>14</v>
      </c>
      <c r="O768" t="str">
        <f>VLOOKUP(B768, [1]Course!$A$1:$O$933, 14, FALSE)</f>
        <v>CA</v>
      </c>
      <c r="P768">
        <v>1</v>
      </c>
    </row>
    <row r="769" spans="1:16" x14ac:dyDescent="0.25">
      <c r="A769">
        <v>768</v>
      </c>
      <c r="B769">
        <v>67</v>
      </c>
      <c r="C769">
        <v>10</v>
      </c>
      <c r="D769" t="s">
        <v>32</v>
      </c>
      <c r="E769" t="str">
        <f t="shared" si="11"/>
        <v>1010CA03PT</v>
      </c>
      <c r="F769">
        <f>VLOOKUP(B769,[1]Course!$A$2:$R$329,2,FALSE)</f>
        <v>0</v>
      </c>
      <c r="G769">
        <f>VLOOKUP(B769, [1]Course!$A$2:$L$950, 8, FALSE)</f>
        <v>10</v>
      </c>
      <c r="H769">
        <v>3</v>
      </c>
      <c r="I769">
        <v>1</v>
      </c>
      <c r="M769" t="str">
        <f>VLOOKUP(B769, [1]Course!$A$1:$O$933, 12, FALSE)</f>
        <v>SU</v>
      </c>
      <c r="N769" t="s">
        <v>14</v>
      </c>
      <c r="O769" t="str">
        <f>VLOOKUP(B769, [1]Course!$A$1:$O$933, 14, FALSE)</f>
        <v>CA</v>
      </c>
      <c r="P769">
        <v>1</v>
      </c>
    </row>
    <row r="770" spans="1:16" x14ac:dyDescent="0.25">
      <c r="A770">
        <v>769</v>
      </c>
      <c r="B770">
        <v>68</v>
      </c>
      <c r="C770">
        <v>97</v>
      </c>
      <c r="D770" t="s">
        <v>33</v>
      </c>
      <c r="E770" t="str">
        <f t="shared" si="11"/>
        <v>1297ET03PT</v>
      </c>
      <c r="F770">
        <f>VLOOKUP(B770,[1]Course!$A$2:$R$329,2,FALSE)</f>
        <v>0</v>
      </c>
      <c r="G770">
        <f>VLOOKUP(B770, [1]Course!$A$2:$L$950, 8, FALSE)</f>
        <v>12</v>
      </c>
      <c r="H770">
        <v>3</v>
      </c>
      <c r="I770">
        <v>1</v>
      </c>
      <c r="M770" t="str">
        <f>VLOOKUP(B770, [1]Course!$A$1:$O$933, 12, FALSE)</f>
        <v>WB</v>
      </c>
      <c r="N770" t="s">
        <v>14</v>
      </c>
      <c r="O770" t="str">
        <f>VLOOKUP(B770, [1]Course!$A$1:$O$933, 14, FALSE)</f>
        <v>ET</v>
      </c>
      <c r="P770">
        <v>1</v>
      </c>
    </row>
    <row r="771" spans="1:16" x14ac:dyDescent="0.25">
      <c r="A771">
        <v>770</v>
      </c>
      <c r="B771">
        <v>68</v>
      </c>
      <c r="C771">
        <v>98</v>
      </c>
      <c r="D771" t="s">
        <v>33</v>
      </c>
      <c r="E771" t="str">
        <f t="shared" ref="E771:E834" si="12">UPPER(LEFT(G771,2)) &amp; RIGHT("0" &amp; C771, 2) &amp; D771 &amp; RIGHT("0" &amp; H771, 2) &amp; N771</f>
        <v>1298ET03PT</v>
      </c>
      <c r="F771">
        <f>VLOOKUP(B771,[1]Course!$A$2:$R$329,2,FALSE)</f>
        <v>0</v>
      </c>
      <c r="G771">
        <f>VLOOKUP(B771, [1]Course!$A$2:$L$950, 8, FALSE)</f>
        <v>12</v>
      </c>
      <c r="H771">
        <v>3</v>
      </c>
      <c r="I771">
        <v>1</v>
      </c>
      <c r="M771" t="str">
        <f>VLOOKUP(B771, [1]Course!$A$1:$O$933, 12, FALSE)</f>
        <v>WB</v>
      </c>
      <c r="N771" t="s">
        <v>14</v>
      </c>
      <c r="O771" t="str">
        <f>VLOOKUP(B771, [1]Course!$A$1:$O$933, 14, FALSE)</f>
        <v>ET</v>
      </c>
      <c r="P771">
        <v>1</v>
      </c>
    </row>
    <row r="772" spans="1:16" x14ac:dyDescent="0.25">
      <c r="A772">
        <v>771</v>
      </c>
      <c r="B772">
        <v>68</v>
      </c>
      <c r="C772">
        <v>99</v>
      </c>
      <c r="D772" t="s">
        <v>33</v>
      </c>
      <c r="E772" t="str">
        <f t="shared" si="12"/>
        <v>1299ET03PT</v>
      </c>
      <c r="F772">
        <f>VLOOKUP(B772,[1]Course!$A$2:$R$329,2,FALSE)</f>
        <v>0</v>
      </c>
      <c r="G772">
        <f>VLOOKUP(B772, [1]Course!$A$2:$L$950, 8, FALSE)</f>
        <v>12</v>
      </c>
      <c r="H772">
        <v>3</v>
      </c>
      <c r="I772">
        <v>1</v>
      </c>
      <c r="M772" t="str">
        <f>VLOOKUP(B772, [1]Course!$A$1:$O$933, 12, FALSE)</f>
        <v>WB</v>
      </c>
      <c r="N772" t="s">
        <v>14</v>
      </c>
      <c r="O772" t="str">
        <f>VLOOKUP(B772, [1]Course!$A$1:$O$933, 14, FALSE)</f>
        <v>ET</v>
      </c>
      <c r="P772">
        <v>1</v>
      </c>
    </row>
    <row r="773" spans="1:16" x14ac:dyDescent="0.25">
      <c r="A773">
        <v>772</v>
      </c>
      <c r="B773">
        <v>68</v>
      </c>
      <c r="C773">
        <v>100</v>
      </c>
      <c r="D773" t="s">
        <v>33</v>
      </c>
      <c r="E773" t="str">
        <f t="shared" si="12"/>
        <v>1200ET03PT</v>
      </c>
      <c r="F773">
        <f>VLOOKUP(B773,[1]Course!$A$2:$R$329,2,FALSE)</f>
        <v>0</v>
      </c>
      <c r="G773">
        <f>VLOOKUP(B773, [1]Course!$A$2:$L$950, 8, FALSE)</f>
        <v>12</v>
      </c>
      <c r="H773">
        <v>3</v>
      </c>
      <c r="I773">
        <v>1</v>
      </c>
      <c r="M773" t="str">
        <f>VLOOKUP(B773, [1]Course!$A$1:$O$933, 12, FALSE)</f>
        <v>WB</v>
      </c>
      <c r="N773" t="s">
        <v>14</v>
      </c>
      <c r="O773" t="str">
        <f>VLOOKUP(B773, [1]Course!$A$1:$O$933, 14, FALSE)</f>
        <v>ET</v>
      </c>
      <c r="P773">
        <v>1</v>
      </c>
    </row>
    <row r="774" spans="1:16" x14ac:dyDescent="0.25">
      <c r="A774">
        <v>773</v>
      </c>
      <c r="B774">
        <v>68</v>
      </c>
      <c r="C774">
        <v>101</v>
      </c>
      <c r="D774" t="s">
        <v>33</v>
      </c>
      <c r="E774" t="str">
        <f t="shared" si="12"/>
        <v>1201ET03PT</v>
      </c>
      <c r="F774">
        <f>VLOOKUP(B774,[1]Course!$A$2:$R$329,2,FALSE)</f>
        <v>0</v>
      </c>
      <c r="G774">
        <f>VLOOKUP(B774, [1]Course!$A$2:$L$950, 8, FALSE)</f>
        <v>12</v>
      </c>
      <c r="H774">
        <v>3</v>
      </c>
      <c r="I774">
        <v>1</v>
      </c>
      <c r="M774" t="str">
        <f>VLOOKUP(B774, [1]Course!$A$1:$O$933, 12, FALSE)</f>
        <v>WB</v>
      </c>
      <c r="N774" t="s">
        <v>14</v>
      </c>
      <c r="O774" t="str">
        <f>VLOOKUP(B774, [1]Course!$A$1:$O$933, 14, FALSE)</f>
        <v>ET</v>
      </c>
      <c r="P774">
        <v>1</v>
      </c>
    </row>
    <row r="775" spans="1:16" x14ac:dyDescent="0.25">
      <c r="A775">
        <v>774</v>
      </c>
      <c r="B775">
        <v>68</v>
      </c>
      <c r="C775">
        <v>102</v>
      </c>
      <c r="D775" t="s">
        <v>33</v>
      </c>
      <c r="E775" t="str">
        <f t="shared" si="12"/>
        <v>1202ET03PT</v>
      </c>
      <c r="F775">
        <f>VLOOKUP(B775,[1]Course!$A$2:$R$329,2,FALSE)</f>
        <v>0</v>
      </c>
      <c r="G775">
        <f>VLOOKUP(B775, [1]Course!$A$2:$L$950, 8, FALSE)</f>
        <v>12</v>
      </c>
      <c r="H775">
        <v>3</v>
      </c>
      <c r="I775">
        <v>1</v>
      </c>
      <c r="M775" t="str">
        <f>VLOOKUP(B775, [1]Course!$A$1:$O$933, 12, FALSE)</f>
        <v>WB</v>
      </c>
      <c r="N775" t="s">
        <v>14</v>
      </c>
      <c r="O775" t="str">
        <f>VLOOKUP(B775, [1]Course!$A$1:$O$933, 14, FALSE)</f>
        <v>ET</v>
      </c>
      <c r="P775">
        <v>1</v>
      </c>
    </row>
    <row r="776" spans="1:16" x14ac:dyDescent="0.25">
      <c r="A776">
        <v>775</v>
      </c>
      <c r="B776">
        <v>68</v>
      </c>
      <c r="C776">
        <v>103</v>
      </c>
      <c r="D776" t="s">
        <v>33</v>
      </c>
      <c r="E776" t="str">
        <f t="shared" si="12"/>
        <v>1203ET03PT</v>
      </c>
      <c r="F776">
        <f>VLOOKUP(B776,[1]Course!$A$2:$R$329,2,FALSE)</f>
        <v>0</v>
      </c>
      <c r="G776">
        <f>VLOOKUP(B776, [1]Course!$A$2:$L$950, 8, FALSE)</f>
        <v>12</v>
      </c>
      <c r="H776">
        <v>3</v>
      </c>
      <c r="I776">
        <v>1</v>
      </c>
      <c r="M776" t="str">
        <f>VLOOKUP(B776, [1]Course!$A$1:$O$933, 12, FALSE)</f>
        <v>WB</v>
      </c>
      <c r="N776" t="s">
        <v>14</v>
      </c>
      <c r="O776" t="str">
        <f>VLOOKUP(B776, [1]Course!$A$1:$O$933, 14, FALSE)</f>
        <v>ET</v>
      </c>
      <c r="P776">
        <v>1</v>
      </c>
    </row>
    <row r="777" spans="1:16" x14ac:dyDescent="0.25">
      <c r="A777">
        <v>776</v>
      </c>
      <c r="B777">
        <v>68</v>
      </c>
      <c r="C777">
        <v>104</v>
      </c>
      <c r="D777" t="s">
        <v>33</v>
      </c>
      <c r="E777" t="str">
        <f t="shared" si="12"/>
        <v>1204ET03PT</v>
      </c>
      <c r="F777">
        <f>VLOOKUP(B777,[1]Course!$A$2:$R$329,2,FALSE)</f>
        <v>0</v>
      </c>
      <c r="G777">
        <f>VLOOKUP(B777, [1]Course!$A$2:$L$950, 8, FALSE)</f>
        <v>12</v>
      </c>
      <c r="H777">
        <v>3</v>
      </c>
      <c r="I777">
        <v>1</v>
      </c>
      <c r="M777" t="str">
        <f>VLOOKUP(B777, [1]Course!$A$1:$O$933, 12, FALSE)</f>
        <v>WB</v>
      </c>
      <c r="N777" t="s">
        <v>14</v>
      </c>
      <c r="O777" t="str">
        <f>VLOOKUP(B777, [1]Course!$A$1:$O$933, 14, FALSE)</f>
        <v>ET</v>
      </c>
      <c r="P777">
        <v>1</v>
      </c>
    </row>
    <row r="778" spans="1:16" x14ac:dyDescent="0.25">
      <c r="A778">
        <v>777</v>
      </c>
      <c r="B778">
        <v>68</v>
      </c>
      <c r="C778">
        <v>105</v>
      </c>
      <c r="D778" t="s">
        <v>33</v>
      </c>
      <c r="E778" t="str">
        <f t="shared" si="12"/>
        <v>1205ET03PT</v>
      </c>
      <c r="F778">
        <f>VLOOKUP(B778,[1]Course!$A$2:$R$329,2,FALSE)</f>
        <v>0</v>
      </c>
      <c r="G778">
        <f>VLOOKUP(B778, [1]Course!$A$2:$L$950, 8, FALSE)</f>
        <v>12</v>
      </c>
      <c r="H778">
        <v>3</v>
      </c>
      <c r="I778">
        <v>1</v>
      </c>
      <c r="M778" t="str">
        <f>VLOOKUP(B778, [1]Course!$A$1:$O$933, 12, FALSE)</f>
        <v>WB</v>
      </c>
      <c r="N778" t="s">
        <v>14</v>
      </c>
      <c r="O778" t="str">
        <f>VLOOKUP(B778, [1]Course!$A$1:$O$933, 14, FALSE)</f>
        <v>ET</v>
      </c>
      <c r="P778">
        <v>1</v>
      </c>
    </row>
    <row r="779" spans="1:16" x14ac:dyDescent="0.25">
      <c r="A779">
        <v>778</v>
      </c>
      <c r="B779">
        <v>68</v>
      </c>
      <c r="C779">
        <v>106</v>
      </c>
      <c r="D779" t="s">
        <v>33</v>
      </c>
      <c r="E779" t="str">
        <f t="shared" si="12"/>
        <v>1206ET03PT</v>
      </c>
      <c r="F779">
        <f>VLOOKUP(B779,[1]Course!$A$2:$R$329,2,FALSE)</f>
        <v>0</v>
      </c>
      <c r="G779">
        <f>VLOOKUP(B779, [1]Course!$A$2:$L$950, 8, FALSE)</f>
        <v>12</v>
      </c>
      <c r="H779">
        <v>3</v>
      </c>
      <c r="I779">
        <v>1</v>
      </c>
      <c r="M779" t="str">
        <f>VLOOKUP(B779, [1]Course!$A$1:$O$933, 12, FALSE)</f>
        <v>WB</v>
      </c>
      <c r="N779" t="s">
        <v>14</v>
      </c>
      <c r="O779" t="str">
        <f>VLOOKUP(B779, [1]Course!$A$1:$O$933, 14, FALSE)</f>
        <v>ET</v>
      </c>
      <c r="P779">
        <v>1</v>
      </c>
    </row>
    <row r="780" spans="1:16" x14ac:dyDescent="0.25">
      <c r="A780">
        <v>779</v>
      </c>
      <c r="B780">
        <v>68</v>
      </c>
      <c r="C780">
        <v>107</v>
      </c>
      <c r="D780" t="s">
        <v>33</v>
      </c>
      <c r="E780" t="str">
        <f t="shared" si="12"/>
        <v>1207ET03PT</v>
      </c>
      <c r="F780">
        <f>VLOOKUP(B780,[1]Course!$A$2:$R$329,2,FALSE)</f>
        <v>0</v>
      </c>
      <c r="G780">
        <f>VLOOKUP(B780, [1]Course!$A$2:$L$950, 8, FALSE)</f>
        <v>12</v>
      </c>
      <c r="H780">
        <v>3</v>
      </c>
      <c r="I780">
        <v>1</v>
      </c>
      <c r="M780" t="str">
        <f>VLOOKUP(B780, [1]Course!$A$1:$O$933, 12, FALSE)</f>
        <v>WB</v>
      </c>
      <c r="N780" t="s">
        <v>14</v>
      </c>
      <c r="O780" t="str">
        <f>VLOOKUP(B780, [1]Course!$A$1:$O$933, 14, FALSE)</f>
        <v>ET</v>
      </c>
      <c r="P780">
        <v>1</v>
      </c>
    </row>
    <row r="781" spans="1:16" x14ac:dyDescent="0.25">
      <c r="A781">
        <v>780</v>
      </c>
      <c r="B781">
        <v>68</v>
      </c>
      <c r="C781">
        <v>108</v>
      </c>
      <c r="D781" t="s">
        <v>33</v>
      </c>
      <c r="E781" t="str">
        <f t="shared" si="12"/>
        <v>1208ET03PT</v>
      </c>
      <c r="F781">
        <f>VLOOKUP(B781,[1]Course!$A$2:$R$329,2,FALSE)</f>
        <v>0</v>
      </c>
      <c r="G781">
        <f>VLOOKUP(B781, [1]Course!$A$2:$L$950, 8, FALSE)</f>
        <v>12</v>
      </c>
      <c r="H781">
        <v>3</v>
      </c>
      <c r="I781">
        <v>1</v>
      </c>
      <c r="M781" t="str">
        <f>VLOOKUP(B781, [1]Course!$A$1:$O$933, 12, FALSE)</f>
        <v>WB</v>
      </c>
      <c r="N781" t="s">
        <v>14</v>
      </c>
      <c r="O781" t="str">
        <f>VLOOKUP(B781, [1]Course!$A$1:$O$933, 14, FALSE)</f>
        <v>ET</v>
      </c>
      <c r="P781">
        <v>1</v>
      </c>
    </row>
    <row r="782" spans="1:16" x14ac:dyDescent="0.25">
      <c r="A782">
        <v>781</v>
      </c>
      <c r="B782">
        <v>69</v>
      </c>
      <c r="C782">
        <v>1</v>
      </c>
      <c r="D782" t="s">
        <v>34</v>
      </c>
      <c r="E782" t="str">
        <f t="shared" si="12"/>
        <v>601MU03PT</v>
      </c>
      <c r="F782">
        <f>VLOOKUP(B782,[1]Course!$A$2:$R$329,2,FALSE)</f>
        <v>0</v>
      </c>
      <c r="G782">
        <f>VLOOKUP(B782, [1]Course!$A$2:$L$950, 8, FALSE)</f>
        <v>6</v>
      </c>
      <c r="H782">
        <v>3</v>
      </c>
      <c r="I782">
        <v>1</v>
      </c>
      <c r="M782" t="str">
        <f>VLOOKUP(B782, [1]Course!$A$1:$O$933, 12, FALSE)</f>
        <v>SU</v>
      </c>
      <c r="N782" t="s">
        <v>14</v>
      </c>
      <c r="O782" t="str">
        <f>VLOOKUP(B782, [1]Course!$A$1:$O$933, 14, FALSE)</f>
        <v>MU</v>
      </c>
      <c r="P782">
        <v>1</v>
      </c>
    </row>
    <row r="783" spans="1:16" x14ac:dyDescent="0.25">
      <c r="A783">
        <v>782</v>
      </c>
      <c r="B783">
        <v>69</v>
      </c>
      <c r="C783">
        <v>2</v>
      </c>
      <c r="D783" t="s">
        <v>34</v>
      </c>
      <c r="E783" t="str">
        <f t="shared" si="12"/>
        <v>602MU03PT</v>
      </c>
      <c r="F783">
        <f>VLOOKUP(B783,[1]Course!$A$2:$R$329,2,FALSE)</f>
        <v>0</v>
      </c>
      <c r="G783">
        <f>VLOOKUP(B783, [1]Course!$A$2:$L$950, 8, FALSE)</f>
        <v>6</v>
      </c>
      <c r="H783">
        <v>3</v>
      </c>
      <c r="I783">
        <v>1</v>
      </c>
      <c r="M783" t="str">
        <f>VLOOKUP(B783, [1]Course!$A$1:$O$933, 12, FALSE)</f>
        <v>SU</v>
      </c>
      <c r="N783" t="s">
        <v>14</v>
      </c>
      <c r="O783" t="str">
        <f>VLOOKUP(B783, [1]Course!$A$1:$O$933, 14, FALSE)</f>
        <v>MU</v>
      </c>
      <c r="P783">
        <v>1</v>
      </c>
    </row>
    <row r="784" spans="1:16" x14ac:dyDescent="0.25">
      <c r="A784">
        <v>783</v>
      </c>
      <c r="B784">
        <v>69</v>
      </c>
      <c r="C784">
        <v>3</v>
      </c>
      <c r="D784" t="s">
        <v>34</v>
      </c>
      <c r="E784" t="str">
        <f t="shared" si="12"/>
        <v>603MU03PT</v>
      </c>
      <c r="F784">
        <f>VLOOKUP(B784,[1]Course!$A$2:$R$329,2,FALSE)</f>
        <v>0</v>
      </c>
      <c r="G784">
        <f>VLOOKUP(B784, [1]Course!$A$2:$L$950, 8, FALSE)</f>
        <v>6</v>
      </c>
      <c r="H784">
        <v>3</v>
      </c>
      <c r="I784">
        <v>1</v>
      </c>
      <c r="M784" t="str">
        <f>VLOOKUP(B784, [1]Course!$A$1:$O$933, 12, FALSE)</f>
        <v>SU</v>
      </c>
      <c r="N784" t="s">
        <v>14</v>
      </c>
      <c r="O784" t="str">
        <f>VLOOKUP(B784, [1]Course!$A$1:$O$933, 14, FALSE)</f>
        <v>MU</v>
      </c>
      <c r="P784">
        <v>1</v>
      </c>
    </row>
    <row r="785" spans="1:16" x14ac:dyDescent="0.25">
      <c r="A785">
        <v>784</v>
      </c>
      <c r="B785">
        <v>69</v>
      </c>
      <c r="C785">
        <v>4</v>
      </c>
      <c r="D785" t="s">
        <v>34</v>
      </c>
      <c r="E785" t="str">
        <f t="shared" si="12"/>
        <v>604MU03PT</v>
      </c>
      <c r="F785">
        <f>VLOOKUP(B785,[1]Course!$A$2:$R$329,2,FALSE)</f>
        <v>0</v>
      </c>
      <c r="G785">
        <f>VLOOKUP(B785, [1]Course!$A$2:$L$950, 8, FALSE)</f>
        <v>6</v>
      </c>
      <c r="H785">
        <v>3</v>
      </c>
      <c r="I785">
        <v>1</v>
      </c>
      <c r="M785" t="str">
        <f>VLOOKUP(B785, [1]Course!$A$1:$O$933, 12, FALSE)</f>
        <v>SU</v>
      </c>
      <c r="N785" t="s">
        <v>14</v>
      </c>
      <c r="O785" t="str">
        <f>VLOOKUP(B785, [1]Course!$A$1:$O$933, 14, FALSE)</f>
        <v>MU</v>
      </c>
      <c r="P785">
        <v>1</v>
      </c>
    </row>
    <row r="786" spans="1:16" x14ac:dyDescent="0.25">
      <c r="A786">
        <v>785</v>
      </c>
      <c r="B786">
        <v>69</v>
      </c>
      <c r="C786">
        <v>5</v>
      </c>
      <c r="D786" t="s">
        <v>34</v>
      </c>
      <c r="E786" t="str">
        <f t="shared" si="12"/>
        <v>605MU03PT</v>
      </c>
      <c r="F786">
        <f>VLOOKUP(B786,[1]Course!$A$2:$R$329,2,FALSE)</f>
        <v>0</v>
      </c>
      <c r="G786">
        <f>VLOOKUP(B786, [1]Course!$A$2:$L$950, 8, FALSE)</f>
        <v>6</v>
      </c>
      <c r="H786">
        <v>3</v>
      </c>
      <c r="I786">
        <v>1</v>
      </c>
      <c r="M786" t="str">
        <f>VLOOKUP(B786, [1]Course!$A$1:$O$933, 12, FALSE)</f>
        <v>SU</v>
      </c>
      <c r="N786" t="s">
        <v>14</v>
      </c>
      <c r="O786" t="str">
        <f>VLOOKUP(B786, [1]Course!$A$1:$O$933, 14, FALSE)</f>
        <v>MU</v>
      </c>
      <c r="P786">
        <v>1</v>
      </c>
    </row>
    <row r="787" spans="1:16" x14ac:dyDescent="0.25">
      <c r="A787">
        <v>786</v>
      </c>
      <c r="B787">
        <v>69</v>
      </c>
      <c r="C787">
        <v>6</v>
      </c>
      <c r="D787" t="s">
        <v>34</v>
      </c>
      <c r="E787" t="str">
        <f t="shared" si="12"/>
        <v>606MU03PT</v>
      </c>
      <c r="F787">
        <f>VLOOKUP(B787,[1]Course!$A$2:$R$329,2,FALSE)</f>
        <v>0</v>
      </c>
      <c r="G787">
        <f>VLOOKUP(B787, [1]Course!$A$2:$L$950, 8, FALSE)</f>
        <v>6</v>
      </c>
      <c r="H787">
        <v>3</v>
      </c>
      <c r="I787">
        <v>1</v>
      </c>
      <c r="M787" t="str">
        <f>VLOOKUP(B787, [1]Course!$A$1:$O$933, 12, FALSE)</f>
        <v>SU</v>
      </c>
      <c r="N787" t="s">
        <v>14</v>
      </c>
      <c r="O787" t="str">
        <f>VLOOKUP(B787, [1]Course!$A$1:$O$933, 14, FALSE)</f>
        <v>MU</v>
      </c>
      <c r="P787">
        <v>1</v>
      </c>
    </row>
    <row r="788" spans="1:16" x14ac:dyDescent="0.25">
      <c r="A788">
        <v>787</v>
      </c>
      <c r="B788">
        <v>70</v>
      </c>
      <c r="C788">
        <v>5</v>
      </c>
      <c r="D788" t="s">
        <v>35</v>
      </c>
      <c r="E788" t="str">
        <f t="shared" si="12"/>
        <v>205MT03PT</v>
      </c>
      <c r="F788">
        <f>VLOOKUP(B788,[1]Course!$A$2:$R$329,2,FALSE)</f>
        <v>0</v>
      </c>
      <c r="G788">
        <f>VLOOKUP(B788, [1]Course!$A$2:$L$950, 8, FALSE)</f>
        <v>2</v>
      </c>
      <c r="H788">
        <v>3</v>
      </c>
      <c r="I788">
        <v>1</v>
      </c>
      <c r="M788" t="str">
        <f>VLOOKUP(B788, [1]Course!$A$1:$O$933, 12, FALSE)</f>
        <v>SU</v>
      </c>
      <c r="N788" t="s">
        <v>14</v>
      </c>
      <c r="O788" t="str">
        <f>VLOOKUP(B788, [1]Course!$A$1:$O$933, 14, FALSE)</f>
        <v>MT</v>
      </c>
      <c r="P788">
        <v>1</v>
      </c>
    </row>
    <row r="789" spans="1:16" x14ac:dyDescent="0.25">
      <c r="A789">
        <v>788</v>
      </c>
      <c r="B789">
        <v>70</v>
      </c>
      <c r="C789">
        <v>6</v>
      </c>
      <c r="D789" t="s">
        <v>35</v>
      </c>
      <c r="E789" t="str">
        <f t="shared" si="12"/>
        <v>206MT03PT</v>
      </c>
      <c r="F789">
        <f>VLOOKUP(B789,[1]Course!$A$2:$R$329,2,FALSE)</f>
        <v>0</v>
      </c>
      <c r="G789">
        <f>VLOOKUP(B789, [1]Course!$A$2:$L$950, 8, FALSE)</f>
        <v>2</v>
      </c>
      <c r="H789">
        <v>3</v>
      </c>
      <c r="I789">
        <v>1</v>
      </c>
      <c r="M789" t="str">
        <f>VLOOKUP(B789, [1]Course!$A$1:$O$933, 12, FALSE)</f>
        <v>SU</v>
      </c>
      <c r="N789" t="s">
        <v>14</v>
      </c>
      <c r="O789" t="str">
        <f>VLOOKUP(B789, [1]Course!$A$1:$O$933, 14, FALSE)</f>
        <v>MT</v>
      </c>
      <c r="P789">
        <v>1</v>
      </c>
    </row>
    <row r="790" spans="1:16" x14ac:dyDescent="0.25">
      <c r="A790">
        <v>789</v>
      </c>
      <c r="B790">
        <v>71</v>
      </c>
      <c r="C790">
        <v>5</v>
      </c>
      <c r="D790" t="s">
        <v>35</v>
      </c>
      <c r="E790" t="str">
        <f t="shared" si="12"/>
        <v>205MT03PT</v>
      </c>
      <c r="F790">
        <f>VLOOKUP(B790,[1]Course!$A$2:$R$329,2,FALSE)</f>
        <v>0</v>
      </c>
      <c r="G790">
        <f>VLOOKUP(B790, [1]Course!$A$2:$L$950, 8, FALSE)</f>
        <v>2</v>
      </c>
      <c r="H790">
        <v>3</v>
      </c>
      <c r="I790">
        <v>1</v>
      </c>
      <c r="M790" t="str">
        <f>VLOOKUP(B790, [1]Course!$A$1:$O$933, 12, FALSE)</f>
        <v>SU</v>
      </c>
      <c r="N790" t="s">
        <v>14</v>
      </c>
      <c r="O790" t="str">
        <f>VLOOKUP(B790, [1]Course!$A$1:$O$933, 14, FALSE)</f>
        <v>MT</v>
      </c>
      <c r="P790">
        <v>1</v>
      </c>
    </row>
    <row r="791" spans="1:16" x14ac:dyDescent="0.25">
      <c r="A791">
        <v>790</v>
      </c>
      <c r="B791">
        <v>71</v>
      </c>
      <c r="C791">
        <v>6</v>
      </c>
      <c r="D791" t="s">
        <v>35</v>
      </c>
      <c r="E791" t="str">
        <f t="shared" si="12"/>
        <v>206MT03PT</v>
      </c>
      <c r="F791">
        <f>VLOOKUP(B791,[1]Course!$A$2:$R$329,2,FALSE)</f>
        <v>0</v>
      </c>
      <c r="G791">
        <f>VLOOKUP(B791, [1]Course!$A$2:$L$950, 8, FALSE)</f>
        <v>2</v>
      </c>
      <c r="H791">
        <v>3</v>
      </c>
      <c r="I791">
        <v>1</v>
      </c>
      <c r="M791" t="str">
        <f>VLOOKUP(B791, [1]Course!$A$1:$O$933, 12, FALSE)</f>
        <v>SU</v>
      </c>
      <c r="N791" t="s">
        <v>14</v>
      </c>
      <c r="O791" t="str">
        <f>VLOOKUP(B791, [1]Course!$A$1:$O$933, 14, FALSE)</f>
        <v>MT</v>
      </c>
      <c r="P791">
        <v>1</v>
      </c>
    </row>
    <row r="792" spans="1:16" x14ac:dyDescent="0.25">
      <c r="A792">
        <v>791</v>
      </c>
      <c r="B792">
        <v>72</v>
      </c>
      <c r="C792">
        <v>1</v>
      </c>
      <c r="D792" t="s">
        <v>36</v>
      </c>
      <c r="E792" t="str">
        <f t="shared" si="12"/>
        <v>601SP03PT</v>
      </c>
      <c r="F792">
        <f>VLOOKUP(B792,[1]Course!$A$2:$R$329,2,FALSE)</f>
        <v>0</v>
      </c>
      <c r="G792">
        <f>VLOOKUP(B792, [1]Course!$A$2:$L$950, 8, FALSE)</f>
        <v>6</v>
      </c>
      <c r="H792">
        <v>3</v>
      </c>
      <c r="I792">
        <v>1</v>
      </c>
      <c r="M792" t="str">
        <f>VLOOKUP(B792, [1]Course!$A$1:$O$933, 12, FALSE)</f>
        <v>WB</v>
      </c>
      <c r="N792" t="s">
        <v>14</v>
      </c>
      <c r="O792" t="str">
        <f>VLOOKUP(B792, [1]Course!$A$1:$O$933, 14, FALSE)</f>
        <v>SP</v>
      </c>
      <c r="P792">
        <v>1</v>
      </c>
    </row>
    <row r="793" spans="1:16" x14ac:dyDescent="0.25">
      <c r="A793">
        <v>792</v>
      </c>
      <c r="B793">
        <v>72</v>
      </c>
      <c r="C793">
        <v>2</v>
      </c>
      <c r="D793" t="s">
        <v>36</v>
      </c>
      <c r="E793" t="str">
        <f t="shared" si="12"/>
        <v>602SP03PT</v>
      </c>
      <c r="F793">
        <f>VLOOKUP(B793,[1]Course!$A$2:$R$329,2,FALSE)</f>
        <v>0</v>
      </c>
      <c r="G793">
        <f>VLOOKUP(B793, [1]Course!$A$2:$L$950, 8, FALSE)</f>
        <v>6</v>
      </c>
      <c r="H793">
        <v>3</v>
      </c>
      <c r="I793">
        <v>1</v>
      </c>
      <c r="M793" t="str">
        <f>VLOOKUP(B793, [1]Course!$A$1:$O$933, 12, FALSE)</f>
        <v>WB</v>
      </c>
      <c r="N793" t="s">
        <v>14</v>
      </c>
      <c r="O793" t="str">
        <f>VLOOKUP(B793, [1]Course!$A$1:$O$933, 14, FALSE)</f>
        <v>SP</v>
      </c>
      <c r="P793">
        <v>1</v>
      </c>
    </row>
    <row r="794" spans="1:16" x14ac:dyDescent="0.25">
      <c r="A794">
        <v>793</v>
      </c>
      <c r="B794">
        <v>72</v>
      </c>
      <c r="C794">
        <v>3</v>
      </c>
      <c r="D794" t="s">
        <v>36</v>
      </c>
      <c r="E794" t="str">
        <f t="shared" si="12"/>
        <v>603SP03PT</v>
      </c>
      <c r="F794">
        <f>VLOOKUP(B794,[1]Course!$A$2:$R$329,2,FALSE)</f>
        <v>0</v>
      </c>
      <c r="G794">
        <f>VLOOKUP(B794, [1]Course!$A$2:$L$950, 8, FALSE)</f>
        <v>6</v>
      </c>
      <c r="H794">
        <v>3</v>
      </c>
      <c r="I794">
        <v>1</v>
      </c>
      <c r="M794" t="str">
        <f>VLOOKUP(B794, [1]Course!$A$1:$O$933, 12, FALSE)</f>
        <v>WB</v>
      </c>
      <c r="N794" t="s">
        <v>14</v>
      </c>
      <c r="O794" t="str">
        <f>VLOOKUP(B794, [1]Course!$A$1:$O$933, 14, FALSE)</f>
        <v>SP</v>
      </c>
      <c r="P794">
        <v>1</v>
      </c>
    </row>
    <row r="795" spans="1:16" x14ac:dyDescent="0.25">
      <c r="A795">
        <v>794</v>
      </c>
      <c r="B795">
        <v>72</v>
      </c>
      <c r="C795">
        <v>4</v>
      </c>
      <c r="D795" t="s">
        <v>36</v>
      </c>
      <c r="E795" t="str">
        <f t="shared" si="12"/>
        <v>604SP03PT</v>
      </c>
      <c r="F795">
        <f>VLOOKUP(B795,[1]Course!$A$2:$R$329,2,FALSE)</f>
        <v>0</v>
      </c>
      <c r="G795">
        <f>VLOOKUP(B795, [1]Course!$A$2:$L$950, 8, FALSE)</f>
        <v>6</v>
      </c>
      <c r="H795">
        <v>3</v>
      </c>
      <c r="I795">
        <v>1</v>
      </c>
      <c r="M795" t="str">
        <f>VLOOKUP(B795, [1]Course!$A$1:$O$933, 12, FALSE)</f>
        <v>WB</v>
      </c>
      <c r="N795" t="s">
        <v>14</v>
      </c>
      <c r="O795" t="str">
        <f>VLOOKUP(B795, [1]Course!$A$1:$O$933, 14, FALSE)</f>
        <v>SP</v>
      </c>
      <c r="P795">
        <v>1</v>
      </c>
    </row>
    <row r="796" spans="1:16" x14ac:dyDescent="0.25">
      <c r="A796">
        <v>795</v>
      </c>
      <c r="B796">
        <v>72</v>
      </c>
      <c r="C796">
        <v>5</v>
      </c>
      <c r="D796" t="s">
        <v>36</v>
      </c>
      <c r="E796" t="str">
        <f t="shared" si="12"/>
        <v>605SP03PT</v>
      </c>
      <c r="F796">
        <f>VLOOKUP(B796,[1]Course!$A$2:$R$329,2,FALSE)</f>
        <v>0</v>
      </c>
      <c r="G796">
        <f>VLOOKUP(B796, [1]Course!$A$2:$L$950, 8, FALSE)</f>
        <v>6</v>
      </c>
      <c r="H796">
        <v>3</v>
      </c>
      <c r="I796">
        <v>1</v>
      </c>
      <c r="M796" t="str">
        <f>VLOOKUP(B796, [1]Course!$A$1:$O$933, 12, FALSE)</f>
        <v>WB</v>
      </c>
      <c r="N796" t="s">
        <v>14</v>
      </c>
      <c r="O796" t="str">
        <f>VLOOKUP(B796, [1]Course!$A$1:$O$933, 14, FALSE)</f>
        <v>SP</v>
      </c>
      <c r="P796">
        <v>1</v>
      </c>
    </row>
    <row r="797" spans="1:16" x14ac:dyDescent="0.25">
      <c r="A797">
        <v>796</v>
      </c>
      <c r="B797">
        <v>72</v>
      </c>
      <c r="C797">
        <v>6</v>
      </c>
      <c r="D797" t="s">
        <v>36</v>
      </c>
      <c r="E797" t="str">
        <f t="shared" si="12"/>
        <v>606SP03PT</v>
      </c>
      <c r="F797">
        <f>VLOOKUP(B797,[1]Course!$A$2:$R$329,2,FALSE)</f>
        <v>0</v>
      </c>
      <c r="G797">
        <f>VLOOKUP(B797, [1]Course!$A$2:$L$950, 8, FALSE)</f>
        <v>6</v>
      </c>
      <c r="H797">
        <v>3</v>
      </c>
      <c r="I797">
        <v>1</v>
      </c>
      <c r="M797" t="str">
        <f>VLOOKUP(B797, [1]Course!$A$1:$O$933, 12, FALSE)</f>
        <v>WB</v>
      </c>
      <c r="N797" t="s">
        <v>14</v>
      </c>
      <c r="O797" t="str">
        <f>VLOOKUP(B797, [1]Course!$A$1:$O$933, 14, FALSE)</f>
        <v>SP</v>
      </c>
      <c r="P797">
        <v>1</v>
      </c>
    </row>
    <row r="798" spans="1:16" x14ac:dyDescent="0.25">
      <c r="A798">
        <v>797</v>
      </c>
      <c r="B798">
        <v>73</v>
      </c>
      <c r="C798">
        <v>1</v>
      </c>
      <c r="D798" t="s">
        <v>37</v>
      </c>
      <c r="E798" t="str">
        <f t="shared" si="12"/>
        <v>401I903PT</v>
      </c>
      <c r="F798">
        <f>VLOOKUP(B798,[1]Course!$A$2:$R$329,2,FALSE)</f>
        <v>0</v>
      </c>
      <c r="G798">
        <f>VLOOKUP(B798, [1]Course!$A$2:$L$950, 8, FALSE)</f>
        <v>4</v>
      </c>
      <c r="H798">
        <v>3</v>
      </c>
      <c r="I798">
        <v>1</v>
      </c>
      <c r="M798" t="str">
        <f>VLOOKUP(B798, [1]Course!$A$1:$O$933, 12, FALSE)</f>
        <v>LI</v>
      </c>
      <c r="N798" t="s">
        <v>14</v>
      </c>
      <c r="O798" t="str">
        <f>VLOOKUP(B798, [1]Course!$A$1:$O$933, 14, FALSE)</f>
        <v>I9</v>
      </c>
      <c r="P798">
        <v>1</v>
      </c>
    </row>
    <row r="799" spans="1:16" x14ac:dyDescent="0.25">
      <c r="A799">
        <v>798</v>
      </c>
      <c r="B799">
        <v>73</v>
      </c>
      <c r="C799">
        <v>2</v>
      </c>
      <c r="D799" t="s">
        <v>37</v>
      </c>
      <c r="E799" t="str">
        <f t="shared" si="12"/>
        <v>402I903PT</v>
      </c>
      <c r="F799">
        <f>VLOOKUP(B799,[1]Course!$A$2:$R$329,2,FALSE)</f>
        <v>0</v>
      </c>
      <c r="G799">
        <f>VLOOKUP(B799, [1]Course!$A$2:$L$950, 8, FALSE)</f>
        <v>4</v>
      </c>
      <c r="H799">
        <v>3</v>
      </c>
      <c r="I799">
        <v>1</v>
      </c>
      <c r="M799" t="str">
        <f>VLOOKUP(B799, [1]Course!$A$1:$O$933, 12, FALSE)</f>
        <v>LI</v>
      </c>
      <c r="N799" t="s">
        <v>14</v>
      </c>
      <c r="O799" t="str">
        <f>VLOOKUP(B799, [1]Course!$A$1:$O$933, 14, FALSE)</f>
        <v>I9</v>
      </c>
      <c r="P799">
        <v>1</v>
      </c>
    </row>
    <row r="800" spans="1:16" x14ac:dyDescent="0.25">
      <c r="A800">
        <v>799</v>
      </c>
      <c r="B800">
        <v>73</v>
      </c>
      <c r="C800">
        <v>3</v>
      </c>
      <c r="D800" t="s">
        <v>37</v>
      </c>
      <c r="E800" t="str">
        <f t="shared" si="12"/>
        <v>403I903PT</v>
      </c>
      <c r="F800">
        <f>VLOOKUP(B800,[1]Course!$A$2:$R$329,2,FALSE)</f>
        <v>0</v>
      </c>
      <c r="G800">
        <f>VLOOKUP(B800, [1]Course!$A$2:$L$950, 8, FALSE)</f>
        <v>4</v>
      </c>
      <c r="H800">
        <v>3</v>
      </c>
      <c r="I800">
        <v>1</v>
      </c>
      <c r="M800" t="str">
        <f>VLOOKUP(B800, [1]Course!$A$1:$O$933, 12, FALSE)</f>
        <v>LI</v>
      </c>
      <c r="N800" t="s">
        <v>14</v>
      </c>
      <c r="O800" t="str">
        <f>VLOOKUP(B800, [1]Course!$A$1:$O$933, 14, FALSE)</f>
        <v>I9</v>
      </c>
      <c r="P800">
        <v>1</v>
      </c>
    </row>
    <row r="801" spans="1:16" x14ac:dyDescent="0.25">
      <c r="A801">
        <v>800</v>
      </c>
      <c r="B801">
        <v>73</v>
      </c>
      <c r="C801">
        <v>4</v>
      </c>
      <c r="D801" t="s">
        <v>37</v>
      </c>
      <c r="E801" t="str">
        <f t="shared" si="12"/>
        <v>404I903PT</v>
      </c>
      <c r="F801">
        <f>VLOOKUP(B801,[1]Course!$A$2:$R$329,2,FALSE)</f>
        <v>0</v>
      </c>
      <c r="G801">
        <f>VLOOKUP(B801, [1]Course!$A$2:$L$950, 8, FALSE)</f>
        <v>4</v>
      </c>
      <c r="H801">
        <v>3</v>
      </c>
      <c r="I801">
        <v>1</v>
      </c>
      <c r="M801" t="str">
        <f>VLOOKUP(B801, [1]Course!$A$1:$O$933, 12, FALSE)</f>
        <v>LI</v>
      </c>
      <c r="N801" t="s">
        <v>14</v>
      </c>
      <c r="O801" t="str">
        <f>VLOOKUP(B801, [1]Course!$A$1:$O$933, 14, FALSE)</f>
        <v>I9</v>
      </c>
      <c r="P801">
        <v>1</v>
      </c>
    </row>
    <row r="802" spans="1:16" x14ac:dyDescent="0.25">
      <c r="A802">
        <v>801</v>
      </c>
      <c r="B802">
        <v>73</v>
      </c>
      <c r="C802">
        <v>98</v>
      </c>
      <c r="D802" t="s">
        <v>18</v>
      </c>
      <c r="E802" t="str">
        <f t="shared" si="12"/>
        <v>498LC03PT</v>
      </c>
      <c r="F802">
        <f>VLOOKUP(B802,[1]Course!$A$2:$R$329,2,FALSE)</f>
        <v>0</v>
      </c>
      <c r="G802">
        <f>VLOOKUP(B802, [1]Course!$A$2:$L$950, 8, FALSE)</f>
        <v>4</v>
      </c>
      <c r="H802">
        <v>3</v>
      </c>
      <c r="I802">
        <v>1</v>
      </c>
      <c r="M802" t="str">
        <f>VLOOKUP(B802, [1]Course!$A$1:$O$933, 12, FALSE)</f>
        <v>LI</v>
      </c>
      <c r="N802" t="s">
        <v>14</v>
      </c>
      <c r="O802" t="str">
        <f>VLOOKUP(B802, [1]Course!$A$1:$O$933, 14, FALSE)</f>
        <v>I9</v>
      </c>
      <c r="P802">
        <v>1</v>
      </c>
    </row>
    <row r="803" spans="1:16" x14ac:dyDescent="0.25">
      <c r="A803">
        <v>802</v>
      </c>
      <c r="B803">
        <v>48</v>
      </c>
      <c r="C803">
        <v>73</v>
      </c>
      <c r="D803" t="s">
        <v>18</v>
      </c>
      <c r="E803" t="str">
        <f t="shared" si="12"/>
        <v>1273LC03PT</v>
      </c>
      <c r="F803">
        <f>VLOOKUP(B803,[1]Course!$A$2:$R$329,2,FALSE)</f>
        <v>0</v>
      </c>
      <c r="G803">
        <f>VLOOKUP(B803, [1]Course!$A$2:$L$950, 8, FALSE)</f>
        <v>12</v>
      </c>
      <c r="H803">
        <v>3</v>
      </c>
      <c r="I803">
        <v>1</v>
      </c>
      <c r="M803" t="str">
        <f>VLOOKUP(B803, [1]Course!$A$1:$O$933, 12, FALSE)</f>
        <v>LI</v>
      </c>
      <c r="N803" t="s">
        <v>14</v>
      </c>
      <c r="O803" t="str">
        <f>VLOOKUP(B803, [1]Course!$A$1:$O$933, 14, FALSE)</f>
        <v>LC</v>
      </c>
      <c r="P803">
        <v>1</v>
      </c>
    </row>
    <row r="804" spans="1:16" x14ac:dyDescent="0.25">
      <c r="A804">
        <v>803</v>
      </c>
      <c r="B804">
        <v>73</v>
      </c>
      <c r="C804">
        <v>100</v>
      </c>
      <c r="D804" t="s">
        <v>18</v>
      </c>
      <c r="E804" t="str">
        <f t="shared" si="12"/>
        <v>400LC03PT</v>
      </c>
      <c r="F804">
        <f>VLOOKUP(B804,[1]Course!$A$2:$R$329,2,FALSE)</f>
        <v>0</v>
      </c>
      <c r="G804">
        <f>VLOOKUP(B804, [1]Course!$A$2:$L$950, 8, FALSE)</f>
        <v>4</v>
      </c>
      <c r="H804">
        <v>3</v>
      </c>
      <c r="I804">
        <v>1</v>
      </c>
      <c r="M804" t="str">
        <f>VLOOKUP(B804, [1]Course!$A$1:$O$933, 12, FALSE)</f>
        <v>LI</v>
      </c>
      <c r="N804" t="s">
        <v>14</v>
      </c>
      <c r="O804" t="str">
        <f>VLOOKUP(B804, [1]Course!$A$1:$O$933, 14, FALSE)</f>
        <v>I9</v>
      </c>
      <c r="P804">
        <v>1</v>
      </c>
    </row>
    <row r="805" spans="1:16" x14ac:dyDescent="0.25">
      <c r="A805">
        <v>805</v>
      </c>
      <c r="B805">
        <v>73</v>
      </c>
      <c r="C805">
        <v>102</v>
      </c>
      <c r="D805" t="s">
        <v>18</v>
      </c>
      <c r="E805" t="str">
        <f t="shared" si="12"/>
        <v>402LC03PT</v>
      </c>
      <c r="F805">
        <f>VLOOKUP(B805,[1]Course!$A$2:$R$329,2,FALSE)</f>
        <v>0</v>
      </c>
      <c r="G805">
        <f>VLOOKUP(B805, [1]Course!$A$2:$L$950, 8, FALSE)</f>
        <v>4</v>
      </c>
      <c r="H805">
        <v>3</v>
      </c>
      <c r="I805">
        <v>1</v>
      </c>
      <c r="M805" t="str">
        <f>VLOOKUP(B805, [1]Course!$A$1:$O$933, 12, FALSE)</f>
        <v>LI</v>
      </c>
      <c r="N805" t="s">
        <v>14</v>
      </c>
      <c r="O805" t="str">
        <f>VLOOKUP(B805, [1]Course!$A$1:$O$933, 14, FALSE)</f>
        <v>I9</v>
      </c>
      <c r="P805">
        <v>1</v>
      </c>
    </row>
    <row r="806" spans="1:16" x14ac:dyDescent="0.25">
      <c r="A806">
        <v>807</v>
      </c>
      <c r="B806">
        <v>73</v>
      </c>
      <c r="C806">
        <v>104</v>
      </c>
      <c r="D806" t="s">
        <v>18</v>
      </c>
      <c r="E806" t="str">
        <f t="shared" si="12"/>
        <v>404LC03PT</v>
      </c>
      <c r="F806">
        <f>VLOOKUP(B806,[1]Course!$A$2:$R$329,2,FALSE)</f>
        <v>0</v>
      </c>
      <c r="G806">
        <f>VLOOKUP(B806, [1]Course!$A$2:$L$950, 8, FALSE)</f>
        <v>4</v>
      </c>
      <c r="H806">
        <v>3</v>
      </c>
      <c r="I806">
        <v>1</v>
      </c>
      <c r="M806" t="str">
        <f>VLOOKUP(B806, [1]Course!$A$1:$O$933, 12, FALSE)</f>
        <v>LI</v>
      </c>
      <c r="N806" t="s">
        <v>14</v>
      </c>
      <c r="O806" t="str">
        <f>VLOOKUP(B806, [1]Course!$A$1:$O$933, 14, FALSE)</f>
        <v>I9</v>
      </c>
      <c r="P806">
        <v>1</v>
      </c>
    </row>
    <row r="807" spans="1:16" x14ac:dyDescent="0.25">
      <c r="A807">
        <v>809</v>
      </c>
      <c r="B807">
        <v>73</v>
      </c>
      <c r="C807">
        <v>106</v>
      </c>
      <c r="D807" t="s">
        <v>18</v>
      </c>
      <c r="E807" t="str">
        <f t="shared" si="12"/>
        <v>406LC03PT</v>
      </c>
      <c r="F807">
        <f>VLOOKUP(B807,[1]Course!$A$2:$R$329,2,FALSE)</f>
        <v>0</v>
      </c>
      <c r="G807">
        <f>VLOOKUP(B807, [1]Course!$A$2:$L$950, 8, FALSE)</f>
        <v>4</v>
      </c>
      <c r="H807">
        <v>3</v>
      </c>
      <c r="I807">
        <v>1</v>
      </c>
      <c r="M807" t="str">
        <f>VLOOKUP(B807, [1]Course!$A$1:$O$933, 12, FALSE)</f>
        <v>LI</v>
      </c>
      <c r="N807" t="s">
        <v>14</v>
      </c>
      <c r="O807" t="str">
        <f>VLOOKUP(B807, [1]Course!$A$1:$O$933, 14, FALSE)</f>
        <v>I9</v>
      </c>
      <c r="P807">
        <v>1</v>
      </c>
    </row>
    <row r="808" spans="1:16" x14ac:dyDescent="0.25">
      <c r="A808">
        <v>811</v>
      </c>
      <c r="B808">
        <v>73</v>
      </c>
      <c r="C808">
        <v>108</v>
      </c>
      <c r="D808" t="s">
        <v>18</v>
      </c>
      <c r="E808" t="str">
        <f t="shared" si="12"/>
        <v>408LC03PT</v>
      </c>
      <c r="F808">
        <f>VLOOKUP(B808,[1]Course!$A$2:$R$329,2,FALSE)</f>
        <v>0</v>
      </c>
      <c r="G808">
        <f>VLOOKUP(B808, [1]Course!$A$2:$L$950, 8, FALSE)</f>
        <v>4</v>
      </c>
      <c r="H808">
        <v>3</v>
      </c>
      <c r="I808">
        <v>1</v>
      </c>
      <c r="M808" t="str">
        <f>VLOOKUP(B808, [1]Course!$A$1:$O$933, 12, FALSE)</f>
        <v>LI</v>
      </c>
      <c r="N808" t="s">
        <v>14</v>
      </c>
      <c r="O808" t="str">
        <f>VLOOKUP(B808, [1]Course!$A$1:$O$933, 14, FALSE)</f>
        <v>I9</v>
      </c>
      <c r="P808">
        <v>1</v>
      </c>
    </row>
    <row r="809" spans="1:16" x14ac:dyDescent="0.25">
      <c r="A809">
        <v>812</v>
      </c>
      <c r="B809">
        <v>74</v>
      </c>
      <c r="C809">
        <v>1</v>
      </c>
      <c r="D809" t="s">
        <v>38</v>
      </c>
      <c r="E809" t="str">
        <f t="shared" si="12"/>
        <v>501AS03PT</v>
      </c>
      <c r="F809">
        <f>VLOOKUP(B809,[1]Course!$A$2:$R$329,2,FALSE)</f>
        <v>0</v>
      </c>
      <c r="G809">
        <f>VLOOKUP(B809, [1]Course!$A$2:$L$950, 8, FALSE)</f>
        <v>5</v>
      </c>
      <c r="H809">
        <v>3</v>
      </c>
      <c r="I809">
        <v>1</v>
      </c>
      <c r="M809" t="str">
        <f>VLOOKUP(B809, [1]Course!$A$1:$O$933, 12, FALSE)</f>
        <v>SC</v>
      </c>
      <c r="N809" t="s">
        <v>14</v>
      </c>
      <c r="O809" t="str">
        <f>VLOOKUP(B809, [1]Course!$A$1:$O$933, 14, FALSE)</f>
        <v>AS</v>
      </c>
      <c r="P809">
        <v>1</v>
      </c>
    </row>
    <row r="810" spans="1:16" x14ac:dyDescent="0.25">
      <c r="A810">
        <v>813</v>
      </c>
      <c r="B810">
        <v>74</v>
      </c>
      <c r="C810">
        <v>2</v>
      </c>
      <c r="D810" t="s">
        <v>38</v>
      </c>
      <c r="E810" t="str">
        <f t="shared" si="12"/>
        <v>502AS03PT</v>
      </c>
      <c r="F810">
        <f>VLOOKUP(B810,[1]Course!$A$2:$R$329,2,FALSE)</f>
        <v>0</v>
      </c>
      <c r="G810">
        <f>VLOOKUP(B810, [1]Course!$A$2:$L$950, 8, FALSE)</f>
        <v>5</v>
      </c>
      <c r="H810">
        <v>3</v>
      </c>
      <c r="I810">
        <v>1</v>
      </c>
      <c r="M810" t="str">
        <f>VLOOKUP(B810, [1]Course!$A$1:$O$933, 12, FALSE)</f>
        <v>SC</v>
      </c>
      <c r="N810" t="s">
        <v>14</v>
      </c>
      <c r="O810" t="str">
        <f>VLOOKUP(B810, [1]Course!$A$1:$O$933, 14, FALSE)</f>
        <v>AS</v>
      </c>
      <c r="P810">
        <v>1</v>
      </c>
    </row>
    <row r="811" spans="1:16" x14ac:dyDescent="0.25">
      <c r="A811">
        <v>814</v>
      </c>
      <c r="B811">
        <v>74</v>
      </c>
      <c r="C811">
        <v>3</v>
      </c>
      <c r="D811" t="s">
        <v>38</v>
      </c>
      <c r="E811" t="str">
        <f t="shared" si="12"/>
        <v>503AS03PT</v>
      </c>
      <c r="F811">
        <f>VLOOKUP(B811,[1]Course!$A$2:$R$329,2,FALSE)</f>
        <v>0</v>
      </c>
      <c r="G811">
        <f>VLOOKUP(B811, [1]Course!$A$2:$L$950, 8, FALSE)</f>
        <v>5</v>
      </c>
      <c r="H811">
        <v>3</v>
      </c>
      <c r="I811">
        <v>1</v>
      </c>
      <c r="M811" t="str">
        <f>VLOOKUP(B811, [1]Course!$A$1:$O$933, 12, FALSE)</f>
        <v>SC</v>
      </c>
      <c r="N811" t="s">
        <v>14</v>
      </c>
      <c r="O811" t="str">
        <f>VLOOKUP(B811, [1]Course!$A$1:$O$933, 14, FALSE)</f>
        <v>AS</v>
      </c>
      <c r="P811">
        <v>1</v>
      </c>
    </row>
    <row r="812" spans="1:16" x14ac:dyDescent="0.25">
      <c r="A812">
        <v>815</v>
      </c>
      <c r="B812">
        <v>74</v>
      </c>
      <c r="C812">
        <v>4</v>
      </c>
      <c r="D812" t="s">
        <v>38</v>
      </c>
      <c r="E812" t="str">
        <f t="shared" si="12"/>
        <v>504AS03PT</v>
      </c>
      <c r="F812">
        <f>VLOOKUP(B812,[1]Course!$A$2:$R$329,2,FALSE)</f>
        <v>0</v>
      </c>
      <c r="G812">
        <f>VLOOKUP(B812, [1]Course!$A$2:$L$950, 8, FALSE)</f>
        <v>5</v>
      </c>
      <c r="H812">
        <v>3</v>
      </c>
      <c r="I812">
        <v>1</v>
      </c>
      <c r="M812" t="str">
        <f>VLOOKUP(B812, [1]Course!$A$1:$O$933, 12, FALSE)</f>
        <v>SC</v>
      </c>
      <c r="N812" t="s">
        <v>14</v>
      </c>
      <c r="O812" t="str">
        <f>VLOOKUP(B812, [1]Course!$A$1:$O$933, 14, FALSE)</f>
        <v>AS</v>
      </c>
      <c r="P812">
        <v>1</v>
      </c>
    </row>
    <row r="813" spans="1:16" x14ac:dyDescent="0.25">
      <c r="A813">
        <v>816</v>
      </c>
      <c r="B813">
        <v>74</v>
      </c>
      <c r="C813">
        <v>5</v>
      </c>
      <c r="D813" t="s">
        <v>38</v>
      </c>
      <c r="E813" t="str">
        <f t="shared" si="12"/>
        <v>505AS03PT</v>
      </c>
      <c r="F813">
        <f>VLOOKUP(B813,[1]Course!$A$2:$R$329,2,FALSE)</f>
        <v>0</v>
      </c>
      <c r="G813">
        <f>VLOOKUP(B813, [1]Course!$A$2:$L$950, 8, FALSE)</f>
        <v>5</v>
      </c>
      <c r="H813">
        <v>3</v>
      </c>
      <c r="I813">
        <v>1</v>
      </c>
      <c r="M813" t="str">
        <f>VLOOKUP(B813, [1]Course!$A$1:$O$933, 12, FALSE)</f>
        <v>SC</v>
      </c>
      <c r="N813" t="s">
        <v>14</v>
      </c>
      <c r="O813" t="str">
        <f>VLOOKUP(B813, [1]Course!$A$1:$O$933, 14, FALSE)</f>
        <v>AS</v>
      </c>
      <c r="P813">
        <v>1</v>
      </c>
    </row>
    <row r="814" spans="1:16" x14ac:dyDescent="0.25">
      <c r="A814">
        <v>817</v>
      </c>
      <c r="B814">
        <v>75</v>
      </c>
      <c r="C814">
        <v>97</v>
      </c>
      <c r="D814" t="s">
        <v>39</v>
      </c>
      <c r="E814" t="str">
        <f t="shared" si="12"/>
        <v>1297BI03PT</v>
      </c>
      <c r="F814" t="str">
        <f>VLOOKUP(B814,[1]Course!$A$2:$R$329,2,FALSE)</f>
        <v>Science 9</v>
      </c>
      <c r="G814">
        <f>VLOOKUP(B814, [1]Course!$A$2:$L$950, 8, FALSE)</f>
        <v>12</v>
      </c>
      <c r="H814">
        <v>3</v>
      </c>
      <c r="I814">
        <v>1</v>
      </c>
      <c r="J814">
        <v>2019</v>
      </c>
      <c r="K814" t="s">
        <v>92</v>
      </c>
      <c r="L814">
        <v>1</v>
      </c>
      <c r="M814" t="str">
        <f>VLOOKUP(B814, [1]Course!$A$1:$O$933, 12, FALSE)</f>
        <v>SC</v>
      </c>
      <c r="N814" t="s">
        <v>14</v>
      </c>
      <c r="O814" t="str">
        <f>VLOOKUP(B814, [1]Course!$A$1:$O$933, 14, FALSE)</f>
        <v>BI</v>
      </c>
      <c r="P814">
        <v>1</v>
      </c>
    </row>
    <row r="815" spans="1:16" x14ac:dyDescent="0.25">
      <c r="A815">
        <v>818</v>
      </c>
      <c r="B815">
        <v>75</v>
      </c>
      <c r="C815">
        <v>98</v>
      </c>
      <c r="D815" t="s">
        <v>39</v>
      </c>
      <c r="E815" t="str">
        <f t="shared" si="12"/>
        <v>1298BI03PT</v>
      </c>
      <c r="F815" t="str">
        <f>VLOOKUP(B815,[1]Course!$A$2:$R$329,2,FALSE)</f>
        <v>Science 9</v>
      </c>
      <c r="G815">
        <f>VLOOKUP(B815, [1]Course!$A$2:$L$950, 8, FALSE)</f>
        <v>12</v>
      </c>
      <c r="H815">
        <v>3</v>
      </c>
      <c r="I815">
        <v>1</v>
      </c>
      <c r="M815" t="str">
        <f>VLOOKUP(B815, [1]Course!$A$1:$O$933, 12, FALSE)</f>
        <v>SC</v>
      </c>
      <c r="N815" t="s">
        <v>14</v>
      </c>
      <c r="O815" t="str">
        <f>VLOOKUP(B815, [1]Course!$A$1:$O$933, 14, FALSE)</f>
        <v>BI</v>
      </c>
      <c r="P815">
        <v>1</v>
      </c>
    </row>
    <row r="816" spans="1:16" x14ac:dyDescent="0.25">
      <c r="A816">
        <v>819</v>
      </c>
      <c r="B816">
        <v>75</v>
      </c>
      <c r="C816">
        <v>99</v>
      </c>
      <c r="D816" t="s">
        <v>39</v>
      </c>
      <c r="E816" t="str">
        <f t="shared" si="12"/>
        <v>1299BI03PT</v>
      </c>
      <c r="F816" t="str">
        <f>VLOOKUP(B816,[1]Course!$A$2:$R$329,2,FALSE)</f>
        <v>Science 9</v>
      </c>
      <c r="G816">
        <f>VLOOKUP(B816, [1]Course!$A$2:$L$950, 8, FALSE)</f>
        <v>12</v>
      </c>
      <c r="H816">
        <v>3</v>
      </c>
      <c r="I816">
        <v>1</v>
      </c>
      <c r="M816" t="str">
        <f>VLOOKUP(B816, [1]Course!$A$1:$O$933, 12, FALSE)</f>
        <v>SC</v>
      </c>
      <c r="N816" t="s">
        <v>14</v>
      </c>
      <c r="O816" t="str">
        <f>VLOOKUP(B816, [1]Course!$A$1:$O$933, 14, FALSE)</f>
        <v>BI</v>
      </c>
      <c r="P816">
        <v>1</v>
      </c>
    </row>
    <row r="817" spans="1:16" x14ac:dyDescent="0.25">
      <c r="A817">
        <v>820</v>
      </c>
      <c r="B817">
        <v>75</v>
      </c>
      <c r="C817">
        <v>100</v>
      </c>
      <c r="D817" t="s">
        <v>39</v>
      </c>
      <c r="E817" t="str">
        <f t="shared" si="12"/>
        <v>1200BI03PT</v>
      </c>
      <c r="F817" t="str">
        <f>VLOOKUP(B817,[1]Course!$A$2:$R$329,2,FALSE)</f>
        <v>Science 9</v>
      </c>
      <c r="G817">
        <f>VLOOKUP(B817, [1]Course!$A$2:$L$950, 8, FALSE)</f>
        <v>12</v>
      </c>
      <c r="H817">
        <v>3</v>
      </c>
      <c r="I817">
        <v>1</v>
      </c>
      <c r="J817">
        <v>2019</v>
      </c>
      <c r="K817" t="s">
        <v>92</v>
      </c>
      <c r="L817">
        <v>1</v>
      </c>
      <c r="M817" t="str">
        <f>VLOOKUP(B817, [1]Course!$A$1:$O$933, 12, FALSE)</f>
        <v>SC</v>
      </c>
      <c r="N817" t="s">
        <v>14</v>
      </c>
      <c r="O817" t="str">
        <f>VLOOKUP(B817, [1]Course!$A$1:$O$933, 14, FALSE)</f>
        <v>BI</v>
      </c>
      <c r="P817">
        <v>1</v>
      </c>
    </row>
    <row r="818" spans="1:16" x14ac:dyDescent="0.25">
      <c r="A818">
        <v>821</v>
      </c>
      <c r="B818">
        <v>75</v>
      </c>
      <c r="C818">
        <v>101</v>
      </c>
      <c r="D818" t="s">
        <v>39</v>
      </c>
      <c r="E818" t="str">
        <f t="shared" si="12"/>
        <v>1201BI03PT</v>
      </c>
      <c r="F818" t="str">
        <f>VLOOKUP(B818,[1]Course!$A$2:$R$329,2,FALSE)</f>
        <v>Science 9</v>
      </c>
      <c r="G818">
        <f>VLOOKUP(B818, [1]Course!$A$2:$L$950, 8, FALSE)</f>
        <v>12</v>
      </c>
      <c r="H818">
        <v>3</v>
      </c>
      <c r="I818">
        <v>1</v>
      </c>
      <c r="J818">
        <v>2019</v>
      </c>
      <c r="K818" t="s">
        <v>92</v>
      </c>
      <c r="L818">
        <v>1</v>
      </c>
      <c r="M818" t="str">
        <f>VLOOKUP(B818, [1]Course!$A$1:$O$933, 12, FALSE)</f>
        <v>SC</v>
      </c>
      <c r="N818" t="s">
        <v>14</v>
      </c>
      <c r="O818" t="str">
        <f>VLOOKUP(B818, [1]Course!$A$1:$O$933, 14, FALSE)</f>
        <v>BI</v>
      </c>
      <c r="P818">
        <v>1</v>
      </c>
    </row>
    <row r="819" spans="1:16" x14ac:dyDescent="0.25">
      <c r="A819">
        <v>822</v>
      </c>
      <c r="B819">
        <v>75</v>
      </c>
      <c r="C819">
        <v>102</v>
      </c>
      <c r="D819" t="s">
        <v>39</v>
      </c>
      <c r="E819" t="str">
        <f t="shared" si="12"/>
        <v>1202BI03PT</v>
      </c>
      <c r="F819" t="str">
        <f>VLOOKUP(B819,[1]Course!$A$2:$R$329,2,FALSE)</f>
        <v>Science 9</v>
      </c>
      <c r="G819">
        <f>VLOOKUP(B819, [1]Course!$A$2:$L$950, 8, FALSE)</f>
        <v>12</v>
      </c>
      <c r="H819">
        <v>3</v>
      </c>
      <c r="I819">
        <v>1</v>
      </c>
      <c r="J819">
        <v>2019</v>
      </c>
      <c r="K819" t="s">
        <v>92</v>
      </c>
      <c r="L819">
        <v>1</v>
      </c>
      <c r="M819" t="str">
        <f>VLOOKUP(B819, [1]Course!$A$1:$O$933, 12, FALSE)</f>
        <v>SC</v>
      </c>
      <c r="N819" t="s">
        <v>14</v>
      </c>
      <c r="O819" t="str">
        <f>VLOOKUP(B819, [1]Course!$A$1:$O$933, 14, FALSE)</f>
        <v>BI</v>
      </c>
      <c r="P819">
        <v>1</v>
      </c>
    </row>
    <row r="820" spans="1:16" x14ac:dyDescent="0.25">
      <c r="A820">
        <v>823</v>
      </c>
      <c r="B820">
        <v>75</v>
      </c>
      <c r="C820">
        <v>103</v>
      </c>
      <c r="D820" t="s">
        <v>39</v>
      </c>
      <c r="E820" t="str">
        <f t="shared" si="12"/>
        <v>1203BI03PT</v>
      </c>
      <c r="F820" t="str">
        <f>VLOOKUP(B820,[1]Course!$A$2:$R$329,2,FALSE)</f>
        <v>Science 9</v>
      </c>
      <c r="G820">
        <f>VLOOKUP(B820, [1]Course!$A$2:$L$950, 8, FALSE)</f>
        <v>12</v>
      </c>
      <c r="H820">
        <v>3</v>
      </c>
      <c r="I820">
        <v>1</v>
      </c>
      <c r="M820" t="str">
        <f>VLOOKUP(B820, [1]Course!$A$1:$O$933, 12, FALSE)</f>
        <v>SC</v>
      </c>
      <c r="N820" t="s">
        <v>14</v>
      </c>
      <c r="O820" t="str">
        <f>VLOOKUP(B820, [1]Course!$A$1:$O$933, 14, FALSE)</f>
        <v>BI</v>
      </c>
      <c r="P820">
        <v>1</v>
      </c>
    </row>
    <row r="821" spans="1:16" x14ac:dyDescent="0.25">
      <c r="A821">
        <v>824</v>
      </c>
      <c r="B821">
        <v>75</v>
      </c>
      <c r="C821">
        <v>104</v>
      </c>
      <c r="D821" t="s">
        <v>39</v>
      </c>
      <c r="E821" t="str">
        <f t="shared" si="12"/>
        <v>1204BI03PT</v>
      </c>
      <c r="F821" t="str">
        <f>VLOOKUP(B821,[1]Course!$A$2:$R$329,2,FALSE)</f>
        <v>Science 9</v>
      </c>
      <c r="G821">
        <f>VLOOKUP(B821, [1]Course!$A$2:$L$950, 8, FALSE)</f>
        <v>12</v>
      </c>
      <c r="H821">
        <v>3</v>
      </c>
      <c r="I821">
        <v>1</v>
      </c>
      <c r="M821" t="str">
        <f>VLOOKUP(B821, [1]Course!$A$1:$O$933, 12, FALSE)</f>
        <v>SC</v>
      </c>
      <c r="N821" t="s">
        <v>14</v>
      </c>
      <c r="O821" t="str">
        <f>VLOOKUP(B821, [1]Course!$A$1:$O$933, 14, FALSE)</f>
        <v>BI</v>
      </c>
      <c r="P821">
        <v>1</v>
      </c>
    </row>
    <row r="822" spans="1:16" x14ac:dyDescent="0.25">
      <c r="A822">
        <v>825</v>
      </c>
      <c r="B822">
        <v>75</v>
      </c>
      <c r="C822">
        <v>105</v>
      </c>
      <c r="D822" t="s">
        <v>39</v>
      </c>
      <c r="E822" t="str">
        <f t="shared" si="12"/>
        <v>1205BI03PT</v>
      </c>
      <c r="F822" t="str">
        <f>VLOOKUP(B822,[1]Course!$A$2:$R$329,2,FALSE)</f>
        <v>Science 9</v>
      </c>
      <c r="G822">
        <f>VLOOKUP(B822, [1]Course!$A$2:$L$950, 8, FALSE)</f>
        <v>12</v>
      </c>
      <c r="H822">
        <v>3</v>
      </c>
      <c r="I822">
        <v>1</v>
      </c>
      <c r="M822" t="str">
        <f>VLOOKUP(B822, [1]Course!$A$1:$O$933, 12, FALSE)</f>
        <v>SC</v>
      </c>
      <c r="N822" t="s">
        <v>14</v>
      </c>
      <c r="O822" t="str">
        <f>VLOOKUP(B822, [1]Course!$A$1:$O$933, 14, FALSE)</f>
        <v>BI</v>
      </c>
      <c r="P822">
        <v>1</v>
      </c>
    </row>
    <row r="823" spans="1:16" x14ac:dyDescent="0.25">
      <c r="A823">
        <v>826</v>
      </c>
      <c r="B823">
        <v>75</v>
      </c>
      <c r="C823">
        <v>106</v>
      </c>
      <c r="D823" t="s">
        <v>39</v>
      </c>
      <c r="E823" t="str">
        <f t="shared" si="12"/>
        <v>1206BI03PT</v>
      </c>
      <c r="F823" t="str">
        <f>VLOOKUP(B823,[1]Course!$A$2:$R$329,2,FALSE)</f>
        <v>Science 9</v>
      </c>
      <c r="G823">
        <f>VLOOKUP(B823, [1]Course!$A$2:$L$950, 8, FALSE)</f>
        <v>12</v>
      </c>
      <c r="H823">
        <v>3</v>
      </c>
      <c r="I823">
        <v>1</v>
      </c>
      <c r="J823">
        <v>2020</v>
      </c>
      <c r="K823" t="s">
        <v>92</v>
      </c>
      <c r="L823">
        <v>1</v>
      </c>
      <c r="M823" t="str">
        <f>VLOOKUP(B823, [1]Course!$A$1:$O$933, 12, FALSE)</f>
        <v>SC</v>
      </c>
      <c r="N823" t="s">
        <v>14</v>
      </c>
      <c r="O823" t="str">
        <f>VLOOKUP(B823, [1]Course!$A$1:$O$933, 14, FALSE)</f>
        <v>BI</v>
      </c>
      <c r="P823">
        <v>1</v>
      </c>
    </row>
    <row r="824" spans="1:16" x14ac:dyDescent="0.25">
      <c r="A824">
        <v>827</v>
      </c>
      <c r="B824">
        <v>75</v>
      </c>
      <c r="C824">
        <v>107</v>
      </c>
      <c r="D824" t="s">
        <v>39</v>
      </c>
      <c r="E824" t="str">
        <f t="shared" si="12"/>
        <v>1207BI03PT</v>
      </c>
      <c r="F824" t="str">
        <f>VLOOKUP(B824,[1]Course!$A$2:$R$329,2,FALSE)</f>
        <v>Science 9</v>
      </c>
      <c r="G824">
        <f>VLOOKUP(B824, [1]Course!$A$2:$L$950, 8, FALSE)</f>
        <v>12</v>
      </c>
      <c r="H824">
        <v>3</v>
      </c>
      <c r="I824">
        <v>1</v>
      </c>
      <c r="J824">
        <v>2020</v>
      </c>
      <c r="K824" t="s">
        <v>92</v>
      </c>
      <c r="L824">
        <v>2</v>
      </c>
      <c r="M824" t="str">
        <f>VLOOKUP(B824, [1]Course!$A$1:$O$933, 12, FALSE)</f>
        <v>SC</v>
      </c>
      <c r="N824" t="s">
        <v>14</v>
      </c>
      <c r="O824" t="str">
        <f>VLOOKUP(B824, [1]Course!$A$1:$O$933, 14, FALSE)</f>
        <v>BI</v>
      </c>
      <c r="P824">
        <v>1</v>
      </c>
    </row>
    <row r="825" spans="1:16" x14ac:dyDescent="0.25">
      <c r="A825">
        <v>828</v>
      </c>
      <c r="B825">
        <v>75</v>
      </c>
      <c r="C825">
        <v>108</v>
      </c>
      <c r="D825" t="s">
        <v>39</v>
      </c>
      <c r="E825" t="str">
        <f t="shared" si="12"/>
        <v>1208BI03PT</v>
      </c>
      <c r="F825" t="str">
        <f>VLOOKUP(B825,[1]Course!$A$2:$R$329,2,FALSE)</f>
        <v>Science 9</v>
      </c>
      <c r="G825">
        <f>VLOOKUP(B825, [1]Course!$A$2:$L$950, 8, FALSE)</f>
        <v>12</v>
      </c>
      <c r="H825">
        <v>3</v>
      </c>
      <c r="I825">
        <v>1</v>
      </c>
      <c r="J825">
        <v>2020</v>
      </c>
      <c r="K825" t="s">
        <v>92</v>
      </c>
      <c r="L825">
        <v>1</v>
      </c>
      <c r="M825" t="str">
        <f>VLOOKUP(B825, [1]Course!$A$1:$O$933, 12, FALSE)</f>
        <v>SC</v>
      </c>
      <c r="N825" t="s">
        <v>14</v>
      </c>
      <c r="O825" t="str">
        <f>VLOOKUP(B825, [1]Course!$A$1:$O$933, 14, FALSE)</f>
        <v>BI</v>
      </c>
      <c r="P825">
        <v>1</v>
      </c>
    </row>
    <row r="826" spans="1:16" x14ac:dyDescent="0.25">
      <c r="A826">
        <v>829</v>
      </c>
      <c r="B826">
        <v>76</v>
      </c>
      <c r="C826">
        <v>1</v>
      </c>
      <c r="D826" t="s">
        <v>40</v>
      </c>
      <c r="E826" t="str">
        <f t="shared" si="12"/>
        <v>601HE03PT</v>
      </c>
      <c r="F826">
        <f>VLOOKUP(B826,[1]Course!$A$2:$R$329,2,FALSE)</f>
        <v>0</v>
      </c>
      <c r="G826">
        <f>VLOOKUP(B826, [1]Course!$A$2:$L$950, 8, FALSE)</f>
        <v>6</v>
      </c>
      <c r="H826">
        <v>3</v>
      </c>
      <c r="I826">
        <v>1</v>
      </c>
      <c r="M826" t="str">
        <f>VLOOKUP(B826, [1]Course!$A$1:$O$933, 12, FALSE)</f>
        <v>SC</v>
      </c>
      <c r="N826" t="s">
        <v>14</v>
      </c>
      <c r="O826" t="str">
        <f>VLOOKUP(B826, [1]Course!$A$1:$O$933, 14, FALSE)</f>
        <v>HE</v>
      </c>
      <c r="P826">
        <v>1</v>
      </c>
    </row>
    <row r="827" spans="1:16" x14ac:dyDescent="0.25">
      <c r="A827">
        <v>830</v>
      </c>
      <c r="B827">
        <v>76</v>
      </c>
      <c r="C827">
        <v>2</v>
      </c>
      <c r="D827" t="s">
        <v>40</v>
      </c>
      <c r="E827" t="str">
        <f t="shared" si="12"/>
        <v>602HE03PT</v>
      </c>
      <c r="F827">
        <f>VLOOKUP(B827,[1]Course!$A$2:$R$329,2,FALSE)</f>
        <v>0</v>
      </c>
      <c r="G827">
        <f>VLOOKUP(B827, [1]Course!$A$2:$L$950, 8, FALSE)</f>
        <v>6</v>
      </c>
      <c r="H827">
        <v>3</v>
      </c>
      <c r="I827">
        <v>1</v>
      </c>
      <c r="M827" t="str">
        <f>VLOOKUP(B827, [1]Course!$A$1:$O$933, 12, FALSE)</f>
        <v>SC</v>
      </c>
      <c r="N827" t="s">
        <v>14</v>
      </c>
      <c r="O827" t="str">
        <f>VLOOKUP(B827, [1]Course!$A$1:$O$933, 14, FALSE)</f>
        <v>HE</v>
      </c>
      <c r="P827">
        <v>1</v>
      </c>
    </row>
    <row r="828" spans="1:16" x14ac:dyDescent="0.25">
      <c r="A828">
        <v>831</v>
      </c>
      <c r="B828">
        <v>76</v>
      </c>
      <c r="C828">
        <v>3</v>
      </c>
      <c r="D828" t="s">
        <v>40</v>
      </c>
      <c r="E828" t="str">
        <f t="shared" si="12"/>
        <v>603HE03PT</v>
      </c>
      <c r="F828">
        <f>VLOOKUP(B828,[1]Course!$A$2:$R$329,2,FALSE)</f>
        <v>0</v>
      </c>
      <c r="G828">
        <f>VLOOKUP(B828, [1]Course!$A$2:$L$950, 8, FALSE)</f>
        <v>6</v>
      </c>
      <c r="H828">
        <v>3</v>
      </c>
      <c r="I828">
        <v>1</v>
      </c>
      <c r="M828" t="str">
        <f>VLOOKUP(B828, [1]Course!$A$1:$O$933, 12, FALSE)</f>
        <v>SC</v>
      </c>
      <c r="N828" t="s">
        <v>14</v>
      </c>
      <c r="O828" t="str">
        <f>VLOOKUP(B828, [1]Course!$A$1:$O$933, 14, FALSE)</f>
        <v>HE</v>
      </c>
      <c r="P828">
        <v>1</v>
      </c>
    </row>
    <row r="829" spans="1:16" x14ac:dyDescent="0.25">
      <c r="A829">
        <v>832</v>
      </c>
      <c r="B829">
        <v>76</v>
      </c>
      <c r="C829">
        <v>4</v>
      </c>
      <c r="D829" t="s">
        <v>40</v>
      </c>
      <c r="E829" t="str">
        <f t="shared" si="12"/>
        <v>604HE03PT</v>
      </c>
      <c r="F829">
        <f>VLOOKUP(B829,[1]Course!$A$2:$R$329,2,FALSE)</f>
        <v>0</v>
      </c>
      <c r="G829">
        <f>VLOOKUP(B829, [1]Course!$A$2:$L$950, 8, FALSE)</f>
        <v>6</v>
      </c>
      <c r="H829">
        <v>3</v>
      </c>
      <c r="I829">
        <v>1</v>
      </c>
      <c r="M829" t="str">
        <f>VLOOKUP(B829, [1]Course!$A$1:$O$933, 12, FALSE)</f>
        <v>SC</v>
      </c>
      <c r="N829" t="s">
        <v>14</v>
      </c>
      <c r="O829" t="str">
        <f>VLOOKUP(B829, [1]Course!$A$1:$O$933, 14, FALSE)</f>
        <v>HE</v>
      </c>
      <c r="P829">
        <v>1</v>
      </c>
    </row>
    <row r="830" spans="1:16" x14ac:dyDescent="0.25">
      <c r="A830">
        <v>833</v>
      </c>
      <c r="B830">
        <v>76</v>
      </c>
      <c r="C830">
        <v>5</v>
      </c>
      <c r="D830" t="s">
        <v>40</v>
      </c>
      <c r="E830" t="str">
        <f t="shared" si="12"/>
        <v>605HE03PT</v>
      </c>
      <c r="F830">
        <f>VLOOKUP(B830,[1]Course!$A$2:$R$329,2,FALSE)</f>
        <v>0</v>
      </c>
      <c r="G830">
        <f>VLOOKUP(B830, [1]Course!$A$2:$L$950, 8, FALSE)</f>
        <v>6</v>
      </c>
      <c r="H830">
        <v>3</v>
      </c>
      <c r="I830">
        <v>1</v>
      </c>
      <c r="M830" t="str">
        <f>VLOOKUP(B830, [1]Course!$A$1:$O$933, 12, FALSE)</f>
        <v>SC</v>
      </c>
      <c r="N830" t="s">
        <v>14</v>
      </c>
      <c r="O830" t="str">
        <f>VLOOKUP(B830, [1]Course!$A$1:$O$933, 14, FALSE)</f>
        <v>HE</v>
      </c>
      <c r="P830">
        <v>1</v>
      </c>
    </row>
    <row r="831" spans="1:16" x14ac:dyDescent="0.25">
      <c r="A831">
        <v>834</v>
      </c>
      <c r="B831">
        <v>76</v>
      </c>
      <c r="C831">
        <v>6</v>
      </c>
      <c r="D831" t="s">
        <v>40</v>
      </c>
      <c r="E831" t="str">
        <f t="shared" si="12"/>
        <v>606HE03PT</v>
      </c>
      <c r="F831">
        <f>VLOOKUP(B831,[1]Course!$A$2:$R$329,2,FALSE)</f>
        <v>0</v>
      </c>
      <c r="G831">
        <f>VLOOKUP(B831, [1]Course!$A$2:$L$950, 8, FALSE)</f>
        <v>6</v>
      </c>
      <c r="H831">
        <v>3</v>
      </c>
      <c r="I831">
        <v>1</v>
      </c>
      <c r="M831" t="str">
        <f>VLOOKUP(B831, [1]Course!$A$1:$O$933, 12, FALSE)</f>
        <v>SC</v>
      </c>
      <c r="N831" t="s">
        <v>14</v>
      </c>
      <c r="O831" t="str">
        <f>VLOOKUP(B831, [1]Course!$A$1:$O$933, 14, FALSE)</f>
        <v>HE</v>
      </c>
      <c r="P831">
        <v>1</v>
      </c>
    </row>
    <row r="832" spans="1:16" x14ac:dyDescent="0.25">
      <c r="A832">
        <v>835</v>
      </c>
      <c r="B832">
        <v>77</v>
      </c>
      <c r="C832">
        <v>1</v>
      </c>
      <c r="D832" t="s">
        <v>41</v>
      </c>
      <c r="E832" t="str">
        <f t="shared" si="12"/>
        <v>601NS03PT</v>
      </c>
      <c r="F832">
        <f>VLOOKUP(B832,[1]Course!$A$2:$R$329,2,FALSE)</f>
        <v>0</v>
      </c>
      <c r="G832">
        <f>VLOOKUP(B832, [1]Course!$A$2:$L$950, 8, FALSE)</f>
        <v>6</v>
      </c>
      <c r="H832">
        <v>3</v>
      </c>
      <c r="I832">
        <v>1</v>
      </c>
      <c r="J832">
        <v>1991</v>
      </c>
      <c r="K832">
        <v>2002</v>
      </c>
      <c r="L832">
        <v>1</v>
      </c>
      <c r="M832" t="str">
        <f>VLOOKUP(B832, [1]Course!$A$1:$O$933, 12, FALSE)</f>
        <v>SC</v>
      </c>
      <c r="N832" t="s">
        <v>14</v>
      </c>
      <c r="O832" t="str">
        <f>VLOOKUP(B832, [1]Course!$A$1:$O$933, 14, FALSE)</f>
        <v>NS</v>
      </c>
      <c r="P832">
        <v>1</v>
      </c>
    </row>
    <row r="833" spans="1:16" x14ac:dyDescent="0.25">
      <c r="A833">
        <v>836</v>
      </c>
      <c r="B833">
        <v>77</v>
      </c>
      <c r="C833">
        <v>2</v>
      </c>
      <c r="D833" t="s">
        <v>41</v>
      </c>
      <c r="E833" t="str">
        <f t="shared" si="12"/>
        <v>602NS03PT</v>
      </c>
      <c r="F833">
        <f>VLOOKUP(B833,[1]Course!$A$2:$R$329,2,FALSE)</f>
        <v>0</v>
      </c>
      <c r="G833">
        <f>VLOOKUP(B833, [1]Course!$A$2:$L$950, 8, FALSE)</f>
        <v>6</v>
      </c>
      <c r="H833">
        <v>3</v>
      </c>
      <c r="I833">
        <v>1</v>
      </c>
      <c r="J833">
        <v>1991</v>
      </c>
      <c r="K833">
        <v>2002</v>
      </c>
      <c r="L833">
        <v>1</v>
      </c>
      <c r="M833" t="str">
        <f>VLOOKUP(B833, [1]Course!$A$1:$O$933, 12, FALSE)</f>
        <v>SC</v>
      </c>
      <c r="N833" t="s">
        <v>14</v>
      </c>
      <c r="O833" t="str">
        <f>VLOOKUP(B833, [1]Course!$A$1:$O$933, 14, FALSE)</f>
        <v>NS</v>
      </c>
      <c r="P833">
        <v>1</v>
      </c>
    </row>
    <row r="834" spans="1:16" x14ac:dyDescent="0.25">
      <c r="A834">
        <v>837</v>
      </c>
      <c r="B834">
        <v>77</v>
      </c>
      <c r="C834">
        <v>3</v>
      </c>
      <c r="D834" t="s">
        <v>41</v>
      </c>
      <c r="E834" t="str">
        <f t="shared" si="12"/>
        <v>603NS03PT</v>
      </c>
      <c r="F834">
        <f>VLOOKUP(B834,[1]Course!$A$2:$R$329,2,FALSE)</f>
        <v>0</v>
      </c>
      <c r="G834">
        <f>VLOOKUP(B834, [1]Course!$A$2:$L$950, 8, FALSE)</f>
        <v>6</v>
      </c>
      <c r="H834">
        <v>3</v>
      </c>
      <c r="I834">
        <v>1</v>
      </c>
      <c r="J834">
        <v>1991</v>
      </c>
      <c r="K834">
        <v>2002</v>
      </c>
      <c r="L834">
        <v>1</v>
      </c>
      <c r="M834" t="str">
        <f>VLOOKUP(B834, [1]Course!$A$1:$O$933, 12, FALSE)</f>
        <v>SC</v>
      </c>
      <c r="N834" t="s">
        <v>14</v>
      </c>
      <c r="O834" t="str">
        <f>VLOOKUP(B834, [1]Course!$A$1:$O$933, 14, FALSE)</f>
        <v>NS</v>
      </c>
      <c r="P834">
        <v>1</v>
      </c>
    </row>
    <row r="835" spans="1:16" x14ac:dyDescent="0.25">
      <c r="A835">
        <v>838</v>
      </c>
      <c r="B835">
        <v>77</v>
      </c>
      <c r="C835">
        <v>4</v>
      </c>
      <c r="D835" t="s">
        <v>41</v>
      </c>
      <c r="E835" t="str">
        <f t="shared" ref="E835:E898" si="13">UPPER(LEFT(G835,2)) &amp; RIGHT("0" &amp; C835, 2) &amp; D835 &amp; RIGHT("0" &amp; H835, 2) &amp; N835</f>
        <v>604NS03PT</v>
      </c>
      <c r="F835">
        <f>VLOOKUP(B835,[1]Course!$A$2:$R$329,2,FALSE)</f>
        <v>0</v>
      </c>
      <c r="G835">
        <f>VLOOKUP(B835, [1]Course!$A$2:$L$950, 8, FALSE)</f>
        <v>6</v>
      </c>
      <c r="H835">
        <v>3</v>
      </c>
      <c r="I835">
        <v>1</v>
      </c>
      <c r="J835">
        <v>1991</v>
      </c>
      <c r="K835">
        <v>2003</v>
      </c>
      <c r="L835">
        <v>1</v>
      </c>
      <c r="M835" t="str">
        <f>VLOOKUP(B835, [1]Course!$A$1:$O$933, 12, FALSE)</f>
        <v>SC</v>
      </c>
      <c r="N835" t="s">
        <v>14</v>
      </c>
      <c r="O835" t="str">
        <f>VLOOKUP(B835, [1]Course!$A$1:$O$933, 14, FALSE)</f>
        <v>NS</v>
      </c>
      <c r="P835">
        <v>1</v>
      </c>
    </row>
    <row r="836" spans="1:16" x14ac:dyDescent="0.25">
      <c r="A836">
        <v>839</v>
      </c>
      <c r="B836">
        <v>77</v>
      </c>
      <c r="C836">
        <v>5</v>
      </c>
      <c r="D836" t="s">
        <v>41</v>
      </c>
      <c r="E836" t="str">
        <f t="shared" si="13"/>
        <v>605NS03PT</v>
      </c>
      <c r="F836">
        <f>VLOOKUP(B836,[1]Course!$A$2:$R$329,2,FALSE)</f>
        <v>0</v>
      </c>
      <c r="G836">
        <f>VLOOKUP(B836, [1]Course!$A$2:$L$950, 8, FALSE)</f>
        <v>6</v>
      </c>
      <c r="H836">
        <v>3</v>
      </c>
      <c r="I836">
        <v>1</v>
      </c>
      <c r="J836">
        <v>1991</v>
      </c>
      <c r="K836">
        <v>2002</v>
      </c>
      <c r="L836">
        <v>1</v>
      </c>
      <c r="M836" t="str">
        <f>VLOOKUP(B836, [1]Course!$A$1:$O$933, 12, FALSE)</f>
        <v>SC</v>
      </c>
      <c r="N836" t="s">
        <v>14</v>
      </c>
      <c r="O836" t="str">
        <f>VLOOKUP(B836, [1]Course!$A$1:$O$933, 14, FALSE)</f>
        <v>NS</v>
      </c>
      <c r="P836">
        <v>1</v>
      </c>
    </row>
    <row r="837" spans="1:16" x14ac:dyDescent="0.25">
      <c r="A837">
        <v>840</v>
      </c>
      <c r="B837">
        <v>77</v>
      </c>
      <c r="C837">
        <v>6</v>
      </c>
      <c r="D837" t="s">
        <v>41</v>
      </c>
      <c r="E837" t="str">
        <f t="shared" si="13"/>
        <v>606NS03PT</v>
      </c>
      <c r="F837">
        <f>VLOOKUP(B837,[1]Course!$A$2:$R$329,2,FALSE)</f>
        <v>0</v>
      </c>
      <c r="G837">
        <f>VLOOKUP(B837, [1]Course!$A$2:$L$950, 8, FALSE)</f>
        <v>6</v>
      </c>
      <c r="H837">
        <v>3</v>
      </c>
      <c r="I837">
        <v>1</v>
      </c>
      <c r="M837" t="str">
        <f>VLOOKUP(B837, [1]Course!$A$1:$O$933, 12, FALSE)</f>
        <v>SC</v>
      </c>
      <c r="N837" t="s">
        <v>14</v>
      </c>
      <c r="O837" t="str">
        <f>VLOOKUP(B837, [1]Course!$A$1:$O$933, 14, FALSE)</f>
        <v>NS</v>
      </c>
      <c r="P837">
        <v>1</v>
      </c>
    </row>
    <row r="838" spans="1:16" x14ac:dyDescent="0.25">
      <c r="A838">
        <v>841</v>
      </c>
      <c r="B838">
        <v>78</v>
      </c>
      <c r="C838">
        <v>1</v>
      </c>
      <c r="D838" t="s">
        <v>36</v>
      </c>
      <c r="E838" t="str">
        <f t="shared" si="13"/>
        <v>401SP03PT</v>
      </c>
      <c r="F838">
        <f>VLOOKUP(B838,[1]Course!$A$2:$R$329,2,FALSE)</f>
        <v>0</v>
      </c>
      <c r="G838">
        <f>VLOOKUP(B838, [1]Course!$A$2:$L$950, 8, FALSE)</f>
        <v>4</v>
      </c>
      <c r="H838">
        <v>3</v>
      </c>
      <c r="I838">
        <v>1</v>
      </c>
      <c r="M838" t="str">
        <f>VLOOKUP(B838, [1]Course!$A$1:$O$933, 12, FALSE)</f>
        <v>SC</v>
      </c>
      <c r="N838" t="s">
        <v>14</v>
      </c>
      <c r="O838" t="str">
        <f>VLOOKUP(B838, [1]Course!$A$1:$O$933, 14, FALSE)</f>
        <v>SP</v>
      </c>
      <c r="P838">
        <v>1</v>
      </c>
    </row>
    <row r="839" spans="1:16" x14ac:dyDescent="0.25">
      <c r="A839">
        <v>842</v>
      </c>
      <c r="B839">
        <v>78</v>
      </c>
      <c r="C839">
        <v>2</v>
      </c>
      <c r="D839" t="s">
        <v>36</v>
      </c>
      <c r="E839" t="str">
        <f t="shared" si="13"/>
        <v>402SP03PT</v>
      </c>
      <c r="F839">
        <f>VLOOKUP(B839,[1]Course!$A$2:$R$329,2,FALSE)</f>
        <v>0</v>
      </c>
      <c r="G839">
        <f>VLOOKUP(B839, [1]Course!$A$2:$L$950, 8, FALSE)</f>
        <v>4</v>
      </c>
      <c r="H839">
        <v>3</v>
      </c>
      <c r="I839">
        <v>1</v>
      </c>
      <c r="M839" t="str">
        <f>VLOOKUP(B839, [1]Course!$A$1:$O$933, 12, FALSE)</f>
        <v>SC</v>
      </c>
      <c r="N839" t="s">
        <v>14</v>
      </c>
      <c r="O839" t="str">
        <f>VLOOKUP(B839, [1]Course!$A$1:$O$933, 14, FALSE)</f>
        <v>SP</v>
      </c>
      <c r="P839">
        <v>1</v>
      </c>
    </row>
    <row r="840" spans="1:16" x14ac:dyDescent="0.25">
      <c r="A840">
        <v>843</v>
      </c>
      <c r="B840">
        <v>78</v>
      </c>
      <c r="C840">
        <v>3</v>
      </c>
      <c r="D840" t="s">
        <v>36</v>
      </c>
      <c r="E840" t="str">
        <f t="shared" si="13"/>
        <v>403SP03PT</v>
      </c>
      <c r="F840">
        <f>VLOOKUP(B840,[1]Course!$A$2:$R$329,2,FALSE)</f>
        <v>0</v>
      </c>
      <c r="G840">
        <f>VLOOKUP(B840, [1]Course!$A$2:$L$950, 8, FALSE)</f>
        <v>4</v>
      </c>
      <c r="H840">
        <v>3</v>
      </c>
      <c r="I840">
        <v>1</v>
      </c>
      <c r="M840" t="str">
        <f>VLOOKUP(B840, [1]Course!$A$1:$O$933, 12, FALSE)</f>
        <v>SC</v>
      </c>
      <c r="N840" t="s">
        <v>14</v>
      </c>
      <c r="O840" t="str">
        <f>VLOOKUP(B840, [1]Course!$A$1:$O$933, 14, FALSE)</f>
        <v>SP</v>
      </c>
      <c r="P840">
        <v>1</v>
      </c>
    </row>
    <row r="841" spans="1:16" x14ac:dyDescent="0.25">
      <c r="A841">
        <v>844</v>
      </c>
      <c r="B841">
        <v>78</v>
      </c>
      <c r="C841">
        <v>4</v>
      </c>
      <c r="D841" t="s">
        <v>36</v>
      </c>
      <c r="E841" t="str">
        <f t="shared" si="13"/>
        <v>404SP03PT</v>
      </c>
      <c r="F841">
        <f>VLOOKUP(B841,[1]Course!$A$2:$R$329,2,FALSE)</f>
        <v>0</v>
      </c>
      <c r="G841">
        <f>VLOOKUP(B841, [1]Course!$A$2:$L$950, 8, FALSE)</f>
        <v>4</v>
      </c>
      <c r="H841">
        <v>3</v>
      </c>
      <c r="I841">
        <v>1</v>
      </c>
      <c r="M841" t="str">
        <f>VLOOKUP(B841, [1]Course!$A$1:$O$933, 12, FALSE)</f>
        <v>SC</v>
      </c>
      <c r="N841" t="s">
        <v>14</v>
      </c>
      <c r="O841" t="str">
        <f>VLOOKUP(B841, [1]Course!$A$1:$O$933, 14, FALSE)</f>
        <v>SP</v>
      </c>
      <c r="P841">
        <v>1</v>
      </c>
    </row>
    <row r="842" spans="1:16" x14ac:dyDescent="0.25">
      <c r="A842">
        <v>845</v>
      </c>
      <c r="B842">
        <v>79</v>
      </c>
      <c r="C842">
        <v>97</v>
      </c>
      <c r="D842" t="s">
        <v>26</v>
      </c>
      <c r="E842" t="str">
        <f t="shared" si="13"/>
        <v>197UK03PT</v>
      </c>
      <c r="F842">
        <f>VLOOKUP(B842,[1]Course!$A$2:$R$329,2,FALSE)</f>
        <v>0</v>
      </c>
      <c r="G842">
        <f>VLOOKUP(B842, [1]Course!$A$2:$L$950, 8, FALSE)</f>
        <v>1</v>
      </c>
      <c r="H842">
        <v>3</v>
      </c>
      <c r="I842">
        <v>1</v>
      </c>
      <c r="M842" t="str">
        <f>VLOOKUP(B842, [1]Course!$A$1:$O$933, 12, FALSE)</f>
        <v>SU</v>
      </c>
      <c r="N842" t="s">
        <v>14</v>
      </c>
      <c r="O842" t="str">
        <f>VLOOKUP(B842, [1]Course!$A$1:$O$933, 14, FALSE)</f>
        <v>AC</v>
      </c>
      <c r="P842">
        <v>1</v>
      </c>
    </row>
    <row r="843" spans="1:16" x14ac:dyDescent="0.25">
      <c r="A843">
        <v>846</v>
      </c>
      <c r="B843">
        <v>79</v>
      </c>
      <c r="C843">
        <v>98</v>
      </c>
      <c r="D843" t="s">
        <v>26</v>
      </c>
      <c r="E843" t="str">
        <f t="shared" si="13"/>
        <v>198UK03PT</v>
      </c>
      <c r="F843">
        <f>VLOOKUP(B843,[1]Course!$A$2:$R$329,2,FALSE)</f>
        <v>0</v>
      </c>
      <c r="G843">
        <f>VLOOKUP(B843, [1]Course!$A$2:$L$950, 8, FALSE)</f>
        <v>1</v>
      </c>
      <c r="H843">
        <v>3</v>
      </c>
      <c r="I843">
        <v>1</v>
      </c>
      <c r="M843" t="str">
        <f>VLOOKUP(B843, [1]Course!$A$1:$O$933, 12, FALSE)</f>
        <v>SU</v>
      </c>
      <c r="N843" t="s">
        <v>14</v>
      </c>
      <c r="O843" t="str">
        <f>VLOOKUP(B843, [1]Course!$A$1:$O$933, 14, FALSE)</f>
        <v>AC</v>
      </c>
      <c r="P843">
        <v>1</v>
      </c>
    </row>
    <row r="844" spans="1:16" x14ac:dyDescent="0.25">
      <c r="A844">
        <v>847</v>
      </c>
      <c r="B844">
        <v>79</v>
      </c>
      <c r="C844">
        <v>99</v>
      </c>
      <c r="D844" t="s">
        <v>26</v>
      </c>
      <c r="E844" t="str">
        <f t="shared" si="13"/>
        <v>199UK03PT</v>
      </c>
      <c r="F844">
        <f>VLOOKUP(B844,[1]Course!$A$2:$R$329,2,FALSE)</f>
        <v>0</v>
      </c>
      <c r="G844">
        <f>VLOOKUP(B844, [1]Course!$A$2:$L$950, 8, FALSE)</f>
        <v>1</v>
      </c>
      <c r="H844">
        <v>3</v>
      </c>
      <c r="I844">
        <v>1</v>
      </c>
      <c r="M844" t="str">
        <f>VLOOKUP(B844, [1]Course!$A$1:$O$933, 12, FALSE)</f>
        <v>SU</v>
      </c>
      <c r="N844" t="s">
        <v>14</v>
      </c>
      <c r="O844" t="str">
        <f>VLOOKUP(B844, [1]Course!$A$1:$O$933, 14, FALSE)</f>
        <v>AC</v>
      </c>
      <c r="P844">
        <v>1</v>
      </c>
    </row>
    <row r="845" spans="1:16" x14ac:dyDescent="0.25">
      <c r="A845">
        <v>848</v>
      </c>
      <c r="B845">
        <v>79</v>
      </c>
      <c r="C845">
        <v>100</v>
      </c>
      <c r="D845" t="s">
        <v>26</v>
      </c>
      <c r="E845" t="str">
        <f t="shared" si="13"/>
        <v>100UK03PT</v>
      </c>
      <c r="F845">
        <f>VLOOKUP(B845,[1]Course!$A$2:$R$329,2,FALSE)</f>
        <v>0</v>
      </c>
      <c r="G845">
        <f>VLOOKUP(B845, [1]Course!$A$2:$L$950, 8, FALSE)</f>
        <v>1</v>
      </c>
      <c r="H845">
        <v>3</v>
      </c>
      <c r="I845">
        <v>1</v>
      </c>
      <c r="M845" t="str">
        <f>VLOOKUP(B845, [1]Course!$A$1:$O$933, 12, FALSE)</f>
        <v>SU</v>
      </c>
      <c r="N845" t="s">
        <v>14</v>
      </c>
      <c r="O845" t="str">
        <f>VLOOKUP(B845, [1]Course!$A$1:$O$933, 14, FALSE)</f>
        <v>AC</v>
      </c>
      <c r="P845">
        <v>1</v>
      </c>
    </row>
    <row r="846" spans="1:16" x14ac:dyDescent="0.25">
      <c r="A846">
        <v>849</v>
      </c>
      <c r="B846">
        <v>79</v>
      </c>
      <c r="C846">
        <v>101</v>
      </c>
      <c r="D846" t="s">
        <v>26</v>
      </c>
      <c r="E846" t="str">
        <f t="shared" si="13"/>
        <v>101UK03PT</v>
      </c>
      <c r="F846">
        <f>VLOOKUP(B846,[1]Course!$A$2:$R$329,2,FALSE)</f>
        <v>0</v>
      </c>
      <c r="G846">
        <f>VLOOKUP(B846, [1]Course!$A$2:$L$950, 8, FALSE)</f>
        <v>1</v>
      </c>
      <c r="H846">
        <v>3</v>
      </c>
      <c r="I846">
        <v>1</v>
      </c>
      <c r="M846" t="str">
        <f>VLOOKUP(B846, [1]Course!$A$1:$O$933, 12, FALSE)</f>
        <v>SU</v>
      </c>
      <c r="N846" t="s">
        <v>14</v>
      </c>
      <c r="O846" t="str">
        <f>VLOOKUP(B846, [1]Course!$A$1:$O$933, 14, FALSE)</f>
        <v>AC</v>
      </c>
      <c r="P846">
        <v>1</v>
      </c>
    </row>
    <row r="847" spans="1:16" x14ac:dyDescent="0.25">
      <c r="A847">
        <v>850</v>
      </c>
      <c r="B847">
        <v>79</v>
      </c>
      <c r="C847">
        <v>102</v>
      </c>
      <c r="D847" t="s">
        <v>26</v>
      </c>
      <c r="E847" t="str">
        <f t="shared" si="13"/>
        <v>102UK03PT</v>
      </c>
      <c r="F847">
        <f>VLOOKUP(B847,[1]Course!$A$2:$R$329,2,FALSE)</f>
        <v>0</v>
      </c>
      <c r="G847">
        <f>VLOOKUP(B847, [1]Course!$A$2:$L$950, 8, FALSE)</f>
        <v>1</v>
      </c>
      <c r="H847">
        <v>3</v>
      </c>
      <c r="I847">
        <v>1</v>
      </c>
      <c r="M847" t="str">
        <f>VLOOKUP(B847, [1]Course!$A$1:$O$933, 12, FALSE)</f>
        <v>SU</v>
      </c>
      <c r="N847" t="s">
        <v>14</v>
      </c>
      <c r="O847" t="str">
        <f>VLOOKUP(B847, [1]Course!$A$1:$O$933, 14, FALSE)</f>
        <v>AC</v>
      </c>
      <c r="P847">
        <v>1</v>
      </c>
    </row>
    <row r="848" spans="1:16" x14ac:dyDescent="0.25">
      <c r="A848">
        <v>851</v>
      </c>
      <c r="B848">
        <v>79</v>
      </c>
      <c r="C848">
        <v>103</v>
      </c>
      <c r="D848" t="s">
        <v>26</v>
      </c>
      <c r="E848" t="str">
        <f t="shared" si="13"/>
        <v>103UK03PT</v>
      </c>
      <c r="F848">
        <f>VLOOKUP(B848,[1]Course!$A$2:$R$329,2,FALSE)</f>
        <v>0</v>
      </c>
      <c r="G848">
        <f>VLOOKUP(B848, [1]Course!$A$2:$L$950, 8, FALSE)</f>
        <v>1</v>
      </c>
      <c r="H848">
        <v>3</v>
      </c>
      <c r="I848">
        <v>1</v>
      </c>
      <c r="M848" t="str">
        <f>VLOOKUP(B848, [1]Course!$A$1:$O$933, 12, FALSE)</f>
        <v>SU</v>
      </c>
      <c r="N848" t="s">
        <v>14</v>
      </c>
      <c r="O848" t="str">
        <f>VLOOKUP(B848, [1]Course!$A$1:$O$933, 14, FALSE)</f>
        <v>AC</v>
      </c>
      <c r="P848">
        <v>1</v>
      </c>
    </row>
    <row r="849" spans="1:16" x14ac:dyDescent="0.25">
      <c r="A849">
        <v>852</v>
      </c>
      <c r="B849">
        <v>79</v>
      </c>
      <c r="C849">
        <v>104</v>
      </c>
      <c r="D849" t="s">
        <v>26</v>
      </c>
      <c r="E849" t="str">
        <f t="shared" si="13"/>
        <v>104UK03PT</v>
      </c>
      <c r="F849">
        <f>VLOOKUP(B849,[1]Course!$A$2:$R$329,2,FALSE)</f>
        <v>0</v>
      </c>
      <c r="G849">
        <f>VLOOKUP(B849, [1]Course!$A$2:$L$950, 8, FALSE)</f>
        <v>1</v>
      </c>
      <c r="H849">
        <v>3</v>
      </c>
      <c r="I849">
        <v>1</v>
      </c>
      <c r="M849" t="str">
        <f>VLOOKUP(B849, [1]Course!$A$1:$O$933, 12, FALSE)</f>
        <v>SU</v>
      </c>
      <c r="N849" t="s">
        <v>14</v>
      </c>
      <c r="O849" t="str">
        <f>VLOOKUP(B849, [1]Course!$A$1:$O$933, 14, FALSE)</f>
        <v>AC</v>
      </c>
      <c r="P849">
        <v>1</v>
      </c>
    </row>
    <row r="850" spans="1:16" x14ac:dyDescent="0.25">
      <c r="A850">
        <v>853</v>
      </c>
      <c r="B850">
        <v>79</v>
      </c>
      <c r="C850">
        <v>105</v>
      </c>
      <c r="D850" t="s">
        <v>26</v>
      </c>
      <c r="E850" t="str">
        <f t="shared" si="13"/>
        <v>105UK03PT</v>
      </c>
      <c r="F850">
        <f>VLOOKUP(B850,[1]Course!$A$2:$R$329,2,FALSE)</f>
        <v>0</v>
      </c>
      <c r="G850">
        <f>VLOOKUP(B850, [1]Course!$A$2:$L$950, 8, FALSE)</f>
        <v>1</v>
      </c>
      <c r="H850">
        <v>3</v>
      </c>
      <c r="I850">
        <v>1</v>
      </c>
      <c r="M850" t="str">
        <f>VLOOKUP(B850, [1]Course!$A$1:$O$933, 12, FALSE)</f>
        <v>SU</v>
      </c>
      <c r="N850" t="s">
        <v>14</v>
      </c>
      <c r="O850" t="str">
        <f>VLOOKUP(B850, [1]Course!$A$1:$O$933, 14, FALSE)</f>
        <v>AC</v>
      </c>
      <c r="P850">
        <v>1</v>
      </c>
    </row>
    <row r="851" spans="1:16" x14ac:dyDescent="0.25">
      <c r="A851">
        <v>854</v>
      </c>
      <c r="B851">
        <v>79</v>
      </c>
      <c r="C851">
        <v>106</v>
      </c>
      <c r="D851" t="s">
        <v>26</v>
      </c>
      <c r="E851" t="str">
        <f t="shared" si="13"/>
        <v>106UK03PT</v>
      </c>
      <c r="F851">
        <f>VLOOKUP(B851,[1]Course!$A$2:$R$329,2,FALSE)</f>
        <v>0</v>
      </c>
      <c r="G851">
        <f>VLOOKUP(B851, [1]Course!$A$2:$L$950, 8, FALSE)</f>
        <v>1</v>
      </c>
      <c r="H851">
        <v>3</v>
      </c>
      <c r="I851">
        <v>1</v>
      </c>
      <c r="M851" t="str">
        <f>VLOOKUP(B851, [1]Course!$A$1:$O$933, 12, FALSE)</f>
        <v>SU</v>
      </c>
      <c r="N851" t="s">
        <v>14</v>
      </c>
      <c r="O851" t="str">
        <f>VLOOKUP(B851, [1]Course!$A$1:$O$933, 14, FALSE)</f>
        <v>AC</v>
      </c>
      <c r="P851">
        <v>1</v>
      </c>
    </row>
    <row r="852" spans="1:16" x14ac:dyDescent="0.25">
      <c r="A852">
        <v>855</v>
      </c>
      <c r="B852">
        <v>79</v>
      </c>
      <c r="C852">
        <v>107</v>
      </c>
      <c r="D852" t="s">
        <v>26</v>
      </c>
      <c r="E852" t="str">
        <f t="shared" si="13"/>
        <v>107UK03PT</v>
      </c>
      <c r="F852">
        <f>VLOOKUP(B852,[1]Course!$A$2:$R$329,2,FALSE)</f>
        <v>0</v>
      </c>
      <c r="G852">
        <f>VLOOKUP(B852, [1]Course!$A$2:$L$950, 8, FALSE)</f>
        <v>1</v>
      </c>
      <c r="H852">
        <v>3</v>
      </c>
      <c r="I852">
        <v>1</v>
      </c>
      <c r="M852" t="str">
        <f>VLOOKUP(B852, [1]Course!$A$1:$O$933, 12, FALSE)</f>
        <v>SU</v>
      </c>
      <c r="N852" t="s">
        <v>14</v>
      </c>
      <c r="O852" t="str">
        <f>VLOOKUP(B852, [1]Course!$A$1:$O$933, 14, FALSE)</f>
        <v>AC</v>
      </c>
      <c r="P852">
        <v>1</v>
      </c>
    </row>
    <row r="853" spans="1:16" x14ac:dyDescent="0.25">
      <c r="A853">
        <v>856</v>
      </c>
      <c r="B853">
        <v>79</v>
      </c>
      <c r="C853">
        <v>108</v>
      </c>
      <c r="D853" t="s">
        <v>26</v>
      </c>
      <c r="E853" t="str">
        <f t="shared" si="13"/>
        <v>108UK03PT</v>
      </c>
      <c r="F853">
        <f>VLOOKUP(B853,[1]Course!$A$2:$R$329,2,FALSE)</f>
        <v>0</v>
      </c>
      <c r="G853">
        <f>VLOOKUP(B853, [1]Course!$A$2:$L$950, 8, FALSE)</f>
        <v>1</v>
      </c>
      <c r="H853">
        <v>3</v>
      </c>
      <c r="I853">
        <v>1</v>
      </c>
      <c r="M853" t="str">
        <f>VLOOKUP(B853, [1]Course!$A$1:$O$933, 12, FALSE)</f>
        <v>SU</v>
      </c>
      <c r="N853" t="s">
        <v>14</v>
      </c>
      <c r="O853" t="str">
        <f>VLOOKUP(B853, [1]Course!$A$1:$O$933, 14, FALSE)</f>
        <v>AC</v>
      </c>
      <c r="P853">
        <v>1</v>
      </c>
    </row>
    <row r="854" spans="1:16" x14ac:dyDescent="0.25">
      <c r="A854">
        <v>857</v>
      </c>
      <c r="B854">
        <v>80</v>
      </c>
      <c r="C854">
        <v>97</v>
      </c>
      <c r="D854" t="s">
        <v>42</v>
      </c>
      <c r="E854" t="str">
        <f t="shared" si="13"/>
        <v>1297WG03PT</v>
      </c>
      <c r="F854">
        <f>VLOOKUP(B854,[1]Course!$A$2:$R$329,2,FALSE)</f>
        <v>0</v>
      </c>
      <c r="G854">
        <f>VLOOKUP(B854, [1]Course!$A$2:$L$950, 8, FALSE)</f>
        <v>12</v>
      </c>
      <c r="H854">
        <v>3</v>
      </c>
      <c r="I854">
        <v>1</v>
      </c>
      <c r="M854" t="str">
        <f>VLOOKUP(B854, [1]Course!$A$1:$O$933, 12, FALSE)</f>
        <v>SS</v>
      </c>
      <c r="N854" t="s">
        <v>14</v>
      </c>
      <c r="O854" t="str">
        <f>VLOOKUP(B854, [1]Course!$A$1:$O$933, 14, FALSE)</f>
        <v>WG</v>
      </c>
      <c r="P854">
        <v>1</v>
      </c>
    </row>
    <row r="855" spans="1:16" x14ac:dyDescent="0.25">
      <c r="A855">
        <v>858</v>
      </c>
      <c r="B855">
        <v>80</v>
      </c>
      <c r="C855">
        <v>98</v>
      </c>
      <c r="D855" t="s">
        <v>42</v>
      </c>
      <c r="E855" t="str">
        <f t="shared" si="13"/>
        <v>1298WG03PT</v>
      </c>
      <c r="F855">
        <f>VLOOKUP(B855,[1]Course!$A$2:$R$329,2,FALSE)</f>
        <v>0</v>
      </c>
      <c r="G855">
        <f>VLOOKUP(B855, [1]Course!$A$2:$L$950, 8, FALSE)</f>
        <v>12</v>
      </c>
      <c r="H855">
        <v>3</v>
      </c>
      <c r="I855">
        <v>1</v>
      </c>
      <c r="M855" t="str">
        <f>VLOOKUP(B855, [1]Course!$A$1:$O$933, 12, FALSE)</f>
        <v>SS</v>
      </c>
      <c r="N855" t="s">
        <v>14</v>
      </c>
      <c r="O855" t="str">
        <f>VLOOKUP(B855, [1]Course!$A$1:$O$933, 14, FALSE)</f>
        <v>WG</v>
      </c>
      <c r="P855">
        <v>1</v>
      </c>
    </row>
    <row r="856" spans="1:16" x14ac:dyDescent="0.25">
      <c r="A856">
        <v>859</v>
      </c>
      <c r="B856">
        <v>80</v>
      </c>
      <c r="C856">
        <v>99</v>
      </c>
      <c r="D856" t="s">
        <v>42</v>
      </c>
      <c r="E856" t="str">
        <f t="shared" si="13"/>
        <v>1299WG03PT</v>
      </c>
      <c r="F856">
        <f>VLOOKUP(B856,[1]Course!$A$2:$R$329,2,FALSE)</f>
        <v>0</v>
      </c>
      <c r="G856">
        <f>VLOOKUP(B856, [1]Course!$A$2:$L$950, 8, FALSE)</f>
        <v>12</v>
      </c>
      <c r="H856">
        <v>3</v>
      </c>
      <c r="I856">
        <v>1</v>
      </c>
      <c r="M856" t="str">
        <f>VLOOKUP(B856, [1]Course!$A$1:$O$933, 12, FALSE)</f>
        <v>SS</v>
      </c>
      <c r="N856" t="s">
        <v>14</v>
      </c>
      <c r="O856" t="str">
        <f>VLOOKUP(B856, [1]Course!$A$1:$O$933, 14, FALSE)</f>
        <v>WG</v>
      </c>
      <c r="P856">
        <v>1</v>
      </c>
    </row>
    <row r="857" spans="1:16" x14ac:dyDescent="0.25">
      <c r="A857">
        <v>860</v>
      </c>
      <c r="B857">
        <v>80</v>
      </c>
      <c r="C857">
        <v>100</v>
      </c>
      <c r="D857" t="s">
        <v>42</v>
      </c>
      <c r="E857" t="str">
        <f t="shared" si="13"/>
        <v>1200WG03PT</v>
      </c>
      <c r="F857">
        <f>VLOOKUP(B857,[1]Course!$A$2:$R$329,2,FALSE)</f>
        <v>0</v>
      </c>
      <c r="G857">
        <f>VLOOKUP(B857, [1]Course!$A$2:$L$950, 8, FALSE)</f>
        <v>12</v>
      </c>
      <c r="H857">
        <v>3</v>
      </c>
      <c r="I857">
        <v>1</v>
      </c>
      <c r="M857" t="str">
        <f>VLOOKUP(B857, [1]Course!$A$1:$O$933, 12, FALSE)</f>
        <v>SS</v>
      </c>
      <c r="N857" t="s">
        <v>14</v>
      </c>
      <c r="O857" t="str">
        <f>VLOOKUP(B857, [1]Course!$A$1:$O$933, 14, FALSE)</f>
        <v>WG</v>
      </c>
      <c r="P857">
        <v>1</v>
      </c>
    </row>
    <row r="858" spans="1:16" x14ac:dyDescent="0.25">
      <c r="A858">
        <v>861</v>
      </c>
      <c r="B858">
        <v>80</v>
      </c>
      <c r="C858">
        <v>101</v>
      </c>
      <c r="D858" t="s">
        <v>42</v>
      </c>
      <c r="E858" t="str">
        <f t="shared" si="13"/>
        <v>1201WG03PT</v>
      </c>
      <c r="F858">
        <f>VLOOKUP(B858,[1]Course!$A$2:$R$329,2,FALSE)</f>
        <v>0</v>
      </c>
      <c r="G858">
        <f>VLOOKUP(B858, [1]Course!$A$2:$L$950, 8, FALSE)</f>
        <v>12</v>
      </c>
      <c r="H858">
        <v>3</v>
      </c>
      <c r="I858">
        <v>1</v>
      </c>
      <c r="M858" t="str">
        <f>VLOOKUP(B858, [1]Course!$A$1:$O$933, 12, FALSE)</f>
        <v>SS</v>
      </c>
      <c r="N858" t="s">
        <v>14</v>
      </c>
      <c r="O858" t="str">
        <f>VLOOKUP(B858, [1]Course!$A$1:$O$933, 14, FALSE)</f>
        <v>WG</v>
      </c>
      <c r="P858">
        <v>1</v>
      </c>
    </row>
    <row r="859" spans="1:16" x14ac:dyDescent="0.25">
      <c r="A859">
        <v>862</v>
      </c>
      <c r="B859">
        <v>80</v>
      </c>
      <c r="C859">
        <v>102</v>
      </c>
      <c r="D859" t="s">
        <v>42</v>
      </c>
      <c r="E859" t="str">
        <f t="shared" si="13"/>
        <v>1202WG03PT</v>
      </c>
      <c r="F859">
        <f>VLOOKUP(B859,[1]Course!$A$2:$R$329,2,FALSE)</f>
        <v>0</v>
      </c>
      <c r="G859">
        <f>VLOOKUP(B859, [1]Course!$A$2:$L$950, 8, FALSE)</f>
        <v>12</v>
      </c>
      <c r="H859">
        <v>3</v>
      </c>
      <c r="I859">
        <v>1</v>
      </c>
      <c r="M859" t="str">
        <f>VLOOKUP(B859, [1]Course!$A$1:$O$933, 12, FALSE)</f>
        <v>SS</v>
      </c>
      <c r="N859" t="s">
        <v>14</v>
      </c>
      <c r="O859" t="str">
        <f>VLOOKUP(B859, [1]Course!$A$1:$O$933, 14, FALSE)</f>
        <v>WG</v>
      </c>
      <c r="P859">
        <v>1</v>
      </c>
    </row>
    <row r="860" spans="1:16" x14ac:dyDescent="0.25">
      <c r="A860">
        <v>863</v>
      </c>
      <c r="B860">
        <v>80</v>
      </c>
      <c r="C860">
        <v>103</v>
      </c>
      <c r="D860" t="s">
        <v>42</v>
      </c>
      <c r="E860" t="str">
        <f t="shared" si="13"/>
        <v>1203WG03PT</v>
      </c>
      <c r="F860">
        <f>VLOOKUP(B860,[1]Course!$A$2:$R$329,2,FALSE)</f>
        <v>0</v>
      </c>
      <c r="G860">
        <f>VLOOKUP(B860, [1]Course!$A$2:$L$950, 8, FALSE)</f>
        <v>12</v>
      </c>
      <c r="H860">
        <v>3</v>
      </c>
      <c r="I860">
        <v>1</v>
      </c>
      <c r="M860" t="str">
        <f>VLOOKUP(B860, [1]Course!$A$1:$O$933, 12, FALSE)</f>
        <v>SS</v>
      </c>
      <c r="N860" t="s">
        <v>14</v>
      </c>
      <c r="O860" t="str">
        <f>VLOOKUP(B860, [1]Course!$A$1:$O$933, 14, FALSE)</f>
        <v>WG</v>
      </c>
      <c r="P860">
        <v>1</v>
      </c>
    </row>
    <row r="861" spans="1:16" x14ac:dyDescent="0.25">
      <c r="A861">
        <v>864</v>
      </c>
      <c r="B861">
        <v>80</v>
      </c>
      <c r="C861">
        <v>104</v>
      </c>
      <c r="D861" t="s">
        <v>42</v>
      </c>
      <c r="E861" t="str">
        <f t="shared" si="13"/>
        <v>1204WG03PT</v>
      </c>
      <c r="F861">
        <f>VLOOKUP(B861,[1]Course!$A$2:$R$329,2,FALSE)</f>
        <v>0</v>
      </c>
      <c r="G861">
        <f>VLOOKUP(B861, [1]Course!$A$2:$L$950, 8, FALSE)</f>
        <v>12</v>
      </c>
      <c r="H861">
        <v>3</v>
      </c>
      <c r="I861">
        <v>1</v>
      </c>
      <c r="M861" t="str">
        <f>VLOOKUP(B861, [1]Course!$A$1:$O$933, 12, FALSE)</f>
        <v>SS</v>
      </c>
      <c r="N861" t="s">
        <v>14</v>
      </c>
      <c r="O861" t="str">
        <f>VLOOKUP(B861, [1]Course!$A$1:$O$933, 14, FALSE)</f>
        <v>WG</v>
      </c>
      <c r="P861">
        <v>1</v>
      </c>
    </row>
    <row r="862" spans="1:16" x14ac:dyDescent="0.25">
      <c r="A862">
        <v>865</v>
      </c>
      <c r="B862">
        <v>80</v>
      </c>
      <c r="C862">
        <v>105</v>
      </c>
      <c r="D862" t="s">
        <v>42</v>
      </c>
      <c r="E862" t="str">
        <f t="shared" si="13"/>
        <v>1205WG03PT</v>
      </c>
      <c r="F862">
        <f>VLOOKUP(B862,[1]Course!$A$2:$R$329,2,FALSE)</f>
        <v>0</v>
      </c>
      <c r="G862">
        <f>VLOOKUP(B862, [1]Course!$A$2:$L$950, 8, FALSE)</f>
        <v>12</v>
      </c>
      <c r="H862">
        <v>3</v>
      </c>
      <c r="I862">
        <v>1</v>
      </c>
      <c r="M862" t="str">
        <f>VLOOKUP(B862, [1]Course!$A$1:$O$933, 12, FALSE)</f>
        <v>SS</v>
      </c>
      <c r="N862" t="s">
        <v>14</v>
      </c>
      <c r="O862" t="str">
        <f>VLOOKUP(B862, [1]Course!$A$1:$O$933, 14, FALSE)</f>
        <v>WG</v>
      </c>
      <c r="P862">
        <v>1</v>
      </c>
    </row>
    <row r="863" spans="1:16" x14ac:dyDescent="0.25">
      <c r="A863">
        <v>866</v>
      </c>
      <c r="B863">
        <v>80</v>
      </c>
      <c r="C863">
        <v>106</v>
      </c>
      <c r="D863" t="s">
        <v>42</v>
      </c>
      <c r="E863" t="str">
        <f t="shared" si="13"/>
        <v>1206WG03PT</v>
      </c>
      <c r="F863">
        <f>VLOOKUP(B863,[1]Course!$A$2:$R$329,2,FALSE)</f>
        <v>0</v>
      </c>
      <c r="G863">
        <f>VLOOKUP(B863, [1]Course!$A$2:$L$950, 8, FALSE)</f>
        <v>12</v>
      </c>
      <c r="H863">
        <v>3</v>
      </c>
      <c r="I863">
        <v>1</v>
      </c>
      <c r="M863" t="str">
        <f>VLOOKUP(B863, [1]Course!$A$1:$O$933, 12, FALSE)</f>
        <v>SS</v>
      </c>
      <c r="N863" t="s">
        <v>14</v>
      </c>
      <c r="O863" t="str">
        <f>VLOOKUP(B863, [1]Course!$A$1:$O$933, 14, FALSE)</f>
        <v>WG</v>
      </c>
      <c r="P863">
        <v>1</v>
      </c>
    </row>
    <row r="864" spans="1:16" x14ac:dyDescent="0.25">
      <c r="A864">
        <v>867</v>
      </c>
      <c r="B864">
        <v>80</v>
      </c>
      <c r="C864">
        <v>107</v>
      </c>
      <c r="D864" t="s">
        <v>42</v>
      </c>
      <c r="E864" t="str">
        <f t="shared" si="13"/>
        <v>1207WG03PT</v>
      </c>
      <c r="F864">
        <f>VLOOKUP(B864,[1]Course!$A$2:$R$329,2,FALSE)</f>
        <v>0</v>
      </c>
      <c r="G864">
        <f>VLOOKUP(B864, [1]Course!$A$2:$L$950, 8, FALSE)</f>
        <v>12</v>
      </c>
      <c r="H864">
        <v>3</v>
      </c>
      <c r="I864">
        <v>1</v>
      </c>
      <c r="M864" t="str">
        <f>VLOOKUP(B864, [1]Course!$A$1:$O$933, 12, FALSE)</f>
        <v>SS</v>
      </c>
      <c r="N864" t="s">
        <v>14</v>
      </c>
      <c r="O864" t="str">
        <f>VLOOKUP(B864, [1]Course!$A$1:$O$933, 14, FALSE)</f>
        <v>WG</v>
      </c>
      <c r="P864">
        <v>1</v>
      </c>
    </row>
    <row r="865" spans="1:17" x14ac:dyDescent="0.25">
      <c r="A865">
        <v>868</v>
      </c>
      <c r="B865">
        <v>80</v>
      </c>
      <c r="C865">
        <v>108</v>
      </c>
      <c r="D865" t="s">
        <v>42</v>
      </c>
      <c r="E865" t="str">
        <f t="shared" si="13"/>
        <v>1208WG03PT</v>
      </c>
      <c r="F865">
        <f>VLOOKUP(B865,[1]Course!$A$2:$R$329,2,FALSE)</f>
        <v>0</v>
      </c>
      <c r="G865">
        <f>VLOOKUP(B865, [1]Course!$A$2:$L$950, 8, FALSE)</f>
        <v>12</v>
      </c>
      <c r="H865">
        <v>3</v>
      </c>
      <c r="I865">
        <v>1</v>
      </c>
      <c r="M865" t="str">
        <f>VLOOKUP(B865, [1]Course!$A$1:$O$933, 12, FALSE)</f>
        <v>SS</v>
      </c>
      <c r="N865" t="s">
        <v>14</v>
      </c>
      <c r="O865" t="str">
        <f>VLOOKUP(B865, [1]Course!$A$1:$O$933, 14, FALSE)</f>
        <v>WG</v>
      </c>
      <c r="P865">
        <v>1</v>
      </c>
    </row>
    <row r="866" spans="1:17" x14ac:dyDescent="0.25">
      <c r="A866">
        <v>869</v>
      </c>
      <c r="B866">
        <v>81</v>
      </c>
      <c r="C866" s="5">
        <v>1</v>
      </c>
      <c r="D866" s="5" t="s">
        <v>43</v>
      </c>
      <c r="E866" s="5" t="str">
        <f t="shared" si="13"/>
        <v>201APv203PT</v>
      </c>
      <c r="F866">
        <f>VLOOKUP(B866,[1]Course!$A$2:$R$329,2,FALSE)</f>
        <v>0</v>
      </c>
      <c r="G866">
        <f>VLOOKUP(B866, [1]Course!$A$2:$L$950, 8, FALSE)</f>
        <v>2</v>
      </c>
      <c r="H866">
        <v>3</v>
      </c>
      <c r="I866">
        <v>1</v>
      </c>
      <c r="M866" t="str">
        <f>VLOOKUP(B866, [1]Course!$A$1:$O$933, 12, FALSE)</f>
        <v>BS</v>
      </c>
      <c r="N866" t="s">
        <v>14</v>
      </c>
      <c r="O866" t="str">
        <f>VLOOKUP(B866, [1]Course!$A$1:$O$933, 14, FALSE)</f>
        <v>AP</v>
      </c>
      <c r="P866">
        <v>3</v>
      </c>
      <c r="Q866" t="s">
        <v>44</v>
      </c>
    </row>
    <row r="867" spans="1:17" x14ac:dyDescent="0.25">
      <c r="A867">
        <v>870</v>
      </c>
      <c r="B867">
        <v>81</v>
      </c>
      <c r="C867" s="5">
        <v>2</v>
      </c>
      <c r="D867" s="5" t="s">
        <v>43</v>
      </c>
      <c r="E867" s="5" t="str">
        <f t="shared" si="13"/>
        <v>202APv203PT</v>
      </c>
      <c r="F867">
        <f>VLOOKUP(B867,[1]Course!$A$2:$R$329,2,FALSE)</f>
        <v>0</v>
      </c>
      <c r="G867">
        <f>VLOOKUP(B867, [1]Course!$A$2:$L$950, 8, FALSE)</f>
        <v>2</v>
      </c>
      <c r="H867">
        <v>3</v>
      </c>
      <c r="I867">
        <v>1</v>
      </c>
      <c r="J867">
        <v>2018</v>
      </c>
      <c r="K867" t="s">
        <v>92</v>
      </c>
      <c r="L867">
        <v>1</v>
      </c>
      <c r="M867" t="str">
        <f>VLOOKUP(B867, [1]Course!$A$1:$O$933, 12, FALSE)</f>
        <v>BS</v>
      </c>
      <c r="N867" t="s">
        <v>14</v>
      </c>
      <c r="O867" t="str">
        <f>VLOOKUP(B867, [1]Course!$A$1:$O$933, 14, FALSE)</f>
        <v>AP</v>
      </c>
      <c r="P867">
        <v>3</v>
      </c>
      <c r="Q867" s="6" t="s">
        <v>45</v>
      </c>
    </row>
    <row r="868" spans="1:17" x14ac:dyDescent="0.25">
      <c r="A868">
        <v>871</v>
      </c>
      <c r="B868">
        <v>151</v>
      </c>
      <c r="C868" s="5">
        <v>97</v>
      </c>
      <c r="D868" s="5" t="s">
        <v>46</v>
      </c>
      <c r="E868" s="5" t="str">
        <f t="shared" si="13"/>
        <v>797AP00PT</v>
      </c>
      <c r="F868" t="s">
        <v>47</v>
      </c>
      <c r="G868">
        <v>7</v>
      </c>
      <c r="H868">
        <v>0</v>
      </c>
      <c r="I868">
        <v>1</v>
      </c>
      <c r="M868" t="str">
        <f>VLOOKUP(B868, [1]Course!$A$1:$O$933, 12, FALSE)</f>
        <v>BS</v>
      </c>
      <c r="N868" t="s">
        <v>14</v>
      </c>
      <c r="O868" t="str">
        <f>VLOOKUP(B868, [1]Course!$A$1:$O$933, 14, FALSE)</f>
        <v>AP</v>
      </c>
      <c r="P868">
        <v>1</v>
      </c>
      <c r="Q868" t="s">
        <v>44</v>
      </c>
    </row>
    <row r="869" spans="1:17" x14ac:dyDescent="0.25">
      <c r="A869">
        <v>872</v>
      </c>
      <c r="B869">
        <v>151</v>
      </c>
      <c r="C869" s="5">
        <v>102</v>
      </c>
      <c r="D869" s="5" t="s">
        <v>46</v>
      </c>
      <c r="E869" s="5" t="str">
        <f t="shared" si="13"/>
        <v>702AP00PT</v>
      </c>
      <c r="F869" t="s">
        <v>47</v>
      </c>
      <c r="G869">
        <v>7</v>
      </c>
      <c r="H869">
        <v>0</v>
      </c>
      <c r="I869">
        <v>1</v>
      </c>
      <c r="M869" t="str">
        <f>VLOOKUP(B869, [1]Course!$A$1:$O$933, 12, FALSE)</f>
        <v>BS</v>
      </c>
      <c r="N869" t="s">
        <v>14</v>
      </c>
      <c r="O869" t="str">
        <f>VLOOKUP(B869, [1]Course!$A$1:$O$933, 14, FALSE)</f>
        <v>AP</v>
      </c>
      <c r="P869">
        <v>3</v>
      </c>
    </row>
    <row r="870" spans="1:17" x14ac:dyDescent="0.25">
      <c r="A870">
        <v>873</v>
      </c>
      <c r="B870">
        <v>152</v>
      </c>
      <c r="C870" s="5">
        <v>98</v>
      </c>
      <c r="D870" s="5" t="s">
        <v>46</v>
      </c>
      <c r="E870" s="5" t="str">
        <f t="shared" si="13"/>
        <v>798AP00PT</v>
      </c>
      <c r="F870" t="s">
        <v>48</v>
      </c>
      <c r="G870">
        <v>7</v>
      </c>
      <c r="H870">
        <v>0</v>
      </c>
      <c r="I870">
        <v>1</v>
      </c>
      <c r="J870">
        <v>2019</v>
      </c>
      <c r="K870" t="s">
        <v>92</v>
      </c>
      <c r="L870">
        <v>1</v>
      </c>
      <c r="M870" t="str">
        <f>VLOOKUP(B870, [1]Course!$A$1:$O$933, 12, FALSE)</f>
        <v>BS</v>
      </c>
      <c r="N870" t="s">
        <v>14</v>
      </c>
      <c r="O870" t="str">
        <f>VLOOKUP(B870, [1]Course!$A$1:$O$933, 14, FALSE)</f>
        <v>AP</v>
      </c>
      <c r="P870">
        <v>1</v>
      </c>
      <c r="Q870" t="s">
        <v>49</v>
      </c>
    </row>
    <row r="871" spans="1:17" x14ac:dyDescent="0.25">
      <c r="A871">
        <v>874</v>
      </c>
      <c r="B871">
        <v>152</v>
      </c>
      <c r="C871" s="5">
        <v>99</v>
      </c>
      <c r="D871" s="5" t="s">
        <v>46</v>
      </c>
      <c r="E871" s="5" t="str">
        <f t="shared" si="13"/>
        <v>799AP00PT</v>
      </c>
      <c r="F871" t="s">
        <v>48</v>
      </c>
      <c r="G871">
        <v>7</v>
      </c>
      <c r="H871">
        <v>0</v>
      </c>
      <c r="I871">
        <v>1</v>
      </c>
      <c r="J871">
        <v>2019</v>
      </c>
      <c r="K871" t="s">
        <v>92</v>
      </c>
      <c r="L871">
        <v>1</v>
      </c>
      <c r="M871" t="str">
        <f>VLOOKUP(B871, [1]Course!$A$1:$O$933, 12, FALSE)</f>
        <v>BS</v>
      </c>
      <c r="N871" t="s">
        <v>14</v>
      </c>
      <c r="O871" t="str">
        <f>VLOOKUP(B871, [1]Course!$A$1:$O$933, 14, FALSE)</f>
        <v>AP</v>
      </c>
      <c r="P871">
        <v>2</v>
      </c>
    </row>
    <row r="872" spans="1:17" x14ac:dyDescent="0.25">
      <c r="A872">
        <v>875</v>
      </c>
      <c r="B872">
        <v>152</v>
      </c>
      <c r="C872" s="5">
        <v>100</v>
      </c>
      <c r="D872" s="5" t="s">
        <v>46</v>
      </c>
      <c r="E872" s="5" t="str">
        <f t="shared" si="13"/>
        <v>700AP00PT</v>
      </c>
      <c r="F872" t="s">
        <v>48</v>
      </c>
      <c r="G872">
        <v>7</v>
      </c>
      <c r="H872">
        <v>0</v>
      </c>
      <c r="I872">
        <v>1</v>
      </c>
      <c r="J872">
        <v>2019</v>
      </c>
      <c r="K872" t="s">
        <v>92</v>
      </c>
      <c r="L872">
        <v>1</v>
      </c>
      <c r="M872" t="str">
        <f>VLOOKUP(B872, [1]Course!$A$1:$O$933, 12, FALSE)</f>
        <v>BS</v>
      </c>
      <c r="N872" t="s">
        <v>14</v>
      </c>
      <c r="O872" t="str">
        <f>VLOOKUP(B872, [1]Course!$A$1:$O$933, 14, FALSE)</f>
        <v>AP</v>
      </c>
      <c r="P872">
        <v>1</v>
      </c>
    </row>
    <row r="873" spans="1:17" x14ac:dyDescent="0.25">
      <c r="A873">
        <v>876</v>
      </c>
      <c r="B873">
        <v>152</v>
      </c>
      <c r="C873" s="5">
        <v>101</v>
      </c>
      <c r="D873" s="5" t="s">
        <v>46</v>
      </c>
      <c r="E873" s="5" t="str">
        <f t="shared" si="13"/>
        <v>701AP00PT</v>
      </c>
      <c r="F873" t="s">
        <v>48</v>
      </c>
      <c r="G873">
        <v>7</v>
      </c>
      <c r="H873">
        <v>0</v>
      </c>
      <c r="I873">
        <v>1</v>
      </c>
      <c r="J873">
        <v>2019</v>
      </c>
      <c r="K873" t="s">
        <v>92</v>
      </c>
      <c r="L873">
        <v>1</v>
      </c>
      <c r="M873" t="str">
        <f>VLOOKUP(B873, [1]Course!$A$1:$O$933, 12, FALSE)</f>
        <v>BS</v>
      </c>
      <c r="N873" t="s">
        <v>14</v>
      </c>
      <c r="O873" t="str">
        <f>VLOOKUP(B873, [1]Course!$A$1:$O$933, 14, FALSE)</f>
        <v>AP</v>
      </c>
      <c r="P873">
        <v>2</v>
      </c>
    </row>
    <row r="874" spans="1:17" x14ac:dyDescent="0.25">
      <c r="A874">
        <v>877</v>
      </c>
      <c r="B874">
        <v>82</v>
      </c>
      <c r="C874">
        <v>1</v>
      </c>
      <c r="D874" t="s">
        <v>50</v>
      </c>
      <c r="E874" t="str">
        <f t="shared" si="13"/>
        <v>601MI03PT</v>
      </c>
      <c r="F874">
        <f>VLOOKUP(B874,[1]Course!$A$2:$R$329,2,FALSE)</f>
        <v>0</v>
      </c>
      <c r="G874">
        <f>VLOOKUP(B874, [1]Course!$A$2:$L$950, 8, FALSE)</f>
        <v>6</v>
      </c>
      <c r="H874">
        <v>3</v>
      </c>
      <c r="I874">
        <v>1</v>
      </c>
      <c r="J874">
        <v>1994</v>
      </c>
      <c r="K874">
        <v>2012</v>
      </c>
      <c r="L874">
        <v>2</v>
      </c>
      <c r="M874" t="str">
        <f>VLOOKUP(B874, [1]Course!$A$1:$O$933, 12, FALSE)</f>
        <v>BS</v>
      </c>
      <c r="N874" t="s">
        <v>14</v>
      </c>
      <c r="O874" t="str">
        <f>VLOOKUP(B874, [1]Course!$A$1:$O$933, 14, FALSE)</f>
        <v>MI</v>
      </c>
      <c r="P874">
        <v>1</v>
      </c>
    </row>
    <row r="875" spans="1:17" x14ac:dyDescent="0.25">
      <c r="A875">
        <v>878</v>
      </c>
      <c r="B875">
        <v>82</v>
      </c>
      <c r="C875">
        <v>2</v>
      </c>
      <c r="D875" t="s">
        <v>50</v>
      </c>
      <c r="E875" t="str">
        <f t="shared" si="13"/>
        <v>602MI03PT</v>
      </c>
      <c r="F875">
        <f>VLOOKUP(B875,[1]Course!$A$2:$R$329,2,FALSE)</f>
        <v>0</v>
      </c>
      <c r="G875">
        <f>VLOOKUP(B875, [1]Course!$A$2:$L$950, 8, FALSE)</f>
        <v>6</v>
      </c>
      <c r="H875">
        <v>3</v>
      </c>
      <c r="I875">
        <v>1</v>
      </c>
      <c r="J875">
        <v>1994</v>
      </c>
      <c r="K875">
        <v>2011</v>
      </c>
      <c r="L875">
        <v>1</v>
      </c>
      <c r="M875" t="str">
        <f>VLOOKUP(B875, [1]Course!$A$1:$O$933, 12, FALSE)</f>
        <v>BS</v>
      </c>
      <c r="N875" t="s">
        <v>14</v>
      </c>
      <c r="O875" t="str">
        <f>VLOOKUP(B875, [1]Course!$A$1:$O$933, 14, FALSE)</f>
        <v>MI</v>
      </c>
      <c r="P875">
        <v>1</v>
      </c>
    </row>
    <row r="876" spans="1:17" x14ac:dyDescent="0.25">
      <c r="A876">
        <v>879</v>
      </c>
      <c r="B876">
        <v>82</v>
      </c>
      <c r="C876">
        <v>3</v>
      </c>
      <c r="D876" t="s">
        <v>50</v>
      </c>
      <c r="E876" t="str">
        <f t="shared" si="13"/>
        <v>603MI03PT</v>
      </c>
      <c r="F876">
        <f>VLOOKUP(B876,[1]Course!$A$2:$R$329,2,FALSE)</f>
        <v>0</v>
      </c>
      <c r="G876">
        <f>VLOOKUP(B876, [1]Course!$A$2:$L$950, 8, FALSE)</f>
        <v>6</v>
      </c>
      <c r="H876">
        <v>3</v>
      </c>
      <c r="I876">
        <v>1</v>
      </c>
      <c r="J876">
        <v>1994</v>
      </c>
      <c r="K876">
        <v>2012</v>
      </c>
      <c r="L876">
        <v>1</v>
      </c>
      <c r="M876" t="str">
        <f>VLOOKUP(B876, [1]Course!$A$1:$O$933, 12, FALSE)</f>
        <v>BS</v>
      </c>
      <c r="N876" t="s">
        <v>14</v>
      </c>
      <c r="O876" t="str">
        <f>VLOOKUP(B876, [1]Course!$A$1:$O$933, 14, FALSE)</f>
        <v>MI</v>
      </c>
      <c r="P876">
        <v>1</v>
      </c>
    </row>
    <row r="877" spans="1:17" x14ac:dyDescent="0.25">
      <c r="A877">
        <v>880</v>
      </c>
      <c r="B877">
        <v>82</v>
      </c>
      <c r="C877">
        <v>4</v>
      </c>
      <c r="D877" t="s">
        <v>50</v>
      </c>
      <c r="E877" t="str">
        <f t="shared" si="13"/>
        <v>604MI03PT</v>
      </c>
      <c r="F877">
        <f>VLOOKUP(B877,[1]Course!$A$2:$R$329,2,FALSE)</f>
        <v>0</v>
      </c>
      <c r="G877">
        <f>VLOOKUP(B877, [1]Course!$A$2:$L$950, 8, FALSE)</f>
        <v>6</v>
      </c>
      <c r="H877">
        <v>3</v>
      </c>
      <c r="I877">
        <v>1</v>
      </c>
      <c r="J877">
        <v>1994</v>
      </c>
      <c r="K877">
        <v>2017</v>
      </c>
      <c r="L877">
        <v>1</v>
      </c>
      <c r="M877" t="str">
        <f>VLOOKUP(B877, [1]Course!$A$1:$O$933, 12, FALSE)</f>
        <v>BS</v>
      </c>
      <c r="N877" t="s">
        <v>14</v>
      </c>
      <c r="O877" t="str">
        <f>VLOOKUP(B877, [1]Course!$A$1:$O$933, 14, FALSE)</f>
        <v>MI</v>
      </c>
      <c r="P877">
        <v>1</v>
      </c>
    </row>
    <row r="878" spans="1:17" x14ac:dyDescent="0.25">
      <c r="A878">
        <v>881</v>
      </c>
      <c r="B878">
        <v>82</v>
      </c>
      <c r="C878">
        <v>5</v>
      </c>
      <c r="D878" t="s">
        <v>50</v>
      </c>
      <c r="E878" t="str">
        <f t="shared" si="13"/>
        <v>605MI03PT</v>
      </c>
      <c r="F878">
        <f>VLOOKUP(B878,[1]Course!$A$2:$R$329,2,FALSE)</f>
        <v>0</v>
      </c>
      <c r="G878">
        <f>VLOOKUP(B878, [1]Course!$A$2:$L$950, 8, FALSE)</f>
        <v>6</v>
      </c>
      <c r="H878">
        <v>3</v>
      </c>
      <c r="I878">
        <v>1</v>
      </c>
      <c r="J878">
        <v>1994</v>
      </c>
      <c r="K878">
        <v>2013</v>
      </c>
      <c r="L878">
        <v>1</v>
      </c>
      <c r="M878" t="str">
        <f>VLOOKUP(B878, [1]Course!$A$1:$O$933, 12, FALSE)</f>
        <v>BS</v>
      </c>
      <c r="N878" t="s">
        <v>14</v>
      </c>
      <c r="O878" t="str">
        <f>VLOOKUP(B878, [1]Course!$A$1:$O$933, 14, FALSE)</f>
        <v>MI</v>
      </c>
      <c r="P878">
        <v>1</v>
      </c>
    </row>
    <row r="879" spans="1:17" x14ac:dyDescent="0.25">
      <c r="A879">
        <v>882</v>
      </c>
      <c r="B879">
        <v>82</v>
      </c>
      <c r="C879">
        <v>6</v>
      </c>
      <c r="D879" t="s">
        <v>50</v>
      </c>
      <c r="E879" t="str">
        <f t="shared" si="13"/>
        <v>606MI03PT</v>
      </c>
      <c r="F879">
        <f>VLOOKUP(B879,[1]Course!$A$2:$R$329,2,FALSE)</f>
        <v>0</v>
      </c>
      <c r="G879">
        <f>VLOOKUP(B879, [1]Course!$A$2:$L$950, 8, FALSE)</f>
        <v>6</v>
      </c>
      <c r="H879">
        <v>3</v>
      </c>
      <c r="I879">
        <v>1</v>
      </c>
      <c r="J879">
        <v>1994</v>
      </c>
      <c r="K879">
        <v>2011</v>
      </c>
      <c r="L879">
        <v>1</v>
      </c>
      <c r="M879" t="str">
        <f>VLOOKUP(B879, [1]Course!$A$1:$O$933, 12, FALSE)</f>
        <v>BS</v>
      </c>
      <c r="N879" t="s">
        <v>14</v>
      </c>
      <c r="O879" t="str">
        <f>VLOOKUP(B879, [1]Course!$A$1:$O$933, 14, FALSE)</f>
        <v>MI</v>
      </c>
      <c r="P879">
        <v>1</v>
      </c>
    </row>
    <row r="880" spans="1:17" x14ac:dyDescent="0.25">
      <c r="A880">
        <v>883</v>
      </c>
      <c r="B880">
        <v>83</v>
      </c>
      <c r="C880">
        <v>1</v>
      </c>
      <c r="D880" t="s">
        <v>51</v>
      </c>
      <c r="E880" t="str">
        <f t="shared" si="13"/>
        <v>1201SL03PT</v>
      </c>
      <c r="F880" t="str">
        <f>VLOOKUP(B880,[1]Course!$A$2:$R$329,2,FALSE)</f>
        <v>Successful Living</v>
      </c>
      <c r="G880">
        <f>VLOOKUP(B880, [1]Course!$A$2:$L$950, 8, FALSE)</f>
        <v>12</v>
      </c>
      <c r="H880">
        <v>3</v>
      </c>
      <c r="I880">
        <v>1</v>
      </c>
      <c r="J880">
        <v>2000</v>
      </c>
      <c r="K880">
        <v>2002</v>
      </c>
      <c r="L880">
        <v>3</v>
      </c>
      <c r="M880" t="str">
        <f>VLOOKUP(B880, [1]Course!$A$1:$O$933, 12, FALSE)</f>
        <v>BS</v>
      </c>
      <c r="N880" t="s">
        <v>14</v>
      </c>
      <c r="O880" t="str">
        <f>VLOOKUP(B880, [1]Course!$A$1:$O$933, 14, FALSE)</f>
        <v>SL</v>
      </c>
      <c r="P880">
        <v>1</v>
      </c>
    </row>
    <row r="881" spans="1:16" x14ac:dyDescent="0.25">
      <c r="A881">
        <v>884</v>
      </c>
      <c r="B881">
        <v>83</v>
      </c>
      <c r="C881">
        <v>2</v>
      </c>
      <c r="D881" t="s">
        <v>51</v>
      </c>
      <c r="E881" t="str">
        <f t="shared" si="13"/>
        <v>1202SL03PT</v>
      </c>
      <c r="F881" t="str">
        <f>VLOOKUP(B881,[1]Course!$A$2:$R$329,2,FALSE)</f>
        <v>Successful Living</v>
      </c>
      <c r="G881">
        <f>VLOOKUP(B881, [1]Course!$A$2:$L$950, 8, FALSE)</f>
        <v>12</v>
      </c>
      <c r="H881">
        <v>3</v>
      </c>
      <c r="I881">
        <v>1</v>
      </c>
      <c r="J881">
        <v>2000</v>
      </c>
      <c r="K881">
        <v>2002</v>
      </c>
      <c r="L881">
        <v>3</v>
      </c>
      <c r="M881" t="str">
        <f>VLOOKUP(B881, [1]Course!$A$1:$O$933, 12, FALSE)</f>
        <v>BS</v>
      </c>
      <c r="N881" t="s">
        <v>14</v>
      </c>
      <c r="O881" t="str">
        <f>VLOOKUP(B881, [1]Course!$A$1:$O$933, 14, FALSE)</f>
        <v>SL</v>
      </c>
      <c r="P881">
        <v>1</v>
      </c>
    </row>
    <row r="882" spans="1:16" x14ac:dyDescent="0.25">
      <c r="A882">
        <v>885</v>
      </c>
      <c r="B882">
        <v>83</v>
      </c>
      <c r="C882">
        <v>3</v>
      </c>
      <c r="D882" t="s">
        <v>51</v>
      </c>
      <c r="E882" t="str">
        <f t="shared" si="13"/>
        <v>1203SL03PT</v>
      </c>
      <c r="F882" t="str">
        <f>VLOOKUP(B882,[1]Course!$A$2:$R$329,2,FALSE)</f>
        <v>Successful Living</v>
      </c>
      <c r="G882">
        <f>VLOOKUP(B882, [1]Course!$A$2:$L$950, 8, FALSE)</f>
        <v>12</v>
      </c>
      <c r="H882">
        <v>3</v>
      </c>
      <c r="I882">
        <v>1</v>
      </c>
      <c r="J882">
        <v>2000</v>
      </c>
      <c r="K882">
        <v>2002</v>
      </c>
      <c r="L882">
        <v>2</v>
      </c>
      <c r="M882" t="str">
        <f>VLOOKUP(B882, [1]Course!$A$1:$O$933, 12, FALSE)</f>
        <v>BS</v>
      </c>
      <c r="N882" t="s">
        <v>14</v>
      </c>
      <c r="O882" t="str">
        <f>VLOOKUP(B882, [1]Course!$A$1:$O$933, 14, FALSE)</f>
        <v>SL</v>
      </c>
      <c r="P882">
        <v>1</v>
      </c>
    </row>
    <row r="883" spans="1:16" x14ac:dyDescent="0.25">
      <c r="A883">
        <v>886</v>
      </c>
      <c r="B883">
        <v>83</v>
      </c>
      <c r="C883">
        <v>4</v>
      </c>
      <c r="D883" t="s">
        <v>51</v>
      </c>
      <c r="E883" t="str">
        <f t="shared" si="13"/>
        <v>1204SL03PT</v>
      </c>
      <c r="F883" t="str">
        <f>VLOOKUP(B883,[1]Course!$A$2:$R$329,2,FALSE)</f>
        <v>Successful Living</v>
      </c>
      <c r="G883">
        <f>VLOOKUP(B883, [1]Course!$A$2:$L$950, 8, FALSE)</f>
        <v>12</v>
      </c>
      <c r="H883">
        <v>3</v>
      </c>
      <c r="I883">
        <v>1</v>
      </c>
      <c r="M883" t="str">
        <f>VLOOKUP(B883, [1]Course!$A$1:$O$933, 12, FALSE)</f>
        <v>BS</v>
      </c>
      <c r="N883" t="s">
        <v>14</v>
      </c>
      <c r="O883" t="str">
        <f>VLOOKUP(B883, [1]Course!$A$1:$O$933, 14, FALSE)</f>
        <v>SL</v>
      </c>
      <c r="P883">
        <v>1</v>
      </c>
    </row>
    <row r="884" spans="1:16" x14ac:dyDescent="0.25">
      <c r="A884">
        <v>887</v>
      </c>
      <c r="B884">
        <v>83</v>
      </c>
      <c r="C884">
        <v>5</v>
      </c>
      <c r="D884" t="s">
        <v>51</v>
      </c>
      <c r="E884" t="str">
        <f t="shared" si="13"/>
        <v>1205SL03PT</v>
      </c>
      <c r="F884" t="str">
        <f>VLOOKUP(B884,[1]Course!$A$2:$R$329,2,FALSE)</f>
        <v>Successful Living</v>
      </c>
      <c r="G884">
        <f>VLOOKUP(B884, [1]Course!$A$2:$L$950, 8, FALSE)</f>
        <v>12</v>
      </c>
      <c r="H884">
        <v>3</v>
      </c>
      <c r="I884">
        <v>1</v>
      </c>
      <c r="J884">
        <v>2000</v>
      </c>
      <c r="K884">
        <v>2002</v>
      </c>
      <c r="L884">
        <v>2</v>
      </c>
      <c r="M884" t="str">
        <f>VLOOKUP(B884, [1]Course!$A$1:$O$933, 12, FALSE)</f>
        <v>BS</v>
      </c>
      <c r="N884" t="s">
        <v>14</v>
      </c>
      <c r="O884" t="str">
        <f>VLOOKUP(B884, [1]Course!$A$1:$O$933, 14, FALSE)</f>
        <v>SL</v>
      </c>
      <c r="P884">
        <v>1</v>
      </c>
    </row>
    <row r="885" spans="1:16" x14ac:dyDescent="0.25">
      <c r="A885">
        <v>888</v>
      </c>
      <c r="B885">
        <v>83</v>
      </c>
      <c r="C885">
        <v>6</v>
      </c>
      <c r="D885" t="s">
        <v>51</v>
      </c>
      <c r="E885" t="str">
        <f t="shared" si="13"/>
        <v>1206SL03PT</v>
      </c>
      <c r="F885" t="str">
        <f>VLOOKUP(B885,[1]Course!$A$2:$R$329,2,FALSE)</f>
        <v>Successful Living</v>
      </c>
      <c r="G885">
        <f>VLOOKUP(B885, [1]Course!$A$2:$L$950, 8, FALSE)</f>
        <v>12</v>
      </c>
      <c r="H885">
        <v>3</v>
      </c>
      <c r="I885">
        <v>1</v>
      </c>
      <c r="J885">
        <v>2000</v>
      </c>
      <c r="K885">
        <v>2002</v>
      </c>
      <c r="L885">
        <v>1</v>
      </c>
      <c r="M885" t="str">
        <f>VLOOKUP(B885, [1]Course!$A$1:$O$933, 12, FALSE)</f>
        <v>BS</v>
      </c>
      <c r="N885" t="s">
        <v>14</v>
      </c>
      <c r="O885" t="str">
        <f>VLOOKUP(B885, [1]Course!$A$1:$O$933, 14, FALSE)</f>
        <v>SL</v>
      </c>
      <c r="P885">
        <v>1</v>
      </c>
    </row>
    <row r="886" spans="1:16" x14ac:dyDescent="0.25">
      <c r="A886">
        <v>889</v>
      </c>
      <c r="B886">
        <v>83</v>
      </c>
      <c r="C886">
        <v>7</v>
      </c>
      <c r="D886" t="s">
        <v>51</v>
      </c>
      <c r="E886" t="str">
        <f t="shared" si="13"/>
        <v>1207SL03PT</v>
      </c>
      <c r="F886" t="str">
        <f>VLOOKUP(B886,[1]Course!$A$2:$R$329,2,FALSE)</f>
        <v>Successful Living</v>
      </c>
      <c r="G886">
        <f>VLOOKUP(B886, [1]Course!$A$2:$L$950, 8, FALSE)</f>
        <v>12</v>
      </c>
      <c r="H886">
        <v>3</v>
      </c>
      <c r="I886">
        <v>1</v>
      </c>
      <c r="J886">
        <v>2000</v>
      </c>
      <c r="K886">
        <v>2002</v>
      </c>
      <c r="L886">
        <v>1</v>
      </c>
      <c r="M886" t="str">
        <f>VLOOKUP(B886, [1]Course!$A$1:$O$933, 12, FALSE)</f>
        <v>BS</v>
      </c>
      <c r="N886" t="s">
        <v>14</v>
      </c>
      <c r="O886" t="str">
        <f>VLOOKUP(B886, [1]Course!$A$1:$O$933, 14, FALSE)</f>
        <v>SL</v>
      </c>
      <c r="P886">
        <v>1</v>
      </c>
    </row>
    <row r="887" spans="1:16" x14ac:dyDescent="0.25">
      <c r="A887">
        <v>890</v>
      </c>
      <c r="B887">
        <v>83</v>
      </c>
      <c r="C887">
        <v>8</v>
      </c>
      <c r="D887" t="s">
        <v>51</v>
      </c>
      <c r="E887" t="str">
        <f t="shared" si="13"/>
        <v>1208SL03PT</v>
      </c>
      <c r="F887" t="str">
        <f>VLOOKUP(B887,[1]Course!$A$2:$R$329,2,FALSE)</f>
        <v>Successful Living</v>
      </c>
      <c r="G887">
        <f>VLOOKUP(B887, [1]Course!$A$2:$L$950, 8, FALSE)</f>
        <v>12</v>
      </c>
      <c r="H887">
        <v>3</v>
      </c>
      <c r="I887">
        <v>1</v>
      </c>
      <c r="J887">
        <v>2000</v>
      </c>
      <c r="K887">
        <v>2003</v>
      </c>
      <c r="L887">
        <v>1</v>
      </c>
      <c r="M887" t="str">
        <f>VLOOKUP(B887, [1]Course!$A$1:$O$933, 12, FALSE)</f>
        <v>BS</v>
      </c>
      <c r="N887" t="s">
        <v>14</v>
      </c>
      <c r="O887" t="str">
        <f>VLOOKUP(B887, [1]Course!$A$1:$O$933, 14, FALSE)</f>
        <v>SL</v>
      </c>
      <c r="P887">
        <v>1</v>
      </c>
    </row>
    <row r="888" spans="1:16" x14ac:dyDescent="0.25">
      <c r="A888">
        <v>891</v>
      </c>
      <c r="B888">
        <v>83</v>
      </c>
      <c r="C888">
        <v>9</v>
      </c>
      <c r="D888" t="s">
        <v>51</v>
      </c>
      <c r="E888" t="str">
        <f t="shared" si="13"/>
        <v>1209SL03PT</v>
      </c>
      <c r="F888" t="str">
        <f>VLOOKUP(B888,[1]Course!$A$2:$R$329,2,FALSE)</f>
        <v>Successful Living</v>
      </c>
      <c r="G888">
        <f>VLOOKUP(B888, [1]Course!$A$2:$L$950, 8, FALSE)</f>
        <v>12</v>
      </c>
      <c r="H888">
        <v>3</v>
      </c>
      <c r="I888">
        <v>1</v>
      </c>
      <c r="J888">
        <v>2000</v>
      </c>
      <c r="K888">
        <v>2003</v>
      </c>
      <c r="L888">
        <v>3</v>
      </c>
      <c r="M888" t="str">
        <f>VLOOKUP(B888, [1]Course!$A$1:$O$933, 12, FALSE)</f>
        <v>BS</v>
      </c>
      <c r="N888" t="s">
        <v>14</v>
      </c>
      <c r="O888" t="str">
        <f>VLOOKUP(B888, [1]Course!$A$1:$O$933, 14, FALSE)</f>
        <v>SL</v>
      </c>
      <c r="P888">
        <v>1</v>
      </c>
    </row>
    <row r="889" spans="1:16" x14ac:dyDescent="0.25">
      <c r="A889">
        <v>892</v>
      </c>
      <c r="B889">
        <v>83</v>
      </c>
      <c r="C889">
        <v>10</v>
      </c>
      <c r="D889" t="s">
        <v>51</v>
      </c>
      <c r="E889" t="str">
        <f t="shared" si="13"/>
        <v>1210SL03PT</v>
      </c>
      <c r="F889" t="str">
        <f>VLOOKUP(B889,[1]Course!$A$2:$R$329,2,FALSE)</f>
        <v>Successful Living</v>
      </c>
      <c r="G889">
        <f>VLOOKUP(B889, [1]Course!$A$2:$L$950, 8, FALSE)</f>
        <v>12</v>
      </c>
      <c r="H889">
        <v>3</v>
      </c>
      <c r="I889">
        <v>1</v>
      </c>
      <c r="J889">
        <v>2001</v>
      </c>
      <c r="K889">
        <v>2003</v>
      </c>
      <c r="L889">
        <v>2</v>
      </c>
      <c r="M889" t="str">
        <f>VLOOKUP(B889, [1]Course!$A$1:$O$933, 12, FALSE)</f>
        <v>BS</v>
      </c>
      <c r="N889" t="s">
        <v>14</v>
      </c>
      <c r="O889" t="str">
        <f>VLOOKUP(B889, [1]Course!$A$1:$O$933, 14, FALSE)</f>
        <v>SL</v>
      </c>
      <c r="P889">
        <v>1</v>
      </c>
    </row>
    <row r="890" spans="1:16" x14ac:dyDescent="0.25">
      <c r="A890">
        <v>893</v>
      </c>
      <c r="B890">
        <v>83</v>
      </c>
      <c r="C890">
        <v>11</v>
      </c>
      <c r="D890" t="s">
        <v>51</v>
      </c>
      <c r="E890" t="str">
        <f t="shared" si="13"/>
        <v>1211SL03PT</v>
      </c>
      <c r="F890" t="str">
        <f>VLOOKUP(B890,[1]Course!$A$2:$R$329,2,FALSE)</f>
        <v>Successful Living</v>
      </c>
      <c r="G890">
        <f>VLOOKUP(B890, [1]Course!$A$2:$L$950, 8, FALSE)</f>
        <v>12</v>
      </c>
      <c r="H890">
        <v>3</v>
      </c>
      <c r="I890">
        <v>1</v>
      </c>
      <c r="M890" t="str">
        <f>VLOOKUP(B890, [1]Course!$A$1:$O$933, 12, FALSE)</f>
        <v>BS</v>
      </c>
      <c r="N890" t="s">
        <v>14</v>
      </c>
      <c r="O890" t="str">
        <f>VLOOKUP(B890, [1]Course!$A$1:$O$933, 14, FALSE)</f>
        <v>SL</v>
      </c>
      <c r="P890">
        <v>1</v>
      </c>
    </row>
    <row r="891" spans="1:16" x14ac:dyDescent="0.25">
      <c r="A891">
        <v>894</v>
      </c>
      <c r="B891">
        <v>83</v>
      </c>
      <c r="C891">
        <v>12</v>
      </c>
      <c r="D891" t="s">
        <v>51</v>
      </c>
      <c r="E891" t="str">
        <f t="shared" si="13"/>
        <v>1212SL03PT</v>
      </c>
      <c r="F891" t="str">
        <f>VLOOKUP(B891,[1]Course!$A$2:$R$329,2,FALSE)</f>
        <v>Successful Living</v>
      </c>
      <c r="G891">
        <f>VLOOKUP(B891, [1]Course!$A$2:$L$950, 8, FALSE)</f>
        <v>12</v>
      </c>
      <c r="H891">
        <v>3</v>
      </c>
      <c r="I891">
        <v>1</v>
      </c>
      <c r="M891" t="str">
        <f>VLOOKUP(B891, [1]Course!$A$1:$O$933, 12, FALSE)</f>
        <v>BS</v>
      </c>
      <c r="N891" t="s">
        <v>14</v>
      </c>
      <c r="O891" t="str">
        <f>VLOOKUP(B891, [1]Course!$A$1:$O$933, 14, FALSE)</f>
        <v>SL</v>
      </c>
      <c r="P891">
        <v>1</v>
      </c>
    </row>
    <row r="892" spans="1:16" x14ac:dyDescent="0.25">
      <c r="A892">
        <v>895</v>
      </c>
      <c r="B892">
        <v>85</v>
      </c>
      <c r="C892">
        <v>1</v>
      </c>
      <c r="D892" t="s">
        <v>52</v>
      </c>
      <c r="E892" t="str">
        <f t="shared" si="13"/>
        <v>801ED03PT</v>
      </c>
      <c r="F892">
        <f>VLOOKUP(B892,[1]Course!$A$2:$R$329,2,FALSE)</f>
        <v>0</v>
      </c>
      <c r="G892">
        <f>VLOOKUP(B892, [1]Course!$A$2:$L$950, 8, FALSE)</f>
        <v>8</v>
      </c>
      <c r="H892">
        <v>3</v>
      </c>
      <c r="I892">
        <v>1</v>
      </c>
      <c r="M892" t="str">
        <f>VLOOKUP(B892, [1]Course!$A$1:$O$933, 12, FALSE)</f>
        <v>SU</v>
      </c>
      <c r="N892" t="s">
        <v>14</v>
      </c>
      <c r="O892" t="str">
        <f>VLOOKUP(B892, [1]Course!$A$1:$O$933, 14, FALSE)</f>
        <v>ED</v>
      </c>
      <c r="P892">
        <v>1</v>
      </c>
    </row>
    <row r="893" spans="1:16" x14ac:dyDescent="0.25">
      <c r="A893">
        <v>896</v>
      </c>
      <c r="B893">
        <v>85</v>
      </c>
      <c r="C893">
        <v>2</v>
      </c>
      <c r="D893" t="s">
        <v>52</v>
      </c>
      <c r="E893" t="str">
        <f t="shared" si="13"/>
        <v>802ED03PT</v>
      </c>
      <c r="F893">
        <f>VLOOKUP(B893,[1]Course!$A$2:$R$329,2,FALSE)</f>
        <v>0</v>
      </c>
      <c r="G893">
        <f>VLOOKUP(B893, [1]Course!$A$2:$L$950, 8, FALSE)</f>
        <v>8</v>
      </c>
      <c r="H893">
        <v>3</v>
      </c>
      <c r="I893">
        <v>1</v>
      </c>
      <c r="M893" t="str">
        <f>VLOOKUP(B893, [1]Course!$A$1:$O$933, 12, FALSE)</f>
        <v>SU</v>
      </c>
      <c r="N893" t="s">
        <v>14</v>
      </c>
      <c r="O893" t="str">
        <f>VLOOKUP(B893, [1]Course!$A$1:$O$933, 14, FALSE)</f>
        <v>ED</v>
      </c>
      <c r="P893">
        <v>1</v>
      </c>
    </row>
    <row r="894" spans="1:16" x14ac:dyDescent="0.25">
      <c r="A894">
        <v>897</v>
      </c>
      <c r="B894">
        <v>85</v>
      </c>
      <c r="C894">
        <v>3</v>
      </c>
      <c r="D894" t="s">
        <v>52</v>
      </c>
      <c r="E894" t="str">
        <f t="shared" si="13"/>
        <v>803ED03PT</v>
      </c>
      <c r="F894">
        <f>VLOOKUP(B894,[1]Course!$A$2:$R$329,2,FALSE)</f>
        <v>0</v>
      </c>
      <c r="G894">
        <f>VLOOKUP(B894, [1]Course!$A$2:$L$950, 8, FALSE)</f>
        <v>8</v>
      </c>
      <c r="H894">
        <v>3</v>
      </c>
      <c r="I894">
        <v>1</v>
      </c>
      <c r="M894" t="str">
        <f>VLOOKUP(B894, [1]Course!$A$1:$O$933, 12, FALSE)</f>
        <v>SU</v>
      </c>
      <c r="N894" t="s">
        <v>14</v>
      </c>
      <c r="O894" t="str">
        <f>VLOOKUP(B894, [1]Course!$A$1:$O$933, 14, FALSE)</f>
        <v>ED</v>
      </c>
      <c r="P894">
        <v>1</v>
      </c>
    </row>
    <row r="895" spans="1:16" x14ac:dyDescent="0.25">
      <c r="A895">
        <v>898</v>
      </c>
      <c r="B895">
        <v>85</v>
      </c>
      <c r="C895">
        <v>4</v>
      </c>
      <c r="D895" t="s">
        <v>52</v>
      </c>
      <c r="E895" t="str">
        <f t="shared" si="13"/>
        <v>804ED03PT</v>
      </c>
      <c r="F895">
        <f>VLOOKUP(B895,[1]Course!$A$2:$R$329,2,FALSE)</f>
        <v>0</v>
      </c>
      <c r="G895">
        <f>VLOOKUP(B895, [1]Course!$A$2:$L$950, 8, FALSE)</f>
        <v>8</v>
      </c>
      <c r="H895">
        <v>3</v>
      </c>
      <c r="I895">
        <v>1</v>
      </c>
      <c r="M895" t="str">
        <f>VLOOKUP(B895, [1]Course!$A$1:$O$933, 12, FALSE)</f>
        <v>SU</v>
      </c>
      <c r="N895" t="s">
        <v>14</v>
      </c>
      <c r="O895" t="str">
        <f>VLOOKUP(B895, [1]Course!$A$1:$O$933, 14, FALSE)</f>
        <v>ED</v>
      </c>
      <c r="P895">
        <v>1</v>
      </c>
    </row>
    <row r="896" spans="1:16" x14ac:dyDescent="0.25">
      <c r="A896">
        <v>899</v>
      </c>
      <c r="B896">
        <v>85</v>
      </c>
      <c r="C896">
        <v>5</v>
      </c>
      <c r="D896" t="s">
        <v>52</v>
      </c>
      <c r="E896" t="str">
        <f t="shared" si="13"/>
        <v>805ED03PT</v>
      </c>
      <c r="F896">
        <f>VLOOKUP(B896,[1]Course!$A$2:$R$329,2,FALSE)</f>
        <v>0</v>
      </c>
      <c r="G896">
        <f>VLOOKUP(B896, [1]Course!$A$2:$L$950, 8, FALSE)</f>
        <v>8</v>
      </c>
      <c r="H896">
        <v>3</v>
      </c>
      <c r="I896">
        <v>1</v>
      </c>
      <c r="M896" t="str">
        <f>VLOOKUP(B896, [1]Course!$A$1:$O$933, 12, FALSE)</f>
        <v>SU</v>
      </c>
      <c r="N896" t="s">
        <v>14</v>
      </c>
      <c r="O896" t="str">
        <f>VLOOKUP(B896, [1]Course!$A$1:$O$933, 14, FALSE)</f>
        <v>ED</v>
      </c>
      <c r="P896">
        <v>1</v>
      </c>
    </row>
    <row r="897" spans="1:16" x14ac:dyDescent="0.25">
      <c r="A897">
        <v>900</v>
      </c>
      <c r="B897">
        <v>85</v>
      </c>
      <c r="C897">
        <v>6</v>
      </c>
      <c r="D897" t="s">
        <v>52</v>
      </c>
      <c r="E897" t="str">
        <f t="shared" si="13"/>
        <v>806ED03PT</v>
      </c>
      <c r="F897">
        <f>VLOOKUP(B897,[1]Course!$A$2:$R$329,2,FALSE)</f>
        <v>0</v>
      </c>
      <c r="G897">
        <f>VLOOKUP(B897, [1]Course!$A$2:$L$950, 8, FALSE)</f>
        <v>8</v>
      </c>
      <c r="H897">
        <v>3</v>
      </c>
      <c r="I897">
        <v>1</v>
      </c>
      <c r="M897" t="str">
        <f>VLOOKUP(B897, [1]Course!$A$1:$O$933, 12, FALSE)</f>
        <v>SU</v>
      </c>
      <c r="N897" t="s">
        <v>14</v>
      </c>
      <c r="O897" t="str">
        <f>VLOOKUP(B897, [1]Course!$A$1:$O$933, 14, FALSE)</f>
        <v>ED</v>
      </c>
      <c r="P897">
        <v>1</v>
      </c>
    </row>
    <row r="898" spans="1:16" x14ac:dyDescent="0.25">
      <c r="A898">
        <v>901</v>
      </c>
      <c r="B898">
        <v>85</v>
      </c>
      <c r="C898">
        <v>7</v>
      </c>
      <c r="D898" t="s">
        <v>52</v>
      </c>
      <c r="E898" t="str">
        <f t="shared" si="13"/>
        <v>807ED03PT</v>
      </c>
      <c r="F898">
        <f>VLOOKUP(B898,[1]Course!$A$2:$R$329,2,FALSE)</f>
        <v>0</v>
      </c>
      <c r="G898">
        <f>VLOOKUP(B898, [1]Course!$A$2:$L$950, 8, FALSE)</f>
        <v>8</v>
      </c>
      <c r="H898">
        <v>3</v>
      </c>
      <c r="I898">
        <v>1</v>
      </c>
      <c r="M898" t="str">
        <f>VLOOKUP(B898, [1]Course!$A$1:$O$933, 12, FALSE)</f>
        <v>SU</v>
      </c>
      <c r="N898" t="s">
        <v>14</v>
      </c>
      <c r="O898" t="str">
        <f>VLOOKUP(B898, [1]Course!$A$1:$O$933, 14, FALSE)</f>
        <v>ED</v>
      </c>
      <c r="P898">
        <v>1</v>
      </c>
    </row>
    <row r="899" spans="1:16" x14ac:dyDescent="0.25">
      <c r="A899">
        <v>902</v>
      </c>
      <c r="B899">
        <v>85</v>
      </c>
      <c r="C899">
        <v>8</v>
      </c>
      <c r="D899" t="s">
        <v>52</v>
      </c>
      <c r="E899" t="str">
        <f t="shared" ref="E899:E962" si="14">UPPER(LEFT(G899,2)) &amp; RIGHT("0" &amp; C899, 2) &amp; D899 &amp; RIGHT("0" &amp; H899, 2) &amp; N899</f>
        <v>808ED03PT</v>
      </c>
      <c r="F899">
        <f>VLOOKUP(B899,[1]Course!$A$2:$R$329,2,FALSE)</f>
        <v>0</v>
      </c>
      <c r="G899">
        <f>VLOOKUP(B899, [1]Course!$A$2:$L$950, 8, FALSE)</f>
        <v>8</v>
      </c>
      <c r="H899">
        <v>3</v>
      </c>
      <c r="I899">
        <v>1</v>
      </c>
      <c r="M899" t="str">
        <f>VLOOKUP(B899, [1]Course!$A$1:$O$933, 12, FALSE)</f>
        <v>SU</v>
      </c>
      <c r="N899" t="s">
        <v>14</v>
      </c>
      <c r="O899" t="str">
        <f>VLOOKUP(B899, [1]Course!$A$1:$O$933, 14, FALSE)</f>
        <v>ED</v>
      </c>
      <c r="P899">
        <v>1</v>
      </c>
    </row>
    <row r="900" spans="1:16" x14ac:dyDescent="0.25">
      <c r="A900">
        <v>903</v>
      </c>
      <c r="B900">
        <v>86</v>
      </c>
      <c r="C900">
        <v>109</v>
      </c>
      <c r="D900" t="s">
        <v>53</v>
      </c>
      <c r="E900" t="str">
        <f t="shared" si="14"/>
        <v>1209GE03PT</v>
      </c>
      <c r="F900">
        <f>VLOOKUP(B900,[1]Course!$A$2:$R$329,2,FALSE)</f>
        <v>0</v>
      </c>
      <c r="G900">
        <f>VLOOKUP(B900, [1]Course!$A$2:$L$950, 8, FALSE)</f>
        <v>12</v>
      </c>
      <c r="H900">
        <v>3</v>
      </c>
      <c r="I900">
        <v>1</v>
      </c>
      <c r="M900" t="str">
        <f>VLOOKUP(B900, [1]Course!$A$1:$O$933, 12, FALSE)</f>
        <v>MA</v>
      </c>
      <c r="N900" t="s">
        <v>14</v>
      </c>
      <c r="O900" t="str">
        <f>VLOOKUP(B900, [1]Course!$A$1:$O$933, 14, FALSE)</f>
        <v>GE</v>
      </c>
      <c r="P900">
        <v>1</v>
      </c>
    </row>
    <row r="901" spans="1:16" x14ac:dyDescent="0.25">
      <c r="A901">
        <v>904</v>
      </c>
      <c r="B901">
        <v>86</v>
      </c>
      <c r="C901">
        <v>110</v>
      </c>
      <c r="D901" t="s">
        <v>53</v>
      </c>
      <c r="E901" t="str">
        <f t="shared" si="14"/>
        <v>1210GE03PT</v>
      </c>
      <c r="F901">
        <f>VLOOKUP(B901,[1]Course!$A$2:$R$329,2,FALSE)</f>
        <v>0</v>
      </c>
      <c r="G901">
        <f>VLOOKUP(B901, [1]Course!$A$2:$L$950, 8, FALSE)</f>
        <v>12</v>
      </c>
      <c r="H901">
        <v>3</v>
      </c>
      <c r="I901">
        <v>1</v>
      </c>
      <c r="M901" t="str">
        <f>VLOOKUP(B901, [1]Course!$A$1:$O$933, 12, FALSE)</f>
        <v>MA</v>
      </c>
      <c r="N901" t="s">
        <v>14</v>
      </c>
      <c r="O901" t="str">
        <f>VLOOKUP(B901, [1]Course!$A$1:$O$933, 14, FALSE)</f>
        <v>GE</v>
      </c>
      <c r="P901">
        <v>1</v>
      </c>
    </row>
    <row r="902" spans="1:16" x14ac:dyDescent="0.25">
      <c r="A902">
        <v>905</v>
      </c>
      <c r="B902">
        <v>86</v>
      </c>
      <c r="C902">
        <v>111</v>
      </c>
      <c r="D902" t="s">
        <v>53</v>
      </c>
      <c r="E902" t="str">
        <f t="shared" si="14"/>
        <v>1211GE03PT</v>
      </c>
      <c r="F902">
        <f>VLOOKUP(B902,[1]Course!$A$2:$R$329,2,FALSE)</f>
        <v>0</v>
      </c>
      <c r="G902">
        <f>VLOOKUP(B902, [1]Course!$A$2:$L$950, 8, FALSE)</f>
        <v>12</v>
      </c>
      <c r="H902">
        <v>3</v>
      </c>
      <c r="I902">
        <v>1</v>
      </c>
      <c r="J902">
        <v>1993</v>
      </c>
      <c r="K902">
        <v>2011</v>
      </c>
      <c r="L902">
        <v>1</v>
      </c>
      <c r="M902" t="str">
        <f>VLOOKUP(B902, [1]Course!$A$1:$O$933, 12, FALSE)</f>
        <v>MA</v>
      </c>
      <c r="N902" t="s">
        <v>14</v>
      </c>
      <c r="O902" t="str">
        <f>VLOOKUP(B902, [1]Course!$A$1:$O$933, 14, FALSE)</f>
        <v>GE</v>
      </c>
      <c r="P902">
        <v>1</v>
      </c>
    </row>
    <row r="903" spans="1:16" x14ac:dyDescent="0.25">
      <c r="A903">
        <v>906</v>
      </c>
      <c r="B903">
        <v>86</v>
      </c>
      <c r="C903">
        <v>112</v>
      </c>
      <c r="D903" t="s">
        <v>53</v>
      </c>
      <c r="E903" t="str">
        <f t="shared" si="14"/>
        <v>1212GE03PT</v>
      </c>
      <c r="F903">
        <f>VLOOKUP(B903,[1]Course!$A$2:$R$329,2,FALSE)</f>
        <v>0</v>
      </c>
      <c r="G903">
        <f>VLOOKUP(B903, [1]Course!$A$2:$L$950, 8, FALSE)</f>
        <v>12</v>
      </c>
      <c r="H903">
        <v>3</v>
      </c>
      <c r="I903">
        <v>1</v>
      </c>
      <c r="J903">
        <v>1993</v>
      </c>
      <c r="K903">
        <v>2009</v>
      </c>
      <c r="L903">
        <v>1</v>
      </c>
      <c r="M903" t="str">
        <f>VLOOKUP(B903, [1]Course!$A$1:$O$933, 12, FALSE)</f>
        <v>MA</v>
      </c>
      <c r="N903" t="s">
        <v>14</v>
      </c>
      <c r="O903" t="str">
        <f>VLOOKUP(B903, [1]Course!$A$1:$O$933, 14, FALSE)</f>
        <v>GE</v>
      </c>
      <c r="P903">
        <v>1</v>
      </c>
    </row>
    <row r="904" spans="1:16" x14ac:dyDescent="0.25">
      <c r="A904">
        <v>907</v>
      </c>
      <c r="B904">
        <v>86</v>
      </c>
      <c r="C904">
        <v>113</v>
      </c>
      <c r="D904" t="s">
        <v>53</v>
      </c>
      <c r="E904" t="str">
        <f t="shared" si="14"/>
        <v>1213GE03PT</v>
      </c>
      <c r="F904">
        <f>VLOOKUP(B904,[1]Course!$A$2:$R$329,2,FALSE)</f>
        <v>0</v>
      </c>
      <c r="G904">
        <f>VLOOKUP(B904, [1]Course!$A$2:$L$950, 8, FALSE)</f>
        <v>12</v>
      </c>
      <c r="H904">
        <v>3</v>
      </c>
      <c r="I904">
        <v>1</v>
      </c>
      <c r="J904">
        <v>1993</v>
      </c>
      <c r="K904">
        <v>2005</v>
      </c>
      <c r="L904">
        <v>1</v>
      </c>
      <c r="M904" t="str">
        <f>VLOOKUP(B904, [1]Course!$A$1:$O$933, 12, FALSE)</f>
        <v>MA</v>
      </c>
      <c r="N904" t="s">
        <v>14</v>
      </c>
      <c r="O904" t="str">
        <f>VLOOKUP(B904, [1]Course!$A$1:$O$933, 14, FALSE)</f>
        <v>GE</v>
      </c>
      <c r="P904">
        <v>1</v>
      </c>
    </row>
    <row r="905" spans="1:16" x14ac:dyDescent="0.25">
      <c r="A905">
        <v>908</v>
      </c>
      <c r="B905">
        <v>86</v>
      </c>
      <c r="C905">
        <v>114</v>
      </c>
      <c r="D905" t="s">
        <v>53</v>
      </c>
      <c r="E905" t="str">
        <f t="shared" si="14"/>
        <v>1214GE03PT</v>
      </c>
      <c r="F905">
        <f>VLOOKUP(B905,[1]Course!$A$2:$R$329,2,FALSE)</f>
        <v>0</v>
      </c>
      <c r="G905">
        <f>VLOOKUP(B905, [1]Course!$A$2:$L$950, 8, FALSE)</f>
        <v>12</v>
      </c>
      <c r="H905">
        <v>3</v>
      </c>
      <c r="I905">
        <v>1</v>
      </c>
      <c r="M905" t="str">
        <f>VLOOKUP(B905, [1]Course!$A$1:$O$933, 12, FALSE)</f>
        <v>MA</v>
      </c>
      <c r="N905" t="s">
        <v>14</v>
      </c>
      <c r="O905" t="str">
        <f>VLOOKUP(B905, [1]Course!$A$1:$O$933, 14, FALSE)</f>
        <v>GE</v>
      </c>
      <c r="P905">
        <v>1</v>
      </c>
    </row>
    <row r="906" spans="1:16" x14ac:dyDescent="0.25">
      <c r="A906">
        <v>909</v>
      </c>
      <c r="B906">
        <v>86</v>
      </c>
      <c r="C906">
        <v>115</v>
      </c>
      <c r="D906" t="s">
        <v>53</v>
      </c>
      <c r="E906" t="str">
        <f t="shared" si="14"/>
        <v>1215GE03PT</v>
      </c>
      <c r="F906">
        <f>VLOOKUP(B906,[1]Course!$A$2:$R$329,2,FALSE)</f>
        <v>0</v>
      </c>
      <c r="G906">
        <f>VLOOKUP(B906, [1]Course!$A$2:$L$950, 8, FALSE)</f>
        <v>12</v>
      </c>
      <c r="H906">
        <v>3</v>
      </c>
      <c r="I906">
        <v>1</v>
      </c>
      <c r="J906">
        <v>1993</v>
      </c>
      <c r="K906">
        <v>1996</v>
      </c>
      <c r="L906">
        <v>1</v>
      </c>
      <c r="M906" t="str">
        <f>VLOOKUP(B906, [1]Course!$A$1:$O$933, 12, FALSE)</f>
        <v>MA</v>
      </c>
      <c r="N906" t="s">
        <v>14</v>
      </c>
      <c r="O906" t="str">
        <f>VLOOKUP(B906, [1]Course!$A$1:$O$933, 14, FALSE)</f>
        <v>GE</v>
      </c>
      <c r="P906">
        <v>1</v>
      </c>
    </row>
    <row r="907" spans="1:16" x14ac:dyDescent="0.25">
      <c r="A907">
        <v>910</v>
      </c>
      <c r="B907">
        <v>86</v>
      </c>
      <c r="C907">
        <v>116</v>
      </c>
      <c r="D907" t="s">
        <v>53</v>
      </c>
      <c r="E907" t="str">
        <f t="shared" si="14"/>
        <v>1216GE03PT</v>
      </c>
      <c r="F907">
        <f>VLOOKUP(B907,[1]Course!$A$2:$R$329,2,FALSE)</f>
        <v>0</v>
      </c>
      <c r="G907">
        <f>VLOOKUP(B907, [1]Course!$A$2:$L$950, 8, FALSE)</f>
        <v>12</v>
      </c>
      <c r="H907">
        <v>3</v>
      </c>
      <c r="I907">
        <v>1</v>
      </c>
      <c r="J907">
        <v>1993</v>
      </c>
      <c r="K907">
        <v>2015</v>
      </c>
      <c r="L907">
        <v>1</v>
      </c>
      <c r="M907" t="str">
        <f>VLOOKUP(B907, [1]Course!$A$1:$O$933, 12, FALSE)</f>
        <v>MA</v>
      </c>
      <c r="N907" t="s">
        <v>14</v>
      </c>
      <c r="O907" t="str">
        <f>VLOOKUP(B907, [1]Course!$A$1:$O$933, 14, FALSE)</f>
        <v>GE</v>
      </c>
      <c r="P907">
        <v>1</v>
      </c>
    </row>
    <row r="908" spans="1:16" x14ac:dyDescent="0.25">
      <c r="A908">
        <v>911</v>
      </c>
      <c r="B908">
        <v>86</v>
      </c>
      <c r="C908">
        <v>117</v>
      </c>
      <c r="D908" t="s">
        <v>53</v>
      </c>
      <c r="E908" t="str">
        <f t="shared" si="14"/>
        <v>1217GE03PT</v>
      </c>
      <c r="F908">
        <f>VLOOKUP(B908,[1]Course!$A$2:$R$329,2,FALSE)</f>
        <v>0</v>
      </c>
      <c r="G908">
        <f>VLOOKUP(B908, [1]Course!$A$2:$L$950, 8, FALSE)</f>
        <v>12</v>
      </c>
      <c r="H908">
        <v>3</v>
      </c>
      <c r="I908">
        <v>1</v>
      </c>
      <c r="J908">
        <v>1993</v>
      </c>
      <c r="K908">
        <v>2002</v>
      </c>
      <c r="L908">
        <v>1</v>
      </c>
      <c r="M908" t="str">
        <f>VLOOKUP(B908, [1]Course!$A$1:$O$933, 12, FALSE)</f>
        <v>MA</v>
      </c>
      <c r="N908" t="s">
        <v>14</v>
      </c>
      <c r="O908" t="str">
        <f>VLOOKUP(B908, [1]Course!$A$1:$O$933, 14, FALSE)</f>
        <v>GE</v>
      </c>
      <c r="P908">
        <v>1</v>
      </c>
    </row>
    <row r="909" spans="1:16" x14ac:dyDescent="0.25">
      <c r="A909">
        <v>912</v>
      </c>
      <c r="B909">
        <v>86</v>
      </c>
      <c r="C909">
        <v>118</v>
      </c>
      <c r="D909" t="s">
        <v>53</v>
      </c>
      <c r="E909" t="str">
        <f t="shared" si="14"/>
        <v>1218GE03PT</v>
      </c>
      <c r="F909">
        <f>VLOOKUP(B909,[1]Course!$A$2:$R$329,2,FALSE)</f>
        <v>0</v>
      </c>
      <c r="G909">
        <f>VLOOKUP(B909, [1]Course!$A$2:$L$950, 8, FALSE)</f>
        <v>12</v>
      </c>
      <c r="H909">
        <v>3</v>
      </c>
      <c r="I909">
        <v>1</v>
      </c>
      <c r="J909">
        <v>1993</v>
      </c>
      <c r="K909">
        <v>2012</v>
      </c>
      <c r="L909">
        <v>1</v>
      </c>
      <c r="M909" t="str">
        <f>VLOOKUP(B909, [1]Course!$A$1:$O$933, 12, FALSE)</f>
        <v>MA</v>
      </c>
      <c r="N909" t="s">
        <v>14</v>
      </c>
      <c r="O909" t="str">
        <f>VLOOKUP(B909, [1]Course!$A$1:$O$933, 14, FALSE)</f>
        <v>GE</v>
      </c>
      <c r="P909">
        <v>1</v>
      </c>
    </row>
    <row r="910" spans="1:16" x14ac:dyDescent="0.25">
      <c r="A910">
        <v>913</v>
      </c>
      <c r="B910">
        <v>86</v>
      </c>
      <c r="C910">
        <v>119</v>
      </c>
      <c r="D910" t="s">
        <v>53</v>
      </c>
      <c r="E910" t="str">
        <f t="shared" si="14"/>
        <v>1219GE03PT</v>
      </c>
      <c r="F910">
        <f>VLOOKUP(B910,[1]Course!$A$2:$R$329,2,FALSE)</f>
        <v>0</v>
      </c>
      <c r="G910">
        <f>VLOOKUP(B910, [1]Course!$A$2:$L$950, 8, FALSE)</f>
        <v>12</v>
      </c>
      <c r="H910">
        <v>3</v>
      </c>
      <c r="I910">
        <v>1</v>
      </c>
      <c r="J910">
        <v>1993</v>
      </c>
      <c r="K910">
        <v>2004</v>
      </c>
      <c r="L910">
        <v>1</v>
      </c>
      <c r="M910" t="str">
        <f>VLOOKUP(B910, [1]Course!$A$1:$O$933, 12, FALSE)</f>
        <v>MA</v>
      </c>
      <c r="N910" t="s">
        <v>14</v>
      </c>
      <c r="O910" t="str">
        <f>VLOOKUP(B910, [1]Course!$A$1:$O$933, 14, FALSE)</f>
        <v>GE</v>
      </c>
      <c r="P910">
        <v>1</v>
      </c>
    </row>
    <row r="911" spans="1:16" x14ac:dyDescent="0.25">
      <c r="A911">
        <v>914</v>
      </c>
      <c r="B911">
        <v>86</v>
      </c>
      <c r="C911">
        <v>120</v>
      </c>
      <c r="D911" t="s">
        <v>53</v>
      </c>
      <c r="E911" t="str">
        <f t="shared" si="14"/>
        <v>1220GE03PT</v>
      </c>
      <c r="F911">
        <f>VLOOKUP(B911,[1]Course!$A$2:$R$329,2,FALSE)</f>
        <v>0</v>
      </c>
      <c r="G911">
        <f>VLOOKUP(B911, [1]Course!$A$2:$L$950, 8, FALSE)</f>
        <v>12</v>
      </c>
      <c r="H911">
        <v>3</v>
      </c>
      <c r="I911">
        <v>1</v>
      </c>
      <c r="J911">
        <v>1993</v>
      </c>
      <c r="K911">
        <v>1997</v>
      </c>
      <c r="L911">
        <v>1</v>
      </c>
      <c r="M911" t="str">
        <f>VLOOKUP(B911, [1]Course!$A$1:$O$933, 12, FALSE)</f>
        <v>MA</v>
      </c>
      <c r="N911" t="s">
        <v>14</v>
      </c>
      <c r="O911" t="str">
        <f>VLOOKUP(B911, [1]Course!$A$1:$O$933, 14, FALSE)</f>
        <v>GE</v>
      </c>
      <c r="P911">
        <v>1</v>
      </c>
    </row>
    <row r="912" spans="1:16" x14ac:dyDescent="0.25">
      <c r="A912">
        <v>915</v>
      </c>
      <c r="B912">
        <v>87</v>
      </c>
      <c r="C912">
        <v>109</v>
      </c>
      <c r="D912" t="s">
        <v>16</v>
      </c>
      <c r="E912" t="str">
        <f t="shared" si="14"/>
        <v>1209EN03PT</v>
      </c>
      <c r="F912">
        <f>VLOOKUP(B912,[1]Course!$A$2:$R$329,2,FALSE)</f>
        <v>0</v>
      </c>
      <c r="G912">
        <f>VLOOKUP(B912, [1]Course!$A$2:$L$950, 8, FALSE)</f>
        <v>12</v>
      </c>
      <c r="H912">
        <v>3</v>
      </c>
      <c r="I912">
        <v>1</v>
      </c>
      <c r="J912">
        <v>1989</v>
      </c>
      <c r="K912">
        <v>1999</v>
      </c>
      <c r="L912">
        <v>1</v>
      </c>
      <c r="M912" t="str">
        <f>VLOOKUP(B912, [1]Course!$A$1:$O$933, 12, FALSE)</f>
        <v>LA</v>
      </c>
      <c r="N912" t="s">
        <v>14</v>
      </c>
      <c r="O912" t="str">
        <f>VLOOKUP(B912, [1]Course!$A$1:$O$933, 14, FALSE)</f>
        <v>EN</v>
      </c>
      <c r="P912">
        <v>1</v>
      </c>
    </row>
    <row r="913" spans="1:16" x14ac:dyDescent="0.25">
      <c r="A913">
        <v>916</v>
      </c>
      <c r="B913">
        <v>87</v>
      </c>
      <c r="C913">
        <v>110</v>
      </c>
      <c r="D913" t="s">
        <v>16</v>
      </c>
      <c r="E913" t="str">
        <f t="shared" si="14"/>
        <v>1210EN03PT</v>
      </c>
      <c r="F913">
        <f>VLOOKUP(B913,[1]Course!$A$2:$R$329,2,FALSE)</f>
        <v>0</v>
      </c>
      <c r="G913">
        <f>VLOOKUP(B913, [1]Course!$A$2:$L$950, 8, FALSE)</f>
        <v>12</v>
      </c>
      <c r="H913">
        <v>3</v>
      </c>
      <c r="I913">
        <v>1</v>
      </c>
      <c r="J913">
        <v>1989</v>
      </c>
      <c r="K913">
        <v>2001</v>
      </c>
      <c r="L913">
        <v>1</v>
      </c>
      <c r="M913" t="str">
        <f>VLOOKUP(B913, [1]Course!$A$1:$O$933, 12, FALSE)</f>
        <v>LA</v>
      </c>
      <c r="N913" t="s">
        <v>14</v>
      </c>
      <c r="O913" t="str">
        <f>VLOOKUP(B913, [1]Course!$A$1:$O$933, 14, FALSE)</f>
        <v>EN</v>
      </c>
      <c r="P913">
        <v>1</v>
      </c>
    </row>
    <row r="914" spans="1:16" x14ac:dyDescent="0.25">
      <c r="A914">
        <v>917</v>
      </c>
      <c r="B914">
        <v>87</v>
      </c>
      <c r="C914">
        <v>111</v>
      </c>
      <c r="D914" t="s">
        <v>16</v>
      </c>
      <c r="E914" t="str">
        <f t="shared" si="14"/>
        <v>1211EN03PT</v>
      </c>
      <c r="F914">
        <f>VLOOKUP(B914,[1]Course!$A$2:$R$329,2,FALSE)</f>
        <v>0</v>
      </c>
      <c r="G914">
        <f>VLOOKUP(B914, [1]Course!$A$2:$L$950, 8, FALSE)</f>
        <v>12</v>
      </c>
      <c r="H914">
        <v>3</v>
      </c>
      <c r="I914">
        <v>1</v>
      </c>
      <c r="J914">
        <v>1989</v>
      </c>
      <c r="K914">
        <v>1998</v>
      </c>
      <c r="L914">
        <v>1</v>
      </c>
      <c r="M914" t="str">
        <f>VLOOKUP(B914, [1]Course!$A$1:$O$933, 12, FALSE)</f>
        <v>LA</v>
      </c>
      <c r="N914" t="s">
        <v>14</v>
      </c>
      <c r="O914" t="str">
        <f>VLOOKUP(B914, [1]Course!$A$1:$O$933, 14, FALSE)</f>
        <v>EN</v>
      </c>
      <c r="P914">
        <v>1</v>
      </c>
    </row>
    <row r="915" spans="1:16" x14ac:dyDescent="0.25">
      <c r="A915">
        <v>918</v>
      </c>
      <c r="B915">
        <v>87</v>
      </c>
      <c r="C915">
        <v>112</v>
      </c>
      <c r="D915" t="s">
        <v>16</v>
      </c>
      <c r="E915" t="str">
        <f t="shared" si="14"/>
        <v>1212EN03PT</v>
      </c>
      <c r="F915">
        <f>VLOOKUP(B915,[1]Course!$A$2:$R$329,2,FALSE)</f>
        <v>0</v>
      </c>
      <c r="G915">
        <f>VLOOKUP(B915, [1]Course!$A$2:$L$950, 8, FALSE)</f>
        <v>12</v>
      </c>
      <c r="H915">
        <v>3</v>
      </c>
      <c r="I915">
        <v>1</v>
      </c>
      <c r="J915">
        <v>1989</v>
      </c>
      <c r="K915">
        <v>1996</v>
      </c>
      <c r="L915">
        <v>1</v>
      </c>
      <c r="M915" t="str">
        <f>VLOOKUP(B915, [1]Course!$A$1:$O$933, 12, FALSE)</f>
        <v>LA</v>
      </c>
      <c r="N915" t="s">
        <v>14</v>
      </c>
      <c r="O915" t="str">
        <f>VLOOKUP(B915, [1]Course!$A$1:$O$933, 14, FALSE)</f>
        <v>EN</v>
      </c>
      <c r="P915">
        <v>1</v>
      </c>
    </row>
    <row r="916" spans="1:16" x14ac:dyDescent="0.25">
      <c r="A916">
        <v>919</v>
      </c>
      <c r="B916">
        <v>87</v>
      </c>
      <c r="C916">
        <v>113</v>
      </c>
      <c r="D916" t="s">
        <v>16</v>
      </c>
      <c r="E916" t="str">
        <f t="shared" si="14"/>
        <v>1213EN03PT</v>
      </c>
      <c r="F916">
        <f>VLOOKUP(B916,[1]Course!$A$2:$R$329,2,FALSE)</f>
        <v>0</v>
      </c>
      <c r="G916">
        <f>VLOOKUP(B916, [1]Course!$A$2:$L$950, 8, FALSE)</f>
        <v>12</v>
      </c>
      <c r="H916">
        <v>3</v>
      </c>
      <c r="I916">
        <v>1</v>
      </c>
      <c r="J916">
        <v>1989</v>
      </c>
      <c r="K916">
        <v>1997</v>
      </c>
      <c r="L916">
        <v>1</v>
      </c>
      <c r="M916" t="str">
        <f>VLOOKUP(B916, [1]Course!$A$1:$O$933, 12, FALSE)</f>
        <v>LA</v>
      </c>
      <c r="N916" t="s">
        <v>14</v>
      </c>
      <c r="O916" t="str">
        <f>VLOOKUP(B916, [1]Course!$A$1:$O$933, 14, FALSE)</f>
        <v>EN</v>
      </c>
      <c r="P916">
        <v>1</v>
      </c>
    </row>
    <row r="917" spans="1:16" x14ac:dyDescent="0.25">
      <c r="A917">
        <v>920</v>
      </c>
      <c r="B917">
        <v>87</v>
      </c>
      <c r="C917">
        <v>114</v>
      </c>
      <c r="D917" t="s">
        <v>16</v>
      </c>
      <c r="E917" t="str">
        <f t="shared" si="14"/>
        <v>1214EN03PT</v>
      </c>
      <c r="F917">
        <f>VLOOKUP(B917,[1]Course!$A$2:$R$329,2,FALSE)</f>
        <v>0</v>
      </c>
      <c r="G917">
        <f>VLOOKUP(B917, [1]Course!$A$2:$L$950, 8, FALSE)</f>
        <v>12</v>
      </c>
      <c r="H917">
        <v>3</v>
      </c>
      <c r="I917">
        <v>1</v>
      </c>
      <c r="L917">
        <v>1</v>
      </c>
      <c r="M917" t="str">
        <f>VLOOKUP(B917, [1]Course!$A$1:$O$933, 12, FALSE)</f>
        <v>LA</v>
      </c>
      <c r="N917" t="s">
        <v>14</v>
      </c>
      <c r="O917" t="str">
        <f>VLOOKUP(B917, [1]Course!$A$1:$O$933, 14, FALSE)</f>
        <v>EN</v>
      </c>
      <c r="P917">
        <v>1</v>
      </c>
    </row>
    <row r="918" spans="1:16" x14ac:dyDescent="0.25">
      <c r="A918">
        <v>921</v>
      </c>
      <c r="B918">
        <v>87</v>
      </c>
      <c r="C918">
        <v>115</v>
      </c>
      <c r="D918" t="s">
        <v>16</v>
      </c>
      <c r="E918" t="str">
        <f t="shared" si="14"/>
        <v>1215EN03PT</v>
      </c>
      <c r="F918">
        <f>VLOOKUP(B918,[1]Course!$A$2:$R$329,2,FALSE)</f>
        <v>0</v>
      </c>
      <c r="G918">
        <f>VLOOKUP(B918, [1]Course!$A$2:$L$950, 8, FALSE)</f>
        <v>12</v>
      </c>
      <c r="H918">
        <v>3</v>
      </c>
      <c r="I918">
        <v>1</v>
      </c>
      <c r="J918">
        <v>1989</v>
      </c>
      <c r="K918">
        <v>2019</v>
      </c>
      <c r="L918">
        <v>1</v>
      </c>
      <c r="M918" t="str">
        <f>VLOOKUP(B918, [1]Course!$A$1:$O$933, 12, FALSE)</f>
        <v>LA</v>
      </c>
      <c r="N918" t="s">
        <v>14</v>
      </c>
      <c r="O918" t="str">
        <f>VLOOKUP(B918, [1]Course!$A$1:$O$933, 14, FALSE)</f>
        <v>EN</v>
      </c>
      <c r="P918">
        <v>1</v>
      </c>
    </row>
    <row r="919" spans="1:16" x14ac:dyDescent="0.25">
      <c r="A919">
        <v>922</v>
      </c>
      <c r="B919">
        <v>87</v>
      </c>
      <c r="C919">
        <v>116</v>
      </c>
      <c r="D919" t="s">
        <v>16</v>
      </c>
      <c r="E919" t="str">
        <f t="shared" si="14"/>
        <v>1216EN03PT</v>
      </c>
      <c r="F919">
        <f>VLOOKUP(B919,[1]Course!$A$2:$R$329,2,FALSE)</f>
        <v>0</v>
      </c>
      <c r="G919">
        <f>VLOOKUP(B919, [1]Course!$A$2:$L$950, 8, FALSE)</f>
        <v>12</v>
      </c>
      <c r="H919">
        <v>3</v>
      </c>
      <c r="I919">
        <v>1</v>
      </c>
      <c r="J919">
        <v>1989</v>
      </c>
      <c r="K919">
        <v>1996</v>
      </c>
      <c r="L919">
        <v>1</v>
      </c>
      <c r="M919" t="str">
        <f>VLOOKUP(B919, [1]Course!$A$1:$O$933, 12, FALSE)</f>
        <v>LA</v>
      </c>
      <c r="N919" t="s">
        <v>14</v>
      </c>
      <c r="O919" t="str">
        <f>VLOOKUP(B919, [1]Course!$A$1:$O$933, 14, FALSE)</f>
        <v>EN</v>
      </c>
      <c r="P919">
        <v>1</v>
      </c>
    </row>
    <row r="920" spans="1:16" x14ac:dyDescent="0.25">
      <c r="A920">
        <v>923</v>
      </c>
      <c r="B920">
        <v>87</v>
      </c>
      <c r="C920">
        <v>117</v>
      </c>
      <c r="D920" t="s">
        <v>16</v>
      </c>
      <c r="E920" t="str">
        <f t="shared" si="14"/>
        <v>1217EN03PT</v>
      </c>
      <c r="F920">
        <f>VLOOKUP(B920,[1]Course!$A$2:$R$329,2,FALSE)</f>
        <v>0</v>
      </c>
      <c r="G920">
        <f>VLOOKUP(B920, [1]Course!$A$2:$L$950, 8, FALSE)</f>
        <v>12</v>
      </c>
      <c r="H920">
        <v>3</v>
      </c>
      <c r="I920">
        <v>1</v>
      </c>
      <c r="J920">
        <v>1989</v>
      </c>
      <c r="K920">
        <v>1997</v>
      </c>
      <c r="L920">
        <v>1</v>
      </c>
      <c r="M920" t="str">
        <f>VLOOKUP(B920, [1]Course!$A$1:$O$933, 12, FALSE)</f>
        <v>LA</v>
      </c>
      <c r="N920" t="s">
        <v>14</v>
      </c>
      <c r="O920" t="str">
        <f>VLOOKUP(B920, [1]Course!$A$1:$O$933, 14, FALSE)</f>
        <v>EN</v>
      </c>
      <c r="P920">
        <v>1</v>
      </c>
    </row>
    <row r="921" spans="1:16" x14ac:dyDescent="0.25">
      <c r="A921">
        <v>924</v>
      </c>
      <c r="B921">
        <v>87</v>
      </c>
      <c r="C921">
        <v>118</v>
      </c>
      <c r="D921" t="s">
        <v>16</v>
      </c>
      <c r="E921" t="str">
        <f t="shared" si="14"/>
        <v>1218EN03PT</v>
      </c>
      <c r="F921">
        <f>VLOOKUP(B921,[1]Course!$A$2:$R$329,2,FALSE)</f>
        <v>0</v>
      </c>
      <c r="G921">
        <f>VLOOKUP(B921, [1]Course!$A$2:$L$950, 8, FALSE)</f>
        <v>12</v>
      </c>
      <c r="H921">
        <v>3</v>
      </c>
      <c r="I921">
        <v>1</v>
      </c>
      <c r="J921">
        <v>1989</v>
      </c>
      <c r="K921">
        <v>2005</v>
      </c>
      <c r="L921">
        <v>1</v>
      </c>
      <c r="M921" t="str">
        <f>VLOOKUP(B921, [1]Course!$A$1:$O$933, 12, FALSE)</f>
        <v>LA</v>
      </c>
      <c r="N921" t="s">
        <v>14</v>
      </c>
      <c r="O921" t="str">
        <f>VLOOKUP(B921, [1]Course!$A$1:$O$933, 14, FALSE)</f>
        <v>EN</v>
      </c>
      <c r="P921">
        <v>1</v>
      </c>
    </row>
    <row r="922" spans="1:16" x14ac:dyDescent="0.25">
      <c r="A922">
        <v>925</v>
      </c>
      <c r="B922">
        <v>87</v>
      </c>
      <c r="C922">
        <v>119</v>
      </c>
      <c r="D922" t="s">
        <v>16</v>
      </c>
      <c r="E922" t="str">
        <f t="shared" si="14"/>
        <v>1219EN03PT</v>
      </c>
      <c r="F922">
        <f>VLOOKUP(B922,[1]Course!$A$2:$R$329,2,FALSE)</f>
        <v>0</v>
      </c>
      <c r="G922">
        <f>VLOOKUP(B922, [1]Course!$A$2:$L$950, 8, FALSE)</f>
        <v>12</v>
      </c>
      <c r="H922">
        <v>3</v>
      </c>
      <c r="I922">
        <v>1</v>
      </c>
      <c r="J922">
        <v>1989</v>
      </c>
      <c r="K922">
        <v>2002</v>
      </c>
      <c r="L922">
        <v>1</v>
      </c>
      <c r="M922" t="str">
        <f>VLOOKUP(B922, [1]Course!$A$1:$O$933, 12, FALSE)</f>
        <v>LA</v>
      </c>
      <c r="N922" t="s">
        <v>14</v>
      </c>
      <c r="O922" t="str">
        <f>VLOOKUP(B922, [1]Course!$A$1:$O$933, 14, FALSE)</f>
        <v>EN</v>
      </c>
      <c r="P922">
        <v>1</v>
      </c>
    </row>
    <row r="923" spans="1:16" x14ac:dyDescent="0.25">
      <c r="A923">
        <v>926</v>
      </c>
      <c r="B923">
        <v>87</v>
      </c>
      <c r="C923">
        <v>120</v>
      </c>
      <c r="D923" t="s">
        <v>16</v>
      </c>
      <c r="E923" t="str">
        <f t="shared" si="14"/>
        <v>1220EN03PT</v>
      </c>
      <c r="F923">
        <f>VLOOKUP(B923,[1]Course!$A$2:$R$329,2,FALSE)</f>
        <v>0</v>
      </c>
      <c r="G923">
        <f>VLOOKUP(B923, [1]Course!$A$2:$L$950, 8, FALSE)</f>
        <v>12</v>
      </c>
      <c r="H923">
        <v>3</v>
      </c>
      <c r="I923">
        <v>1</v>
      </c>
      <c r="J923">
        <v>1989</v>
      </c>
      <c r="K923">
        <v>2002</v>
      </c>
      <c r="L923">
        <v>1</v>
      </c>
      <c r="M923" t="str">
        <f>VLOOKUP(B923, [1]Course!$A$1:$O$933, 12, FALSE)</f>
        <v>LA</v>
      </c>
      <c r="N923" t="s">
        <v>14</v>
      </c>
      <c r="O923" t="str">
        <f>VLOOKUP(B923, [1]Course!$A$1:$O$933, 14, FALSE)</f>
        <v>EN</v>
      </c>
      <c r="P923">
        <v>1</v>
      </c>
    </row>
    <row r="924" spans="1:16" x14ac:dyDescent="0.25">
      <c r="A924">
        <v>927</v>
      </c>
      <c r="B924">
        <v>88</v>
      </c>
      <c r="C924">
        <v>3</v>
      </c>
      <c r="D924" t="s">
        <v>30</v>
      </c>
      <c r="E924" t="str">
        <f t="shared" si="14"/>
        <v>303RS03PT</v>
      </c>
      <c r="F924">
        <f>VLOOKUP(B924,[1]Course!$A$2:$R$329,2,FALSE)</f>
        <v>0</v>
      </c>
      <c r="G924">
        <f>VLOOKUP(B924, [1]Course!$A$2:$L$950, 8, FALSE)</f>
        <v>3</v>
      </c>
      <c r="H924">
        <v>3</v>
      </c>
      <c r="I924">
        <v>1</v>
      </c>
      <c r="M924" t="str">
        <f>VLOOKUP(B924, [1]Course!$A$1:$O$933, 12, FALSE)</f>
        <v>LA</v>
      </c>
      <c r="N924" t="s">
        <v>14</v>
      </c>
      <c r="O924" t="str">
        <f>VLOOKUP(B924, [1]Course!$A$1:$O$933, 14, FALSE)</f>
        <v>RS</v>
      </c>
      <c r="P924">
        <v>1</v>
      </c>
    </row>
    <row r="925" spans="1:16" x14ac:dyDescent="0.25">
      <c r="A925">
        <v>928</v>
      </c>
      <c r="B925">
        <v>88</v>
      </c>
      <c r="C925">
        <v>4</v>
      </c>
      <c r="D925" t="s">
        <v>30</v>
      </c>
      <c r="E925" t="str">
        <f t="shared" si="14"/>
        <v>304RS03PT</v>
      </c>
      <c r="F925">
        <f>VLOOKUP(B925,[1]Course!$A$2:$R$329,2,FALSE)</f>
        <v>0</v>
      </c>
      <c r="G925">
        <f>VLOOKUP(B925, [1]Course!$A$2:$L$950, 8, FALSE)</f>
        <v>3</v>
      </c>
      <c r="H925">
        <v>3</v>
      </c>
      <c r="I925">
        <v>1</v>
      </c>
      <c r="M925" t="str">
        <f>VLOOKUP(B925, [1]Course!$A$1:$O$933, 12, FALSE)</f>
        <v>LA</v>
      </c>
      <c r="N925" t="s">
        <v>14</v>
      </c>
      <c r="O925" t="str">
        <f>VLOOKUP(B925, [1]Course!$A$1:$O$933, 14, FALSE)</f>
        <v>RS</v>
      </c>
      <c r="P925">
        <v>1</v>
      </c>
    </row>
    <row r="926" spans="1:16" x14ac:dyDescent="0.25">
      <c r="A926">
        <v>929</v>
      </c>
      <c r="B926">
        <v>88</v>
      </c>
      <c r="C926">
        <v>5</v>
      </c>
      <c r="D926" t="s">
        <v>30</v>
      </c>
      <c r="E926" t="str">
        <f t="shared" si="14"/>
        <v>305RS03PT</v>
      </c>
      <c r="F926">
        <f>VLOOKUP(B926,[1]Course!$A$2:$R$329,2,FALSE)</f>
        <v>0</v>
      </c>
      <c r="G926">
        <f>VLOOKUP(B926, [1]Course!$A$2:$L$950, 8, FALSE)</f>
        <v>3</v>
      </c>
      <c r="H926">
        <v>3</v>
      </c>
      <c r="I926">
        <v>1</v>
      </c>
      <c r="M926" t="str">
        <f>VLOOKUP(B926, [1]Course!$A$1:$O$933, 12, FALSE)</f>
        <v>LA</v>
      </c>
      <c r="N926" t="s">
        <v>14</v>
      </c>
      <c r="O926" t="str">
        <f>VLOOKUP(B926, [1]Course!$A$1:$O$933, 14, FALSE)</f>
        <v>RS</v>
      </c>
      <c r="P926">
        <v>1</v>
      </c>
    </row>
    <row r="927" spans="1:16" x14ac:dyDescent="0.25">
      <c r="A927">
        <v>930</v>
      </c>
      <c r="B927">
        <v>90</v>
      </c>
      <c r="C927">
        <v>109</v>
      </c>
      <c r="D927" t="s">
        <v>54</v>
      </c>
      <c r="E927" t="str">
        <f t="shared" si="14"/>
        <v>1209PS03PT</v>
      </c>
      <c r="F927" t="str">
        <f>VLOOKUP(B927,[1]Course!$A$2:$R$329,2,FALSE)</f>
        <v>Science 10</v>
      </c>
      <c r="G927">
        <f>VLOOKUP(B927, [1]Course!$A$2:$L$950, 8, FALSE)</f>
        <v>12</v>
      </c>
      <c r="H927">
        <v>3</v>
      </c>
      <c r="I927">
        <v>1</v>
      </c>
      <c r="J927">
        <v>1992</v>
      </c>
      <c r="K927">
        <v>2013</v>
      </c>
      <c r="L927">
        <v>1</v>
      </c>
      <c r="M927" t="str">
        <f>VLOOKUP(B927, [1]Course!$A$1:$O$933, 12, FALSE)</f>
        <v>SC</v>
      </c>
      <c r="N927" t="s">
        <v>14</v>
      </c>
      <c r="O927" t="str">
        <f>VLOOKUP(B927, [1]Course!$A$1:$O$933, 14, FALSE)</f>
        <v>PS</v>
      </c>
      <c r="P927">
        <v>1</v>
      </c>
    </row>
    <row r="928" spans="1:16" x14ac:dyDescent="0.25">
      <c r="A928">
        <v>931</v>
      </c>
      <c r="B928">
        <v>90</v>
      </c>
      <c r="C928">
        <v>110</v>
      </c>
      <c r="D928" t="s">
        <v>54</v>
      </c>
      <c r="E928" t="str">
        <f t="shared" si="14"/>
        <v>1210PS03PT</v>
      </c>
      <c r="F928" t="str">
        <f>VLOOKUP(B928,[1]Course!$A$2:$R$329,2,FALSE)</f>
        <v>Science 10</v>
      </c>
      <c r="G928">
        <f>VLOOKUP(B928, [1]Course!$A$2:$L$950, 8, FALSE)</f>
        <v>12</v>
      </c>
      <c r="H928">
        <v>3</v>
      </c>
      <c r="I928">
        <v>1</v>
      </c>
      <c r="J928">
        <v>1992</v>
      </c>
      <c r="K928">
        <v>2013</v>
      </c>
      <c r="L928">
        <v>1</v>
      </c>
      <c r="M928" t="str">
        <f>VLOOKUP(B928, [1]Course!$A$1:$O$933, 12, FALSE)</f>
        <v>SC</v>
      </c>
      <c r="N928" t="s">
        <v>14</v>
      </c>
      <c r="O928" t="str">
        <f>VLOOKUP(B928, [1]Course!$A$1:$O$933, 14, FALSE)</f>
        <v>PS</v>
      </c>
      <c r="P928">
        <v>1</v>
      </c>
    </row>
    <row r="929" spans="1:16" x14ac:dyDescent="0.25">
      <c r="A929">
        <v>932</v>
      </c>
      <c r="B929">
        <v>90</v>
      </c>
      <c r="C929">
        <v>111</v>
      </c>
      <c r="D929" t="s">
        <v>54</v>
      </c>
      <c r="E929" t="str">
        <f t="shared" si="14"/>
        <v>1211PS03PT</v>
      </c>
      <c r="F929" t="str">
        <f>VLOOKUP(B929,[1]Course!$A$2:$R$329,2,FALSE)</f>
        <v>Science 10</v>
      </c>
      <c r="G929">
        <f>VLOOKUP(B929, [1]Course!$A$2:$L$950, 8, FALSE)</f>
        <v>12</v>
      </c>
      <c r="H929">
        <v>3</v>
      </c>
      <c r="I929">
        <v>1</v>
      </c>
      <c r="J929">
        <v>1992</v>
      </c>
      <c r="K929">
        <v>2013</v>
      </c>
      <c r="L929">
        <v>1</v>
      </c>
      <c r="M929" t="str">
        <f>VLOOKUP(B929, [1]Course!$A$1:$O$933, 12, FALSE)</f>
        <v>SC</v>
      </c>
      <c r="N929" t="s">
        <v>14</v>
      </c>
      <c r="O929" t="str">
        <f>VLOOKUP(B929, [1]Course!$A$1:$O$933, 14, FALSE)</f>
        <v>PS</v>
      </c>
      <c r="P929">
        <v>1</v>
      </c>
    </row>
    <row r="930" spans="1:16" x14ac:dyDescent="0.25">
      <c r="A930">
        <v>933</v>
      </c>
      <c r="B930">
        <v>90</v>
      </c>
      <c r="C930">
        <v>112</v>
      </c>
      <c r="D930" t="s">
        <v>54</v>
      </c>
      <c r="E930" t="str">
        <f t="shared" si="14"/>
        <v>1212PS03PT</v>
      </c>
      <c r="F930" t="str">
        <f>VLOOKUP(B930,[1]Course!$A$2:$R$329,2,FALSE)</f>
        <v>Science 10</v>
      </c>
      <c r="G930">
        <f>VLOOKUP(B930, [1]Course!$A$2:$L$950, 8, FALSE)</f>
        <v>12</v>
      </c>
      <c r="H930">
        <v>3</v>
      </c>
      <c r="I930">
        <v>1</v>
      </c>
      <c r="J930">
        <v>1992</v>
      </c>
      <c r="K930">
        <v>2015</v>
      </c>
      <c r="L930">
        <v>1</v>
      </c>
      <c r="M930" t="str">
        <f>VLOOKUP(B930, [1]Course!$A$1:$O$933, 12, FALSE)</f>
        <v>SC</v>
      </c>
      <c r="N930" t="s">
        <v>14</v>
      </c>
      <c r="O930" t="str">
        <f>VLOOKUP(B930, [1]Course!$A$1:$O$933, 14, FALSE)</f>
        <v>PS</v>
      </c>
      <c r="P930">
        <v>1</v>
      </c>
    </row>
    <row r="931" spans="1:16" x14ac:dyDescent="0.25">
      <c r="A931">
        <v>934</v>
      </c>
      <c r="B931">
        <v>90</v>
      </c>
      <c r="C931">
        <v>113</v>
      </c>
      <c r="D931" t="s">
        <v>54</v>
      </c>
      <c r="E931" t="str">
        <f t="shared" si="14"/>
        <v>1213PS03PT</v>
      </c>
      <c r="F931" t="str">
        <f>VLOOKUP(B931,[1]Course!$A$2:$R$329,2,FALSE)</f>
        <v>Science 10</v>
      </c>
      <c r="G931">
        <f>VLOOKUP(B931, [1]Course!$A$2:$L$950, 8, FALSE)</f>
        <v>12</v>
      </c>
      <c r="H931">
        <v>3</v>
      </c>
      <c r="I931">
        <v>1</v>
      </c>
      <c r="J931">
        <v>1992</v>
      </c>
      <c r="K931">
        <v>2013</v>
      </c>
      <c r="L931">
        <v>1</v>
      </c>
      <c r="M931" t="str">
        <f>VLOOKUP(B931, [1]Course!$A$1:$O$933, 12, FALSE)</f>
        <v>SC</v>
      </c>
      <c r="N931" t="s">
        <v>14</v>
      </c>
      <c r="O931" t="str">
        <f>VLOOKUP(B931, [1]Course!$A$1:$O$933, 14, FALSE)</f>
        <v>PS</v>
      </c>
      <c r="P931">
        <v>1</v>
      </c>
    </row>
    <row r="932" spans="1:16" x14ac:dyDescent="0.25">
      <c r="A932">
        <v>935</v>
      </c>
      <c r="B932">
        <v>90</v>
      </c>
      <c r="C932">
        <v>114</v>
      </c>
      <c r="D932" t="s">
        <v>54</v>
      </c>
      <c r="E932" t="str">
        <f t="shared" si="14"/>
        <v>1214PS03PT</v>
      </c>
      <c r="F932" t="str">
        <f>VLOOKUP(B932,[1]Course!$A$2:$R$329,2,FALSE)</f>
        <v>Science 10</v>
      </c>
      <c r="G932">
        <f>VLOOKUP(B932, [1]Course!$A$2:$L$950, 8, FALSE)</f>
        <v>12</v>
      </c>
      <c r="H932">
        <v>3</v>
      </c>
      <c r="I932">
        <v>1</v>
      </c>
      <c r="J932">
        <v>1992</v>
      </c>
      <c r="K932">
        <v>2013</v>
      </c>
      <c r="L932">
        <v>1</v>
      </c>
      <c r="M932" t="str">
        <f>VLOOKUP(B932, [1]Course!$A$1:$O$933, 12, FALSE)</f>
        <v>SC</v>
      </c>
      <c r="N932" t="s">
        <v>14</v>
      </c>
      <c r="O932" t="str">
        <f>VLOOKUP(B932, [1]Course!$A$1:$O$933, 14, FALSE)</f>
        <v>PS</v>
      </c>
      <c r="P932">
        <v>1</v>
      </c>
    </row>
    <row r="933" spans="1:16" x14ac:dyDescent="0.25">
      <c r="A933">
        <v>936</v>
      </c>
      <c r="B933">
        <v>90</v>
      </c>
      <c r="C933">
        <v>115</v>
      </c>
      <c r="D933" t="s">
        <v>54</v>
      </c>
      <c r="E933" t="str">
        <f t="shared" si="14"/>
        <v>1215PS03PT</v>
      </c>
      <c r="F933" t="str">
        <f>VLOOKUP(B933,[1]Course!$A$2:$R$329,2,FALSE)</f>
        <v>Science 10</v>
      </c>
      <c r="G933">
        <f>VLOOKUP(B933, [1]Course!$A$2:$L$950, 8, FALSE)</f>
        <v>12</v>
      </c>
      <c r="H933">
        <v>3</v>
      </c>
      <c r="I933">
        <v>1</v>
      </c>
      <c r="J933">
        <v>1992</v>
      </c>
      <c r="K933">
        <v>2016</v>
      </c>
      <c r="L933">
        <v>1</v>
      </c>
      <c r="M933" t="str">
        <f>VLOOKUP(B933, [1]Course!$A$1:$O$933, 12, FALSE)</f>
        <v>SC</v>
      </c>
      <c r="N933" t="s">
        <v>14</v>
      </c>
      <c r="O933" t="str">
        <f>VLOOKUP(B933, [1]Course!$A$1:$O$933, 14, FALSE)</f>
        <v>PS</v>
      </c>
      <c r="P933">
        <v>1</v>
      </c>
    </row>
    <row r="934" spans="1:16" x14ac:dyDescent="0.25">
      <c r="A934">
        <v>937</v>
      </c>
      <c r="B934">
        <v>90</v>
      </c>
      <c r="C934">
        <v>116</v>
      </c>
      <c r="D934" t="s">
        <v>54</v>
      </c>
      <c r="E934" t="str">
        <f t="shared" si="14"/>
        <v>1216PS03PT</v>
      </c>
      <c r="F934" t="str">
        <f>VLOOKUP(B934,[1]Course!$A$2:$R$329,2,FALSE)</f>
        <v>Science 10</v>
      </c>
      <c r="G934">
        <f>VLOOKUP(B934, [1]Course!$A$2:$L$950, 8, FALSE)</f>
        <v>12</v>
      </c>
      <c r="H934">
        <v>3</v>
      </c>
      <c r="I934">
        <v>1</v>
      </c>
      <c r="J934">
        <v>1992</v>
      </c>
      <c r="K934">
        <v>2013</v>
      </c>
      <c r="L934">
        <v>1</v>
      </c>
      <c r="M934" t="str">
        <f>VLOOKUP(B934, [1]Course!$A$1:$O$933, 12, FALSE)</f>
        <v>SC</v>
      </c>
      <c r="N934" t="s">
        <v>14</v>
      </c>
      <c r="O934" t="str">
        <f>VLOOKUP(B934, [1]Course!$A$1:$O$933, 14, FALSE)</f>
        <v>PS</v>
      </c>
      <c r="P934">
        <v>1</v>
      </c>
    </row>
    <row r="935" spans="1:16" x14ac:dyDescent="0.25">
      <c r="A935">
        <v>938</v>
      </c>
      <c r="B935">
        <v>90</v>
      </c>
      <c r="C935">
        <v>117</v>
      </c>
      <c r="D935" t="s">
        <v>54</v>
      </c>
      <c r="E935" t="str">
        <f t="shared" si="14"/>
        <v>1217PS03PT</v>
      </c>
      <c r="F935" t="str">
        <f>VLOOKUP(B935,[1]Course!$A$2:$R$329,2,FALSE)</f>
        <v>Science 10</v>
      </c>
      <c r="G935">
        <f>VLOOKUP(B935, [1]Course!$A$2:$L$950, 8, FALSE)</f>
        <v>12</v>
      </c>
      <c r="H935">
        <v>3</v>
      </c>
      <c r="I935">
        <v>1</v>
      </c>
      <c r="J935">
        <v>1992</v>
      </c>
      <c r="K935">
        <v>2012</v>
      </c>
      <c r="L935">
        <v>1</v>
      </c>
      <c r="M935" t="str">
        <f>VLOOKUP(B935, [1]Course!$A$1:$O$933, 12, FALSE)</f>
        <v>SC</v>
      </c>
      <c r="N935" t="s">
        <v>14</v>
      </c>
      <c r="O935" t="str">
        <f>VLOOKUP(B935, [1]Course!$A$1:$O$933, 14, FALSE)</f>
        <v>PS</v>
      </c>
      <c r="P935">
        <v>1</v>
      </c>
    </row>
    <row r="936" spans="1:16" x14ac:dyDescent="0.25">
      <c r="A936">
        <v>939</v>
      </c>
      <c r="B936">
        <v>90</v>
      </c>
      <c r="C936">
        <v>118</v>
      </c>
      <c r="D936" t="s">
        <v>54</v>
      </c>
      <c r="E936" t="str">
        <f t="shared" si="14"/>
        <v>1218PS03PT</v>
      </c>
      <c r="F936" t="str">
        <f>VLOOKUP(B936,[1]Course!$A$2:$R$329,2,FALSE)</f>
        <v>Science 10</v>
      </c>
      <c r="G936">
        <f>VLOOKUP(B936, [1]Course!$A$2:$L$950, 8, FALSE)</f>
        <v>12</v>
      </c>
      <c r="H936">
        <v>3</v>
      </c>
      <c r="I936">
        <v>1</v>
      </c>
      <c r="J936">
        <v>1992</v>
      </c>
      <c r="K936">
        <v>2013</v>
      </c>
      <c r="L936">
        <v>1</v>
      </c>
      <c r="M936" t="str">
        <f>VLOOKUP(B936, [1]Course!$A$1:$O$933, 12, FALSE)</f>
        <v>SC</v>
      </c>
      <c r="N936" t="s">
        <v>14</v>
      </c>
      <c r="O936" t="str">
        <f>VLOOKUP(B936, [1]Course!$A$1:$O$933, 14, FALSE)</f>
        <v>PS</v>
      </c>
      <c r="P936">
        <v>1</v>
      </c>
    </row>
    <row r="937" spans="1:16" x14ac:dyDescent="0.25">
      <c r="A937">
        <v>940</v>
      </c>
      <c r="B937">
        <v>90</v>
      </c>
      <c r="C937">
        <v>119</v>
      </c>
      <c r="D937" t="s">
        <v>54</v>
      </c>
      <c r="E937" t="str">
        <f t="shared" si="14"/>
        <v>1219PS03PT</v>
      </c>
      <c r="F937" t="str">
        <f>VLOOKUP(B937,[1]Course!$A$2:$R$329,2,FALSE)</f>
        <v>Science 10</v>
      </c>
      <c r="G937">
        <f>VLOOKUP(B937, [1]Course!$A$2:$L$950, 8, FALSE)</f>
        <v>12</v>
      </c>
      <c r="H937">
        <v>3</v>
      </c>
      <c r="I937">
        <v>1</v>
      </c>
      <c r="J937">
        <v>1992</v>
      </c>
      <c r="K937">
        <v>2013</v>
      </c>
      <c r="L937">
        <v>1</v>
      </c>
      <c r="M937" t="str">
        <f>VLOOKUP(B937, [1]Course!$A$1:$O$933, 12, FALSE)</f>
        <v>SC</v>
      </c>
      <c r="N937" t="s">
        <v>14</v>
      </c>
      <c r="O937" t="str">
        <f>VLOOKUP(B937, [1]Course!$A$1:$O$933, 14, FALSE)</f>
        <v>PS</v>
      </c>
      <c r="P937">
        <v>1</v>
      </c>
    </row>
    <row r="938" spans="1:16" x14ac:dyDescent="0.25">
      <c r="A938">
        <v>941</v>
      </c>
      <c r="B938">
        <v>90</v>
      </c>
      <c r="C938">
        <v>120</v>
      </c>
      <c r="D938" t="s">
        <v>54</v>
      </c>
      <c r="E938" t="str">
        <f t="shared" si="14"/>
        <v>1220PS03PT</v>
      </c>
      <c r="F938" t="str">
        <f>VLOOKUP(B938,[1]Course!$A$2:$R$329,2,FALSE)</f>
        <v>Science 10</v>
      </c>
      <c r="G938">
        <f>VLOOKUP(B938, [1]Course!$A$2:$L$950, 8, FALSE)</f>
        <v>12</v>
      </c>
      <c r="H938">
        <v>3</v>
      </c>
      <c r="I938">
        <v>1</v>
      </c>
      <c r="J938">
        <v>1992</v>
      </c>
      <c r="K938">
        <v>2013</v>
      </c>
      <c r="L938">
        <v>1</v>
      </c>
      <c r="M938" t="str">
        <f>VLOOKUP(B938, [1]Course!$A$1:$O$933, 12, FALSE)</f>
        <v>SC</v>
      </c>
      <c r="N938" t="s">
        <v>14</v>
      </c>
      <c r="O938" t="str">
        <f>VLOOKUP(B938, [1]Course!$A$1:$O$933, 14, FALSE)</f>
        <v>PS</v>
      </c>
      <c r="P938">
        <v>1</v>
      </c>
    </row>
    <row r="939" spans="1:16" x14ac:dyDescent="0.25">
      <c r="A939">
        <v>942</v>
      </c>
      <c r="B939">
        <v>91</v>
      </c>
      <c r="C939">
        <v>1</v>
      </c>
      <c r="D939" t="s">
        <v>55</v>
      </c>
      <c r="E939" t="str">
        <f t="shared" si="14"/>
        <v>1001HC03PT</v>
      </c>
      <c r="F939" t="str">
        <f>VLOOKUP(B939,[1]Course!$A$2:$R$329,2,FALSE)</f>
        <v>History of Civilisation I</v>
      </c>
      <c r="G939">
        <f>VLOOKUP(B939, [1]Course!$A$2:$L$950, 8, FALSE)</f>
        <v>10</v>
      </c>
      <c r="H939">
        <v>3</v>
      </c>
      <c r="I939">
        <v>1</v>
      </c>
      <c r="M939" t="str">
        <f>VLOOKUP(B939, [1]Course!$A$1:$O$933, 12, FALSE)</f>
        <v>SS</v>
      </c>
      <c r="N939" t="s">
        <v>14</v>
      </c>
      <c r="O939" t="str">
        <f>VLOOKUP(B939, [1]Course!$A$1:$O$933, 14, FALSE)</f>
        <v>HC</v>
      </c>
      <c r="P939">
        <v>1</v>
      </c>
    </row>
    <row r="940" spans="1:16" x14ac:dyDescent="0.25">
      <c r="A940">
        <v>943</v>
      </c>
      <c r="B940">
        <v>91</v>
      </c>
      <c r="C940">
        <v>2</v>
      </c>
      <c r="D940" t="s">
        <v>55</v>
      </c>
      <c r="E940" t="str">
        <f t="shared" si="14"/>
        <v>1002HC03PT</v>
      </c>
      <c r="F940" t="str">
        <f>VLOOKUP(B940,[1]Course!$A$2:$R$329,2,FALSE)</f>
        <v>History of Civilisation I</v>
      </c>
      <c r="G940">
        <f>VLOOKUP(B940, [1]Course!$A$2:$L$950, 8, FALSE)</f>
        <v>10</v>
      </c>
      <c r="H940">
        <v>3</v>
      </c>
      <c r="I940">
        <v>1</v>
      </c>
      <c r="M940" t="str">
        <f>VLOOKUP(B940, [1]Course!$A$1:$O$933, 12, FALSE)</f>
        <v>SS</v>
      </c>
      <c r="N940" t="s">
        <v>14</v>
      </c>
      <c r="O940" t="str">
        <f>VLOOKUP(B940, [1]Course!$A$1:$O$933, 14, FALSE)</f>
        <v>HC</v>
      </c>
      <c r="P940">
        <v>1</v>
      </c>
    </row>
    <row r="941" spans="1:16" x14ac:dyDescent="0.25">
      <c r="A941">
        <v>944</v>
      </c>
      <c r="B941">
        <v>91</v>
      </c>
      <c r="C941">
        <v>3</v>
      </c>
      <c r="D941" t="s">
        <v>55</v>
      </c>
      <c r="E941" t="str">
        <f t="shared" si="14"/>
        <v>1003HC03PT</v>
      </c>
      <c r="F941" t="str">
        <f>VLOOKUP(B941,[1]Course!$A$2:$R$329,2,FALSE)</f>
        <v>History of Civilisation I</v>
      </c>
      <c r="G941">
        <f>VLOOKUP(B941, [1]Course!$A$2:$L$950, 8, FALSE)</f>
        <v>10</v>
      </c>
      <c r="H941">
        <v>3</v>
      </c>
      <c r="I941">
        <v>1</v>
      </c>
      <c r="M941" t="str">
        <f>VLOOKUP(B941, [1]Course!$A$1:$O$933, 12, FALSE)</f>
        <v>SS</v>
      </c>
      <c r="N941" t="s">
        <v>14</v>
      </c>
      <c r="O941" t="str">
        <f>VLOOKUP(B941, [1]Course!$A$1:$O$933, 14, FALSE)</f>
        <v>HC</v>
      </c>
      <c r="P941">
        <v>1</v>
      </c>
    </row>
    <row r="942" spans="1:16" x14ac:dyDescent="0.25">
      <c r="A942">
        <v>945</v>
      </c>
      <c r="B942">
        <v>91</v>
      </c>
      <c r="C942">
        <v>4</v>
      </c>
      <c r="D942" t="s">
        <v>55</v>
      </c>
      <c r="E942" t="str">
        <f t="shared" si="14"/>
        <v>1004HC03PT</v>
      </c>
      <c r="F942" t="str">
        <f>VLOOKUP(B942,[1]Course!$A$2:$R$329,2,FALSE)</f>
        <v>History of Civilisation I</v>
      </c>
      <c r="G942">
        <f>VLOOKUP(B942, [1]Course!$A$2:$L$950, 8, FALSE)</f>
        <v>10</v>
      </c>
      <c r="H942">
        <v>3</v>
      </c>
      <c r="I942">
        <v>1</v>
      </c>
      <c r="M942" t="str">
        <f>VLOOKUP(B942, [1]Course!$A$1:$O$933, 12, FALSE)</f>
        <v>SS</v>
      </c>
      <c r="N942" t="s">
        <v>14</v>
      </c>
      <c r="O942" t="str">
        <f>VLOOKUP(B942, [1]Course!$A$1:$O$933, 14, FALSE)</f>
        <v>HC</v>
      </c>
      <c r="P942">
        <v>1</v>
      </c>
    </row>
    <row r="943" spans="1:16" x14ac:dyDescent="0.25">
      <c r="A943">
        <v>946</v>
      </c>
      <c r="B943">
        <v>91</v>
      </c>
      <c r="C943">
        <v>5</v>
      </c>
      <c r="D943" t="s">
        <v>55</v>
      </c>
      <c r="E943" t="str">
        <f t="shared" si="14"/>
        <v>1005HC03PT</v>
      </c>
      <c r="F943" t="str">
        <f>VLOOKUP(B943,[1]Course!$A$2:$R$329,2,FALSE)</f>
        <v>History of Civilisation I</v>
      </c>
      <c r="G943">
        <f>VLOOKUP(B943, [1]Course!$A$2:$L$950, 8, FALSE)</f>
        <v>10</v>
      </c>
      <c r="H943">
        <v>3</v>
      </c>
      <c r="I943">
        <v>1</v>
      </c>
      <c r="M943" t="str">
        <f>VLOOKUP(B943, [1]Course!$A$1:$O$933, 12, FALSE)</f>
        <v>SS</v>
      </c>
      <c r="N943" t="s">
        <v>14</v>
      </c>
      <c r="O943" t="str">
        <f>VLOOKUP(B943, [1]Course!$A$1:$O$933, 14, FALSE)</f>
        <v>HC</v>
      </c>
      <c r="P943">
        <v>2</v>
      </c>
    </row>
    <row r="944" spans="1:16" x14ac:dyDescent="0.25">
      <c r="A944">
        <v>947</v>
      </c>
      <c r="B944">
        <v>91</v>
      </c>
      <c r="C944">
        <v>6</v>
      </c>
      <c r="D944" t="s">
        <v>55</v>
      </c>
      <c r="E944" t="str">
        <f t="shared" si="14"/>
        <v>1006HC03PT</v>
      </c>
      <c r="F944" t="str">
        <f>VLOOKUP(B944,[1]Course!$A$2:$R$329,2,FALSE)</f>
        <v>History of Civilisation I</v>
      </c>
      <c r="G944">
        <f>VLOOKUP(B944, [1]Course!$A$2:$L$950, 8, FALSE)</f>
        <v>10</v>
      </c>
      <c r="H944">
        <v>3</v>
      </c>
      <c r="I944">
        <v>1</v>
      </c>
      <c r="M944" t="str">
        <f>VLOOKUP(B944, [1]Course!$A$1:$O$933, 12, FALSE)</f>
        <v>SS</v>
      </c>
      <c r="N944" t="s">
        <v>14</v>
      </c>
      <c r="O944" t="str">
        <f>VLOOKUP(B944, [1]Course!$A$1:$O$933, 14, FALSE)</f>
        <v>HC</v>
      </c>
      <c r="P944">
        <v>1</v>
      </c>
    </row>
    <row r="945" spans="1:16" x14ac:dyDescent="0.25">
      <c r="A945">
        <v>948</v>
      </c>
      <c r="B945">
        <v>91</v>
      </c>
      <c r="C945">
        <v>7</v>
      </c>
      <c r="D945" t="s">
        <v>55</v>
      </c>
      <c r="E945" t="str">
        <f t="shared" si="14"/>
        <v>1007HC03PT</v>
      </c>
      <c r="F945" t="str">
        <f>VLOOKUP(B945,[1]Course!$A$2:$R$329,2,FALSE)</f>
        <v>History of Civilisation I</v>
      </c>
      <c r="G945">
        <f>VLOOKUP(B945, [1]Course!$A$2:$L$950, 8, FALSE)</f>
        <v>10</v>
      </c>
      <c r="H945">
        <v>3</v>
      </c>
      <c r="I945">
        <v>1</v>
      </c>
      <c r="M945" t="str">
        <f>VLOOKUP(B945, [1]Course!$A$1:$O$933, 12, FALSE)</f>
        <v>SS</v>
      </c>
      <c r="N945" t="s">
        <v>14</v>
      </c>
      <c r="O945" t="str">
        <f>VLOOKUP(B945, [1]Course!$A$1:$O$933, 14, FALSE)</f>
        <v>HC</v>
      </c>
      <c r="P945">
        <v>1</v>
      </c>
    </row>
    <row r="946" spans="1:16" x14ac:dyDescent="0.25">
      <c r="A946">
        <v>949</v>
      </c>
      <c r="B946">
        <v>91</v>
      </c>
      <c r="C946">
        <v>8</v>
      </c>
      <c r="D946" t="s">
        <v>55</v>
      </c>
      <c r="E946" t="str">
        <f t="shared" si="14"/>
        <v>1008HC03PT</v>
      </c>
      <c r="F946" t="str">
        <f>VLOOKUP(B946,[1]Course!$A$2:$R$329,2,FALSE)</f>
        <v>History of Civilisation I</v>
      </c>
      <c r="G946">
        <f>VLOOKUP(B946, [1]Course!$A$2:$L$950, 8, FALSE)</f>
        <v>10</v>
      </c>
      <c r="H946">
        <v>3</v>
      </c>
      <c r="I946">
        <v>1</v>
      </c>
      <c r="M946" t="str">
        <f>VLOOKUP(B946, [1]Course!$A$1:$O$933, 12, FALSE)</f>
        <v>SS</v>
      </c>
      <c r="N946" t="s">
        <v>14</v>
      </c>
      <c r="O946" t="str">
        <f>VLOOKUP(B946, [1]Course!$A$1:$O$933, 14, FALSE)</f>
        <v>HC</v>
      </c>
      <c r="P946">
        <v>1</v>
      </c>
    </row>
    <row r="947" spans="1:16" x14ac:dyDescent="0.25">
      <c r="A947">
        <v>950</v>
      </c>
      <c r="B947">
        <v>91</v>
      </c>
      <c r="C947">
        <v>9</v>
      </c>
      <c r="D947" t="s">
        <v>55</v>
      </c>
      <c r="E947" t="str">
        <f t="shared" si="14"/>
        <v>1009HC03PT</v>
      </c>
      <c r="F947" t="str">
        <f>VLOOKUP(B947,[1]Course!$A$2:$R$329,2,FALSE)</f>
        <v>History of Civilisation I</v>
      </c>
      <c r="G947">
        <f>VLOOKUP(B947, [1]Course!$A$2:$L$950, 8, FALSE)</f>
        <v>10</v>
      </c>
      <c r="H947">
        <v>3</v>
      </c>
      <c r="I947">
        <v>1</v>
      </c>
      <c r="M947" t="str">
        <f>VLOOKUP(B947, [1]Course!$A$1:$O$933, 12, FALSE)</f>
        <v>SS</v>
      </c>
      <c r="N947" t="s">
        <v>14</v>
      </c>
      <c r="O947" t="str">
        <f>VLOOKUP(B947, [1]Course!$A$1:$O$933, 14, FALSE)</f>
        <v>HC</v>
      </c>
      <c r="P947">
        <v>1</v>
      </c>
    </row>
    <row r="948" spans="1:16" x14ac:dyDescent="0.25">
      <c r="A948">
        <v>951</v>
      </c>
      <c r="B948">
        <v>91</v>
      </c>
      <c r="C948">
        <v>10</v>
      </c>
      <c r="D948" t="s">
        <v>55</v>
      </c>
      <c r="E948" t="str">
        <f t="shared" si="14"/>
        <v>1010HC03PT</v>
      </c>
      <c r="F948" t="str">
        <f>VLOOKUP(B948,[1]Course!$A$2:$R$329,2,FALSE)</f>
        <v>History of Civilisation I</v>
      </c>
      <c r="G948">
        <f>VLOOKUP(B948, [1]Course!$A$2:$L$950, 8, FALSE)</f>
        <v>10</v>
      </c>
      <c r="H948">
        <v>3</v>
      </c>
      <c r="I948">
        <v>1</v>
      </c>
      <c r="M948" t="str">
        <f>VLOOKUP(B948, [1]Course!$A$1:$O$933, 12, FALSE)</f>
        <v>SS</v>
      </c>
      <c r="N948" t="s">
        <v>14</v>
      </c>
      <c r="O948" t="str">
        <f>VLOOKUP(B948, [1]Course!$A$1:$O$933, 14, FALSE)</f>
        <v>HC</v>
      </c>
      <c r="P948">
        <v>2</v>
      </c>
    </row>
    <row r="949" spans="1:16" x14ac:dyDescent="0.25">
      <c r="A949">
        <v>952</v>
      </c>
      <c r="B949">
        <v>92</v>
      </c>
      <c r="C949" s="6">
        <v>7</v>
      </c>
      <c r="D949" s="6" t="s">
        <v>43</v>
      </c>
      <c r="E949" s="6" t="str">
        <f t="shared" si="14"/>
        <v>407APv203PT</v>
      </c>
      <c r="F949">
        <f>VLOOKUP(B949,[1]Course!$A$2:$R$329,2,FALSE)</f>
        <v>0</v>
      </c>
      <c r="G949">
        <f>VLOOKUP(B949, [1]Course!$A$2:$L$950, 8, FALSE)</f>
        <v>4</v>
      </c>
      <c r="H949">
        <v>3</v>
      </c>
      <c r="I949">
        <v>1</v>
      </c>
      <c r="J949">
        <v>2019</v>
      </c>
      <c r="K949" t="s">
        <v>92</v>
      </c>
      <c r="L949">
        <v>3</v>
      </c>
      <c r="M949" t="str">
        <f>VLOOKUP(B949, [1]Course!$A$1:$O$933, 12, FALSE)</f>
        <v>BS</v>
      </c>
      <c r="N949" t="s">
        <v>14</v>
      </c>
      <c r="O949" t="str">
        <f>VLOOKUP(B949, [1]Course!$A$1:$O$933, 14, FALSE)</f>
        <v>AP</v>
      </c>
      <c r="P949">
        <v>1</v>
      </c>
    </row>
    <row r="950" spans="1:16" x14ac:dyDescent="0.25">
      <c r="A950">
        <v>953</v>
      </c>
      <c r="B950">
        <v>92</v>
      </c>
      <c r="C950" s="6">
        <v>8</v>
      </c>
      <c r="D950" s="6" t="s">
        <v>43</v>
      </c>
      <c r="E950" s="6" t="str">
        <f t="shared" si="14"/>
        <v>408APv203PT</v>
      </c>
      <c r="F950">
        <f>VLOOKUP(B950,[1]Course!$A$2:$R$329,2,FALSE)</f>
        <v>0</v>
      </c>
      <c r="G950">
        <f>VLOOKUP(B950, [1]Course!$A$2:$L$950, 8, FALSE)</f>
        <v>4</v>
      </c>
      <c r="H950">
        <v>3</v>
      </c>
      <c r="I950">
        <v>1</v>
      </c>
      <c r="J950">
        <v>2019</v>
      </c>
      <c r="K950" t="s">
        <v>92</v>
      </c>
      <c r="L950">
        <v>2</v>
      </c>
      <c r="M950" t="str">
        <f>VLOOKUP(B950, [1]Course!$A$1:$O$933, 12, FALSE)</f>
        <v>BS</v>
      </c>
      <c r="N950" t="s">
        <v>14</v>
      </c>
      <c r="O950" t="str">
        <f>VLOOKUP(B950, [1]Course!$A$1:$O$933, 14, FALSE)</f>
        <v>AP</v>
      </c>
      <c r="P950">
        <v>2</v>
      </c>
    </row>
    <row r="951" spans="1:16" x14ac:dyDescent="0.25">
      <c r="A951">
        <v>954</v>
      </c>
      <c r="B951">
        <v>93</v>
      </c>
      <c r="C951">
        <v>1</v>
      </c>
      <c r="D951" t="s">
        <v>56</v>
      </c>
      <c r="E951" t="str">
        <f t="shared" si="14"/>
        <v>501CC03PT</v>
      </c>
      <c r="F951">
        <f>VLOOKUP(B951,[1]Course!$A$2:$R$329,2,FALSE)</f>
        <v>0</v>
      </c>
      <c r="G951">
        <f>VLOOKUP(B951, [1]Course!$A$2:$L$950, 8, FALSE)</f>
        <v>5</v>
      </c>
      <c r="H951">
        <v>3</v>
      </c>
      <c r="I951">
        <v>1</v>
      </c>
      <c r="J951">
        <v>1980</v>
      </c>
      <c r="K951">
        <v>1998</v>
      </c>
      <c r="L951">
        <v>1</v>
      </c>
      <c r="M951" t="str">
        <f>VLOOKUP(B951, [1]Course!$A$1:$O$933, 12, FALSE)</f>
        <v>BS</v>
      </c>
      <c r="N951" t="s">
        <v>14</v>
      </c>
      <c r="O951" t="str">
        <f>VLOOKUP(B951, [1]Course!$A$1:$O$933, 14, FALSE)</f>
        <v>CC</v>
      </c>
      <c r="P951">
        <v>1</v>
      </c>
    </row>
    <row r="952" spans="1:16" x14ac:dyDescent="0.25">
      <c r="A952">
        <v>955</v>
      </c>
      <c r="B952">
        <v>93</v>
      </c>
      <c r="C952">
        <v>2</v>
      </c>
      <c r="D952" t="s">
        <v>56</v>
      </c>
      <c r="E952" t="str">
        <f t="shared" si="14"/>
        <v>502CC03PT</v>
      </c>
      <c r="F952">
        <f>VLOOKUP(B952,[1]Course!$A$2:$R$329,2,FALSE)</f>
        <v>0</v>
      </c>
      <c r="G952">
        <f>VLOOKUP(B952, [1]Course!$A$2:$L$950, 8, FALSE)</f>
        <v>5</v>
      </c>
      <c r="H952">
        <v>3</v>
      </c>
      <c r="I952">
        <v>1</v>
      </c>
      <c r="J952">
        <v>1980</v>
      </c>
      <c r="K952">
        <v>2001</v>
      </c>
      <c r="L952">
        <v>1</v>
      </c>
      <c r="M952" t="str">
        <f>VLOOKUP(B952, [1]Course!$A$1:$O$933, 12, FALSE)</f>
        <v>BS</v>
      </c>
      <c r="N952" t="s">
        <v>14</v>
      </c>
      <c r="O952" t="str">
        <f>VLOOKUP(B952, [1]Course!$A$1:$O$933, 14, FALSE)</f>
        <v>CC</v>
      </c>
      <c r="P952">
        <v>1</v>
      </c>
    </row>
    <row r="953" spans="1:16" x14ac:dyDescent="0.25">
      <c r="A953">
        <v>956</v>
      </c>
      <c r="B953">
        <v>93</v>
      </c>
      <c r="C953">
        <v>3</v>
      </c>
      <c r="D953" t="s">
        <v>56</v>
      </c>
      <c r="E953" t="str">
        <f t="shared" si="14"/>
        <v>503CC03PT</v>
      </c>
      <c r="F953">
        <f>VLOOKUP(B953,[1]Course!$A$2:$R$329,2,FALSE)</f>
        <v>0</v>
      </c>
      <c r="G953">
        <f>VLOOKUP(B953, [1]Course!$A$2:$L$950, 8, FALSE)</f>
        <v>5</v>
      </c>
      <c r="H953">
        <v>3</v>
      </c>
      <c r="I953">
        <v>1</v>
      </c>
      <c r="J953">
        <v>1980</v>
      </c>
      <c r="K953" t="s">
        <v>92</v>
      </c>
      <c r="L953">
        <v>1</v>
      </c>
      <c r="M953" t="str">
        <f>VLOOKUP(B953, [1]Course!$A$1:$O$933, 12, FALSE)</f>
        <v>BS</v>
      </c>
      <c r="N953" t="s">
        <v>14</v>
      </c>
      <c r="O953" t="str">
        <f>VLOOKUP(B953, [1]Course!$A$1:$O$933, 14, FALSE)</f>
        <v>CC</v>
      </c>
      <c r="P953">
        <v>1</v>
      </c>
    </row>
    <row r="954" spans="1:16" x14ac:dyDescent="0.25">
      <c r="A954">
        <v>957</v>
      </c>
      <c r="B954">
        <v>93</v>
      </c>
      <c r="C954">
        <v>4</v>
      </c>
      <c r="D954" t="s">
        <v>56</v>
      </c>
      <c r="E954" t="str">
        <f t="shared" si="14"/>
        <v>504CC03PT</v>
      </c>
      <c r="F954">
        <f>VLOOKUP(B954,[1]Course!$A$2:$R$329,2,FALSE)</f>
        <v>0</v>
      </c>
      <c r="G954">
        <f>VLOOKUP(B954, [1]Course!$A$2:$L$950, 8, FALSE)</f>
        <v>5</v>
      </c>
      <c r="H954">
        <v>3</v>
      </c>
      <c r="I954">
        <v>1</v>
      </c>
      <c r="J954">
        <v>1980</v>
      </c>
      <c r="K954" t="s">
        <v>92</v>
      </c>
      <c r="L954">
        <v>2</v>
      </c>
      <c r="M954" t="str">
        <f>VLOOKUP(B954, [1]Course!$A$1:$O$933, 12, FALSE)</f>
        <v>BS</v>
      </c>
      <c r="N954" t="s">
        <v>14</v>
      </c>
      <c r="O954" t="str">
        <f>VLOOKUP(B954, [1]Course!$A$1:$O$933, 14, FALSE)</f>
        <v>CC</v>
      </c>
      <c r="P954">
        <v>1</v>
      </c>
    </row>
    <row r="955" spans="1:16" x14ac:dyDescent="0.25">
      <c r="A955">
        <v>958</v>
      </c>
      <c r="B955">
        <v>93</v>
      </c>
      <c r="C955">
        <v>5</v>
      </c>
      <c r="D955" t="s">
        <v>56</v>
      </c>
      <c r="E955" t="str">
        <f t="shared" si="14"/>
        <v>505CC03PT</v>
      </c>
      <c r="F955">
        <f>VLOOKUP(B955,[1]Course!$A$2:$R$329,2,FALSE)</f>
        <v>0</v>
      </c>
      <c r="G955">
        <f>VLOOKUP(B955, [1]Course!$A$2:$L$950, 8, FALSE)</f>
        <v>5</v>
      </c>
      <c r="H955">
        <v>3</v>
      </c>
      <c r="I955">
        <v>1</v>
      </c>
      <c r="J955">
        <v>1980</v>
      </c>
      <c r="K955" t="s">
        <v>92</v>
      </c>
      <c r="L955">
        <v>1</v>
      </c>
      <c r="M955" t="str">
        <f>VLOOKUP(B955, [1]Course!$A$1:$O$933, 12, FALSE)</f>
        <v>BS</v>
      </c>
      <c r="N955" t="s">
        <v>14</v>
      </c>
      <c r="O955" t="str">
        <f>VLOOKUP(B955, [1]Course!$A$1:$O$933, 14, FALSE)</f>
        <v>CC</v>
      </c>
      <c r="P955">
        <v>1</v>
      </c>
    </row>
    <row r="956" spans="1:16" x14ac:dyDescent="0.25">
      <c r="A956">
        <v>959</v>
      </c>
      <c r="B956">
        <v>60</v>
      </c>
      <c r="C956">
        <v>103</v>
      </c>
      <c r="D956" t="s">
        <v>102</v>
      </c>
      <c r="E956" t="str">
        <f t="shared" si="14"/>
        <v>1203NTS03PT</v>
      </c>
      <c r="F956" t="str">
        <f>VLOOKUP(B956,[1]Course!$A$2:$R$329,2,FALSE)</f>
        <v>Biblical Studies I: New Testament Survey</v>
      </c>
      <c r="G956">
        <f>VLOOKUP(B956, [1]Course!$A$2:$L$950, 8, FALSE)</f>
        <v>12</v>
      </c>
      <c r="H956">
        <v>3</v>
      </c>
      <c r="I956">
        <v>1</v>
      </c>
      <c r="J956">
        <v>2017</v>
      </c>
      <c r="K956" t="s">
        <v>92</v>
      </c>
      <c r="L956">
        <v>1</v>
      </c>
      <c r="M956" t="str">
        <f>VLOOKUP(B956, [1]Course!$A$1:$O$933, 12, FALSE)</f>
        <v>BS</v>
      </c>
      <c r="N956" t="s">
        <v>14</v>
      </c>
      <c r="O956" t="str">
        <f>VLOOKUP(B956, [1]Course!$A$1:$O$933, 14, FALSE)</f>
        <v>NT</v>
      </c>
      <c r="P956">
        <v>1</v>
      </c>
    </row>
    <row r="957" spans="1:16" x14ac:dyDescent="0.25">
      <c r="A957">
        <v>960</v>
      </c>
      <c r="B957">
        <v>60</v>
      </c>
      <c r="C957">
        <v>104</v>
      </c>
      <c r="D957" t="s">
        <v>102</v>
      </c>
      <c r="E957" t="str">
        <f t="shared" si="14"/>
        <v>1204NTS03PT</v>
      </c>
      <c r="F957" t="str">
        <f>VLOOKUP(B957,[1]Course!$A$2:$R$329,2,FALSE)</f>
        <v>Biblical Studies I: New Testament Survey</v>
      </c>
      <c r="G957">
        <f>VLOOKUP(B957, [1]Course!$A$2:$L$950, 8, FALSE)</f>
        <v>12</v>
      </c>
      <c r="H957">
        <v>3</v>
      </c>
      <c r="I957">
        <v>1</v>
      </c>
      <c r="M957" t="str">
        <f>VLOOKUP(B957, [1]Course!$A$1:$O$933, 12, FALSE)</f>
        <v>BS</v>
      </c>
      <c r="N957" t="s">
        <v>14</v>
      </c>
      <c r="O957" t="str">
        <f>VLOOKUP(B957, [1]Course!$A$1:$O$933, 14, FALSE)</f>
        <v>NT</v>
      </c>
      <c r="P957">
        <v>1</v>
      </c>
    </row>
    <row r="958" spans="1:16" x14ac:dyDescent="0.25">
      <c r="A958">
        <v>961</v>
      </c>
      <c r="B958">
        <v>60</v>
      </c>
      <c r="C958">
        <v>105</v>
      </c>
      <c r="D958" t="s">
        <v>102</v>
      </c>
      <c r="E958" t="str">
        <f t="shared" si="14"/>
        <v>1205NTS03PT</v>
      </c>
      <c r="F958" t="str">
        <f>VLOOKUP(B958,[1]Course!$A$2:$R$329,2,FALSE)</f>
        <v>Biblical Studies I: New Testament Survey</v>
      </c>
      <c r="G958">
        <f>VLOOKUP(B958, [1]Course!$A$2:$L$950, 8, FALSE)</f>
        <v>12</v>
      </c>
      <c r="H958">
        <v>3</v>
      </c>
      <c r="I958">
        <v>1</v>
      </c>
      <c r="M958" t="str">
        <f>VLOOKUP(B958, [1]Course!$A$1:$O$933, 12, FALSE)</f>
        <v>BS</v>
      </c>
      <c r="N958" t="s">
        <v>14</v>
      </c>
      <c r="O958" t="str">
        <f>VLOOKUP(B958, [1]Course!$A$1:$O$933, 14, FALSE)</f>
        <v>NT</v>
      </c>
      <c r="P958">
        <v>1</v>
      </c>
    </row>
    <row r="959" spans="1:16" x14ac:dyDescent="0.25">
      <c r="A959">
        <v>962</v>
      </c>
      <c r="B959">
        <v>60</v>
      </c>
      <c r="C959">
        <v>106</v>
      </c>
      <c r="D959" t="s">
        <v>102</v>
      </c>
      <c r="E959" t="str">
        <f t="shared" si="14"/>
        <v>1206NTS03PT</v>
      </c>
      <c r="F959" t="str">
        <f>VLOOKUP(B959,[1]Course!$A$2:$R$329,2,FALSE)</f>
        <v>Biblical Studies I: New Testament Survey</v>
      </c>
      <c r="G959">
        <f>VLOOKUP(B959, [1]Course!$A$2:$L$950, 8, FALSE)</f>
        <v>12</v>
      </c>
      <c r="H959">
        <v>3</v>
      </c>
      <c r="I959">
        <v>1</v>
      </c>
      <c r="J959">
        <v>2018</v>
      </c>
      <c r="K959" t="s">
        <v>92</v>
      </c>
      <c r="L959">
        <v>1</v>
      </c>
      <c r="M959" t="str">
        <f>VLOOKUP(B959, [1]Course!$A$1:$O$933, 12, FALSE)</f>
        <v>BS</v>
      </c>
      <c r="N959" t="s">
        <v>14</v>
      </c>
      <c r="O959" t="str">
        <f>VLOOKUP(B959, [1]Course!$A$1:$O$933, 14, FALSE)</f>
        <v>NT</v>
      </c>
      <c r="P959">
        <v>1</v>
      </c>
    </row>
    <row r="960" spans="1:16" x14ac:dyDescent="0.25">
      <c r="A960">
        <v>963</v>
      </c>
      <c r="B960">
        <v>60</v>
      </c>
      <c r="C960">
        <v>107</v>
      </c>
      <c r="D960" t="s">
        <v>102</v>
      </c>
      <c r="E960" t="str">
        <f t="shared" si="14"/>
        <v>1207NTS03PT</v>
      </c>
      <c r="F960" t="str">
        <f>VLOOKUP(B960,[1]Course!$A$2:$R$329,2,FALSE)</f>
        <v>Biblical Studies I: New Testament Survey</v>
      </c>
      <c r="G960">
        <f>VLOOKUP(B960, [1]Course!$A$2:$L$950, 8, FALSE)</f>
        <v>12</v>
      </c>
      <c r="H960">
        <v>3</v>
      </c>
      <c r="I960">
        <v>1</v>
      </c>
      <c r="J960">
        <v>2018</v>
      </c>
      <c r="K960" t="s">
        <v>92</v>
      </c>
      <c r="L960">
        <v>1</v>
      </c>
      <c r="M960" t="str">
        <f>VLOOKUP(B960, [1]Course!$A$1:$O$933, 12, FALSE)</f>
        <v>BS</v>
      </c>
      <c r="N960" t="s">
        <v>14</v>
      </c>
      <c r="O960" t="str">
        <f>VLOOKUP(B960, [1]Course!$A$1:$O$933, 14, FALSE)</f>
        <v>NT</v>
      </c>
      <c r="P960">
        <v>1</v>
      </c>
    </row>
    <row r="961" spans="1:16" x14ac:dyDescent="0.25">
      <c r="A961">
        <v>964</v>
      </c>
      <c r="B961">
        <v>60</v>
      </c>
      <c r="C961">
        <v>108</v>
      </c>
      <c r="D961" t="s">
        <v>102</v>
      </c>
      <c r="E961" t="str">
        <f t="shared" si="14"/>
        <v>1208NTS03PT</v>
      </c>
      <c r="F961" t="str">
        <f>VLOOKUP(B961,[1]Course!$A$2:$R$329,2,FALSE)</f>
        <v>Biblical Studies I: New Testament Survey</v>
      </c>
      <c r="G961">
        <f>VLOOKUP(B961, [1]Course!$A$2:$L$950, 8, FALSE)</f>
        <v>12</v>
      </c>
      <c r="H961">
        <v>3</v>
      </c>
      <c r="I961">
        <v>1</v>
      </c>
      <c r="J961">
        <v>2018</v>
      </c>
      <c r="K961" t="s">
        <v>92</v>
      </c>
      <c r="L961">
        <v>1</v>
      </c>
      <c r="M961" t="str">
        <f>VLOOKUP(B961, [1]Course!$A$1:$O$933, 12, FALSE)</f>
        <v>BS</v>
      </c>
      <c r="N961" t="s">
        <v>14</v>
      </c>
      <c r="O961" t="str">
        <f>VLOOKUP(B961, [1]Course!$A$1:$O$933, 14, FALSE)</f>
        <v>NT</v>
      </c>
      <c r="P961">
        <v>1</v>
      </c>
    </row>
    <row r="962" spans="1:16" x14ac:dyDescent="0.25">
      <c r="A962">
        <v>965</v>
      </c>
      <c r="B962">
        <v>95</v>
      </c>
      <c r="C962">
        <v>109</v>
      </c>
      <c r="D962" t="s">
        <v>57</v>
      </c>
      <c r="E962" t="str">
        <f t="shared" si="14"/>
        <v>1209OT03PT</v>
      </c>
      <c r="F962" t="str">
        <f>VLOOKUP(B962,[1]Course!$A$2:$R$329,2,FALSE)</f>
        <v>Biblical Studies II</v>
      </c>
      <c r="G962">
        <f>VLOOKUP(B962, [1]Course!$A$2:$L$950, 8, FALSE)</f>
        <v>12</v>
      </c>
      <c r="H962">
        <v>3</v>
      </c>
      <c r="I962">
        <v>1</v>
      </c>
      <c r="M962" t="str">
        <f>VLOOKUP(B962, [1]Course!$A$1:$O$933, 12, FALSE)</f>
        <v>BS</v>
      </c>
      <c r="N962" t="s">
        <v>14</v>
      </c>
      <c r="O962" t="str">
        <f>VLOOKUP(B962, [1]Course!$A$1:$O$933, 14, FALSE)</f>
        <v>OT</v>
      </c>
      <c r="P962">
        <v>1</v>
      </c>
    </row>
    <row r="963" spans="1:16" x14ac:dyDescent="0.25">
      <c r="A963">
        <v>966</v>
      </c>
      <c r="B963">
        <v>95</v>
      </c>
      <c r="C963">
        <v>110</v>
      </c>
      <c r="D963" t="s">
        <v>57</v>
      </c>
      <c r="E963" t="str">
        <f t="shared" ref="E963:E1026" si="15">UPPER(LEFT(G963,2)) &amp; RIGHT("0" &amp; C963, 2) &amp; D963 &amp; RIGHT("0" &amp; H963, 2) &amp; N963</f>
        <v>1210OT03PT</v>
      </c>
      <c r="F963" t="str">
        <f>VLOOKUP(B963,[1]Course!$A$2:$R$329,2,FALSE)</f>
        <v>Biblical Studies II</v>
      </c>
      <c r="G963">
        <f>VLOOKUP(B963, [1]Course!$A$2:$L$950, 8, FALSE)</f>
        <v>12</v>
      </c>
      <c r="H963">
        <v>3</v>
      </c>
      <c r="I963">
        <v>1</v>
      </c>
      <c r="M963" t="str">
        <f>VLOOKUP(B963, [1]Course!$A$1:$O$933, 12, FALSE)</f>
        <v>BS</v>
      </c>
      <c r="N963" t="s">
        <v>14</v>
      </c>
      <c r="O963" t="str">
        <f>VLOOKUP(B963, [1]Course!$A$1:$O$933, 14, FALSE)</f>
        <v>OT</v>
      </c>
      <c r="P963">
        <v>1</v>
      </c>
    </row>
    <row r="964" spans="1:16" x14ac:dyDescent="0.25">
      <c r="A964">
        <v>967</v>
      </c>
      <c r="B964">
        <v>95</v>
      </c>
      <c r="C964">
        <v>111</v>
      </c>
      <c r="D964" t="s">
        <v>57</v>
      </c>
      <c r="E964" t="str">
        <f t="shared" si="15"/>
        <v>1211OT03PT</v>
      </c>
      <c r="F964" t="str">
        <f>VLOOKUP(B964,[1]Course!$A$2:$R$329,2,FALSE)</f>
        <v>Biblical Studies II</v>
      </c>
      <c r="G964">
        <f>VLOOKUP(B964, [1]Course!$A$2:$L$950, 8, FALSE)</f>
        <v>12</v>
      </c>
      <c r="H964">
        <v>3</v>
      </c>
      <c r="I964">
        <v>1</v>
      </c>
      <c r="M964" t="str">
        <f>VLOOKUP(B964, [1]Course!$A$1:$O$933, 12, FALSE)</f>
        <v>BS</v>
      </c>
      <c r="N964" t="s">
        <v>14</v>
      </c>
      <c r="O964" t="str">
        <f>VLOOKUP(B964, [1]Course!$A$1:$O$933, 14, FALSE)</f>
        <v>OT</v>
      </c>
      <c r="P964">
        <v>1</v>
      </c>
    </row>
    <row r="965" spans="1:16" x14ac:dyDescent="0.25">
      <c r="A965">
        <v>968</v>
      </c>
      <c r="B965">
        <v>95</v>
      </c>
      <c r="C965">
        <v>112</v>
      </c>
      <c r="D965" t="s">
        <v>57</v>
      </c>
      <c r="E965" t="str">
        <f t="shared" si="15"/>
        <v>1212OT03PT</v>
      </c>
      <c r="F965" t="str">
        <f>VLOOKUP(B965,[1]Course!$A$2:$R$329,2,FALSE)</f>
        <v>Biblical Studies II</v>
      </c>
      <c r="G965">
        <f>VLOOKUP(B965, [1]Course!$A$2:$L$950, 8, FALSE)</f>
        <v>12</v>
      </c>
      <c r="H965">
        <v>3</v>
      </c>
      <c r="I965">
        <v>1</v>
      </c>
      <c r="M965" t="str">
        <f>VLOOKUP(B965, [1]Course!$A$1:$O$933, 12, FALSE)</f>
        <v>BS</v>
      </c>
      <c r="N965" t="s">
        <v>14</v>
      </c>
      <c r="O965" t="str">
        <f>VLOOKUP(B965, [1]Course!$A$1:$O$933, 14, FALSE)</f>
        <v>OT</v>
      </c>
      <c r="P965">
        <v>1</v>
      </c>
    </row>
    <row r="966" spans="1:16" x14ac:dyDescent="0.25">
      <c r="A966">
        <v>969</v>
      </c>
      <c r="B966">
        <v>95</v>
      </c>
      <c r="C966">
        <v>113</v>
      </c>
      <c r="D966" t="s">
        <v>57</v>
      </c>
      <c r="E966" t="str">
        <f t="shared" si="15"/>
        <v>1213OT03PT</v>
      </c>
      <c r="F966" t="str">
        <f>VLOOKUP(B966,[1]Course!$A$2:$R$329,2,FALSE)</f>
        <v>Biblical Studies II</v>
      </c>
      <c r="G966">
        <f>VLOOKUP(B966, [1]Course!$A$2:$L$950, 8, FALSE)</f>
        <v>12</v>
      </c>
      <c r="H966">
        <v>3</v>
      </c>
      <c r="I966">
        <v>1</v>
      </c>
      <c r="M966" t="str">
        <f>VLOOKUP(B966, [1]Course!$A$1:$O$933, 12, FALSE)</f>
        <v>BS</v>
      </c>
      <c r="N966" t="s">
        <v>14</v>
      </c>
      <c r="O966" t="str">
        <f>VLOOKUP(B966, [1]Course!$A$1:$O$933, 14, FALSE)</f>
        <v>OT</v>
      </c>
      <c r="P966">
        <v>1</v>
      </c>
    </row>
    <row r="967" spans="1:16" x14ac:dyDescent="0.25">
      <c r="A967">
        <v>970</v>
      </c>
      <c r="B967">
        <v>95</v>
      </c>
      <c r="C967">
        <v>114</v>
      </c>
      <c r="D967" t="s">
        <v>57</v>
      </c>
      <c r="E967" t="str">
        <f t="shared" si="15"/>
        <v>1214OT03PT</v>
      </c>
      <c r="F967" t="str">
        <f>VLOOKUP(B967,[1]Course!$A$2:$R$329,2,FALSE)</f>
        <v>Biblical Studies II</v>
      </c>
      <c r="G967">
        <f>VLOOKUP(B967, [1]Course!$A$2:$L$950, 8, FALSE)</f>
        <v>12</v>
      </c>
      <c r="H967">
        <v>3</v>
      </c>
      <c r="I967">
        <v>1</v>
      </c>
      <c r="M967" t="str">
        <f>VLOOKUP(B967, [1]Course!$A$1:$O$933, 12, FALSE)</f>
        <v>BS</v>
      </c>
      <c r="N967" t="s">
        <v>14</v>
      </c>
      <c r="O967" t="str">
        <f>VLOOKUP(B967, [1]Course!$A$1:$O$933, 14, FALSE)</f>
        <v>OT</v>
      </c>
      <c r="P967">
        <v>1</v>
      </c>
    </row>
    <row r="968" spans="1:16" x14ac:dyDescent="0.25">
      <c r="A968">
        <v>971</v>
      </c>
      <c r="B968">
        <v>95</v>
      </c>
      <c r="C968">
        <v>115</v>
      </c>
      <c r="D968" t="s">
        <v>57</v>
      </c>
      <c r="E968" t="str">
        <f t="shared" si="15"/>
        <v>1215OT03PT</v>
      </c>
      <c r="F968" t="str">
        <f>VLOOKUP(B968,[1]Course!$A$2:$R$329,2,FALSE)</f>
        <v>Biblical Studies II</v>
      </c>
      <c r="G968">
        <f>VLOOKUP(B968, [1]Course!$A$2:$L$950, 8, FALSE)</f>
        <v>12</v>
      </c>
      <c r="H968">
        <v>3</v>
      </c>
      <c r="I968">
        <v>1</v>
      </c>
      <c r="M968" t="str">
        <f>VLOOKUP(B968, [1]Course!$A$1:$O$933, 12, FALSE)</f>
        <v>BS</v>
      </c>
      <c r="N968" t="s">
        <v>14</v>
      </c>
      <c r="O968" t="str">
        <f>VLOOKUP(B968, [1]Course!$A$1:$O$933, 14, FALSE)</f>
        <v>OT</v>
      </c>
      <c r="P968">
        <v>1</v>
      </c>
    </row>
    <row r="969" spans="1:16" x14ac:dyDescent="0.25">
      <c r="A969">
        <v>972</v>
      </c>
      <c r="B969">
        <v>95</v>
      </c>
      <c r="C969">
        <v>116</v>
      </c>
      <c r="D969" t="s">
        <v>57</v>
      </c>
      <c r="E969" t="str">
        <f t="shared" si="15"/>
        <v>1216OT03PT</v>
      </c>
      <c r="F969" t="str">
        <f>VLOOKUP(B969,[1]Course!$A$2:$R$329,2,FALSE)</f>
        <v>Biblical Studies II</v>
      </c>
      <c r="G969">
        <f>VLOOKUP(B969, [1]Course!$A$2:$L$950, 8, FALSE)</f>
        <v>12</v>
      </c>
      <c r="H969">
        <v>3</v>
      </c>
      <c r="I969">
        <v>1</v>
      </c>
      <c r="M969" t="str">
        <f>VLOOKUP(B969, [1]Course!$A$1:$O$933, 12, FALSE)</f>
        <v>BS</v>
      </c>
      <c r="N969" t="s">
        <v>14</v>
      </c>
      <c r="O969" t="str">
        <f>VLOOKUP(B969, [1]Course!$A$1:$O$933, 14, FALSE)</f>
        <v>OT</v>
      </c>
      <c r="P969">
        <v>1</v>
      </c>
    </row>
    <row r="970" spans="1:16" x14ac:dyDescent="0.25">
      <c r="A970">
        <v>973</v>
      </c>
      <c r="B970">
        <v>95</v>
      </c>
      <c r="C970">
        <v>117</v>
      </c>
      <c r="D970" t="s">
        <v>57</v>
      </c>
      <c r="E970" t="str">
        <f t="shared" si="15"/>
        <v>1217OT03PT</v>
      </c>
      <c r="F970" t="str">
        <f>VLOOKUP(B970,[1]Course!$A$2:$R$329,2,FALSE)</f>
        <v>Biblical Studies II</v>
      </c>
      <c r="G970">
        <f>VLOOKUP(B970, [1]Course!$A$2:$L$950, 8, FALSE)</f>
        <v>12</v>
      </c>
      <c r="H970">
        <v>3</v>
      </c>
      <c r="I970">
        <v>1</v>
      </c>
      <c r="M970" t="str">
        <f>VLOOKUP(B970, [1]Course!$A$1:$O$933, 12, FALSE)</f>
        <v>BS</v>
      </c>
      <c r="N970" t="s">
        <v>14</v>
      </c>
      <c r="O970" t="str">
        <f>VLOOKUP(B970, [1]Course!$A$1:$O$933, 14, FALSE)</f>
        <v>OT</v>
      </c>
      <c r="P970">
        <v>1</v>
      </c>
    </row>
    <row r="971" spans="1:16" x14ac:dyDescent="0.25">
      <c r="A971">
        <v>974</v>
      </c>
      <c r="B971">
        <v>95</v>
      </c>
      <c r="C971">
        <v>118</v>
      </c>
      <c r="D971" t="s">
        <v>57</v>
      </c>
      <c r="E971" t="str">
        <f t="shared" si="15"/>
        <v>1218OT03PT</v>
      </c>
      <c r="F971" t="str">
        <f>VLOOKUP(B971,[1]Course!$A$2:$R$329,2,FALSE)</f>
        <v>Biblical Studies II</v>
      </c>
      <c r="G971">
        <f>VLOOKUP(B971, [1]Course!$A$2:$L$950, 8, FALSE)</f>
        <v>12</v>
      </c>
      <c r="H971">
        <v>3</v>
      </c>
      <c r="I971">
        <v>1</v>
      </c>
      <c r="M971" t="str">
        <f>VLOOKUP(B971, [1]Course!$A$1:$O$933, 12, FALSE)</f>
        <v>BS</v>
      </c>
      <c r="N971" t="s">
        <v>14</v>
      </c>
      <c r="O971" t="str">
        <f>VLOOKUP(B971, [1]Course!$A$1:$O$933, 14, FALSE)</f>
        <v>OT</v>
      </c>
      <c r="P971">
        <v>1</v>
      </c>
    </row>
    <row r="972" spans="1:16" x14ac:dyDescent="0.25">
      <c r="A972">
        <v>975</v>
      </c>
      <c r="B972">
        <v>95</v>
      </c>
      <c r="C972">
        <v>119</v>
      </c>
      <c r="D972" t="s">
        <v>57</v>
      </c>
      <c r="E972" t="str">
        <f t="shared" si="15"/>
        <v>1219OT03PT</v>
      </c>
      <c r="F972" t="str">
        <f>VLOOKUP(B972,[1]Course!$A$2:$R$329,2,FALSE)</f>
        <v>Biblical Studies II</v>
      </c>
      <c r="G972">
        <f>VLOOKUP(B972, [1]Course!$A$2:$L$950, 8, FALSE)</f>
        <v>12</v>
      </c>
      <c r="H972">
        <v>3</v>
      </c>
      <c r="I972">
        <v>1</v>
      </c>
      <c r="M972" t="str">
        <f>VLOOKUP(B972, [1]Course!$A$1:$O$933, 12, FALSE)</f>
        <v>BS</v>
      </c>
      <c r="N972" t="s">
        <v>14</v>
      </c>
      <c r="O972" t="str">
        <f>VLOOKUP(B972, [1]Course!$A$1:$O$933, 14, FALSE)</f>
        <v>OT</v>
      </c>
      <c r="P972">
        <v>1</v>
      </c>
    </row>
    <row r="973" spans="1:16" x14ac:dyDescent="0.25">
      <c r="A973">
        <v>976</v>
      </c>
      <c r="B973">
        <v>95</v>
      </c>
      <c r="C973">
        <v>120</v>
      </c>
      <c r="D973" t="s">
        <v>57</v>
      </c>
      <c r="E973" t="str">
        <f t="shared" si="15"/>
        <v>1220OT03PT</v>
      </c>
      <c r="F973" t="str">
        <f>VLOOKUP(B973,[1]Course!$A$2:$R$329,2,FALSE)</f>
        <v>Biblical Studies II</v>
      </c>
      <c r="G973">
        <f>VLOOKUP(B973, [1]Course!$A$2:$L$950, 8, FALSE)</f>
        <v>12</v>
      </c>
      <c r="H973">
        <v>3</v>
      </c>
      <c r="I973">
        <v>1</v>
      </c>
      <c r="M973" t="str">
        <f>VLOOKUP(B973, [1]Course!$A$1:$O$933, 12, FALSE)</f>
        <v>BS</v>
      </c>
      <c r="N973" t="s">
        <v>14</v>
      </c>
      <c r="O973" t="str">
        <f>VLOOKUP(B973, [1]Course!$A$1:$O$933, 14, FALSE)</f>
        <v>OT</v>
      </c>
      <c r="P973">
        <v>1</v>
      </c>
    </row>
    <row r="974" spans="1:16" x14ac:dyDescent="0.25">
      <c r="A974">
        <v>977</v>
      </c>
      <c r="B974">
        <v>96</v>
      </c>
      <c r="C974">
        <v>109</v>
      </c>
      <c r="D974" t="s">
        <v>58</v>
      </c>
      <c r="E974" t="str">
        <f t="shared" si="15"/>
        <v>609AM03PT</v>
      </c>
      <c r="F974">
        <f>VLOOKUP(B974,[1]Course!$A$2:$R$329,2,FALSE)</f>
        <v>0</v>
      </c>
      <c r="G974">
        <f>VLOOKUP(B974, [1]Course!$A$2:$L$950, 8, FALSE)</f>
        <v>6</v>
      </c>
      <c r="H974">
        <v>3</v>
      </c>
      <c r="I974">
        <v>1</v>
      </c>
      <c r="M974" t="str">
        <f>VLOOKUP(B974, [1]Course!$A$1:$O$933, 12, FALSE)</f>
        <v>SU</v>
      </c>
      <c r="N974" t="s">
        <v>14</v>
      </c>
      <c r="O974" t="str">
        <f>VLOOKUP(B974, [1]Course!$A$1:$O$933, 14, FALSE)</f>
        <v>AM</v>
      </c>
      <c r="P974">
        <v>1</v>
      </c>
    </row>
    <row r="975" spans="1:16" x14ac:dyDescent="0.25">
      <c r="A975">
        <v>978</v>
      </c>
      <c r="B975">
        <v>96</v>
      </c>
      <c r="C975">
        <v>110</v>
      </c>
      <c r="D975" t="s">
        <v>58</v>
      </c>
      <c r="E975" t="str">
        <f t="shared" si="15"/>
        <v>610AM03PT</v>
      </c>
      <c r="F975">
        <f>VLOOKUP(B975,[1]Course!$A$2:$R$329,2,FALSE)</f>
        <v>0</v>
      </c>
      <c r="G975">
        <f>VLOOKUP(B975, [1]Course!$A$2:$L$950, 8, FALSE)</f>
        <v>6</v>
      </c>
      <c r="H975">
        <v>3</v>
      </c>
      <c r="I975">
        <v>1</v>
      </c>
      <c r="M975" t="str">
        <f>VLOOKUP(B975, [1]Course!$A$1:$O$933, 12, FALSE)</f>
        <v>SU</v>
      </c>
      <c r="N975" t="s">
        <v>14</v>
      </c>
      <c r="O975" t="str">
        <f>VLOOKUP(B975, [1]Course!$A$1:$O$933, 14, FALSE)</f>
        <v>AM</v>
      </c>
      <c r="P975">
        <v>1</v>
      </c>
    </row>
    <row r="976" spans="1:16" x14ac:dyDescent="0.25">
      <c r="A976">
        <v>979</v>
      </c>
      <c r="B976">
        <v>96</v>
      </c>
      <c r="C976">
        <v>111</v>
      </c>
      <c r="D976" t="s">
        <v>58</v>
      </c>
      <c r="E976" t="str">
        <f t="shared" si="15"/>
        <v>611AM03PT</v>
      </c>
      <c r="F976">
        <f>VLOOKUP(B976,[1]Course!$A$2:$R$329,2,FALSE)</f>
        <v>0</v>
      </c>
      <c r="G976">
        <f>VLOOKUP(B976, [1]Course!$A$2:$L$950, 8, FALSE)</f>
        <v>6</v>
      </c>
      <c r="H976">
        <v>3</v>
      </c>
      <c r="I976">
        <v>1</v>
      </c>
      <c r="M976" t="str">
        <f>VLOOKUP(B976, [1]Course!$A$1:$O$933, 12, FALSE)</f>
        <v>SU</v>
      </c>
      <c r="N976" t="s">
        <v>14</v>
      </c>
      <c r="O976" t="str">
        <f>VLOOKUP(B976, [1]Course!$A$1:$O$933, 14, FALSE)</f>
        <v>AM</v>
      </c>
      <c r="P976">
        <v>1</v>
      </c>
    </row>
    <row r="977" spans="1:16" x14ac:dyDescent="0.25">
      <c r="A977">
        <v>980</v>
      </c>
      <c r="B977">
        <v>96</v>
      </c>
      <c r="C977">
        <v>112</v>
      </c>
      <c r="D977" t="s">
        <v>58</v>
      </c>
      <c r="E977" t="str">
        <f t="shared" si="15"/>
        <v>612AM03PT</v>
      </c>
      <c r="F977">
        <f>VLOOKUP(B977,[1]Course!$A$2:$R$329,2,FALSE)</f>
        <v>0</v>
      </c>
      <c r="G977">
        <f>VLOOKUP(B977, [1]Course!$A$2:$L$950, 8, FALSE)</f>
        <v>6</v>
      </c>
      <c r="H977">
        <v>3</v>
      </c>
      <c r="I977">
        <v>1</v>
      </c>
      <c r="M977" t="str">
        <f>VLOOKUP(B977, [1]Course!$A$1:$O$933, 12, FALSE)</f>
        <v>SU</v>
      </c>
      <c r="N977" t="s">
        <v>14</v>
      </c>
      <c r="O977" t="str">
        <f>VLOOKUP(B977, [1]Course!$A$1:$O$933, 14, FALSE)</f>
        <v>AM</v>
      </c>
      <c r="P977">
        <v>1</v>
      </c>
    </row>
    <row r="978" spans="1:16" x14ac:dyDescent="0.25">
      <c r="A978">
        <v>981</v>
      </c>
      <c r="B978">
        <v>96</v>
      </c>
      <c r="C978">
        <v>113</v>
      </c>
      <c r="D978" t="s">
        <v>58</v>
      </c>
      <c r="E978" t="str">
        <f t="shared" si="15"/>
        <v>613AM03PT</v>
      </c>
      <c r="F978">
        <f>VLOOKUP(B978,[1]Course!$A$2:$R$329,2,FALSE)</f>
        <v>0</v>
      </c>
      <c r="G978">
        <f>VLOOKUP(B978, [1]Course!$A$2:$L$950, 8, FALSE)</f>
        <v>6</v>
      </c>
      <c r="H978">
        <v>3</v>
      </c>
      <c r="I978">
        <v>1</v>
      </c>
      <c r="M978" t="str">
        <f>VLOOKUP(B978, [1]Course!$A$1:$O$933, 12, FALSE)</f>
        <v>SU</v>
      </c>
      <c r="N978" t="s">
        <v>14</v>
      </c>
      <c r="O978" t="str">
        <f>VLOOKUP(B978, [1]Course!$A$1:$O$933, 14, FALSE)</f>
        <v>AM</v>
      </c>
      <c r="P978">
        <v>1</v>
      </c>
    </row>
    <row r="979" spans="1:16" x14ac:dyDescent="0.25">
      <c r="A979">
        <v>982</v>
      </c>
      <c r="B979">
        <v>96</v>
      </c>
      <c r="C979">
        <v>114</v>
      </c>
      <c r="D979" t="s">
        <v>58</v>
      </c>
      <c r="E979" t="str">
        <f t="shared" si="15"/>
        <v>614AM03PT</v>
      </c>
      <c r="F979">
        <f>VLOOKUP(B979,[1]Course!$A$2:$R$329,2,FALSE)</f>
        <v>0</v>
      </c>
      <c r="G979">
        <f>VLOOKUP(B979, [1]Course!$A$2:$L$950, 8, FALSE)</f>
        <v>6</v>
      </c>
      <c r="H979">
        <v>3</v>
      </c>
      <c r="I979">
        <v>1</v>
      </c>
      <c r="M979" t="str">
        <f>VLOOKUP(B979, [1]Course!$A$1:$O$933, 12, FALSE)</f>
        <v>SU</v>
      </c>
      <c r="N979" t="s">
        <v>14</v>
      </c>
      <c r="O979" t="str">
        <f>VLOOKUP(B979, [1]Course!$A$1:$O$933, 14, FALSE)</f>
        <v>AM</v>
      </c>
      <c r="P979">
        <v>1</v>
      </c>
    </row>
    <row r="980" spans="1:16" x14ac:dyDescent="0.25">
      <c r="A980">
        <v>983</v>
      </c>
      <c r="B980">
        <v>98</v>
      </c>
      <c r="C980">
        <v>121</v>
      </c>
      <c r="D980" t="s">
        <v>28</v>
      </c>
      <c r="E980" t="str">
        <f t="shared" si="15"/>
        <v>1221AL03PT</v>
      </c>
      <c r="F980">
        <f>VLOOKUP(B980,[1]Course!$A$2:$R$329,2,FALSE)</f>
        <v>0</v>
      </c>
      <c r="G980">
        <f>VLOOKUP(B980, [1]Course!$A$2:$L$950, 8, FALSE)</f>
        <v>12</v>
      </c>
      <c r="H980">
        <v>3</v>
      </c>
      <c r="I980">
        <v>1</v>
      </c>
      <c r="J980">
        <v>1993</v>
      </c>
      <c r="K980">
        <v>2017</v>
      </c>
      <c r="L980">
        <v>1</v>
      </c>
      <c r="M980" t="str">
        <f>VLOOKUP(B980, [1]Course!$A$1:$O$933, 12, FALSE)</f>
        <v>MA</v>
      </c>
      <c r="N980" t="s">
        <v>14</v>
      </c>
      <c r="O980" t="str">
        <f>VLOOKUP(B980, [1]Course!$A$1:$O$933, 14, FALSE)</f>
        <v>AL</v>
      </c>
      <c r="P980">
        <v>1</v>
      </c>
    </row>
    <row r="981" spans="1:16" x14ac:dyDescent="0.25">
      <c r="A981">
        <v>984</v>
      </c>
      <c r="B981">
        <v>98</v>
      </c>
      <c r="C981">
        <v>122</v>
      </c>
      <c r="D981" t="s">
        <v>28</v>
      </c>
      <c r="E981" t="str">
        <f t="shared" si="15"/>
        <v>1222AL03PT</v>
      </c>
      <c r="F981">
        <f>VLOOKUP(B981,[1]Course!$A$2:$R$329,2,FALSE)</f>
        <v>0</v>
      </c>
      <c r="G981">
        <f>VLOOKUP(B981, [1]Course!$A$2:$L$950, 8, FALSE)</f>
        <v>12</v>
      </c>
      <c r="H981">
        <v>3</v>
      </c>
      <c r="I981">
        <v>1</v>
      </c>
      <c r="J981">
        <v>1993</v>
      </c>
      <c r="K981">
        <v>2000</v>
      </c>
      <c r="L981">
        <v>1</v>
      </c>
      <c r="M981" t="str">
        <f>VLOOKUP(B981, [1]Course!$A$1:$O$933, 12, FALSE)</f>
        <v>MA</v>
      </c>
      <c r="N981" t="s">
        <v>14</v>
      </c>
      <c r="O981" t="str">
        <f>VLOOKUP(B981, [1]Course!$A$1:$O$933, 14, FALSE)</f>
        <v>AL</v>
      </c>
      <c r="P981">
        <v>1</v>
      </c>
    </row>
    <row r="982" spans="1:16" x14ac:dyDescent="0.25">
      <c r="A982">
        <v>985</v>
      </c>
      <c r="B982">
        <v>98</v>
      </c>
      <c r="C982">
        <v>123</v>
      </c>
      <c r="D982" t="s">
        <v>28</v>
      </c>
      <c r="E982" t="str">
        <f t="shared" si="15"/>
        <v>1223AL03PT</v>
      </c>
      <c r="F982">
        <f>VLOOKUP(B982,[1]Course!$A$2:$R$329,2,FALSE)</f>
        <v>0</v>
      </c>
      <c r="G982">
        <f>VLOOKUP(B982, [1]Course!$A$2:$L$950, 8, FALSE)</f>
        <v>12</v>
      </c>
      <c r="H982">
        <v>3</v>
      </c>
      <c r="I982">
        <v>1</v>
      </c>
      <c r="J982">
        <v>1993</v>
      </c>
      <c r="K982">
        <v>1995</v>
      </c>
      <c r="L982">
        <v>1</v>
      </c>
      <c r="M982" t="str">
        <f>VLOOKUP(B982, [1]Course!$A$1:$O$933, 12, FALSE)</f>
        <v>MA</v>
      </c>
      <c r="N982" t="s">
        <v>14</v>
      </c>
      <c r="O982" t="str">
        <f>VLOOKUP(B982, [1]Course!$A$1:$O$933, 14, FALSE)</f>
        <v>AL</v>
      </c>
      <c r="P982">
        <v>1</v>
      </c>
    </row>
    <row r="983" spans="1:16" x14ac:dyDescent="0.25">
      <c r="A983">
        <v>986</v>
      </c>
      <c r="B983">
        <v>98</v>
      </c>
      <c r="C983">
        <v>124</v>
      </c>
      <c r="D983" t="s">
        <v>28</v>
      </c>
      <c r="E983" t="str">
        <f t="shared" si="15"/>
        <v>1224AL03PT</v>
      </c>
      <c r="F983">
        <f>VLOOKUP(B983,[1]Course!$A$2:$R$329,2,FALSE)</f>
        <v>0</v>
      </c>
      <c r="G983">
        <f>VLOOKUP(B983, [1]Course!$A$2:$L$950, 8, FALSE)</f>
        <v>12</v>
      </c>
      <c r="H983">
        <v>3</v>
      </c>
      <c r="I983">
        <v>1</v>
      </c>
      <c r="J983">
        <v>1993</v>
      </c>
      <c r="K983">
        <v>1995</v>
      </c>
      <c r="L983">
        <v>1</v>
      </c>
      <c r="M983" t="str">
        <f>VLOOKUP(B983, [1]Course!$A$1:$O$933, 12, FALSE)</f>
        <v>MA</v>
      </c>
      <c r="N983" t="s">
        <v>14</v>
      </c>
      <c r="O983" t="str">
        <f>VLOOKUP(B983, [1]Course!$A$1:$O$933, 14, FALSE)</f>
        <v>AL</v>
      </c>
      <c r="P983">
        <v>1</v>
      </c>
    </row>
    <row r="984" spans="1:16" x14ac:dyDescent="0.25">
      <c r="A984">
        <v>987</v>
      </c>
      <c r="B984">
        <v>98</v>
      </c>
      <c r="C984">
        <v>125</v>
      </c>
      <c r="D984" t="s">
        <v>28</v>
      </c>
      <c r="E984" t="str">
        <f t="shared" si="15"/>
        <v>1225AL03PT</v>
      </c>
      <c r="F984">
        <f>VLOOKUP(B984,[1]Course!$A$2:$R$329,2,FALSE)</f>
        <v>0</v>
      </c>
      <c r="G984">
        <f>VLOOKUP(B984, [1]Course!$A$2:$L$950, 8, FALSE)</f>
        <v>12</v>
      </c>
      <c r="H984">
        <v>3</v>
      </c>
      <c r="I984">
        <v>1</v>
      </c>
      <c r="J984">
        <v>1993</v>
      </c>
      <c r="K984">
        <v>1995</v>
      </c>
      <c r="L984">
        <v>1</v>
      </c>
      <c r="M984" t="str">
        <f>VLOOKUP(B984, [1]Course!$A$1:$O$933, 12, FALSE)</f>
        <v>MA</v>
      </c>
      <c r="N984" t="s">
        <v>14</v>
      </c>
      <c r="O984" t="str">
        <f>VLOOKUP(B984, [1]Course!$A$1:$O$933, 14, FALSE)</f>
        <v>AL</v>
      </c>
      <c r="P984">
        <v>1</v>
      </c>
    </row>
    <row r="985" spans="1:16" x14ac:dyDescent="0.25">
      <c r="A985">
        <v>988</v>
      </c>
      <c r="B985">
        <v>98</v>
      </c>
      <c r="C985">
        <v>126</v>
      </c>
      <c r="D985" t="s">
        <v>28</v>
      </c>
      <c r="E985" t="str">
        <f t="shared" si="15"/>
        <v>1226AL03PT</v>
      </c>
      <c r="F985">
        <f>VLOOKUP(B985,[1]Course!$A$2:$R$329,2,FALSE)</f>
        <v>0</v>
      </c>
      <c r="G985">
        <f>VLOOKUP(B985, [1]Course!$A$2:$L$950, 8, FALSE)</f>
        <v>12</v>
      </c>
      <c r="H985">
        <v>3</v>
      </c>
      <c r="I985">
        <v>1</v>
      </c>
      <c r="J985">
        <v>1993</v>
      </c>
      <c r="K985">
        <v>2016</v>
      </c>
      <c r="L985">
        <v>1</v>
      </c>
      <c r="M985" t="str">
        <f>VLOOKUP(B985, [1]Course!$A$1:$O$933, 12, FALSE)</f>
        <v>MA</v>
      </c>
      <c r="N985" t="s">
        <v>14</v>
      </c>
      <c r="O985" t="str">
        <f>VLOOKUP(B985, [1]Course!$A$1:$O$933, 14, FALSE)</f>
        <v>AL</v>
      </c>
      <c r="P985">
        <v>1</v>
      </c>
    </row>
    <row r="986" spans="1:16" x14ac:dyDescent="0.25">
      <c r="A986">
        <v>989</v>
      </c>
      <c r="B986">
        <v>98</v>
      </c>
      <c r="C986">
        <v>127</v>
      </c>
      <c r="D986" t="s">
        <v>28</v>
      </c>
      <c r="E986" t="str">
        <f t="shared" si="15"/>
        <v>1227AL03PT</v>
      </c>
      <c r="F986">
        <f>VLOOKUP(B986,[1]Course!$A$2:$R$329,2,FALSE)</f>
        <v>0</v>
      </c>
      <c r="G986">
        <f>VLOOKUP(B986, [1]Course!$A$2:$L$950, 8, FALSE)</f>
        <v>12</v>
      </c>
      <c r="H986">
        <v>3</v>
      </c>
      <c r="I986">
        <v>1</v>
      </c>
      <c r="J986">
        <v>1993</v>
      </c>
      <c r="K986">
        <v>1996</v>
      </c>
      <c r="L986">
        <v>1</v>
      </c>
      <c r="M986" t="str">
        <f>VLOOKUP(B986, [1]Course!$A$1:$O$933, 12, FALSE)</f>
        <v>MA</v>
      </c>
      <c r="N986" t="s">
        <v>14</v>
      </c>
      <c r="O986" t="str">
        <f>VLOOKUP(B986, [1]Course!$A$1:$O$933, 14, FALSE)</f>
        <v>AL</v>
      </c>
      <c r="P986">
        <v>1</v>
      </c>
    </row>
    <row r="987" spans="1:16" x14ac:dyDescent="0.25">
      <c r="A987">
        <v>990</v>
      </c>
      <c r="B987">
        <v>98</v>
      </c>
      <c r="C987">
        <v>128</v>
      </c>
      <c r="D987" t="s">
        <v>28</v>
      </c>
      <c r="E987" t="str">
        <f t="shared" si="15"/>
        <v>1228AL03PT</v>
      </c>
      <c r="F987">
        <f>VLOOKUP(B987,[1]Course!$A$2:$R$329,2,FALSE)</f>
        <v>0</v>
      </c>
      <c r="G987">
        <f>VLOOKUP(B987, [1]Course!$A$2:$L$950, 8, FALSE)</f>
        <v>12</v>
      </c>
      <c r="H987">
        <v>3</v>
      </c>
      <c r="I987">
        <v>1</v>
      </c>
      <c r="J987">
        <v>1993</v>
      </c>
      <c r="K987">
        <v>1996</v>
      </c>
      <c r="L987">
        <v>1</v>
      </c>
      <c r="M987" t="str">
        <f>VLOOKUP(B987, [1]Course!$A$1:$O$933, 12, FALSE)</f>
        <v>MA</v>
      </c>
      <c r="N987" t="s">
        <v>14</v>
      </c>
      <c r="O987" t="str">
        <f>VLOOKUP(B987, [1]Course!$A$1:$O$933, 14, FALSE)</f>
        <v>AL</v>
      </c>
      <c r="P987">
        <v>1</v>
      </c>
    </row>
    <row r="988" spans="1:16" x14ac:dyDescent="0.25">
      <c r="A988">
        <v>991</v>
      </c>
      <c r="B988">
        <v>98</v>
      </c>
      <c r="C988">
        <v>129</v>
      </c>
      <c r="D988" t="s">
        <v>28</v>
      </c>
      <c r="E988" t="str">
        <f t="shared" si="15"/>
        <v>1229AL03PT</v>
      </c>
      <c r="F988">
        <f>VLOOKUP(B988,[1]Course!$A$2:$R$329,2,FALSE)</f>
        <v>0</v>
      </c>
      <c r="G988">
        <f>VLOOKUP(B988, [1]Course!$A$2:$L$950, 8, FALSE)</f>
        <v>12</v>
      </c>
      <c r="H988">
        <v>3</v>
      </c>
      <c r="I988">
        <v>1</v>
      </c>
      <c r="J988">
        <v>1993</v>
      </c>
      <c r="K988">
        <v>1996</v>
      </c>
      <c r="L988">
        <v>1</v>
      </c>
      <c r="M988" t="str">
        <f>VLOOKUP(B988, [1]Course!$A$1:$O$933, 12, FALSE)</f>
        <v>MA</v>
      </c>
      <c r="N988" t="s">
        <v>14</v>
      </c>
      <c r="O988" t="str">
        <f>VLOOKUP(B988, [1]Course!$A$1:$O$933, 14, FALSE)</f>
        <v>AL</v>
      </c>
      <c r="P988">
        <v>1</v>
      </c>
    </row>
    <row r="989" spans="1:16" x14ac:dyDescent="0.25">
      <c r="A989">
        <v>992</v>
      </c>
      <c r="B989">
        <v>98</v>
      </c>
      <c r="C989">
        <v>130</v>
      </c>
      <c r="D989" t="s">
        <v>28</v>
      </c>
      <c r="E989" t="str">
        <f t="shared" si="15"/>
        <v>1230AL03PT</v>
      </c>
      <c r="F989">
        <f>VLOOKUP(B989,[1]Course!$A$2:$R$329,2,FALSE)</f>
        <v>0</v>
      </c>
      <c r="G989">
        <f>VLOOKUP(B989, [1]Course!$A$2:$L$950, 8, FALSE)</f>
        <v>12</v>
      </c>
      <c r="H989">
        <v>3</v>
      </c>
      <c r="I989">
        <v>1</v>
      </c>
      <c r="J989">
        <v>1993</v>
      </c>
      <c r="K989">
        <v>2017</v>
      </c>
      <c r="L989">
        <v>1</v>
      </c>
      <c r="M989" t="str">
        <f>VLOOKUP(B989, [1]Course!$A$1:$O$933, 12, FALSE)</f>
        <v>MA</v>
      </c>
      <c r="N989" t="s">
        <v>14</v>
      </c>
      <c r="O989" t="str">
        <f>VLOOKUP(B989, [1]Course!$A$1:$O$933, 14, FALSE)</f>
        <v>AL</v>
      </c>
      <c r="P989">
        <v>1</v>
      </c>
    </row>
    <row r="990" spans="1:16" x14ac:dyDescent="0.25">
      <c r="A990">
        <v>993</v>
      </c>
      <c r="B990">
        <v>98</v>
      </c>
      <c r="C990">
        <v>131</v>
      </c>
      <c r="D990" t="s">
        <v>28</v>
      </c>
      <c r="E990" t="str">
        <f t="shared" si="15"/>
        <v>1231AL03PT</v>
      </c>
      <c r="F990">
        <f>VLOOKUP(B990,[1]Course!$A$2:$R$329,2,FALSE)</f>
        <v>0</v>
      </c>
      <c r="G990">
        <f>VLOOKUP(B990, [1]Course!$A$2:$L$950, 8, FALSE)</f>
        <v>12</v>
      </c>
      <c r="H990">
        <v>3</v>
      </c>
      <c r="I990">
        <v>1</v>
      </c>
      <c r="J990">
        <v>1993</v>
      </c>
      <c r="K990">
        <v>2017</v>
      </c>
      <c r="L990">
        <v>1</v>
      </c>
      <c r="M990" t="str">
        <f>VLOOKUP(B990, [1]Course!$A$1:$O$933, 12, FALSE)</f>
        <v>MA</v>
      </c>
      <c r="N990" t="s">
        <v>14</v>
      </c>
      <c r="O990" t="str">
        <f>VLOOKUP(B990, [1]Course!$A$1:$O$933, 14, FALSE)</f>
        <v>AL</v>
      </c>
      <c r="P990">
        <v>1</v>
      </c>
    </row>
    <row r="991" spans="1:16" x14ac:dyDescent="0.25">
      <c r="A991">
        <v>994</v>
      </c>
      <c r="B991">
        <v>98</v>
      </c>
      <c r="C991">
        <v>132</v>
      </c>
      <c r="D991" t="s">
        <v>28</v>
      </c>
      <c r="E991" t="str">
        <f t="shared" si="15"/>
        <v>1232AL03PT</v>
      </c>
      <c r="F991">
        <f>VLOOKUP(B991,[1]Course!$A$2:$R$329,2,FALSE)</f>
        <v>0</v>
      </c>
      <c r="G991">
        <f>VLOOKUP(B991, [1]Course!$A$2:$L$950, 8, FALSE)</f>
        <v>12</v>
      </c>
      <c r="H991">
        <v>3</v>
      </c>
      <c r="I991">
        <v>1</v>
      </c>
      <c r="J991">
        <v>1993</v>
      </c>
      <c r="K991">
        <v>1999</v>
      </c>
      <c r="L991">
        <v>1</v>
      </c>
      <c r="M991" t="str">
        <f>VLOOKUP(B991, [1]Course!$A$1:$O$933, 12, FALSE)</f>
        <v>MA</v>
      </c>
      <c r="N991" t="s">
        <v>14</v>
      </c>
      <c r="O991" t="str">
        <f>VLOOKUP(B991, [1]Course!$A$1:$O$933, 14, FALSE)</f>
        <v>AL</v>
      </c>
      <c r="P991">
        <v>1</v>
      </c>
    </row>
    <row r="992" spans="1:16" x14ac:dyDescent="0.25">
      <c r="A992">
        <v>995</v>
      </c>
      <c r="B992">
        <v>99</v>
      </c>
      <c r="C992">
        <v>1</v>
      </c>
      <c r="D992" t="s">
        <v>59</v>
      </c>
      <c r="E992" t="str">
        <f t="shared" si="15"/>
        <v>501BL03PT</v>
      </c>
      <c r="F992">
        <f>VLOOKUP(B992,[1]Course!$A$2:$R$329,2,FALSE)</f>
        <v>0</v>
      </c>
      <c r="G992">
        <f>VLOOKUP(B992, [1]Course!$A$2:$L$950, 8, FALSE)</f>
        <v>5</v>
      </c>
      <c r="H992">
        <v>3</v>
      </c>
      <c r="I992">
        <v>1</v>
      </c>
      <c r="M992" t="str">
        <f>VLOOKUP(B992, [1]Course!$A$1:$O$933, 12, FALSE)</f>
        <v>LI</v>
      </c>
      <c r="N992" t="s">
        <v>14</v>
      </c>
      <c r="O992" t="str">
        <f>VLOOKUP(B992, [1]Course!$A$1:$O$933, 14, FALSE)</f>
        <v>BL</v>
      </c>
      <c r="P992">
        <v>1</v>
      </c>
    </row>
    <row r="993" spans="1:16" x14ac:dyDescent="0.25">
      <c r="A993">
        <v>996</v>
      </c>
      <c r="B993">
        <v>99</v>
      </c>
      <c r="C993">
        <v>2</v>
      </c>
      <c r="D993" t="s">
        <v>59</v>
      </c>
      <c r="E993" t="str">
        <f t="shared" si="15"/>
        <v>502BL03PT</v>
      </c>
      <c r="F993">
        <f>VLOOKUP(B993,[1]Course!$A$2:$R$329,2,FALSE)</f>
        <v>0</v>
      </c>
      <c r="G993">
        <f>VLOOKUP(B993, [1]Course!$A$2:$L$950, 8, FALSE)</f>
        <v>5</v>
      </c>
      <c r="H993">
        <v>3</v>
      </c>
      <c r="I993">
        <v>1</v>
      </c>
      <c r="M993" t="str">
        <f>VLOOKUP(B993, [1]Course!$A$1:$O$933, 12, FALSE)</f>
        <v>LI</v>
      </c>
      <c r="N993" t="s">
        <v>14</v>
      </c>
      <c r="O993" t="str">
        <f>VLOOKUP(B993, [1]Course!$A$1:$O$933, 14, FALSE)</f>
        <v>BL</v>
      </c>
      <c r="P993">
        <v>1</v>
      </c>
    </row>
    <row r="994" spans="1:16" x14ac:dyDescent="0.25">
      <c r="A994">
        <v>997</v>
      </c>
      <c r="B994">
        <v>99</v>
      </c>
      <c r="C994">
        <v>3</v>
      </c>
      <c r="D994" t="s">
        <v>59</v>
      </c>
      <c r="E994" t="str">
        <f t="shared" si="15"/>
        <v>503BL03PT</v>
      </c>
      <c r="F994">
        <f>VLOOKUP(B994,[1]Course!$A$2:$R$329,2,FALSE)</f>
        <v>0</v>
      </c>
      <c r="G994">
        <f>VLOOKUP(B994, [1]Course!$A$2:$L$950, 8, FALSE)</f>
        <v>5</v>
      </c>
      <c r="H994">
        <v>3</v>
      </c>
      <c r="I994">
        <v>1</v>
      </c>
      <c r="M994" t="str">
        <f>VLOOKUP(B994, [1]Course!$A$1:$O$933, 12, FALSE)</f>
        <v>LI</v>
      </c>
      <c r="N994" t="s">
        <v>14</v>
      </c>
      <c r="O994" t="str">
        <f>VLOOKUP(B994, [1]Course!$A$1:$O$933, 14, FALSE)</f>
        <v>BL</v>
      </c>
      <c r="P994">
        <v>1</v>
      </c>
    </row>
    <row r="995" spans="1:16" x14ac:dyDescent="0.25">
      <c r="A995">
        <v>998</v>
      </c>
      <c r="B995">
        <v>99</v>
      </c>
      <c r="C995">
        <v>4</v>
      </c>
      <c r="D995" t="s">
        <v>59</v>
      </c>
      <c r="E995" t="str">
        <f t="shared" si="15"/>
        <v>504BL03PT</v>
      </c>
      <c r="F995">
        <f>VLOOKUP(B995,[1]Course!$A$2:$R$329,2,FALSE)</f>
        <v>0</v>
      </c>
      <c r="G995">
        <f>VLOOKUP(B995, [1]Course!$A$2:$L$950, 8, FALSE)</f>
        <v>5</v>
      </c>
      <c r="H995">
        <v>3</v>
      </c>
      <c r="I995">
        <v>1</v>
      </c>
      <c r="M995" t="str">
        <f>VLOOKUP(B995, [1]Course!$A$1:$O$933, 12, FALSE)</f>
        <v>LI</v>
      </c>
      <c r="N995" t="s">
        <v>14</v>
      </c>
      <c r="O995" t="str">
        <f>VLOOKUP(B995, [1]Course!$A$1:$O$933, 14, FALSE)</f>
        <v>BL</v>
      </c>
      <c r="P995">
        <v>1</v>
      </c>
    </row>
    <row r="996" spans="1:16" x14ac:dyDescent="0.25">
      <c r="A996">
        <v>999</v>
      </c>
      <c r="B996">
        <v>99</v>
      </c>
      <c r="C996">
        <v>5</v>
      </c>
      <c r="D996" t="s">
        <v>59</v>
      </c>
      <c r="E996" t="str">
        <f t="shared" si="15"/>
        <v>505BL03PT</v>
      </c>
      <c r="F996">
        <f>VLOOKUP(B996,[1]Course!$A$2:$R$329,2,FALSE)</f>
        <v>0</v>
      </c>
      <c r="G996">
        <f>VLOOKUP(B996, [1]Course!$A$2:$L$950, 8, FALSE)</f>
        <v>5</v>
      </c>
      <c r="H996">
        <v>3</v>
      </c>
      <c r="I996">
        <v>1</v>
      </c>
      <c r="M996" t="str">
        <f>VLOOKUP(B996, [1]Course!$A$1:$O$933, 12, FALSE)</f>
        <v>LI</v>
      </c>
      <c r="N996" t="s">
        <v>14</v>
      </c>
      <c r="O996" t="str">
        <f>VLOOKUP(B996, [1]Course!$A$1:$O$933, 14, FALSE)</f>
        <v>BL</v>
      </c>
      <c r="P996">
        <v>1</v>
      </c>
    </row>
    <row r="997" spans="1:16" x14ac:dyDescent="0.25">
      <c r="A997">
        <v>1000</v>
      </c>
      <c r="B997">
        <v>101</v>
      </c>
      <c r="C997">
        <v>121</v>
      </c>
      <c r="D997" t="s">
        <v>16</v>
      </c>
      <c r="E997" t="str">
        <f t="shared" si="15"/>
        <v>1221EN03PT</v>
      </c>
      <c r="F997">
        <f>VLOOKUP(B997,[1]Course!$A$2:$R$329,2,FALSE)</f>
        <v>0</v>
      </c>
      <c r="G997">
        <f>VLOOKUP(B997, [1]Course!$A$2:$L$950, 8, FALSE)</f>
        <v>12</v>
      </c>
      <c r="H997">
        <v>3</v>
      </c>
      <c r="I997">
        <v>1</v>
      </c>
      <c r="J997">
        <v>1990</v>
      </c>
      <c r="K997">
        <v>1998</v>
      </c>
      <c r="L997">
        <v>2</v>
      </c>
      <c r="M997" t="str">
        <f>VLOOKUP(B997, [1]Course!$A$1:$O$933, 12, FALSE)</f>
        <v>LA</v>
      </c>
      <c r="N997" t="s">
        <v>14</v>
      </c>
      <c r="O997" t="str">
        <f>VLOOKUP(B997, [1]Course!$A$1:$O$933, 14, FALSE)</f>
        <v>EN</v>
      </c>
      <c r="P997">
        <v>1</v>
      </c>
    </row>
    <row r="998" spans="1:16" x14ac:dyDescent="0.25">
      <c r="A998">
        <v>1001</v>
      </c>
      <c r="B998">
        <v>101</v>
      </c>
      <c r="C998">
        <v>122</v>
      </c>
      <c r="D998" t="s">
        <v>16</v>
      </c>
      <c r="E998" t="str">
        <f t="shared" si="15"/>
        <v>1222EN03PT</v>
      </c>
      <c r="F998">
        <f>VLOOKUP(B998,[1]Course!$A$2:$R$329,2,FALSE)</f>
        <v>0</v>
      </c>
      <c r="G998">
        <f>VLOOKUP(B998, [1]Course!$A$2:$L$950, 8, FALSE)</f>
        <v>12</v>
      </c>
      <c r="H998">
        <v>3</v>
      </c>
      <c r="I998">
        <v>1</v>
      </c>
      <c r="J998">
        <v>1990</v>
      </c>
      <c r="K998">
        <v>2002</v>
      </c>
      <c r="L998">
        <v>2</v>
      </c>
      <c r="M998" t="str">
        <f>VLOOKUP(B998, [1]Course!$A$1:$O$933, 12, FALSE)</f>
        <v>LA</v>
      </c>
      <c r="N998" t="s">
        <v>14</v>
      </c>
      <c r="O998" t="str">
        <f>VLOOKUP(B998, [1]Course!$A$1:$O$933, 14, FALSE)</f>
        <v>EN</v>
      </c>
      <c r="P998">
        <v>1</v>
      </c>
    </row>
    <row r="999" spans="1:16" x14ac:dyDescent="0.25">
      <c r="A999">
        <v>1002</v>
      </c>
      <c r="B999">
        <v>101</v>
      </c>
      <c r="C999">
        <v>123</v>
      </c>
      <c r="D999" t="s">
        <v>16</v>
      </c>
      <c r="E999" t="str">
        <f t="shared" si="15"/>
        <v>1223EN03PT</v>
      </c>
      <c r="F999">
        <f>VLOOKUP(B999,[1]Course!$A$2:$R$329,2,FALSE)</f>
        <v>0</v>
      </c>
      <c r="G999">
        <f>VLOOKUP(B999, [1]Course!$A$2:$L$950, 8, FALSE)</f>
        <v>12</v>
      </c>
      <c r="H999">
        <v>3</v>
      </c>
      <c r="I999">
        <v>1</v>
      </c>
      <c r="J999">
        <v>1990</v>
      </c>
      <c r="K999">
        <v>2014</v>
      </c>
      <c r="L999">
        <v>2</v>
      </c>
      <c r="M999" t="str">
        <f>VLOOKUP(B999, [1]Course!$A$1:$O$933, 12, FALSE)</f>
        <v>LA</v>
      </c>
      <c r="N999" t="s">
        <v>14</v>
      </c>
      <c r="O999" t="str">
        <f>VLOOKUP(B999, [1]Course!$A$1:$O$933, 14, FALSE)</f>
        <v>EN</v>
      </c>
      <c r="P999">
        <v>1</v>
      </c>
    </row>
    <row r="1000" spans="1:16" x14ac:dyDescent="0.25">
      <c r="A1000">
        <v>1003</v>
      </c>
      <c r="B1000">
        <v>101</v>
      </c>
      <c r="C1000">
        <v>124</v>
      </c>
      <c r="D1000" t="s">
        <v>16</v>
      </c>
      <c r="E1000" t="str">
        <f t="shared" si="15"/>
        <v>1224EN03PT</v>
      </c>
      <c r="F1000">
        <f>VLOOKUP(B1000,[1]Course!$A$2:$R$329,2,FALSE)</f>
        <v>0</v>
      </c>
      <c r="G1000">
        <f>VLOOKUP(B1000, [1]Course!$A$2:$L$950, 8, FALSE)</f>
        <v>12</v>
      </c>
      <c r="H1000">
        <v>3</v>
      </c>
      <c r="I1000">
        <v>1</v>
      </c>
      <c r="J1000">
        <v>1990</v>
      </c>
      <c r="K1000">
        <v>1997</v>
      </c>
      <c r="L1000">
        <v>2</v>
      </c>
      <c r="M1000" t="str">
        <f>VLOOKUP(B1000, [1]Course!$A$1:$O$933, 12, FALSE)</f>
        <v>LA</v>
      </c>
      <c r="N1000" t="s">
        <v>14</v>
      </c>
      <c r="O1000" t="str">
        <f>VLOOKUP(B1000, [1]Course!$A$1:$O$933, 14, FALSE)</f>
        <v>EN</v>
      </c>
      <c r="P1000">
        <v>1</v>
      </c>
    </row>
    <row r="1001" spans="1:16" x14ac:dyDescent="0.25">
      <c r="A1001">
        <v>1004</v>
      </c>
      <c r="B1001">
        <v>101</v>
      </c>
      <c r="C1001">
        <v>125</v>
      </c>
      <c r="D1001" t="s">
        <v>16</v>
      </c>
      <c r="E1001" t="str">
        <f t="shared" si="15"/>
        <v>1225EN03PT</v>
      </c>
      <c r="F1001">
        <f>VLOOKUP(B1001,[1]Course!$A$2:$R$329,2,FALSE)</f>
        <v>0</v>
      </c>
      <c r="G1001">
        <f>VLOOKUP(B1001, [1]Course!$A$2:$L$950, 8, FALSE)</f>
        <v>12</v>
      </c>
      <c r="H1001">
        <v>3</v>
      </c>
      <c r="I1001">
        <v>1</v>
      </c>
      <c r="J1001">
        <v>1990</v>
      </c>
      <c r="K1001">
        <v>1999</v>
      </c>
      <c r="L1001">
        <v>1</v>
      </c>
      <c r="M1001" t="str">
        <f>VLOOKUP(B1001, [1]Course!$A$1:$O$933, 12, FALSE)</f>
        <v>LA</v>
      </c>
      <c r="N1001" t="s">
        <v>14</v>
      </c>
      <c r="O1001" t="str">
        <f>VLOOKUP(B1001, [1]Course!$A$1:$O$933, 14, FALSE)</f>
        <v>EN</v>
      </c>
      <c r="P1001">
        <v>1</v>
      </c>
    </row>
    <row r="1002" spans="1:16" x14ac:dyDescent="0.25">
      <c r="A1002">
        <v>1005</v>
      </c>
      <c r="B1002">
        <v>101</v>
      </c>
      <c r="C1002">
        <v>126</v>
      </c>
      <c r="D1002" t="s">
        <v>16</v>
      </c>
      <c r="E1002" t="str">
        <f t="shared" si="15"/>
        <v>1226EN03PT</v>
      </c>
      <c r="F1002">
        <f>VLOOKUP(B1002,[1]Course!$A$2:$R$329,2,FALSE)</f>
        <v>0</v>
      </c>
      <c r="G1002">
        <f>VLOOKUP(B1002, [1]Course!$A$2:$L$950, 8, FALSE)</f>
        <v>12</v>
      </c>
      <c r="H1002">
        <v>3</v>
      </c>
      <c r="I1002">
        <v>1</v>
      </c>
      <c r="J1002">
        <v>1990</v>
      </c>
      <c r="K1002">
        <v>1997</v>
      </c>
      <c r="L1002">
        <v>1</v>
      </c>
      <c r="M1002" t="str">
        <f>VLOOKUP(B1002, [1]Course!$A$1:$O$933, 12, FALSE)</f>
        <v>LA</v>
      </c>
      <c r="N1002" t="s">
        <v>14</v>
      </c>
      <c r="O1002" t="str">
        <f>VLOOKUP(B1002, [1]Course!$A$1:$O$933, 14, FALSE)</f>
        <v>EN</v>
      </c>
      <c r="P1002">
        <v>1</v>
      </c>
    </row>
    <row r="1003" spans="1:16" x14ac:dyDescent="0.25">
      <c r="A1003">
        <v>1006</v>
      </c>
      <c r="B1003">
        <v>101</v>
      </c>
      <c r="C1003">
        <v>127</v>
      </c>
      <c r="D1003" t="s">
        <v>16</v>
      </c>
      <c r="E1003" t="str">
        <f t="shared" si="15"/>
        <v>1227EN03PT</v>
      </c>
      <c r="F1003">
        <f>VLOOKUP(B1003,[1]Course!$A$2:$R$329,2,FALSE)</f>
        <v>0</v>
      </c>
      <c r="G1003">
        <f>VLOOKUP(B1003, [1]Course!$A$2:$L$950, 8, FALSE)</f>
        <v>12</v>
      </c>
      <c r="H1003">
        <v>3</v>
      </c>
      <c r="I1003">
        <v>1</v>
      </c>
      <c r="J1003">
        <v>1990</v>
      </c>
      <c r="K1003">
        <v>2005</v>
      </c>
      <c r="L1003">
        <v>1</v>
      </c>
      <c r="M1003" t="str">
        <f>VLOOKUP(B1003, [1]Course!$A$1:$O$933, 12, FALSE)</f>
        <v>LA</v>
      </c>
      <c r="N1003" t="s">
        <v>14</v>
      </c>
      <c r="O1003" t="str">
        <f>VLOOKUP(B1003, [1]Course!$A$1:$O$933, 14, FALSE)</f>
        <v>EN</v>
      </c>
      <c r="P1003">
        <v>1</v>
      </c>
    </row>
    <row r="1004" spans="1:16" x14ac:dyDescent="0.25">
      <c r="A1004">
        <v>1007</v>
      </c>
      <c r="B1004">
        <v>101</v>
      </c>
      <c r="C1004">
        <v>128</v>
      </c>
      <c r="D1004" t="s">
        <v>16</v>
      </c>
      <c r="E1004" t="str">
        <f t="shared" si="15"/>
        <v>1228EN03PT</v>
      </c>
      <c r="F1004">
        <f>VLOOKUP(B1004,[1]Course!$A$2:$R$329,2,FALSE)</f>
        <v>0</v>
      </c>
      <c r="G1004">
        <f>VLOOKUP(B1004, [1]Course!$A$2:$L$950, 8, FALSE)</f>
        <v>12</v>
      </c>
      <c r="H1004">
        <v>3</v>
      </c>
      <c r="I1004">
        <v>1</v>
      </c>
      <c r="J1004">
        <v>1990</v>
      </c>
      <c r="K1004">
        <v>1998</v>
      </c>
      <c r="L1004">
        <v>1</v>
      </c>
      <c r="M1004" t="str">
        <f>VLOOKUP(B1004, [1]Course!$A$1:$O$933, 12, FALSE)</f>
        <v>LA</v>
      </c>
      <c r="N1004" t="s">
        <v>14</v>
      </c>
      <c r="O1004" t="str">
        <f>VLOOKUP(B1004, [1]Course!$A$1:$O$933, 14, FALSE)</f>
        <v>EN</v>
      </c>
      <c r="P1004">
        <v>1</v>
      </c>
    </row>
    <row r="1005" spans="1:16" x14ac:dyDescent="0.25">
      <c r="A1005">
        <v>1008</v>
      </c>
      <c r="B1005">
        <v>101</v>
      </c>
      <c r="C1005">
        <v>129</v>
      </c>
      <c r="D1005" t="s">
        <v>16</v>
      </c>
      <c r="E1005" t="str">
        <f t="shared" si="15"/>
        <v>1229EN03PT</v>
      </c>
      <c r="F1005">
        <f>VLOOKUP(B1005,[1]Course!$A$2:$R$329,2,FALSE)</f>
        <v>0</v>
      </c>
      <c r="G1005">
        <f>VLOOKUP(B1005, [1]Course!$A$2:$L$950, 8, FALSE)</f>
        <v>12</v>
      </c>
      <c r="H1005">
        <v>3</v>
      </c>
      <c r="I1005">
        <v>1</v>
      </c>
      <c r="J1005">
        <v>1990</v>
      </c>
      <c r="K1005">
        <v>1999</v>
      </c>
      <c r="L1005">
        <v>1</v>
      </c>
      <c r="M1005" t="str">
        <f>VLOOKUP(B1005, [1]Course!$A$1:$O$933, 12, FALSE)</f>
        <v>LA</v>
      </c>
      <c r="N1005" t="s">
        <v>14</v>
      </c>
      <c r="O1005" t="str">
        <f>VLOOKUP(B1005, [1]Course!$A$1:$O$933, 14, FALSE)</f>
        <v>EN</v>
      </c>
      <c r="P1005">
        <v>1</v>
      </c>
    </row>
    <row r="1006" spans="1:16" x14ac:dyDescent="0.25">
      <c r="A1006">
        <v>1009</v>
      </c>
      <c r="B1006">
        <v>101</v>
      </c>
      <c r="C1006">
        <v>130</v>
      </c>
      <c r="D1006" t="s">
        <v>16</v>
      </c>
      <c r="E1006" t="str">
        <f t="shared" si="15"/>
        <v>1230EN03PT</v>
      </c>
      <c r="F1006">
        <f>VLOOKUP(B1006,[1]Course!$A$2:$R$329,2,FALSE)</f>
        <v>0</v>
      </c>
      <c r="G1006">
        <f>VLOOKUP(B1006, [1]Course!$A$2:$L$950, 8, FALSE)</f>
        <v>12</v>
      </c>
      <c r="H1006">
        <v>3</v>
      </c>
      <c r="I1006">
        <v>1</v>
      </c>
      <c r="J1006">
        <v>1990</v>
      </c>
      <c r="K1006">
        <v>2000</v>
      </c>
      <c r="L1006">
        <v>1</v>
      </c>
      <c r="M1006" t="str">
        <f>VLOOKUP(B1006, [1]Course!$A$1:$O$933, 12, FALSE)</f>
        <v>LA</v>
      </c>
      <c r="N1006" t="s">
        <v>14</v>
      </c>
      <c r="O1006" t="str">
        <f>VLOOKUP(B1006, [1]Course!$A$1:$O$933, 14, FALSE)</f>
        <v>EN</v>
      </c>
      <c r="P1006">
        <v>1</v>
      </c>
    </row>
    <row r="1007" spans="1:16" x14ac:dyDescent="0.25">
      <c r="A1007">
        <v>1010</v>
      </c>
      <c r="B1007">
        <v>101</v>
      </c>
      <c r="C1007">
        <v>131</v>
      </c>
      <c r="D1007" t="s">
        <v>16</v>
      </c>
      <c r="E1007" t="str">
        <f t="shared" si="15"/>
        <v>1231EN03PT</v>
      </c>
      <c r="F1007">
        <f>VLOOKUP(B1007,[1]Course!$A$2:$R$329,2,FALSE)</f>
        <v>0</v>
      </c>
      <c r="G1007">
        <f>VLOOKUP(B1007, [1]Course!$A$2:$L$950, 8, FALSE)</f>
        <v>12</v>
      </c>
      <c r="H1007">
        <v>3</v>
      </c>
      <c r="I1007">
        <v>1</v>
      </c>
      <c r="J1007">
        <v>1990</v>
      </c>
      <c r="K1007">
        <v>1996</v>
      </c>
      <c r="L1007">
        <v>1</v>
      </c>
      <c r="M1007" t="str">
        <f>VLOOKUP(B1007, [1]Course!$A$1:$O$933, 12, FALSE)</f>
        <v>LA</v>
      </c>
      <c r="N1007" t="s">
        <v>14</v>
      </c>
      <c r="O1007" t="str">
        <f>VLOOKUP(B1007, [1]Course!$A$1:$O$933, 14, FALSE)</f>
        <v>EN</v>
      </c>
      <c r="P1007">
        <v>1</v>
      </c>
    </row>
    <row r="1008" spans="1:16" x14ac:dyDescent="0.25">
      <c r="A1008">
        <v>1011</v>
      </c>
      <c r="B1008">
        <v>101</v>
      </c>
      <c r="C1008">
        <v>132</v>
      </c>
      <c r="D1008" t="s">
        <v>16</v>
      </c>
      <c r="E1008" t="str">
        <f t="shared" si="15"/>
        <v>1232EN03PT</v>
      </c>
      <c r="F1008">
        <f>VLOOKUP(B1008,[1]Course!$A$2:$R$329,2,FALSE)</f>
        <v>0</v>
      </c>
      <c r="G1008">
        <f>VLOOKUP(B1008, [1]Course!$A$2:$L$950, 8, FALSE)</f>
        <v>12</v>
      </c>
      <c r="H1008">
        <v>3</v>
      </c>
      <c r="I1008">
        <v>1</v>
      </c>
      <c r="J1008">
        <v>1990</v>
      </c>
      <c r="K1008">
        <v>2001</v>
      </c>
      <c r="L1008">
        <v>1</v>
      </c>
      <c r="M1008" t="str">
        <f>VLOOKUP(B1008, [1]Course!$A$1:$O$933, 12, FALSE)</f>
        <v>LA</v>
      </c>
      <c r="N1008" t="s">
        <v>14</v>
      </c>
      <c r="O1008" t="str">
        <f>VLOOKUP(B1008, [1]Course!$A$1:$O$933, 14, FALSE)</f>
        <v>EN</v>
      </c>
      <c r="P1008">
        <v>1</v>
      </c>
    </row>
    <row r="1009" spans="1:16" x14ac:dyDescent="0.25">
      <c r="A1009">
        <v>1012</v>
      </c>
      <c r="B1009">
        <v>102</v>
      </c>
      <c r="C1009">
        <v>1</v>
      </c>
      <c r="D1009" t="s">
        <v>60</v>
      </c>
      <c r="E1009" t="str">
        <f t="shared" si="15"/>
        <v>301I103PT</v>
      </c>
      <c r="F1009">
        <f>VLOOKUP(B1009,[1]Course!$A$2:$R$329,2,FALSE)</f>
        <v>0</v>
      </c>
      <c r="G1009">
        <f>VLOOKUP(B1009, [1]Course!$A$2:$L$950, 8, FALSE)</f>
        <v>3</v>
      </c>
      <c r="H1009">
        <v>3</v>
      </c>
      <c r="I1009">
        <v>1</v>
      </c>
      <c r="M1009" t="str">
        <f>VLOOKUP(B1009, [1]Course!$A$1:$O$933, 12, FALSE)</f>
        <v>LI</v>
      </c>
      <c r="N1009" t="s">
        <v>14</v>
      </c>
      <c r="O1009" t="str">
        <f>VLOOKUP(B1009, [1]Course!$A$1:$O$933, 14, FALSE)</f>
        <v>I1</v>
      </c>
      <c r="P1009">
        <v>1</v>
      </c>
    </row>
    <row r="1010" spans="1:16" x14ac:dyDescent="0.25">
      <c r="A1010">
        <v>1013</v>
      </c>
      <c r="B1010">
        <v>102</v>
      </c>
      <c r="C1010">
        <v>2</v>
      </c>
      <c r="D1010" t="s">
        <v>60</v>
      </c>
      <c r="E1010" t="str">
        <f t="shared" si="15"/>
        <v>302I103PT</v>
      </c>
      <c r="F1010">
        <f>VLOOKUP(B1010,[1]Course!$A$2:$R$329,2,FALSE)</f>
        <v>0</v>
      </c>
      <c r="G1010">
        <f>VLOOKUP(B1010, [1]Course!$A$2:$L$950, 8, FALSE)</f>
        <v>3</v>
      </c>
      <c r="H1010">
        <v>3</v>
      </c>
      <c r="I1010">
        <v>1</v>
      </c>
      <c r="M1010" t="str">
        <f>VLOOKUP(B1010, [1]Course!$A$1:$O$933, 12, FALSE)</f>
        <v>LI</v>
      </c>
      <c r="N1010" t="s">
        <v>14</v>
      </c>
      <c r="O1010" t="str">
        <f>VLOOKUP(B1010, [1]Course!$A$1:$O$933, 14, FALSE)</f>
        <v>I1</v>
      </c>
      <c r="P1010">
        <v>1</v>
      </c>
    </row>
    <row r="1011" spans="1:16" x14ac:dyDescent="0.25">
      <c r="A1011">
        <v>1014</v>
      </c>
      <c r="B1011">
        <v>102</v>
      </c>
      <c r="C1011">
        <v>3</v>
      </c>
      <c r="D1011" t="s">
        <v>60</v>
      </c>
      <c r="E1011" t="str">
        <f t="shared" si="15"/>
        <v>303I103PT</v>
      </c>
      <c r="F1011">
        <f>VLOOKUP(B1011,[1]Course!$A$2:$R$329,2,FALSE)</f>
        <v>0</v>
      </c>
      <c r="G1011">
        <f>VLOOKUP(B1011, [1]Course!$A$2:$L$950, 8, FALSE)</f>
        <v>3</v>
      </c>
      <c r="H1011">
        <v>3</v>
      </c>
      <c r="I1011">
        <v>1</v>
      </c>
      <c r="M1011" t="str">
        <f>VLOOKUP(B1011, [1]Course!$A$1:$O$933, 12, FALSE)</f>
        <v>LI</v>
      </c>
      <c r="N1011" t="s">
        <v>14</v>
      </c>
      <c r="O1011" t="str">
        <f>VLOOKUP(B1011, [1]Course!$A$1:$O$933, 14, FALSE)</f>
        <v>I1</v>
      </c>
      <c r="P1011">
        <v>1</v>
      </c>
    </row>
    <row r="1012" spans="1:16" x14ac:dyDescent="0.25">
      <c r="A1012">
        <v>1015</v>
      </c>
      <c r="B1012">
        <v>103</v>
      </c>
      <c r="C1012">
        <v>1</v>
      </c>
      <c r="D1012" t="s">
        <v>60</v>
      </c>
      <c r="E1012" t="str">
        <f t="shared" si="15"/>
        <v>601I103PT</v>
      </c>
      <c r="F1012">
        <f>VLOOKUP(B1012,[1]Course!$A$2:$R$329,2,FALSE)</f>
        <v>0</v>
      </c>
      <c r="G1012">
        <f>VLOOKUP(B1012, [1]Course!$A$2:$L$950, 8, FALSE)</f>
        <v>6</v>
      </c>
      <c r="H1012">
        <v>3</v>
      </c>
      <c r="I1012">
        <v>1</v>
      </c>
      <c r="M1012" t="str">
        <f>VLOOKUP(B1012, [1]Course!$A$1:$O$933, 12, FALSE)</f>
        <v>LI</v>
      </c>
      <c r="N1012" t="s">
        <v>14</v>
      </c>
      <c r="O1012" t="str">
        <f>VLOOKUP(B1012, [1]Course!$A$1:$O$933, 14, FALSE)</f>
        <v>I1</v>
      </c>
      <c r="P1012">
        <v>1</v>
      </c>
    </row>
    <row r="1013" spans="1:16" x14ac:dyDescent="0.25">
      <c r="A1013">
        <v>1016</v>
      </c>
      <c r="B1013">
        <v>103</v>
      </c>
      <c r="C1013">
        <v>2</v>
      </c>
      <c r="D1013" t="s">
        <v>60</v>
      </c>
      <c r="E1013" t="str">
        <f t="shared" si="15"/>
        <v>602I103PT</v>
      </c>
      <c r="F1013">
        <f>VLOOKUP(B1013,[1]Course!$A$2:$R$329,2,FALSE)</f>
        <v>0</v>
      </c>
      <c r="G1013">
        <f>VLOOKUP(B1013, [1]Course!$A$2:$L$950, 8, FALSE)</f>
        <v>6</v>
      </c>
      <c r="H1013">
        <v>3</v>
      </c>
      <c r="I1013">
        <v>1</v>
      </c>
      <c r="M1013" t="str">
        <f>VLOOKUP(B1013, [1]Course!$A$1:$O$933, 12, FALSE)</f>
        <v>LI</v>
      </c>
      <c r="N1013" t="s">
        <v>14</v>
      </c>
      <c r="O1013" t="str">
        <f>VLOOKUP(B1013, [1]Course!$A$1:$O$933, 14, FALSE)</f>
        <v>I1</v>
      </c>
      <c r="P1013">
        <v>1</v>
      </c>
    </row>
    <row r="1014" spans="1:16" x14ac:dyDescent="0.25">
      <c r="A1014">
        <v>1017</v>
      </c>
      <c r="B1014">
        <v>103</v>
      </c>
      <c r="C1014">
        <v>3</v>
      </c>
      <c r="D1014" t="s">
        <v>60</v>
      </c>
      <c r="E1014" t="str">
        <f t="shared" si="15"/>
        <v>603I103PT</v>
      </c>
      <c r="F1014">
        <f>VLOOKUP(B1014,[1]Course!$A$2:$R$329,2,FALSE)</f>
        <v>0</v>
      </c>
      <c r="G1014">
        <f>VLOOKUP(B1014, [1]Course!$A$2:$L$950, 8, FALSE)</f>
        <v>6</v>
      </c>
      <c r="H1014">
        <v>3</v>
      </c>
      <c r="I1014">
        <v>1</v>
      </c>
      <c r="M1014" t="str">
        <f>VLOOKUP(B1014, [1]Course!$A$1:$O$933, 12, FALSE)</f>
        <v>LI</v>
      </c>
      <c r="N1014" t="s">
        <v>14</v>
      </c>
      <c r="O1014" t="str">
        <f>VLOOKUP(B1014, [1]Course!$A$1:$O$933, 14, FALSE)</f>
        <v>I1</v>
      </c>
      <c r="P1014">
        <v>1</v>
      </c>
    </row>
    <row r="1015" spans="1:16" x14ac:dyDescent="0.25">
      <c r="A1015">
        <v>1018</v>
      </c>
      <c r="B1015">
        <v>103</v>
      </c>
      <c r="C1015">
        <v>4</v>
      </c>
      <c r="D1015" t="s">
        <v>60</v>
      </c>
      <c r="E1015" t="str">
        <f t="shared" si="15"/>
        <v>604I103PT</v>
      </c>
      <c r="F1015">
        <f>VLOOKUP(B1015,[1]Course!$A$2:$R$329,2,FALSE)</f>
        <v>0</v>
      </c>
      <c r="G1015">
        <f>VLOOKUP(B1015, [1]Course!$A$2:$L$950, 8, FALSE)</f>
        <v>6</v>
      </c>
      <c r="H1015">
        <v>3</v>
      </c>
      <c r="I1015">
        <v>1</v>
      </c>
      <c r="M1015" t="str">
        <f>VLOOKUP(B1015, [1]Course!$A$1:$O$933, 12, FALSE)</f>
        <v>LI</v>
      </c>
      <c r="N1015" t="s">
        <v>14</v>
      </c>
      <c r="O1015" t="str">
        <f>VLOOKUP(B1015, [1]Course!$A$1:$O$933, 14, FALSE)</f>
        <v>I1</v>
      </c>
      <c r="P1015">
        <v>1</v>
      </c>
    </row>
    <row r="1016" spans="1:16" x14ac:dyDescent="0.25">
      <c r="A1016">
        <v>1019</v>
      </c>
      <c r="B1016">
        <v>103</v>
      </c>
      <c r="C1016">
        <v>5</v>
      </c>
      <c r="D1016" t="s">
        <v>60</v>
      </c>
      <c r="E1016" t="str">
        <f t="shared" si="15"/>
        <v>605I103PT</v>
      </c>
      <c r="F1016">
        <f>VLOOKUP(B1016,[1]Course!$A$2:$R$329,2,FALSE)</f>
        <v>0</v>
      </c>
      <c r="G1016">
        <f>VLOOKUP(B1016, [1]Course!$A$2:$L$950, 8, FALSE)</f>
        <v>6</v>
      </c>
      <c r="H1016">
        <v>3</v>
      </c>
      <c r="I1016">
        <v>1</v>
      </c>
      <c r="M1016" t="str">
        <f>VLOOKUP(B1016, [1]Course!$A$1:$O$933, 12, FALSE)</f>
        <v>LI</v>
      </c>
      <c r="N1016" t="s">
        <v>14</v>
      </c>
      <c r="O1016" t="str">
        <f>VLOOKUP(B1016, [1]Course!$A$1:$O$933, 14, FALSE)</f>
        <v>I1</v>
      </c>
      <c r="P1016">
        <v>1</v>
      </c>
    </row>
    <row r="1017" spans="1:16" x14ac:dyDescent="0.25">
      <c r="A1017">
        <v>1020</v>
      </c>
      <c r="B1017">
        <v>103</v>
      </c>
      <c r="C1017">
        <v>6</v>
      </c>
      <c r="D1017" t="s">
        <v>60</v>
      </c>
      <c r="E1017" t="str">
        <f t="shared" si="15"/>
        <v>606I103PT</v>
      </c>
      <c r="F1017">
        <f>VLOOKUP(B1017,[1]Course!$A$2:$R$329,2,FALSE)</f>
        <v>0</v>
      </c>
      <c r="G1017">
        <f>VLOOKUP(B1017, [1]Course!$A$2:$L$950, 8, FALSE)</f>
        <v>6</v>
      </c>
      <c r="H1017">
        <v>3</v>
      </c>
      <c r="I1017">
        <v>1</v>
      </c>
      <c r="M1017" t="str">
        <f>VLOOKUP(B1017, [1]Course!$A$1:$O$933, 12, FALSE)</f>
        <v>LI</v>
      </c>
      <c r="N1017" t="s">
        <v>14</v>
      </c>
      <c r="O1017" t="str">
        <f>VLOOKUP(B1017, [1]Course!$A$1:$O$933, 14, FALSE)</f>
        <v>I1</v>
      </c>
      <c r="P1017">
        <v>1</v>
      </c>
    </row>
    <row r="1018" spans="1:16" x14ac:dyDescent="0.25">
      <c r="A1018">
        <v>1021</v>
      </c>
      <c r="B1018">
        <v>104</v>
      </c>
      <c r="C1018">
        <v>121</v>
      </c>
      <c r="D1018" t="s">
        <v>61</v>
      </c>
      <c r="E1018" t="str">
        <f t="shared" si="15"/>
        <v>1221GR03PT</v>
      </c>
      <c r="F1018">
        <f>VLOOKUP(B1018,[1]Course!$A$2:$R$329,2,FALSE)</f>
        <v>0</v>
      </c>
      <c r="G1018">
        <f>VLOOKUP(B1018, [1]Course!$A$2:$L$950, 8, FALSE)</f>
        <v>12</v>
      </c>
      <c r="H1018">
        <v>3</v>
      </c>
      <c r="I1018">
        <v>1</v>
      </c>
      <c r="M1018" t="str">
        <f>VLOOKUP(B1018, [1]Course!$A$1:$O$933, 12, FALSE)</f>
        <v>LA</v>
      </c>
      <c r="N1018" t="s">
        <v>14</v>
      </c>
      <c r="O1018" t="str">
        <f>VLOOKUP(B1018, [1]Course!$A$1:$O$933, 14, FALSE)</f>
        <v>GR</v>
      </c>
      <c r="P1018">
        <v>1</v>
      </c>
    </row>
    <row r="1019" spans="1:16" x14ac:dyDescent="0.25">
      <c r="A1019">
        <v>1022</v>
      </c>
      <c r="B1019">
        <v>104</v>
      </c>
      <c r="C1019">
        <v>122</v>
      </c>
      <c r="D1019" t="s">
        <v>61</v>
      </c>
      <c r="E1019" t="str">
        <f t="shared" si="15"/>
        <v>1222GR03PT</v>
      </c>
      <c r="F1019">
        <f>VLOOKUP(B1019,[1]Course!$A$2:$R$329,2,FALSE)</f>
        <v>0</v>
      </c>
      <c r="G1019">
        <f>VLOOKUP(B1019, [1]Course!$A$2:$L$950, 8, FALSE)</f>
        <v>12</v>
      </c>
      <c r="H1019">
        <v>3</v>
      </c>
      <c r="I1019">
        <v>1</v>
      </c>
      <c r="M1019" t="str">
        <f>VLOOKUP(B1019, [1]Course!$A$1:$O$933, 12, FALSE)</f>
        <v>LA</v>
      </c>
      <c r="N1019" t="s">
        <v>14</v>
      </c>
      <c r="O1019" t="str">
        <f>VLOOKUP(B1019, [1]Course!$A$1:$O$933, 14, FALSE)</f>
        <v>GR</v>
      </c>
      <c r="P1019">
        <v>1</v>
      </c>
    </row>
    <row r="1020" spans="1:16" x14ac:dyDescent="0.25">
      <c r="A1020">
        <v>1023</v>
      </c>
      <c r="B1020">
        <v>104</v>
      </c>
      <c r="C1020">
        <v>123</v>
      </c>
      <c r="D1020" t="s">
        <v>61</v>
      </c>
      <c r="E1020" t="str">
        <f t="shared" si="15"/>
        <v>1223GR03PT</v>
      </c>
      <c r="F1020">
        <f>VLOOKUP(B1020,[1]Course!$A$2:$R$329,2,FALSE)</f>
        <v>0</v>
      </c>
      <c r="G1020">
        <f>VLOOKUP(B1020, [1]Course!$A$2:$L$950, 8, FALSE)</f>
        <v>12</v>
      </c>
      <c r="H1020">
        <v>3</v>
      </c>
      <c r="I1020">
        <v>1</v>
      </c>
      <c r="M1020" t="str">
        <f>VLOOKUP(B1020, [1]Course!$A$1:$O$933, 12, FALSE)</f>
        <v>LA</v>
      </c>
      <c r="N1020" t="s">
        <v>14</v>
      </c>
      <c r="O1020" t="str">
        <f>VLOOKUP(B1020, [1]Course!$A$1:$O$933, 14, FALSE)</f>
        <v>GR</v>
      </c>
      <c r="P1020">
        <v>1</v>
      </c>
    </row>
    <row r="1021" spans="1:16" x14ac:dyDescent="0.25">
      <c r="A1021">
        <v>1024</v>
      </c>
      <c r="B1021">
        <v>104</v>
      </c>
      <c r="C1021">
        <v>124</v>
      </c>
      <c r="D1021" t="s">
        <v>61</v>
      </c>
      <c r="E1021" t="str">
        <f t="shared" si="15"/>
        <v>1224GR03PT</v>
      </c>
      <c r="F1021">
        <f>VLOOKUP(B1021,[1]Course!$A$2:$R$329,2,FALSE)</f>
        <v>0</v>
      </c>
      <c r="G1021">
        <f>VLOOKUP(B1021, [1]Course!$A$2:$L$950, 8, FALSE)</f>
        <v>12</v>
      </c>
      <c r="H1021">
        <v>3</v>
      </c>
      <c r="I1021">
        <v>1</v>
      </c>
      <c r="M1021" t="str">
        <f>VLOOKUP(B1021, [1]Course!$A$1:$O$933, 12, FALSE)</f>
        <v>LA</v>
      </c>
      <c r="N1021" t="s">
        <v>14</v>
      </c>
      <c r="O1021" t="str">
        <f>VLOOKUP(B1021, [1]Course!$A$1:$O$933, 14, FALSE)</f>
        <v>GR</v>
      </c>
      <c r="P1021">
        <v>1</v>
      </c>
    </row>
    <row r="1022" spans="1:16" x14ac:dyDescent="0.25">
      <c r="A1022">
        <v>1025</v>
      </c>
      <c r="B1022">
        <v>104</v>
      </c>
      <c r="C1022">
        <v>125</v>
      </c>
      <c r="D1022" t="s">
        <v>61</v>
      </c>
      <c r="E1022" t="str">
        <f t="shared" si="15"/>
        <v>1225GR03PT</v>
      </c>
      <c r="F1022">
        <f>VLOOKUP(B1022,[1]Course!$A$2:$R$329,2,FALSE)</f>
        <v>0</v>
      </c>
      <c r="G1022">
        <f>VLOOKUP(B1022, [1]Course!$A$2:$L$950, 8, FALSE)</f>
        <v>12</v>
      </c>
      <c r="H1022">
        <v>3</v>
      </c>
      <c r="I1022">
        <v>1</v>
      </c>
      <c r="M1022" t="str">
        <f>VLOOKUP(B1022, [1]Course!$A$1:$O$933, 12, FALSE)</f>
        <v>LA</v>
      </c>
      <c r="N1022" t="s">
        <v>14</v>
      </c>
      <c r="O1022" t="str">
        <f>VLOOKUP(B1022, [1]Course!$A$1:$O$933, 14, FALSE)</f>
        <v>GR</v>
      </c>
      <c r="P1022">
        <v>1</v>
      </c>
    </row>
    <row r="1023" spans="1:16" x14ac:dyDescent="0.25">
      <c r="A1023">
        <v>1026</v>
      </c>
      <c r="B1023">
        <v>104</v>
      </c>
      <c r="C1023">
        <v>126</v>
      </c>
      <c r="D1023" t="s">
        <v>61</v>
      </c>
      <c r="E1023" t="str">
        <f t="shared" si="15"/>
        <v>1226GR03PT</v>
      </c>
      <c r="F1023">
        <f>VLOOKUP(B1023,[1]Course!$A$2:$R$329,2,FALSE)</f>
        <v>0</v>
      </c>
      <c r="G1023">
        <f>VLOOKUP(B1023, [1]Course!$A$2:$L$950, 8, FALSE)</f>
        <v>12</v>
      </c>
      <c r="H1023">
        <v>3</v>
      </c>
      <c r="I1023">
        <v>1</v>
      </c>
      <c r="M1023" t="str">
        <f>VLOOKUP(B1023, [1]Course!$A$1:$O$933, 12, FALSE)</f>
        <v>LA</v>
      </c>
      <c r="N1023" t="s">
        <v>14</v>
      </c>
      <c r="O1023" t="str">
        <f>VLOOKUP(B1023, [1]Course!$A$1:$O$933, 14, FALSE)</f>
        <v>GR</v>
      </c>
      <c r="P1023">
        <v>1</v>
      </c>
    </row>
    <row r="1024" spans="1:16" x14ac:dyDescent="0.25">
      <c r="A1024">
        <v>1027</v>
      </c>
      <c r="B1024">
        <v>104</v>
      </c>
      <c r="C1024">
        <v>127</v>
      </c>
      <c r="D1024" t="s">
        <v>61</v>
      </c>
      <c r="E1024" t="str">
        <f t="shared" si="15"/>
        <v>1227GR03PT</v>
      </c>
      <c r="F1024">
        <f>VLOOKUP(B1024,[1]Course!$A$2:$R$329,2,FALSE)</f>
        <v>0</v>
      </c>
      <c r="G1024">
        <f>VLOOKUP(B1024, [1]Course!$A$2:$L$950, 8, FALSE)</f>
        <v>12</v>
      </c>
      <c r="H1024">
        <v>3</v>
      </c>
      <c r="I1024">
        <v>1</v>
      </c>
      <c r="M1024" t="str">
        <f>VLOOKUP(B1024, [1]Course!$A$1:$O$933, 12, FALSE)</f>
        <v>LA</v>
      </c>
      <c r="N1024" t="s">
        <v>14</v>
      </c>
      <c r="O1024" t="str">
        <f>VLOOKUP(B1024, [1]Course!$A$1:$O$933, 14, FALSE)</f>
        <v>GR</v>
      </c>
      <c r="P1024">
        <v>1</v>
      </c>
    </row>
    <row r="1025" spans="1:16" x14ac:dyDescent="0.25">
      <c r="A1025">
        <v>1028</v>
      </c>
      <c r="B1025">
        <v>104</v>
      </c>
      <c r="C1025">
        <v>128</v>
      </c>
      <c r="D1025" t="s">
        <v>61</v>
      </c>
      <c r="E1025" t="str">
        <f t="shared" si="15"/>
        <v>1228GR03PT</v>
      </c>
      <c r="F1025">
        <f>VLOOKUP(B1025,[1]Course!$A$2:$R$329,2,FALSE)</f>
        <v>0</v>
      </c>
      <c r="G1025">
        <f>VLOOKUP(B1025, [1]Course!$A$2:$L$950, 8, FALSE)</f>
        <v>12</v>
      </c>
      <c r="H1025">
        <v>3</v>
      </c>
      <c r="I1025">
        <v>1</v>
      </c>
      <c r="M1025" t="str">
        <f>VLOOKUP(B1025, [1]Course!$A$1:$O$933, 12, FALSE)</f>
        <v>LA</v>
      </c>
      <c r="N1025" t="s">
        <v>14</v>
      </c>
      <c r="O1025" t="str">
        <f>VLOOKUP(B1025, [1]Course!$A$1:$O$933, 14, FALSE)</f>
        <v>GR</v>
      </c>
      <c r="P1025">
        <v>1</v>
      </c>
    </row>
    <row r="1026" spans="1:16" x14ac:dyDescent="0.25">
      <c r="A1026">
        <v>1029</v>
      </c>
      <c r="B1026">
        <v>104</v>
      </c>
      <c r="C1026">
        <v>129</v>
      </c>
      <c r="D1026" t="s">
        <v>61</v>
      </c>
      <c r="E1026" t="str">
        <f t="shared" si="15"/>
        <v>1229GR03PT</v>
      </c>
      <c r="F1026">
        <f>VLOOKUP(B1026,[1]Course!$A$2:$R$329,2,FALSE)</f>
        <v>0</v>
      </c>
      <c r="G1026">
        <f>VLOOKUP(B1026, [1]Course!$A$2:$L$950, 8, FALSE)</f>
        <v>12</v>
      </c>
      <c r="H1026">
        <v>3</v>
      </c>
      <c r="I1026">
        <v>1</v>
      </c>
      <c r="M1026" t="str">
        <f>VLOOKUP(B1026, [1]Course!$A$1:$O$933, 12, FALSE)</f>
        <v>LA</v>
      </c>
      <c r="N1026" t="s">
        <v>14</v>
      </c>
      <c r="O1026" t="str">
        <f>VLOOKUP(B1026, [1]Course!$A$1:$O$933, 14, FALSE)</f>
        <v>GR</v>
      </c>
      <c r="P1026">
        <v>1</v>
      </c>
    </row>
    <row r="1027" spans="1:16" x14ac:dyDescent="0.25">
      <c r="A1027">
        <v>1030</v>
      </c>
      <c r="B1027">
        <v>104</v>
      </c>
      <c r="C1027">
        <v>130</v>
      </c>
      <c r="D1027" t="s">
        <v>61</v>
      </c>
      <c r="E1027" t="str">
        <f t="shared" ref="E1027:E1090" si="16">UPPER(LEFT(G1027,2)) &amp; RIGHT("0" &amp; C1027, 2) &amp; D1027 &amp; RIGHT("0" &amp; H1027, 2) &amp; N1027</f>
        <v>1230GR03PT</v>
      </c>
      <c r="F1027">
        <f>VLOOKUP(B1027,[1]Course!$A$2:$R$329,2,FALSE)</f>
        <v>0</v>
      </c>
      <c r="G1027">
        <f>VLOOKUP(B1027, [1]Course!$A$2:$L$950, 8, FALSE)</f>
        <v>12</v>
      </c>
      <c r="H1027">
        <v>3</v>
      </c>
      <c r="I1027">
        <v>1</v>
      </c>
      <c r="M1027" t="str">
        <f>VLOOKUP(B1027, [1]Course!$A$1:$O$933, 12, FALSE)</f>
        <v>LA</v>
      </c>
      <c r="N1027" t="s">
        <v>14</v>
      </c>
      <c r="O1027" t="str">
        <f>VLOOKUP(B1027, [1]Course!$A$1:$O$933, 14, FALSE)</f>
        <v>GR</v>
      </c>
      <c r="P1027">
        <v>1</v>
      </c>
    </row>
    <row r="1028" spans="1:16" x14ac:dyDescent="0.25">
      <c r="A1028">
        <v>1031</v>
      </c>
      <c r="B1028">
        <v>104</v>
      </c>
      <c r="C1028">
        <v>131</v>
      </c>
      <c r="D1028" t="s">
        <v>61</v>
      </c>
      <c r="E1028" t="str">
        <f t="shared" si="16"/>
        <v>1231GR03PT</v>
      </c>
      <c r="F1028">
        <f>VLOOKUP(B1028,[1]Course!$A$2:$R$329,2,FALSE)</f>
        <v>0</v>
      </c>
      <c r="G1028">
        <f>VLOOKUP(B1028, [1]Course!$A$2:$L$950, 8, FALSE)</f>
        <v>12</v>
      </c>
      <c r="H1028">
        <v>3</v>
      </c>
      <c r="I1028">
        <v>1</v>
      </c>
      <c r="M1028" t="str">
        <f>VLOOKUP(B1028, [1]Course!$A$1:$O$933, 12, FALSE)</f>
        <v>LA</v>
      </c>
      <c r="N1028" t="s">
        <v>14</v>
      </c>
      <c r="O1028" t="str">
        <f>VLOOKUP(B1028, [1]Course!$A$1:$O$933, 14, FALSE)</f>
        <v>GR</v>
      </c>
      <c r="P1028">
        <v>1</v>
      </c>
    </row>
    <row r="1029" spans="1:16" x14ac:dyDescent="0.25">
      <c r="A1029">
        <v>1032</v>
      </c>
      <c r="B1029">
        <v>104</v>
      </c>
      <c r="C1029">
        <v>132</v>
      </c>
      <c r="D1029" t="s">
        <v>61</v>
      </c>
      <c r="E1029" t="str">
        <f t="shared" si="16"/>
        <v>1232GR03PT</v>
      </c>
      <c r="F1029">
        <f>VLOOKUP(B1029,[1]Course!$A$2:$R$329,2,FALSE)</f>
        <v>0</v>
      </c>
      <c r="G1029">
        <f>VLOOKUP(B1029, [1]Course!$A$2:$L$950, 8, FALSE)</f>
        <v>12</v>
      </c>
      <c r="H1029">
        <v>3</v>
      </c>
      <c r="I1029">
        <v>1</v>
      </c>
      <c r="M1029" t="str">
        <f>VLOOKUP(B1029, [1]Course!$A$1:$O$933, 12, FALSE)</f>
        <v>LA</v>
      </c>
      <c r="N1029" t="s">
        <v>14</v>
      </c>
      <c r="O1029" t="str">
        <f>VLOOKUP(B1029, [1]Course!$A$1:$O$933, 14, FALSE)</f>
        <v>GR</v>
      </c>
      <c r="P1029">
        <v>1</v>
      </c>
    </row>
    <row r="1030" spans="1:16" x14ac:dyDescent="0.25">
      <c r="A1030">
        <v>1033</v>
      </c>
      <c r="B1030">
        <v>105</v>
      </c>
      <c r="C1030">
        <v>121</v>
      </c>
      <c r="D1030" t="s">
        <v>62</v>
      </c>
      <c r="E1030" t="str">
        <f t="shared" si="16"/>
        <v>1221CH03PT</v>
      </c>
      <c r="F1030" t="str">
        <f>VLOOKUP(B1030,[1]Course!$A$2:$R$329,2,FALSE)</f>
        <v>Science 11</v>
      </c>
      <c r="G1030">
        <f>VLOOKUP(B1030, [1]Course!$A$2:$L$950, 8, FALSE)</f>
        <v>12</v>
      </c>
      <c r="H1030">
        <v>3</v>
      </c>
      <c r="I1030">
        <v>1</v>
      </c>
      <c r="J1030">
        <v>1995</v>
      </c>
      <c r="K1030">
        <v>2016</v>
      </c>
      <c r="L1030">
        <v>1</v>
      </c>
      <c r="M1030" t="str">
        <f>VLOOKUP(B1030, [1]Course!$A$1:$O$933, 12, FALSE)</f>
        <v>SC</v>
      </c>
      <c r="N1030" t="s">
        <v>14</v>
      </c>
      <c r="O1030" t="str">
        <f>VLOOKUP(B1030, [1]Course!$A$1:$O$933, 14, FALSE)</f>
        <v>CH</v>
      </c>
      <c r="P1030">
        <v>1</v>
      </c>
    </row>
    <row r="1031" spans="1:16" x14ac:dyDescent="0.25">
      <c r="A1031">
        <v>1034</v>
      </c>
      <c r="B1031">
        <v>105</v>
      </c>
      <c r="C1031">
        <v>122</v>
      </c>
      <c r="D1031" t="s">
        <v>62</v>
      </c>
      <c r="E1031" t="str">
        <f t="shared" si="16"/>
        <v>1222CH03PT</v>
      </c>
      <c r="F1031" t="str">
        <f>VLOOKUP(B1031,[1]Course!$A$2:$R$329,2,FALSE)</f>
        <v>Science 11</v>
      </c>
      <c r="G1031">
        <f>VLOOKUP(B1031, [1]Course!$A$2:$L$950, 8, FALSE)</f>
        <v>12</v>
      </c>
      <c r="H1031">
        <v>3</v>
      </c>
      <c r="I1031">
        <v>1</v>
      </c>
      <c r="J1031">
        <v>1995</v>
      </c>
      <c r="K1031">
        <v>2013</v>
      </c>
      <c r="L1031">
        <v>1</v>
      </c>
      <c r="M1031" t="str">
        <f>VLOOKUP(B1031, [1]Course!$A$1:$O$933, 12, FALSE)</f>
        <v>SC</v>
      </c>
      <c r="N1031" t="s">
        <v>14</v>
      </c>
      <c r="O1031" t="str">
        <f>VLOOKUP(B1031, [1]Course!$A$1:$O$933, 14, FALSE)</f>
        <v>CH</v>
      </c>
      <c r="P1031">
        <v>1</v>
      </c>
    </row>
    <row r="1032" spans="1:16" x14ac:dyDescent="0.25">
      <c r="A1032">
        <v>1035</v>
      </c>
      <c r="B1032">
        <v>105</v>
      </c>
      <c r="C1032">
        <v>123</v>
      </c>
      <c r="D1032" t="s">
        <v>62</v>
      </c>
      <c r="E1032" t="str">
        <f t="shared" si="16"/>
        <v>1223CH03PT</v>
      </c>
      <c r="F1032" t="str">
        <f>VLOOKUP(B1032,[1]Course!$A$2:$R$329,2,FALSE)</f>
        <v>Science 11</v>
      </c>
      <c r="G1032">
        <f>VLOOKUP(B1032, [1]Course!$A$2:$L$950, 8, FALSE)</f>
        <v>12</v>
      </c>
      <c r="H1032">
        <v>3</v>
      </c>
      <c r="I1032">
        <v>1</v>
      </c>
      <c r="J1032">
        <v>1995</v>
      </c>
      <c r="K1032">
        <v>2013</v>
      </c>
      <c r="L1032">
        <v>1</v>
      </c>
      <c r="M1032" t="str">
        <f>VLOOKUP(B1032, [1]Course!$A$1:$O$933, 12, FALSE)</f>
        <v>SC</v>
      </c>
      <c r="N1032" t="s">
        <v>14</v>
      </c>
      <c r="O1032" t="str">
        <f>VLOOKUP(B1032, [1]Course!$A$1:$O$933, 14, FALSE)</f>
        <v>CH</v>
      </c>
      <c r="P1032">
        <v>1</v>
      </c>
    </row>
    <row r="1033" spans="1:16" x14ac:dyDescent="0.25">
      <c r="A1033">
        <v>1036</v>
      </c>
      <c r="B1033">
        <v>105</v>
      </c>
      <c r="C1033">
        <v>124</v>
      </c>
      <c r="D1033" t="s">
        <v>62</v>
      </c>
      <c r="E1033" t="str">
        <f t="shared" si="16"/>
        <v>1224CH03PT</v>
      </c>
      <c r="F1033" t="str">
        <f>VLOOKUP(B1033,[1]Course!$A$2:$R$329,2,FALSE)</f>
        <v>Science 11</v>
      </c>
      <c r="G1033">
        <f>VLOOKUP(B1033, [1]Course!$A$2:$L$950, 8, FALSE)</f>
        <v>12</v>
      </c>
      <c r="H1033">
        <v>3</v>
      </c>
      <c r="I1033">
        <v>1</v>
      </c>
      <c r="J1033">
        <v>1995</v>
      </c>
      <c r="K1033">
        <v>2013</v>
      </c>
      <c r="L1033">
        <v>1</v>
      </c>
      <c r="M1033" t="str">
        <f>VLOOKUP(B1033, [1]Course!$A$1:$O$933, 12, FALSE)</f>
        <v>SC</v>
      </c>
      <c r="N1033" t="s">
        <v>14</v>
      </c>
      <c r="O1033" t="str">
        <f>VLOOKUP(B1033, [1]Course!$A$1:$O$933, 14, FALSE)</f>
        <v>CH</v>
      </c>
      <c r="P1033">
        <v>1</v>
      </c>
    </row>
    <row r="1034" spans="1:16" x14ac:dyDescent="0.25">
      <c r="A1034">
        <v>1037</v>
      </c>
      <c r="B1034">
        <v>105</v>
      </c>
      <c r="C1034">
        <v>125</v>
      </c>
      <c r="D1034" t="s">
        <v>62</v>
      </c>
      <c r="E1034" t="str">
        <f t="shared" si="16"/>
        <v>1225CH03PT</v>
      </c>
      <c r="F1034" t="str">
        <f>VLOOKUP(B1034,[1]Course!$A$2:$R$329,2,FALSE)</f>
        <v>Science 11</v>
      </c>
      <c r="G1034">
        <f>VLOOKUP(B1034, [1]Course!$A$2:$L$950, 8, FALSE)</f>
        <v>12</v>
      </c>
      <c r="H1034">
        <v>3</v>
      </c>
      <c r="I1034">
        <v>1</v>
      </c>
      <c r="J1034">
        <v>1995</v>
      </c>
      <c r="K1034">
        <v>2013</v>
      </c>
      <c r="L1034">
        <v>1</v>
      </c>
      <c r="M1034" t="str">
        <f>VLOOKUP(B1034, [1]Course!$A$1:$O$933, 12, FALSE)</f>
        <v>SC</v>
      </c>
      <c r="N1034" t="s">
        <v>14</v>
      </c>
      <c r="O1034" t="str">
        <f>VLOOKUP(B1034, [1]Course!$A$1:$O$933, 14, FALSE)</f>
        <v>CH</v>
      </c>
      <c r="P1034">
        <v>1</v>
      </c>
    </row>
    <row r="1035" spans="1:16" x14ac:dyDescent="0.25">
      <c r="A1035">
        <v>1038</v>
      </c>
      <c r="B1035">
        <v>105</v>
      </c>
      <c r="C1035">
        <v>126</v>
      </c>
      <c r="D1035" t="s">
        <v>62</v>
      </c>
      <c r="E1035" t="str">
        <f t="shared" si="16"/>
        <v>1226CH03PT</v>
      </c>
      <c r="F1035" t="str">
        <f>VLOOKUP(B1035,[1]Course!$A$2:$R$329,2,FALSE)</f>
        <v>Science 11</v>
      </c>
      <c r="G1035">
        <f>VLOOKUP(B1035, [1]Course!$A$2:$L$950, 8, FALSE)</f>
        <v>12</v>
      </c>
      <c r="H1035">
        <v>3</v>
      </c>
      <c r="I1035">
        <v>1</v>
      </c>
      <c r="J1035">
        <v>1995</v>
      </c>
      <c r="K1035">
        <v>2013</v>
      </c>
      <c r="L1035">
        <v>1</v>
      </c>
      <c r="M1035" t="str">
        <f>VLOOKUP(B1035, [1]Course!$A$1:$O$933, 12, FALSE)</f>
        <v>SC</v>
      </c>
      <c r="N1035" t="s">
        <v>14</v>
      </c>
      <c r="O1035" t="str">
        <f>VLOOKUP(B1035, [1]Course!$A$1:$O$933, 14, FALSE)</f>
        <v>CH</v>
      </c>
      <c r="P1035">
        <v>1</v>
      </c>
    </row>
    <row r="1036" spans="1:16" x14ac:dyDescent="0.25">
      <c r="A1036">
        <v>1039</v>
      </c>
      <c r="B1036">
        <v>105</v>
      </c>
      <c r="C1036">
        <v>127</v>
      </c>
      <c r="D1036" t="s">
        <v>62</v>
      </c>
      <c r="E1036" t="str">
        <f t="shared" si="16"/>
        <v>1227CH03PT</v>
      </c>
      <c r="F1036" t="str">
        <f>VLOOKUP(B1036,[1]Course!$A$2:$R$329,2,FALSE)</f>
        <v>Science 11</v>
      </c>
      <c r="G1036">
        <f>VLOOKUP(B1036, [1]Course!$A$2:$L$950, 8, FALSE)</f>
        <v>12</v>
      </c>
      <c r="H1036">
        <v>3</v>
      </c>
      <c r="I1036">
        <v>1</v>
      </c>
      <c r="J1036">
        <v>1995</v>
      </c>
      <c r="K1036">
        <v>2013</v>
      </c>
      <c r="L1036">
        <v>1</v>
      </c>
      <c r="M1036" t="str">
        <f>VLOOKUP(B1036, [1]Course!$A$1:$O$933, 12, FALSE)</f>
        <v>SC</v>
      </c>
      <c r="N1036" t="s">
        <v>14</v>
      </c>
      <c r="O1036" t="str">
        <f>VLOOKUP(B1036, [1]Course!$A$1:$O$933, 14, FALSE)</f>
        <v>CH</v>
      </c>
      <c r="P1036">
        <v>1</v>
      </c>
    </row>
    <row r="1037" spans="1:16" x14ac:dyDescent="0.25">
      <c r="A1037">
        <v>1040</v>
      </c>
      <c r="B1037">
        <v>105</v>
      </c>
      <c r="C1037">
        <v>128</v>
      </c>
      <c r="D1037" t="s">
        <v>62</v>
      </c>
      <c r="E1037" t="str">
        <f t="shared" si="16"/>
        <v>1228CH03PT</v>
      </c>
      <c r="F1037" t="str">
        <f>VLOOKUP(B1037,[1]Course!$A$2:$R$329,2,FALSE)</f>
        <v>Science 11</v>
      </c>
      <c r="G1037">
        <f>VLOOKUP(B1037, [1]Course!$A$2:$L$950, 8, FALSE)</f>
        <v>12</v>
      </c>
      <c r="H1037">
        <v>3</v>
      </c>
      <c r="I1037">
        <v>1</v>
      </c>
      <c r="J1037">
        <v>1995</v>
      </c>
      <c r="K1037">
        <v>2013</v>
      </c>
      <c r="L1037">
        <v>1</v>
      </c>
      <c r="M1037" t="str">
        <f>VLOOKUP(B1037, [1]Course!$A$1:$O$933, 12, FALSE)</f>
        <v>SC</v>
      </c>
      <c r="N1037" t="s">
        <v>14</v>
      </c>
      <c r="O1037" t="str">
        <f>VLOOKUP(B1037, [1]Course!$A$1:$O$933, 14, FALSE)</f>
        <v>CH</v>
      </c>
      <c r="P1037">
        <v>1</v>
      </c>
    </row>
    <row r="1038" spans="1:16" x14ac:dyDescent="0.25">
      <c r="A1038">
        <v>1041</v>
      </c>
      <c r="B1038">
        <v>105</v>
      </c>
      <c r="C1038">
        <v>129</v>
      </c>
      <c r="D1038" t="s">
        <v>62</v>
      </c>
      <c r="E1038" t="str">
        <f t="shared" si="16"/>
        <v>1229CH03PT</v>
      </c>
      <c r="F1038" t="str">
        <f>VLOOKUP(B1038,[1]Course!$A$2:$R$329,2,FALSE)</f>
        <v>Science 11</v>
      </c>
      <c r="G1038">
        <f>VLOOKUP(B1038, [1]Course!$A$2:$L$950, 8, FALSE)</f>
        <v>12</v>
      </c>
      <c r="H1038">
        <v>3</v>
      </c>
      <c r="I1038">
        <v>1</v>
      </c>
      <c r="J1038">
        <v>1995</v>
      </c>
      <c r="K1038">
        <v>2013</v>
      </c>
      <c r="L1038">
        <v>1</v>
      </c>
      <c r="M1038" t="str">
        <f>VLOOKUP(B1038, [1]Course!$A$1:$O$933, 12, FALSE)</f>
        <v>SC</v>
      </c>
      <c r="N1038" t="s">
        <v>14</v>
      </c>
      <c r="O1038" t="str">
        <f>VLOOKUP(B1038, [1]Course!$A$1:$O$933, 14, FALSE)</f>
        <v>CH</v>
      </c>
      <c r="P1038">
        <v>1</v>
      </c>
    </row>
    <row r="1039" spans="1:16" x14ac:dyDescent="0.25">
      <c r="A1039">
        <v>1042</v>
      </c>
      <c r="B1039">
        <v>105</v>
      </c>
      <c r="C1039">
        <v>130</v>
      </c>
      <c r="D1039" t="s">
        <v>62</v>
      </c>
      <c r="E1039" t="str">
        <f t="shared" si="16"/>
        <v>1230CH03PT</v>
      </c>
      <c r="F1039" t="str">
        <f>VLOOKUP(B1039,[1]Course!$A$2:$R$329,2,FALSE)</f>
        <v>Science 11</v>
      </c>
      <c r="G1039">
        <f>VLOOKUP(B1039, [1]Course!$A$2:$L$950, 8, FALSE)</f>
        <v>12</v>
      </c>
      <c r="H1039">
        <v>3</v>
      </c>
      <c r="I1039">
        <v>1</v>
      </c>
      <c r="J1039">
        <v>1995</v>
      </c>
      <c r="K1039">
        <v>2014</v>
      </c>
      <c r="L1039">
        <v>1</v>
      </c>
      <c r="M1039" t="str">
        <f>VLOOKUP(B1039, [1]Course!$A$1:$O$933, 12, FALSE)</f>
        <v>SC</v>
      </c>
      <c r="N1039" t="s">
        <v>14</v>
      </c>
      <c r="O1039" t="str">
        <f>VLOOKUP(B1039, [1]Course!$A$1:$O$933, 14, FALSE)</f>
        <v>CH</v>
      </c>
      <c r="P1039">
        <v>1</v>
      </c>
    </row>
    <row r="1040" spans="1:16" x14ac:dyDescent="0.25">
      <c r="A1040">
        <v>1043</v>
      </c>
      <c r="B1040">
        <v>105</v>
      </c>
      <c r="C1040">
        <v>131</v>
      </c>
      <c r="D1040" t="s">
        <v>62</v>
      </c>
      <c r="E1040" t="str">
        <f t="shared" si="16"/>
        <v>1231CH03PT</v>
      </c>
      <c r="F1040" t="str">
        <f>VLOOKUP(B1040,[1]Course!$A$2:$R$329,2,FALSE)</f>
        <v>Science 11</v>
      </c>
      <c r="G1040">
        <f>VLOOKUP(B1040, [1]Course!$A$2:$L$950, 8, FALSE)</f>
        <v>12</v>
      </c>
      <c r="H1040">
        <v>3</v>
      </c>
      <c r="I1040">
        <v>1</v>
      </c>
      <c r="J1040">
        <v>1995</v>
      </c>
      <c r="K1040">
        <v>2014</v>
      </c>
      <c r="L1040">
        <v>1</v>
      </c>
      <c r="M1040" t="str">
        <f>VLOOKUP(B1040, [1]Course!$A$1:$O$933, 12, FALSE)</f>
        <v>SC</v>
      </c>
      <c r="N1040" t="s">
        <v>14</v>
      </c>
      <c r="O1040" t="str">
        <f>VLOOKUP(B1040, [1]Course!$A$1:$O$933, 14, FALSE)</f>
        <v>CH</v>
      </c>
      <c r="P1040">
        <v>1</v>
      </c>
    </row>
    <row r="1041" spans="1:16" x14ac:dyDescent="0.25">
      <c r="A1041">
        <v>1044</v>
      </c>
      <c r="B1041">
        <v>105</v>
      </c>
      <c r="C1041">
        <v>132</v>
      </c>
      <c r="D1041" t="s">
        <v>62</v>
      </c>
      <c r="E1041" t="str">
        <f t="shared" si="16"/>
        <v>1232CH03PT</v>
      </c>
      <c r="F1041" t="str">
        <f>VLOOKUP(B1041,[1]Course!$A$2:$R$329,2,FALSE)</f>
        <v>Science 11</v>
      </c>
      <c r="G1041">
        <f>VLOOKUP(B1041, [1]Course!$A$2:$L$950, 8, FALSE)</f>
        <v>12</v>
      </c>
      <c r="H1041">
        <v>3</v>
      </c>
      <c r="I1041">
        <v>1</v>
      </c>
      <c r="J1041">
        <v>1995</v>
      </c>
      <c r="K1041">
        <v>2014</v>
      </c>
      <c r="L1041">
        <v>1</v>
      </c>
      <c r="M1041" t="str">
        <f>VLOOKUP(B1041, [1]Course!$A$1:$O$933, 12, FALSE)</f>
        <v>SC</v>
      </c>
      <c r="N1041" t="s">
        <v>14</v>
      </c>
      <c r="O1041" t="str">
        <f>VLOOKUP(B1041, [1]Course!$A$1:$O$933, 14, FALSE)</f>
        <v>CH</v>
      </c>
      <c r="P1041">
        <v>1</v>
      </c>
    </row>
    <row r="1042" spans="1:16" x14ac:dyDescent="0.25">
      <c r="A1042">
        <v>1045</v>
      </c>
      <c r="B1042">
        <v>106</v>
      </c>
      <c r="C1042">
        <v>121</v>
      </c>
      <c r="D1042" t="s">
        <v>63</v>
      </c>
      <c r="E1042" t="str">
        <f t="shared" si="16"/>
        <v>1221NC03PT</v>
      </c>
      <c r="F1042" t="str">
        <f>VLOOKUP(B1042,[1]Course!$A$2:$R$329,2,FALSE)</f>
        <v>Basic New Testament Church History</v>
      </c>
      <c r="G1042">
        <f>VLOOKUP(B1042, [1]Course!$A$2:$L$950, 8, FALSE)</f>
        <v>12</v>
      </c>
      <c r="H1042">
        <v>3</v>
      </c>
      <c r="I1042">
        <v>1</v>
      </c>
      <c r="M1042" t="str">
        <f>VLOOKUP(B1042, [1]Course!$A$1:$O$933, 12, FALSE)</f>
        <v>BS</v>
      </c>
      <c r="N1042" t="s">
        <v>14</v>
      </c>
      <c r="O1042" t="str">
        <f>VLOOKUP(B1042, [1]Course!$A$1:$O$933, 14, FALSE)</f>
        <v>NC</v>
      </c>
      <c r="P1042">
        <v>1</v>
      </c>
    </row>
    <row r="1043" spans="1:16" x14ac:dyDescent="0.25">
      <c r="A1043">
        <v>1046</v>
      </c>
      <c r="B1043">
        <v>106</v>
      </c>
      <c r="C1043">
        <v>122</v>
      </c>
      <c r="D1043" t="s">
        <v>63</v>
      </c>
      <c r="E1043" t="str">
        <f t="shared" si="16"/>
        <v>1222NC03PT</v>
      </c>
      <c r="F1043" t="str">
        <f>VLOOKUP(B1043,[1]Course!$A$2:$R$329,2,FALSE)</f>
        <v>Basic New Testament Church History</v>
      </c>
      <c r="G1043">
        <f>VLOOKUP(B1043, [1]Course!$A$2:$L$950, 8, FALSE)</f>
        <v>12</v>
      </c>
      <c r="H1043">
        <v>3</v>
      </c>
      <c r="I1043">
        <v>1</v>
      </c>
      <c r="J1043">
        <v>1974</v>
      </c>
      <c r="K1043">
        <v>1995</v>
      </c>
      <c r="L1043">
        <v>1</v>
      </c>
      <c r="M1043" t="str">
        <f>VLOOKUP(B1043, [1]Course!$A$1:$O$933, 12, FALSE)</f>
        <v>BS</v>
      </c>
      <c r="N1043" t="s">
        <v>14</v>
      </c>
      <c r="O1043" t="str">
        <f>VLOOKUP(B1043, [1]Course!$A$1:$O$933, 14, FALSE)</f>
        <v>NC</v>
      </c>
      <c r="P1043">
        <v>1</v>
      </c>
    </row>
    <row r="1044" spans="1:16" x14ac:dyDescent="0.25">
      <c r="A1044">
        <v>1047</v>
      </c>
      <c r="B1044">
        <v>106</v>
      </c>
      <c r="C1044">
        <v>123</v>
      </c>
      <c r="D1044" t="s">
        <v>63</v>
      </c>
      <c r="E1044" t="str">
        <f t="shared" si="16"/>
        <v>1223NC03PT</v>
      </c>
      <c r="F1044" t="str">
        <f>VLOOKUP(B1044,[1]Course!$A$2:$R$329,2,FALSE)</f>
        <v>Basic New Testament Church History</v>
      </c>
      <c r="G1044">
        <f>VLOOKUP(B1044, [1]Course!$A$2:$L$950, 8, FALSE)</f>
        <v>12</v>
      </c>
      <c r="H1044">
        <v>3</v>
      </c>
      <c r="I1044">
        <v>1</v>
      </c>
      <c r="J1044">
        <v>1974</v>
      </c>
      <c r="K1044">
        <v>2001</v>
      </c>
      <c r="L1044">
        <v>1</v>
      </c>
      <c r="M1044" t="str">
        <f>VLOOKUP(B1044, [1]Course!$A$1:$O$933, 12, FALSE)</f>
        <v>BS</v>
      </c>
      <c r="N1044" t="s">
        <v>14</v>
      </c>
      <c r="O1044" t="str">
        <f>VLOOKUP(B1044, [1]Course!$A$1:$O$933, 14, FALSE)</f>
        <v>NC</v>
      </c>
      <c r="P1044">
        <v>1</v>
      </c>
    </row>
    <row r="1045" spans="1:16" x14ac:dyDescent="0.25">
      <c r="A1045">
        <v>1048</v>
      </c>
      <c r="B1045">
        <v>106</v>
      </c>
      <c r="C1045">
        <v>124</v>
      </c>
      <c r="D1045" t="s">
        <v>63</v>
      </c>
      <c r="E1045" t="str">
        <f t="shared" si="16"/>
        <v>1224NC03PT</v>
      </c>
      <c r="F1045" t="str">
        <f>VLOOKUP(B1045,[1]Course!$A$2:$R$329,2,FALSE)</f>
        <v>Basic New Testament Church History</v>
      </c>
      <c r="G1045">
        <f>VLOOKUP(B1045, [1]Course!$A$2:$L$950, 8, FALSE)</f>
        <v>12</v>
      </c>
      <c r="H1045">
        <v>3</v>
      </c>
      <c r="I1045">
        <v>1</v>
      </c>
      <c r="M1045" t="str">
        <f>VLOOKUP(B1045, [1]Course!$A$1:$O$933, 12, FALSE)</f>
        <v>BS</v>
      </c>
      <c r="N1045" t="s">
        <v>14</v>
      </c>
      <c r="O1045" t="str">
        <f>VLOOKUP(B1045, [1]Course!$A$1:$O$933, 14, FALSE)</f>
        <v>NC</v>
      </c>
      <c r="P1045">
        <v>1</v>
      </c>
    </row>
    <row r="1046" spans="1:16" x14ac:dyDescent="0.25">
      <c r="A1046">
        <v>1049</v>
      </c>
      <c r="B1046">
        <v>106</v>
      </c>
      <c r="C1046">
        <v>125</v>
      </c>
      <c r="D1046" t="s">
        <v>63</v>
      </c>
      <c r="E1046" t="str">
        <f t="shared" si="16"/>
        <v>1225NC03PT</v>
      </c>
      <c r="F1046" t="str">
        <f>VLOOKUP(B1046,[1]Course!$A$2:$R$329,2,FALSE)</f>
        <v>Basic New Testament Church History</v>
      </c>
      <c r="G1046">
        <f>VLOOKUP(B1046, [1]Course!$A$2:$L$950, 8, FALSE)</f>
        <v>12</v>
      </c>
      <c r="H1046">
        <v>3</v>
      </c>
      <c r="I1046">
        <v>1</v>
      </c>
      <c r="M1046" t="str">
        <f>VLOOKUP(B1046, [1]Course!$A$1:$O$933, 12, FALSE)</f>
        <v>BS</v>
      </c>
      <c r="N1046" t="s">
        <v>14</v>
      </c>
      <c r="O1046" t="str">
        <f>VLOOKUP(B1046, [1]Course!$A$1:$O$933, 14, FALSE)</f>
        <v>NC</v>
      </c>
      <c r="P1046">
        <v>1</v>
      </c>
    </row>
    <row r="1047" spans="1:16" x14ac:dyDescent="0.25">
      <c r="A1047">
        <v>1050</v>
      </c>
      <c r="B1047">
        <v>106</v>
      </c>
      <c r="C1047">
        <v>126</v>
      </c>
      <c r="D1047" t="s">
        <v>63</v>
      </c>
      <c r="E1047" t="str">
        <f t="shared" si="16"/>
        <v>1226NC03PT</v>
      </c>
      <c r="F1047" t="str">
        <f>VLOOKUP(B1047,[1]Course!$A$2:$R$329,2,FALSE)</f>
        <v>Basic New Testament Church History</v>
      </c>
      <c r="G1047">
        <f>VLOOKUP(B1047, [1]Course!$A$2:$L$950, 8, FALSE)</f>
        <v>12</v>
      </c>
      <c r="H1047">
        <v>3</v>
      </c>
      <c r="I1047">
        <v>1</v>
      </c>
      <c r="M1047" t="str">
        <f>VLOOKUP(B1047, [1]Course!$A$1:$O$933, 12, FALSE)</f>
        <v>BS</v>
      </c>
      <c r="N1047" t="s">
        <v>14</v>
      </c>
      <c r="O1047" t="str">
        <f>VLOOKUP(B1047, [1]Course!$A$1:$O$933, 14, FALSE)</f>
        <v>NC</v>
      </c>
      <c r="P1047">
        <v>1</v>
      </c>
    </row>
    <row r="1048" spans="1:16" x14ac:dyDescent="0.25">
      <c r="A1048">
        <v>1051</v>
      </c>
      <c r="B1048">
        <v>106</v>
      </c>
      <c r="C1048">
        <v>127</v>
      </c>
      <c r="D1048" t="s">
        <v>63</v>
      </c>
      <c r="E1048" t="str">
        <f t="shared" si="16"/>
        <v>1227NC03PT</v>
      </c>
      <c r="F1048" t="str">
        <f>VLOOKUP(B1048,[1]Course!$A$2:$R$329,2,FALSE)</f>
        <v>Basic New Testament Church History</v>
      </c>
      <c r="G1048">
        <f>VLOOKUP(B1048, [1]Course!$A$2:$L$950, 8, FALSE)</f>
        <v>12</v>
      </c>
      <c r="H1048">
        <v>3</v>
      </c>
      <c r="I1048">
        <v>1</v>
      </c>
      <c r="J1048">
        <v>1976</v>
      </c>
      <c r="K1048">
        <v>2014</v>
      </c>
      <c r="L1048">
        <v>1</v>
      </c>
      <c r="M1048" t="str">
        <f>VLOOKUP(B1048, [1]Course!$A$1:$O$933, 12, FALSE)</f>
        <v>BS</v>
      </c>
      <c r="N1048" t="s">
        <v>14</v>
      </c>
      <c r="O1048" t="str">
        <f>VLOOKUP(B1048, [1]Course!$A$1:$O$933, 14, FALSE)</f>
        <v>NC</v>
      </c>
      <c r="P1048">
        <v>1</v>
      </c>
    </row>
    <row r="1049" spans="1:16" x14ac:dyDescent="0.25">
      <c r="A1049">
        <v>1052</v>
      </c>
      <c r="B1049">
        <v>106</v>
      </c>
      <c r="C1049">
        <v>128</v>
      </c>
      <c r="D1049" t="s">
        <v>63</v>
      </c>
      <c r="E1049" t="str">
        <f t="shared" si="16"/>
        <v>1228NC03PT</v>
      </c>
      <c r="F1049" t="str">
        <f>VLOOKUP(B1049,[1]Course!$A$2:$R$329,2,FALSE)</f>
        <v>Basic New Testament Church History</v>
      </c>
      <c r="G1049">
        <f>VLOOKUP(B1049, [1]Course!$A$2:$L$950, 8, FALSE)</f>
        <v>12</v>
      </c>
      <c r="H1049">
        <v>3</v>
      </c>
      <c r="I1049">
        <v>1</v>
      </c>
      <c r="J1049">
        <v>1976</v>
      </c>
      <c r="K1049" t="s">
        <v>92</v>
      </c>
      <c r="L1049">
        <v>1</v>
      </c>
      <c r="M1049" t="str">
        <f>VLOOKUP(B1049, [1]Course!$A$1:$O$933, 12, FALSE)</f>
        <v>BS</v>
      </c>
      <c r="N1049" t="s">
        <v>14</v>
      </c>
      <c r="O1049" t="str">
        <f>VLOOKUP(B1049, [1]Course!$A$1:$O$933, 14, FALSE)</f>
        <v>NC</v>
      </c>
      <c r="P1049">
        <v>1</v>
      </c>
    </row>
    <row r="1050" spans="1:16" x14ac:dyDescent="0.25">
      <c r="A1050">
        <v>1053</v>
      </c>
      <c r="B1050">
        <v>106</v>
      </c>
      <c r="C1050">
        <v>129</v>
      </c>
      <c r="D1050" t="s">
        <v>63</v>
      </c>
      <c r="E1050" t="str">
        <f t="shared" si="16"/>
        <v>1229NC03PT</v>
      </c>
      <c r="F1050" t="str">
        <f>VLOOKUP(B1050,[1]Course!$A$2:$R$329,2,FALSE)</f>
        <v>Basic New Testament Church History</v>
      </c>
      <c r="G1050">
        <f>VLOOKUP(B1050, [1]Course!$A$2:$L$950, 8, FALSE)</f>
        <v>12</v>
      </c>
      <c r="H1050">
        <v>3</v>
      </c>
      <c r="I1050">
        <v>1</v>
      </c>
      <c r="M1050" t="str">
        <f>VLOOKUP(B1050, [1]Course!$A$1:$O$933, 12, FALSE)</f>
        <v>BS</v>
      </c>
      <c r="N1050" t="s">
        <v>14</v>
      </c>
      <c r="O1050" t="str">
        <f>VLOOKUP(B1050, [1]Course!$A$1:$O$933, 14, FALSE)</f>
        <v>NC</v>
      </c>
      <c r="P1050">
        <v>1</v>
      </c>
    </row>
    <row r="1051" spans="1:16" x14ac:dyDescent="0.25">
      <c r="A1051">
        <v>1054</v>
      </c>
      <c r="B1051">
        <v>106</v>
      </c>
      <c r="C1051">
        <v>130</v>
      </c>
      <c r="D1051" t="s">
        <v>63</v>
      </c>
      <c r="E1051" t="str">
        <f t="shared" si="16"/>
        <v>1230NC03PT</v>
      </c>
      <c r="F1051" t="str">
        <f>VLOOKUP(B1051,[1]Course!$A$2:$R$329,2,FALSE)</f>
        <v>Basic New Testament Church History</v>
      </c>
      <c r="G1051">
        <f>VLOOKUP(B1051, [1]Course!$A$2:$L$950, 8, FALSE)</f>
        <v>12</v>
      </c>
      <c r="H1051">
        <v>3</v>
      </c>
      <c r="I1051">
        <v>1</v>
      </c>
      <c r="M1051" t="str">
        <f>VLOOKUP(B1051, [1]Course!$A$1:$O$933, 12, FALSE)</f>
        <v>BS</v>
      </c>
      <c r="N1051" t="s">
        <v>14</v>
      </c>
      <c r="O1051" t="str">
        <f>VLOOKUP(B1051, [1]Course!$A$1:$O$933, 14, FALSE)</f>
        <v>NC</v>
      </c>
      <c r="P1051">
        <v>1</v>
      </c>
    </row>
    <row r="1052" spans="1:16" x14ac:dyDescent="0.25">
      <c r="A1052">
        <v>1055</v>
      </c>
      <c r="B1052">
        <v>106</v>
      </c>
      <c r="C1052">
        <v>131</v>
      </c>
      <c r="D1052" t="s">
        <v>63</v>
      </c>
      <c r="E1052" t="str">
        <f t="shared" si="16"/>
        <v>1231NC03PT</v>
      </c>
      <c r="F1052" t="str">
        <f>VLOOKUP(B1052,[1]Course!$A$2:$R$329,2,FALSE)</f>
        <v>Basic New Testament Church History</v>
      </c>
      <c r="G1052">
        <f>VLOOKUP(B1052, [1]Course!$A$2:$L$950, 8, FALSE)</f>
        <v>12</v>
      </c>
      <c r="H1052">
        <v>3</v>
      </c>
      <c r="I1052">
        <v>1</v>
      </c>
      <c r="M1052" t="str">
        <f>VLOOKUP(B1052, [1]Course!$A$1:$O$933, 12, FALSE)</f>
        <v>BS</v>
      </c>
      <c r="N1052" t="s">
        <v>14</v>
      </c>
      <c r="O1052" t="str">
        <f>VLOOKUP(B1052, [1]Course!$A$1:$O$933, 14, FALSE)</f>
        <v>NC</v>
      </c>
      <c r="P1052">
        <v>1</v>
      </c>
    </row>
    <row r="1053" spans="1:16" x14ac:dyDescent="0.25">
      <c r="A1053">
        <v>1056</v>
      </c>
      <c r="B1053">
        <v>106</v>
      </c>
      <c r="C1053">
        <v>132</v>
      </c>
      <c r="D1053" t="s">
        <v>63</v>
      </c>
      <c r="E1053" t="str">
        <f t="shared" si="16"/>
        <v>1232NC03PT</v>
      </c>
      <c r="F1053" t="str">
        <f>VLOOKUP(B1053,[1]Course!$A$2:$R$329,2,FALSE)</f>
        <v>Basic New Testament Church History</v>
      </c>
      <c r="G1053">
        <f>VLOOKUP(B1053, [1]Course!$A$2:$L$950, 8, FALSE)</f>
        <v>12</v>
      </c>
      <c r="H1053">
        <v>3</v>
      </c>
      <c r="I1053">
        <v>1</v>
      </c>
      <c r="M1053" t="str">
        <f>VLOOKUP(B1053, [1]Course!$A$1:$O$933, 12, FALSE)</f>
        <v>BS</v>
      </c>
      <c r="N1053" t="s">
        <v>14</v>
      </c>
      <c r="O1053" t="str">
        <f>VLOOKUP(B1053, [1]Course!$A$1:$O$933, 14, FALSE)</f>
        <v>NC</v>
      </c>
      <c r="P1053">
        <v>1</v>
      </c>
    </row>
    <row r="1054" spans="1:16" x14ac:dyDescent="0.25">
      <c r="A1054">
        <v>1057</v>
      </c>
      <c r="B1054">
        <v>107</v>
      </c>
      <c r="C1054">
        <v>121</v>
      </c>
      <c r="D1054" t="s">
        <v>64</v>
      </c>
      <c r="E1054" t="str">
        <f t="shared" si="16"/>
        <v>1221AC03PT</v>
      </c>
      <c r="F1054">
        <f>VLOOKUP(B1054,[1]Course!$A$2:$R$329,2,FALSE)</f>
        <v>0</v>
      </c>
      <c r="G1054">
        <f>VLOOKUP(B1054, [1]Course!$A$2:$L$950, 8, FALSE)</f>
        <v>12</v>
      </c>
      <c r="H1054">
        <v>3</v>
      </c>
      <c r="I1054">
        <v>1</v>
      </c>
      <c r="M1054" t="str">
        <f>VLOOKUP(B1054, [1]Course!$A$1:$O$933, 12, FALSE)</f>
        <v>MA</v>
      </c>
      <c r="N1054" t="s">
        <v>14</v>
      </c>
      <c r="O1054" t="str">
        <f>VLOOKUP(B1054, [1]Course!$A$1:$O$933, 14, FALSE)</f>
        <v>AC</v>
      </c>
      <c r="P1054">
        <v>1</v>
      </c>
    </row>
    <row r="1055" spans="1:16" x14ac:dyDescent="0.25">
      <c r="A1055">
        <v>1058</v>
      </c>
      <c r="B1055">
        <v>107</v>
      </c>
      <c r="C1055">
        <v>122</v>
      </c>
      <c r="D1055" t="s">
        <v>64</v>
      </c>
      <c r="E1055" t="str">
        <f t="shared" si="16"/>
        <v>1222AC03PT</v>
      </c>
      <c r="F1055">
        <f>VLOOKUP(B1055,[1]Course!$A$2:$R$329,2,FALSE)</f>
        <v>0</v>
      </c>
      <c r="G1055">
        <f>VLOOKUP(B1055, [1]Course!$A$2:$L$950, 8, FALSE)</f>
        <v>12</v>
      </c>
      <c r="H1055">
        <v>3</v>
      </c>
      <c r="I1055">
        <v>1</v>
      </c>
      <c r="M1055" t="str">
        <f>VLOOKUP(B1055, [1]Course!$A$1:$O$933, 12, FALSE)</f>
        <v>MA</v>
      </c>
      <c r="N1055" t="s">
        <v>14</v>
      </c>
      <c r="O1055" t="str">
        <f>VLOOKUP(B1055, [1]Course!$A$1:$O$933, 14, FALSE)</f>
        <v>AC</v>
      </c>
      <c r="P1055">
        <v>1</v>
      </c>
    </row>
    <row r="1056" spans="1:16" x14ac:dyDescent="0.25">
      <c r="A1056">
        <v>1059</v>
      </c>
      <c r="B1056">
        <v>107</v>
      </c>
      <c r="C1056">
        <v>123</v>
      </c>
      <c r="D1056" t="s">
        <v>64</v>
      </c>
      <c r="E1056" t="str">
        <f t="shared" si="16"/>
        <v>1223AC03PT</v>
      </c>
      <c r="F1056">
        <f>VLOOKUP(B1056,[1]Course!$A$2:$R$329,2,FALSE)</f>
        <v>0</v>
      </c>
      <c r="G1056">
        <f>VLOOKUP(B1056, [1]Course!$A$2:$L$950, 8, FALSE)</f>
        <v>12</v>
      </c>
      <c r="H1056">
        <v>3</v>
      </c>
      <c r="I1056">
        <v>1</v>
      </c>
      <c r="M1056" t="str">
        <f>VLOOKUP(B1056, [1]Course!$A$1:$O$933, 12, FALSE)</f>
        <v>MA</v>
      </c>
      <c r="N1056" t="s">
        <v>14</v>
      </c>
      <c r="O1056" t="str">
        <f>VLOOKUP(B1056, [1]Course!$A$1:$O$933, 14, FALSE)</f>
        <v>AC</v>
      </c>
      <c r="P1056">
        <v>1</v>
      </c>
    </row>
    <row r="1057" spans="1:16" x14ac:dyDescent="0.25">
      <c r="A1057">
        <v>1060</v>
      </c>
      <c r="B1057">
        <v>107</v>
      </c>
      <c r="C1057">
        <v>124</v>
      </c>
      <c r="D1057" t="s">
        <v>64</v>
      </c>
      <c r="E1057" t="str">
        <f t="shared" si="16"/>
        <v>1224AC03PT</v>
      </c>
      <c r="F1057">
        <f>VLOOKUP(B1057,[1]Course!$A$2:$R$329,2,FALSE)</f>
        <v>0</v>
      </c>
      <c r="G1057">
        <f>VLOOKUP(B1057, [1]Course!$A$2:$L$950, 8, FALSE)</f>
        <v>12</v>
      </c>
      <c r="H1057">
        <v>3</v>
      </c>
      <c r="I1057">
        <v>1</v>
      </c>
      <c r="M1057" t="str">
        <f>VLOOKUP(B1057, [1]Course!$A$1:$O$933, 12, FALSE)</f>
        <v>MA</v>
      </c>
      <c r="N1057" t="s">
        <v>14</v>
      </c>
      <c r="O1057" t="str">
        <f>VLOOKUP(B1057, [1]Course!$A$1:$O$933, 14, FALSE)</f>
        <v>AC</v>
      </c>
      <c r="P1057">
        <v>1</v>
      </c>
    </row>
    <row r="1058" spans="1:16" x14ac:dyDescent="0.25">
      <c r="A1058">
        <v>1061</v>
      </c>
      <c r="B1058">
        <v>107</v>
      </c>
      <c r="C1058">
        <v>125</v>
      </c>
      <c r="D1058" t="s">
        <v>64</v>
      </c>
      <c r="E1058" t="str">
        <f t="shared" si="16"/>
        <v>1225AC03PT</v>
      </c>
      <c r="F1058">
        <f>VLOOKUP(B1058,[1]Course!$A$2:$R$329,2,FALSE)</f>
        <v>0</v>
      </c>
      <c r="G1058">
        <f>VLOOKUP(B1058, [1]Course!$A$2:$L$950, 8, FALSE)</f>
        <v>12</v>
      </c>
      <c r="H1058">
        <v>3</v>
      </c>
      <c r="I1058">
        <v>1</v>
      </c>
      <c r="M1058" t="str">
        <f>VLOOKUP(B1058, [1]Course!$A$1:$O$933, 12, FALSE)</f>
        <v>MA</v>
      </c>
      <c r="N1058" t="s">
        <v>14</v>
      </c>
      <c r="O1058" t="str">
        <f>VLOOKUP(B1058, [1]Course!$A$1:$O$933, 14, FALSE)</f>
        <v>AC</v>
      </c>
      <c r="P1058">
        <v>1</v>
      </c>
    </row>
    <row r="1059" spans="1:16" x14ac:dyDescent="0.25">
      <c r="A1059">
        <v>1062</v>
      </c>
      <c r="B1059">
        <v>107</v>
      </c>
      <c r="C1059">
        <v>126</v>
      </c>
      <c r="D1059" t="s">
        <v>64</v>
      </c>
      <c r="E1059" t="str">
        <f t="shared" si="16"/>
        <v>1226AC03PT</v>
      </c>
      <c r="F1059">
        <f>VLOOKUP(B1059,[1]Course!$A$2:$R$329,2,FALSE)</f>
        <v>0</v>
      </c>
      <c r="G1059">
        <f>VLOOKUP(B1059, [1]Course!$A$2:$L$950, 8, FALSE)</f>
        <v>12</v>
      </c>
      <c r="H1059">
        <v>3</v>
      </c>
      <c r="I1059">
        <v>1</v>
      </c>
      <c r="M1059" t="str">
        <f>VLOOKUP(B1059, [1]Course!$A$1:$O$933, 12, FALSE)</f>
        <v>MA</v>
      </c>
      <c r="N1059" t="s">
        <v>14</v>
      </c>
      <c r="O1059" t="str">
        <f>VLOOKUP(B1059, [1]Course!$A$1:$O$933, 14, FALSE)</f>
        <v>AC</v>
      </c>
      <c r="P1059">
        <v>1</v>
      </c>
    </row>
    <row r="1060" spans="1:16" x14ac:dyDescent="0.25">
      <c r="A1060">
        <v>1063</v>
      </c>
      <c r="B1060">
        <v>107</v>
      </c>
      <c r="C1060">
        <v>127</v>
      </c>
      <c r="D1060" t="s">
        <v>64</v>
      </c>
      <c r="E1060" t="str">
        <f t="shared" si="16"/>
        <v>1227AC03PT</v>
      </c>
      <c r="F1060">
        <f>VLOOKUP(B1060,[1]Course!$A$2:$R$329,2,FALSE)</f>
        <v>0</v>
      </c>
      <c r="G1060">
        <f>VLOOKUP(B1060, [1]Course!$A$2:$L$950, 8, FALSE)</f>
        <v>12</v>
      </c>
      <c r="H1060">
        <v>3</v>
      </c>
      <c r="I1060">
        <v>1</v>
      </c>
      <c r="M1060" t="str">
        <f>VLOOKUP(B1060, [1]Course!$A$1:$O$933, 12, FALSE)</f>
        <v>MA</v>
      </c>
      <c r="N1060" t="s">
        <v>14</v>
      </c>
      <c r="O1060" t="str">
        <f>VLOOKUP(B1060, [1]Course!$A$1:$O$933, 14, FALSE)</f>
        <v>AC</v>
      </c>
      <c r="P1060">
        <v>1</v>
      </c>
    </row>
    <row r="1061" spans="1:16" x14ac:dyDescent="0.25">
      <c r="A1061">
        <v>1064</v>
      </c>
      <c r="B1061">
        <v>107</v>
      </c>
      <c r="C1061">
        <v>128</v>
      </c>
      <c r="D1061" t="s">
        <v>64</v>
      </c>
      <c r="E1061" t="str">
        <f t="shared" si="16"/>
        <v>1228AC03PT</v>
      </c>
      <c r="F1061">
        <f>VLOOKUP(B1061,[1]Course!$A$2:$R$329,2,FALSE)</f>
        <v>0</v>
      </c>
      <c r="G1061">
        <f>VLOOKUP(B1061, [1]Course!$A$2:$L$950, 8, FALSE)</f>
        <v>12</v>
      </c>
      <c r="H1061">
        <v>3</v>
      </c>
      <c r="I1061">
        <v>1</v>
      </c>
      <c r="M1061" t="str">
        <f>VLOOKUP(B1061, [1]Course!$A$1:$O$933, 12, FALSE)</f>
        <v>MA</v>
      </c>
      <c r="N1061" t="s">
        <v>14</v>
      </c>
      <c r="O1061" t="str">
        <f>VLOOKUP(B1061, [1]Course!$A$1:$O$933, 14, FALSE)</f>
        <v>AC</v>
      </c>
      <c r="P1061">
        <v>1</v>
      </c>
    </row>
    <row r="1062" spans="1:16" x14ac:dyDescent="0.25">
      <c r="A1062">
        <v>1065</v>
      </c>
      <c r="B1062">
        <v>107</v>
      </c>
      <c r="C1062">
        <v>129</v>
      </c>
      <c r="D1062" t="s">
        <v>64</v>
      </c>
      <c r="E1062" t="str">
        <f t="shared" si="16"/>
        <v>1229AC03PT</v>
      </c>
      <c r="F1062">
        <f>VLOOKUP(B1062,[1]Course!$A$2:$R$329,2,FALSE)</f>
        <v>0</v>
      </c>
      <c r="G1062">
        <f>VLOOKUP(B1062, [1]Course!$A$2:$L$950, 8, FALSE)</f>
        <v>12</v>
      </c>
      <c r="H1062">
        <v>3</v>
      </c>
      <c r="I1062">
        <v>1</v>
      </c>
      <c r="M1062" t="str">
        <f>VLOOKUP(B1062, [1]Course!$A$1:$O$933, 12, FALSE)</f>
        <v>MA</v>
      </c>
      <c r="N1062" t="s">
        <v>14</v>
      </c>
      <c r="O1062" t="str">
        <f>VLOOKUP(B1062, [1]Course!$A$1:$O$933, 14, FALSE)</f>
        <v>AC</v>
      </c>
      <c r="P1062">
        <v>1</v>
      </c>
    </row>
    <row r="1063" spans="1:16" x14ac:dyDescent="0.25">
      <c r="A1063">
        <v>1066</v>
      </c>
      <c r="B1063">
        <v>107</v>
      </c>
      <c r="C1063">
        <v>130</v>
      </c>
      <c r="D1063" t="s">
        <v>64</v>
      </c>
      <c r="E1063" t="str">
        <f t="shared" si="16"/>
        <v>1230AC03PT</v>
      </c>
      <c r="F1063">
        <f>VLOOKUP(B1063,[1]Course!$A$2:$R$329,2,FALSE)</f>
        <v>0</v>
      </c>
      <c r="G1063">
        <f>VLOOKUP(B1063, [1]Course!$A$2:$L$950, 8, FALSE)</f>
        <v>12</v>
      </c>
      <c r="H1063">
        <v>3</v>
      </c>
      <c r="I1063">
        <v>1</v>
      </c>
      <c r="M1063" t="str">
        <f>VLOOKUP(B1063, [1]Course!$A$1:$O$933, 12, FALSE)</f>
        <v>MA</v>
      </c>
      <c r="N1063" t="s">
        <v>14</v>
      </c>
      <c r="O1063" t="str">
        <f>VLOOKUP(B1063, [1]Course!$A$1:$O$933, 14, FALSE)</f>
        <v>AC</v>
      </c>
      <c r="P1063">
        <v>1</v>
      </c>
    </row>
    <row r="1064" spans="1:16" x14ac:dyDescent="0.25">
      <c r="A1064">
        <v>1067</v>
      </c>
      <c r="B1064">
        <v>107</v>
      </c>
      <c r="C1064">
        <v>131</v>
      </c>
      <c r="D1064" t="s">
        <v>64</v>
      </c>
      <c r="E1064" t="str">
        <f t="shared" si="16"/>
        <v>1231AC03PT</v>
      </c>
      <c r="F1064">
        <f>VLOOKUP(B1064,[1]Course!$A$2:$R$329,2,FALSE)</f>
        <v>0</v>
      </c>
      <c r="G1064">
        <f>VLOOKUP(B1064, [1]Course!$A$2:$L$950, 8, FALSE)</f>
        <v>12</v>
      </c>
      <c r="H1064">
        <v>3</v>
      </c>
      <c r="I1064">
        <v>1</v>
      </c>
      <c r="M1064" t="str">
        <f>VLOOKUP(B1064, [1]Course!$A$1:$O$933, 12, FALSE)</f>
        <v>MA</v>
      </c>
      <c r="N1064" t="s">
        <v>14</v>
      </c>
      <c r="O1064" t="str">
        <f>VLOOKUP(B1064, [1]Course!$A$1:$O$933, 14, FALSE)</f>
        <v>AC</v>
      </c>
      <c r="P1064">
        <v>1</v>
      </c>
    </row>
    <row r="1065" spans="1:16" x14ac:dyDescent="0.25">
      <c r="A1065">
        <v>1068</v>
      </c>
      <c r="B1065">
        <v>107</v>
      </c>
      <c r="C1065">
        <v>132</v>
      </c>
      <c r="D1065" t="s">
        <v>64</v>
      </c>
      <c r="E1065" t="str">
        <f t="shared" si="16"/>
        <v>1232AC03PT</v>
      </c>
      <c r="F1065">
        <f>VLOOKUP(B1065,[1]Course!$A$2:$R$329,2,FALSE)</f>
        <v>0</v>
      </c>
      <c r="G1065">
        <f>VLOOKUP(B1065, [1]Course!$A$2:$L$950, 8, FALSE)</f>
        <v>12</v>
      </c>
      <c r="H1065">
        <v>3</v>
      </c>
      <c r="I1065">
        <v>1</v>
      </c>
      <c r="M1065" t="str">
        <f>VLOOKUP(B1065, [1]Course!$A$1:$O$933, 12, FALSE)</f>
        <v>MA</v>
      </c>
      <c r="N1065" t="s">
        <v>14</v>
      </c>
      <c r="O1065" t="str">
        <f>VLOOKUP(B1065, [1]Course!$A$1:$O$933, 14, FALSE)</f>
        <v>AC</v>
      </c>
      <c r="P1065">
        <v>1</v>
      </c>
    </row>
    <row r="1066" spans="1:16" x14ac:dyDescent="0.25">
      <c r="A1066">
        <v>1069</v>
      </c>
      <c r="B1066">
        <v>108</v>
      </c>
      <c r="C1066">
        <v>1</v>
      </c>
      <c r="D1066" t="s">
        <v>65</v>
      </c>
      <c r="E1066" t="str">
        <f t="shared" si="16"/>
        <v>1001CM03PT</v>
      </c>
      <c r="F1066" t="str">
        <f>VLOOKUP(B1066,[1]Course!$A$2:$R$329,2,FALSE)</f>
        <v>Basic Mathematics I</v>
      </c>
      <c r="G1066">
        <f>VLOOKUP(B1066, [1]Course!$A$2:$L$950, 8, FALSE)</f>
        <v>10</v>
      </c>
      <c r="H1066">
        <v>3</v>
      </c>
      <c r="I1066">
        <v>1</v>
      </c>
      <c r="J1066">
        <v>1975</v>
      </c>
      <c r="K1066" t="s">
        <v>92</v>
      </c>
      <c r="L1066">
        <v>1</v>
      </c>
      <c r="M1066" t="str">
        <f>VLOOKUP(B1066, [1]Course!$A$1:$O$933, 12, FALSE)</f>
        <v>MA</v>
      </c>
      <c r="N1066" t="s">
        <v>14</v>
      </c>
      <c r="O1066" t="str">
        <f>VLOOKUP(B1066, [1]Course!$A$1:$O$933, 14, FALSE)</f>
        <v>CM</v>
      </c>
      <c r="P1066">
        <v>1</v>
      </c>
    </row>
    <row r="1067" spans="1:16" x14ac:dyDescent="0.25">
      <c r="A1067">
        <v>1070</v>
      </c>
      <c r="B1067">
        <v>108</v>
      </c>
      <c r="C1067">
        <v>2</v>
      </c>
      <c r="D1067" t="s">
        <v>65</v>
      </c>
      <c r="E1067" t="str">
        <f t="shared" si="16"/>
        <v>1002CM03PT</v>
      </c>
      <c r="F1067" t="str">
        <f>VLOOKUP(B1067,[1]Course!$A$2:$R$329,2,FALSE)</f>
        <v>Basic Mathematics I</v>
      </c>
      <c r="G1067">
        <f>VLOOKUP(B1067, [1]Course!$A$2:$L$950, 8, FALSE)</f>
        <v>10</v>
      </c>
      <c r="H1067">
        <v>3</v>
      </c>
      <c r="I1067">
        <v>1</v>
      </c>
      <c r="J1067">
        <v>1975</v>
      </c>
      <c r="K1067">
        <v>2000</v>
      </c>
      <c r="L1067">
        <v>1</v>
      </c>
      <c r="M1067" t="str">
        <f>VLOOKUP(B1067, [1]Course!$A$1:$O$933, 12, FALSE)</f>
        <v>MA</v>
      </c>
      <c r="N1067" t="s">
        <v>14</v>
      </c>
      <c r="O1067" t="str">
        <f>VLOOKUP(B1067, [1]Course!$A$1:$O$933, 14, FALSE)</f>
        <v>CM</v>
      </c>
      <c r="P1067">
        <v>1</v>
      </c>
    </row>
    <row r="1068" spans="1:16" x14ac:dyDescent="0.25">
      <c r="A1068">
        <v>1071</v>
      </c>
      <c r="B1068">
        <v>108</v>
      </c>
      <c r="C1068">
        <v>3</v>
      </c>
      <c r="D1068" t="s">
        <v>65</v>
      </c>
      <c r="E1068" t="str">
        <f t="shared" si="16"/>
        <v>1003CM03PT</v>
      </c>
      <c r="F1068" t="str">
        <f>VLOOKUP(B1068,[1]Course!$A$2:$R$329,2,FALSE)</f>
        <v>Basic Mathematics I</v>
      </c>
      <c r="G1068">
        <f>VLOOKUP(B1068, [1]Course!$A$2:$L$950, 8, FALSE)</f>
        <v>10</v>
      </c>
      <c r="H1068">
        <v>3</v>
      </c>
      <c r="I1068">
        <v>1</v>
      </c>
      <c r="J1068">
        <v>1976</v>
      </c>
      <c r="K1068" t="s">
        <v>92</v>
      </c>
      <c r="L1068">
        <v>1</v>
      </c>
      <c r="M1068" t="str">
        <f>VLOOKUP(B1068, [1]Course!$A$1:$O$933, 12, FALSE)</f>
        <v>MA</v>
      </c>
      <c r="N1068" t="s">
        <v>14</v>
      </c>
      <c r="O1068" t="str">
        <f>VLOOKUP(B1068, [1]Course!$A$1:$O$933, 14, FALSE)</f>
        <v>CM</v>
      </c>
      <c r="P1068">
        <v>1</v>
      </c>
    </row>
    <row r="1069" spans="1:16" x14ac:dyDescent="0.25">
      <c r="A1069">
        <v>1072</v>
      </c>
      <c r="B1069">
        <v>108</v>
      </c>
      <c r="C1069">
        <v>4</v>
      </c>
      <c r="D1069" t="s">
        <v>65</v>
      </c>
      <c r="E1069" t="str">
        <f t="shared" si="16"/>
        <v>1004CM03PT</v>
      </c>
      <c r="F1069" t="str">
        <f>VLOOKUP(B1069,[1]Course!$A$2:$R$329,2,FALSE)</f>
        <v>Basic Mathematics I</v>
      </c>
      <c r="G1069">
        <f>VLOOKUP(B1069, [1]Course!$A$2:$L$950, 8, FALSE)</f>
        <v>10</v>
      </c>
      <c r="H1069">
        <v>3</v>
      </c>
      <c r="I1069">
        <v>1</v>
      </c>
      <c r="J1069">
        <v>1976</v>
      </c>
      <c r="K1069">
        <v>1997</v>
      </c>
      <c r="L1069">
        <v>1</v>
      </c>
      <c r="M1069" t="str">
        <f>VLOOKUP(B1069, [1]Course!$A$1:$O$933, 12, FALSE)</f>
        <v>MA</v>
      </c>
      <c r="N1069" t="s">
        <v>14</v>
      </c>
      <c r="O1069" t="str">
        <f>VLOOKUP(B1069, [1]Course!$A$1:$O$933, 14, FALSE)</f>
        <v>CM</v>
      </c>
      <c r="P1069">
        <v>1</v>
      </c>
    </row>
    <row r="1070" spans="1:16" x14ac:dyDescent="0.25">
      <c r="A1070">
        <v>1073</v>
      </c>
      <c r="B1070">
        <v>108</v>
      </c>
      <c r="C1070">
        <v>5</v>
      </c>
      <c r="D1070" t="s">
        <v>65</v>
      </c>
      <c r="E1070" t="str">
        <f t="shared" si="16"/>
        <v>1005CM03PT</v>
      </c>
      <c r="F1070" t="str">
        <f>VLOOKUP(B1070,[1]Course!$A$2:$R$329,2,FALSE)</f>
        <v>Basic Mathematics I</v>
      </c>
      <c r="G1070">
        <f>VLOOKUP(B1070, [1]Course!$A$2:$L$950, 8, FALSE)</f>
        <v>10</v>
      </c>
      <c r="H1070">
        <v>3</v>
      </c>
      <c r="I1070">
        <v>1</v>
      </c>
      <c r="J1070">
        <v>1976</v>
      </c>
      <c r="K1070">
        <v>2000</v>
      </c>
      <c r="L1070">
        <v>1</v>
      </c>
      <c r="M1070" t="str">
        <f>VLOOKUP(B1070, [1]Course!$A$1:$O$933, 12, FALSE)</f>
        <v>MA</v>
      </c>
      <c r="N1070" t="s">
        <v>14</v>
      </c>
      <c r="O1070" t="str">
        <f>VLOOKUP(B1070, [1]Course!$A$1:$O$933, 14, FALSE)</f>
        <v>CM</v>
      </c>
      <c r="P1070">
        <v>1</v>
      </c>
    </row>
    <row r="1071" spans="1:16" x14ac:dyDescent="0.25">
      <c r="A1071">
        <v>1074</v>
      </c>
      <c r="B1071">
        <v>108</v>
      </c>
      <c r="C1071">
        <v>6</v>
      </c>
      <c r="D1071" t="s">
        <v>65</v>
      </c>
      <c r="E1071" t="str">
        <f t="shared" si="16"/>
        <v>1006CM03PT</v>
      </c>
      <c r="F1071" t="str">
        <f>VLOOKUP(B1071,[1]Course!$A$2:$R$329,2,FALSE)</f>
        <v>Basic Mathematics I</v>
      </c>
      <c r="G1071">
        <f>VLOOKUP(B1071, [1]Course!$A$2:$L$950, 8, FALSE)</f>
        <v>10</v>
      </c>
      <c r="H1071">
        <v>3</v>
      </c>
      <c r="I1071">
        <v>1</v>
      </c>
      <c r="J1071">
        <v>1976</v>
      </c>
      <c r="K1071" t="s">
        <v>92</v>
      </c>
      <c r="L1071">
        <v>1</v>
      </c>
      <c r="M1071" t="str">
        <f>VLOOKUP(B1071, [1]Course!$A$1:$O$933, 12, FALSE)</f>
        <v>MA</v>
      </c>
      <c r="N1071" t="s">
        <v>14</v>
      </c>
      <c r="O1071" t="str">
        <f>VLOOKUP(B1071, [1]Course!$A$1:$O$933, 14, FALSE)</f>
        <v>CM</v>
      </c>
      <c r="P1071">
        <v>1</v>
      </c>
    </row>
    <row r="1072" spans="1:16" x14ac:dyDescent="0.25">
      <c r="A1072">
        <v>1075</v>
      </c>
      <c r="B1072">
        <v>108</v>
      </c>
      <c r="C1072">
        <v>7</v>
      </c>
      <c r="D1072" t="s">
        <v>65</v>
      </c>
      <c r="E1072" t="str">
        <f t="shared" si="16"/>
        <v>1007CM03PT</v>
      </c>
      <c r="F1072" t="str">
        <f>VLOOKUP(B1072,[1]Course!$A$2:$R$329,2,FALSE)</f>
        <v>Basic Mathematics I</v>
      </c>
      <c r="G1072">
        <f>VLOOKUP(B1072, [1]Course!$A$2:$L$950, 8, FALSE)</f>
        <v>10</v>
      </c>
      <c r="H1072">
        <v>3</v>
      </c>
      <c r="I1072">
        <v>1</v>
      </c>
      <c r="J1072">
        <v>1976</v>
      </c>
      <c r="K1072" t="s">
        <v>92</v>
      </c>
      <c r="L1072">
        <v>1</v>
      </c>
      <c r="M1072" t="str">
        <f>VLOOKUP(B1072, [1]Course!$A$1:$O$933, 12, FALSE)</f>
        <v>MA</v>
      </c>
      <c r="N1072" t="s">
        <v>14</v>
      </c>
      <c r="O1072" t="str">
        <f>VLOOKUP(B1072, [1]Course!$A$1:$O$933, 14, FALSE)</f>
        <v>CM</v>
      </c>
      <c r="P1072">
        <v>1</v>
      </c>
    </row>
    <row r="1073" spans="1:16" x14ac:dyDescent="0.25">
      <c r="A1073">
        <v>1076</v>
      </c>
      <c r="B1073">
        <v>108</v>
      </c>
      <c r="C1073">
        <v>8</v>
      </c>
      <c r="D1073" t="s">
        <v>65</v>
      </c>
      <c r="E1073" t="str">
        <f t="shared" si="16"/>
        <v>1008CM03PT</v>
      </c>
      <c r="F1073" t="str">
        <f>VLOOKUP(B1073,[1]Course!$A$2:$R$329,2,FALSE)</f>
        <v>Basic Mathematics I</v>
      </c>
      <c r="G1073">
        <f>VLOOKUP(B1073, [1]Course!$A$2:$L$950, 8, FALSE)</f>
        <v>10</v>
      </c>
      <c r="H1073">
        <v>3</v>
      </c>
      <c r="I1073">
        <v>1</v>
      </c>
      <c r="J1073">
        <v>1979</v>
      </c>
      <c r="K1073" t="s">
        <v>92</v>
      </c>
      <c r="L1073">
        <v>1</v>
      </c>
      <c r="M1073" t="str">
        <f>VLOOKUP(B1073, [1]Course!$A$1:$O$933, 12, FALSE)</f>
        <v>MA</v>
      </c>
      <c r="N1073" t="s">
        <v>14</v>
      </c>
      <c r="O1073" t="str">
        <f>VLOOKUP(B1073, [1]Course!$A$1:$O$933, 14, FALSE)</f>
        <v>CM</v>
      </c>
      <c r="P1073">
        <v>1</v>
      </c>
    </row>
    <row r="1074" spans="1:16" x14ac:dyDescent="0.25">
      <c r="A1074">
        <v>1077</v>
      </c>
      <c r="B1074">
        <v>108</v>
      </c>
      <c r="C1074">
        <v>9</v>
      </c>
      <c r="D1074" t="s">
        <v>65</v>
      </c>
      <c r="E1074" t="str">
        <f t="shared" si="16"/>
        <v>1009CM03PT</v>
      </c>
      <c r="F1074" t="str">
        <f>VLOOKUP(B1074,[1]Course!$A$2:$R$329,2,FALSE)</f>
        <v>Basic Mathematics I</v>
      </c>
      <c r="G1074">
        <f>VLOOKUP(B1074, [1]Course!$A$2:$L$950, 8, FALSE)</f>
        <v>10</v>
      </c>
      <c r="H1074">
        <v>3</v>
      </c>
      <c r="I1074">
        <v>1</v>
      </c>
      <c r="J1074">
        <v>1976</v>
      </c>
      <c r="K1074" t="s">
        <v>92</v>
      </c>
      <c r="L1074">
        <v>1</v>
      </c>
      <c r="M1074" t="str">
        <f>VLOOKUP(B1074, [1]Course!$A$1:$O$933, 12, FALSE)</f>
        <v>MA</v>
      </c>
      <c r="N1074" t="s">
        <v>14</v>
      </c>
      <c r="O1074" t="str">
        <f>VLOOKUP(B1074, [1]Course!$A$1:$O$933, 14, FALSE)</f>
        <v>CM</v>
      </c>
      <c r="P1074">
        <v>1</v>
      </c>
    </row>
    <row r="1075" spans="1:16" x14ac:dyDescent="0.25">
      <c r="A1075">
        <v>1078</v>
      </c>
      <c r="B1075">
        <v>108</v>
      </c>
      <c r="C1075">
        <v>10</v>
      </c>
      <c r="D1075" t="s">
        <v>65</v>
      </c>
      <c r="E1075" t="str">
        <f t="shared" si="16"/>
        <v>1010CM03PT</v>
      </c>
      <c r="F1075" t="str">
        <f>VLOOKUP(B1075,[1]Course!$A$2:$R$329,2,FALSE)</f>
        <v>Basic Mathematics I</v>
      </c>
      <c r="G1075">
        <f>VLOOKUP(B1075, [1]Course!$A$2:$L$950, 8, FALSE)</f>
        <v>10</v>
      </c>
      <c r="H1075">
        <v>3</v>
      </c>
      <c r="I1075">
        <v>1</v>
      </c>
      <c r="J1075">
        <v>1976</v>
      </c>
      <c r="K1075" t="s">
        <v>92</v>
      </c>
      <c r="L1075">
        <v>1</v>
      </c>
      <c r="M1075" t="str">
        <f>VLOOKUP(B1075, [1]Course!$A$1:$O$933, 12, FALSE)</f>
        <v>MA</v>
      </c>
      <c r="N1075" t="s">
        <v>14</v>
      </c>
      <c r="O1075" t="str">
        <f>VLOOKUP(B1075, [1]Course!$A$1:$O$933, 14, FALSE)</f>
        <v>CM</v>
      </c>
      <c r="P1075">
        <v>1</v>
      </c>
    </row>
    <row r="1076" spans="1:16" x14ac:dyDescent="0.25">
      <c r="A1076">
        <v>1079</v>
      </c>
      <c r="B1076">
        <v>109</v>
      </c>
      <c r="C1076">
        <v>11</v>
      </c>
      <c r="D1076" t="s">
        <v>65</v>
      </c>
      <c r="E1076" t="str">
        <f t="shared" si="16"/>
        <v>1011CM03PT</v>
      </c>
      <c r="F1076" t="str">
        <f>VLOOKUP(B1076,[1]Course!$A$2:$R$329,2,FALSE)</f>
        <v>Basic Mathematics II Precalculus</v>
      </c>
      <c r="G1076">
        <f>VLOOKUP(B1076, [1]Course!$A$2:$L$950, 8, FALSE)</f>
        <v>10</v>
      </c>
      <c r="H1076">
        <v>3</v>
      </c>
      <c r="I1076">
        <v>1</v>
      </c>
      <c r="J1076">
        <v>1976</v>
      </c>
      <c r="K1076" t="s">
        <v>92</v>
      </c>
      <c r="L1076">
        <v>1</v>
      </c>
      <c r="M1076" t="str">
        <f>VLOOKUP(B1076, [1]Course!$A$1:$O$933, 12, FALSE)</f>
        <v>MA</v>
      </c>
      <c r="N1076" t="s">
        <v>14</v>
      </c>
      <c r="O1076" t="str">
        <f>VLOOKUP(B1076, [1]Course!$A$1:$O$933, 14, FALSE)</f>
        <v>CM</v>
      </c>
      <c r="P1076">
        <v>1</v>
      </c>
    </row>
    <row r="1077" spans="1:16" x14ac:dyDescent="0.25">
      <c r="A1077">
        <v>1080</v>
      </c>
      <c r="B1077">
        <v>109</v>
      </c>
      <c r="C1077">
        <v>12</v>
      </c>
      <c r="D1077" t="s">
        <v>65</v>
      </c>
      <c r="E1077" t="str">
        <f t="shared" si="16"/>
        <v>1012CM03PT</v>
      </c>
      <c r="F1077" t="str">
        <f>VLOOKUP(B1077,[1]Course!$A$2:$R$329,2,FALSE)</f>
        <v>Basic Mathematics II Precalculus</v>
      </c>
      <c r="G1077">
        <f>VLOOKUP(B1077, [1]Course!$A$2:$L$950, 8, FALSE)</f>
        <v>10</v>
      </c>
      <c r="H1077">
        <v>3</v>
      </c>
      <c r="I1077">
        <v>1</v>
      </c>
      <c r="J1077">
        <v>1976</v>
      </c>
      <c r="K1077" t="s">
        <v>92</v>
      </c>
      <c r="L1077">
        <v>1</v>
      </c>
      <c r="M1077" t="str">
        <f>VLOOKUP(B1077, [1]Course!$A$1:$O$933, 12, FALSE)</f>
        <v>MA</v>
      </c>
      <c r="N1077" t="s">
        <v>14</v>
      </c>
      <c r="O1077" t="str">
        <f>VLOOKUP(B1077, [1]Course!$A$1:$O$933, 14, FALSE)</f>
        <v>CM</v>
      </c>
      <c r="P1077">
        <v>1</v>
      </c>
    </row>
    <row r="1078" spans="1:16" x14ac:dyDescent="0.25">
      <c r="A1078">
        <v>1081</v>
      </c>
      <c r="B1078">
        <v>109</v>
      </c>
      <c r="C1078">
        <v>13</v>
      </c>
      <c r="D1078" t="s">
        <v>65</v>
      </c>
      <c r="E1078" t="str">
        <f t="shared" si="16"/>
        <v>1013CM03PT</v>
      </c>
      <c r="F1078" t="str">
        <f>VLOOKUP(B1078,[1]Course!$A$2:$R$329,2,FALSE)</f>
        <v>Basic Mathematics II Precalculus</v>
      </c>
      <c r="G1078">
        <f>VLOOKUP(B1078, [1]Course!$A$2:$L$950, 8, FALSE)</f>
        <v>10</v>
      </c>
      <c r="H1078">
        <v>3</v>
      </c>
      <c r="I1078">
        <v>1</v>
      </c>
      <c r="J1078">
        <v>1976</v>
      </c>
      <c r="K1078" t="s">
        <v>92</v>
      </c>
      <c r="L1078">
        <v>1</v>
      </c>
      <c r="M1078" t="str">
        <f>VLOOKUP(B1078, [1]Course!$A$1:$O$933, 12, FALSE)</f>
        <v>MA</v>
      </c>
      <c r="N1078" t="s">
        <v>14</v>
      </c>
      <c r="O1078" t="str">
        <f>VLOOKUP(B1078, [1]Course!$A$1:$O$933, 14, FALSE)</f>
        <v>CM</v>
      </c>
      <c r="P1078">
        <v>1</v>
      </c>
    </row>
    <row r="1079" spans="1:16" x14ac:dyDescent="0.25">
      <c r="A1079">
        <v>1082</v>
      </c>
      <c r="B1079">
        <v>109</v>
      </c>
      <c r="C1079">
        <v>14</v>
      </c>
      <c r="D1079" t="s">
        <v>65</v>
      </c>
      <c r="E1079" t="str">
        <f t="shared" si="16"/>
        <v>1014CM03PT</v>
      </c>
      <c r="F1079" t="str">
        <f>VLOOKUP(B1079,[1]Course!$A$2:$R$329,2,FALSE)</f>
        <v>Basic Mathematics II Precalculus</v>
      </c>
      <c r="G1079">
        <f>VLOOKUP(B1079, [1]Course!$A$2:$L$950, 8, FALSE)</f>
        <v>10</v>
      </c>
      <c r="H1079">
        <v>3</v>
      </c>
      <c r="I1079">
        <v>1</v>
      </c>
      <c r="J1079">
        <v>1976</v>
      </c>
      <c r="K1079" t="s">
        <v>92</v>
      </c>
      <c r="L1079">
        <v>1</v>
      </c>
      <c r="M1079" t="str">
        <f>VLOOKUP(B1079, [1]Course!$A$1:$O$933, 12, FALSE)</f>
        <v>MA</v>
      </c>
      <c r="N1079" t="s">
        <v>14</v>
      </c>
      <c r="O1079" t="str">
        <f>VLOOKUP(B1079, [1]Course!$A$1:$O$933, 14, FALSE)</f>
        <v>CM</v>
      </c>
      <c r="P1079">
        <v>1</v>
      </c>
    </row>
    <row r="1080" spans="1:16" x14ac:dyDescent="0.25">
      <c r="A1080">
        <v>1083</v>
      </c>
      <c r="B1080">
        <v>109</v>
      </c>
      <c r="C1080">
        <v>15</v>
      </c>
      <c r="D1080" t="s">
        <v>65</v>
      </c>
      <c r="E1080" t="str">
        <f t="shared" si="16"/>
        <v>1015CM03PT</v>
      </c>
      <c r="F1080" t="str">
        <f>VLOOKUP(B1080,[1]Course!$A$2:$R$329,2,FALSE)</f>
        <v>Basic Mathematics II Precalculus</v>
      </c>
      <c r="G1080">
        <f>VLOOKUP(B1080, [1]Course!$A$2:$L$950, 8, FALSE)</f>
        <v>10</v>
      </c>
      <c r="H1080">
        <v>3</v>
      </c>
      <c r="I1080">
        <v>1</v>
      </c>
      <c r="J1080">
        <v>1981</v>
      </c>
      <c r="K1080">
        <v>2008</v>
      </c>
      <c r="L1080">
        <v>1</v>
      </c>
      <c r="M1080" t="str">
        <f>VLOOKUP(B1080, [1]Course!$A$1:$O$933, 12, FALSE)</f>
        <v>MA</v>
      </c>
      <c r="N1080" t="s">
        <v>14</v>
      </c>
      <c r="O1080" t="str">
        <f>VLOOKUP(B1080, [1]Course!$A$1:$O$933, 14, FALSE)</f>
        <v>CM</v>
      </c>
      <c r="P1080">
        <v>1</v>
      </c>
    </row>
    <row r="1081" spans="1:16" x14ac:dyDescent="0.25">
      <c r="A1081">
        <v>1084</v>
      </c>
      <c r="B1081">
        <v>109</v>
      </c>
      <c r="C1081">
        <v>16</v>
      </c>
      <c r="D1081" t="s">
        <v>65</v>
      </c>
      <c r="E1081" t="str">
        <f t="shared" si="16"/>
        <v>1016CM03PT</v>
      </c>
      <c r="F1081" t="str">
        <f>VLOOKUP(B1081,[1]Course!$A$2:$R$329,2,FALSE)</f>
        <v>Basic Mathematics II Precalculus</v>
      </c>
      <c r="G1081">
        <f>VLOOKUP(B1081, [1]Course!$A$2:$L$950, 8, FALSE)</f>
        <v>10</v>
      </c>
      <c r="H1081">
        <v>3</v>
      </c>
      <c r="I1081">
        <v>1</v>
      </c>
      <c r="J1081">
        <v>1976</v>
      </c>
      <c r="K1081">
        <v>1996</v>
      </c>
      <c r="L1081">
        <v>1</v>
      </c>
      <c r="M1081" t="str">
        <f>VLOOKUP(B1081, [1]Course!$A$1:$O$933, 12, FALSE)</f>
        <v>MA</v>
      </c>
      <c r="N1081" t="s">
        <v>14</v>
      </c>
      <c r="O1081" t="str">
        <f>VLOOKUP(B1081, [1]Course!$A$1:$O$933, 14, FALSE)</f>
        <v>CM</v>
      </c>
      <c r="P1081">
        <v>1</v>
      </c>
    </row>
    <row r="1082" spans="1:16" x14ac:dyDescent="0.25">
      <c r="A1082">
        <v>1085</v>
      </c>
      <c r="B1082">
        <v>109</v>
      </c>
      <c r="C1082">
        <v>17</v>
      </c>
      <c r="D1082" t="s">
        <v>65</v>
      </c>
      <c r="E1082" t="str">
        <f t="shared" si="16"/>
        <v>1017CM03PT</v>
      </c>
      <c r="F1082" t="str">
        <f>VLOOKUP(B1082,[1]Course!$A$2:$R$329,2,FALSE)</f>
        <v>Basic Mathematics II Precalculus</v>
      </c>
      <c r="G1082">
        <f>VLOOKUP(B1082, [1]Course!$A$2:$L$950, 8, FALSE)</f>
        <v>10</v>
      </c>
      <c r="H1082">
        <v>3</v>
      </c>
      <c r="I1082">
        <v>1</v>
      </c>
      <c r="J1082">
        <v>1976</v>
      </c>
      <c r="K1082" t="s">
        <v>92</v>
      </c>
      <c r="L1082">
        <v>1</v>
      </c>
      <c r="M1082" t="str">
        <f>VLOOKUP(B1082, [1]Course!$A$1:$O$933, 12, FALSE)</f>
        <v>MA</v>
      </c>
      <c r="N1082" t="s">
        <v>14</v>
      </c>
      <c r="O1082" t="str">
        <f>VLOOKUP(B1082, [1]Course!$A$1:$O$933, 14, FALSE)</f>
        <v>CM</v>
      </c>
      <c r="P1082">
        <v>1</v>
      </c>
    </row>
    <row r="1083" spans="1:16" x14ac:dyDescent="0.25">
      <c r="A1083">
        <v>1086</v>
      </c>
      <c r="B1083">
        <v>109</v>
      </c>
      <c r="C1083">
        <v>18</v>
      </c>
      <c r="D1083" t="s">
        <v>65</v>
      </c>
      <c r="E1083" t="str">
        <f t="shared" si="16"/>
        <v>1018CM03PT</v>
      </c>
      <c r="F1083" t="str">
        <f>VLOOKUP(B1083,[1]Course!$A$2:$R$329,2,FALSE)</f>
        <v>Basic Mathematics II Precalculus</v>
      </c>
      <c r="G1083">
        <f>VLOOKUP(B1083, [1]Course!$A$2:$L$950, 8, FALSE)</f>
        <v>10</v>
      </c>
      <c r="H1083">
        <v>3</v>
      </c>
      <c r="I1083">
        <v>1</v>
      </c>
      <c r="J1083">
        <v>1976</v>
      </c>
      <c r="K1083" t="s">
        <v>92</v>
      </c>
      <c r="L1083">
        <v>1</v>
      </c>
      <c r="M1083" t="str">
        <f>VLOOKUP(B1083, [1]Course!$A$1:$O$933, 12, FALSE)</f>
        <v>MA</v>
      </c>
      <c r="N1083" t="s">
        <v>14</v>
      </c>
      <c r="O1083" t="str">
        <f>VLOOKUP(B1083, [1]Course!$A$1:$O$933, 14, FALSE)</f>
        <v>CM</v>
      </c>
      <c r="P1083">
        <v>1</v>
      </c>
    </row>
    <row r="1084" spans="1:16" x14ac:dyDescent="0.25">
      <c r="A1084">
        <v>1087</v>
      </c>
      <c r="B1084">
        <v>109</v>
      </c>
      <c r="C1084">
        <v>19</v>
      </c>
      <c r="D1084" t="s">
        <v>65</v>
      </c>
      <c r="E1084" t="str">
        <f t="shared" si="16"/>
        <v>1019CM03PT</v>
      </c>
      <c r="F1084" t="str">
        <f>VLOOKUP(B1084,[1]Course!$A$2:$R$329,2,FALSE)</f>
        <v>Basic Mathematics II Precalculus</v>
      </c>
      <c r="G1084">
        <f>VLOOKUP(B1084, [1]Course!$A$2:$L$950, 8, FALSE)</f>
        <v>10</v>
      </c>
      <c r="H1084">
        <v>3</v>
      </c>
      <c r="I1084">
        <v>1</v>
      </c>
      <c r="J1084">
        <v>1976</v>
      </c>
      <c r="K1084" t="s">
        <v>92</v>
      </c>
      <c r="L1084">
        <v>1</v>
      </c>
      <c r="M1084" t="str">
        <f>VLOOKUP(B1084, [1]Course!$A$1:$O$933, 12, FALSE)</f>
        <v>MA</v>
      </c>
      <c r="N1084" t="s">
        <v>14</v>
      </c>
      <c r="O1084" t="str">
        <f>VLOOKUP(B1084, [1]Course!$A$1:$O$933, 14, FALSE)</f>
        <v>CM</v>
      </c>
      <c r="P1084">
        <v>1</v>
      </c>
    </row>
    <row r="1085" spans="1:16" x14ac:dyDescent="0.25">
      <c r="A1085">
        <v>1088</v>
      </c>
      <c r="B1085">
        <v>109</v>
      </c>
      <c r="C1085">
        <v>20</v>
      </c>
      <c r="D1085" t="s">
        <v>65</v>
      </c>
      <c r="E1085" t="str">
        <f t="shared" si="16"/>
        <v>1020CM03PT</v>
      </c>
      <c r="F1085" t="str">
        <f>VLOOKUP(B1085,[1]Course!$A$2:$R$329,2,FALSE)</f>
        <v>Basic Mathematics II Precalculus</v>
      </c>
      <c r="G1085">
        <f>VLOOKUP(B1085, [1]Course!$A$2:$L$950, 8, FALSE)</f>
        <v>10</v>
      </c>
      <c r="H1085">
        <v>3</v>
      </c>
      <c r="I1085">
        <v>1</v>
      </c>
      <c r="J1085">
        <v>1976</v>
      </c>
      <c r="K1085" t="s">
        <v>92</v>
      </c>
      <c r="L1085">
        <v>1</v>
      </c>
      <c r="M1085" t="str">
        <f>VLOOKUP(B1085, [1]Course!$A$1:$O$933, 12, FALSE)</f>
        <v>MA</v>
      </c>
      <c r="N1085" t="s">
        <v>14</v>
      </c>
      <c r="O1085" t="str">
        <f>VLOOKUP(B1085, [1]Course!$A$1:$O$933, 14, FALSE)</f>
        <v>CM</v>
      </c>
      <c r="P1085">
        <v>1</v>
      </c>
    </row>
    <row r="1086" spans="1:16" x14ac:dyDescent="0.25">
      <c r="A1086">
        <v>1089</v>
      </c>
      <c r="B1086">
        <v>110</v>
      </c>
      <c r="C1086">
        <v>139</v>
      </c>
      <c r="D1086" t="s">
        <v>66</v>
      </c>
      <c r="E1086" t="str">
        <f t="shared" si="16"/>
        <v>639HM03PT</v>
      </c>
      <c r="F1086">
        <f>VLOOKUP(B1086,[1]Course!$A$2:$R$329,2,FALSE)</f>
        <v>0</v>
      </c>
      <c r="G1086">
        <f>VLOOKUP(B1086, [1]Course!$A$2:$L$950, 8, FALSE)</f>
        <v>6</v>
      </c>
      <c r="H1086">
        <v>3</v>
      </c>
      <c r="I1086">
        <v>1</v>
      </c>
      <c r="J1086">
        <v>2010</v>
      </c>
      <c r="K1086">
        <v>2022</v>
      </c>
      <c r="L1086">
        <v>1</v>
      </c>
      <c r="M1086" t="str">
        <f>VLOOKUP(B1086, [1]Course!$A$1:$O$933, 12, FALSE)</f>
        <v>MA</v>
      </c>
      <c r="N1086" t="s">
        <v>14</v>
      </c>
      <c r="O1086" t="str">
        <f>VLOOKUP(B1086, [1]Course!$A$1:$O$933, 14, FALSE)</f>
        <v>HM</v>
      </c>
      <c r="P1086">
        <v>1</v>
      </c>
    </row>
    <row r="1087" spans="1:16" x14ac:dyDescent="0.25">
      <c r="A1087">
        <v>1090</v>
      </c>
      <c r="B1087">
        <v>110</v>
      </c>
      <c r="C1087">
        <v>140</v>
      </c>
      <c r="D1087" t="s">
        <v>66</v>
      </c>
      <c r="E1087" t="str">
        <f t="shared" si="16"/>
        <v>640HM03PT</v>
      </c>
      <c r="F1087">
        <f>VLOOKUP(B1087,[1]Course!$A$2:$R$329,2,FALSE)</f>
        <v>0</v>
      </c>
      <c r="G1087">
        <f>VLOOKUP(B1087, [1]Course!$A$2:$L$950, 8, FALSE)</f>
        <v>6</v>
      </c>
      <c r="H1087">
        <v>3</v>
      </c>
      <c r="I1087">
        <v>1</v>
      </c>
      <c r="J1087">
        <v>2009</v>
      </c>
      <c r="K1087" t="s">
        <v>92</v>
      </c>
      <c r="L1087">
        <v>1</v>
      </c>
      <c r="M1087" t="str">
        <f>VLOOKUP(B1087, [1]Course!$A$1:$O$933, 12, FALSE)</f>
        <v>MA</v>
      </c>
      <c r="N1087" t="s">
        <v>14</v>
      </c>
      <c r="O1087" t="str">
        <f>VLOOKUP(B1087, [1]Course!$A$1:$O$933, 14, FALSE)</f>
        <v>HM</v>
      </c>
      <c r="P1087">
        <v>1</v>
      </c>
    </row>
    <row r="1088" spans="1:16" x14ac:dyDescent="0.25">
      <c r="A1088">
        <v>1091</v>
      </c>
      <c r="B1088">
        <v>110</v>
      </c>
      <c r="C1088">
        <v>141</v>
      </c>
      <c r="D1088" t="s">
        <v>66</v>
      </c>
      <c r="E1088" t="str">
        <f t="shared" si="16"/>
        <v>641HM03PT</v>
      </c>
      <c r="F1088">
        <f>VLOOKUP(B1088,[1]Course!$A$2:$R$329,2,FALSE)</f>
        <v>0</v>
      </c>
      <c r="G1088">
        <f>VLOOKUP(B1088, [1]Course!$A$2:$L$950, 8, FALSE)</f>
        <v>6</v>
      </c>
      <c r="H1088">
        <v>3</v>
      </c>
      <c r="I1088">
        <v>1</v>
      </c>
      <c r="J1088">
        <v>2014</v>
      </c>
      <c r="K1088" t="s">
        <v>92</v>
      </c>
      <c r="L1088">
        <v>1</v>
      </c>
      <c r="M1088" t="str">
        <f>VLOOKUP(B1088, [1]Course!$A$1:$O$933, 12, FALSE)</f>
        <v>MA</v>
      </c>
      <c r="N1088" t="s">
        <v>14</v>
      </c>
      <c r="O1088" t="str">
        <f>VLOOKUP(B1088, [1]Course!$A$1:$O$933, 14, FALSE)</f>
        <v>HM</v>
      </c>
      <c r="P1088">
        <v>1</v>
      </c>
    </row>
    <row r="1089" spans="1:16" x14ac:dyDescent="0.25">
      <c r="A1089">
        <v>1092</v>
      </c>
      <c r="B1089">
        <v>110</v>
      </c>
      <c r="C1089">
        <v>142</v>
      </c>
      <c r="D1089" t="s">
        <v>66</v>
      </c>
      <c r="E1089" t="str">
        <f t="shared" si="16"/>
        <v>642HM03PT</v>
      </c>
      <c r="F1089">
        <f>VLOOKUP(B1089,[1]Course!$A$2:$R$329,2,FALSE)</f>
        <v>0</v>
      </c>
      <c r="G1089">
        <f>VLOOKUP(B1089, [1]Course!$A$2:$L$950, 8, FALSE)</f>
        <v>6</v>
      </c>
      <c r="H1089">
        <v>3</v>
      </c>
      <c r="I1089">
        <v>1</v>
      </c>
      <c r="J1089">
        <v>2018</v>
      </c>
      <c r="K1089" t="s">
        <v>92</v>
      </c>
      <c r="L1089">
        <v>1</v>
      </c>
      <c r="M1089" t="str">
        <f>VLOOKUP(B1089, [1]Course!$A$1:$O$933, 12, FALSE)</f>
        <v>MA</v>
      </c>
      <c r="N1089" t="s">
        <v>14</v>
      </c>
      <c r="O1089" t="str">
        <f>VLOOKUP(B1089, [1]Course!$A$1:$O$933, 14, FALSE)</f>
        <v>HM</v>
      </c>
      <c r="P1089">
        <v>1</v>
      </c>
    </row>
    <row r="1090" spans="1:16" x14ac:dyDescent="0.25">
      <c r="A1090">
        <v>1093</v>
      </c>
      <c r="B1090">
        <v>110</v>
      </c>
      <c r="C1090">
        <v>143</v>
      </c>
      <c r="D1090" t="s">
        <v>66</v>
      </c>
      <c r="E1090" t="str">
        <f t="shared" si="16"/>
        <v>643HM03PT</v>
      </c>
      <c r="F1090">
        <f>VLOOKUP(B1090,[1]Course!$A$2:$R$329,2,FALSE)</f>
        <v>0</v>
      </c>
      <c r="G1090">
        <f>VLOOKUP(B1090, [1]Course!$A$2:$L$950, 8, FALSE)</f>
        <v>6</v>
      </c>
      <c r="H1090">
        <v>3</v>
      </c>
      <c r="I1090">
        <v>1</v>
      </c>
      <c r="J1090">
        <v>2021</v>
      </c>
      <c r="K1090" t="s">
        <v>92</v>
      </c>
      <c r="L1090">
        <v>1</v>
      </c>
      <c r="M1090" t="str">
        <f>VLOOKUP(B1090, [1]Course!$A$1:$O$933, 12, FALSE)</f>
        <v>MA</v>
      </c>
      <c r="N1090" t="s">
        <v>14</v>
      </c>
      <c r="O1090" t="str">
        <f>VLOOKUP(B1090, [1]Course!$A$1:$O$933, 14, FALSE)</f>
        <v>HM</v>
      </c>
      <c r="P1090">
        <v>1</v>
      </c>
    </row>
    <row r="1091" spans="1:16" x14ac:dyDescent="0.25">
      <c r="A1091">
        <v>1094</v>
      </c>
      <c r="B1091">
        <v>110</v>
      </c>
      <c r="C1091">
        <v>144</v>
      </c>
      <c r="D1091" t="s">
        <v>66</v>
      </c>
      <c r="E1091" t="str">
        <f t="shared" ref="E1091:E1154" si="17">UPPER(LEFT(G1091,2)) &amp; RIGHT("0" &amp; C1091, 2) &amp; D1091 &amp; RIGHT("0" &amp; H1091, 2) &amp; N1091</f>
        <v>644HM03PT</v>
      </c>
      <c r="F1091">
        <f>VLOOKUP(B1091,[1]Course!$A$2:$R$329,2,FALSE)</f>
        <v>0</v>
      </c>
      <c r="G1091">
        <f>VLOOKUP(B1091, [1]Course!$A$2:$L$950, 8, FALSE)</f>
        <v>6</v>
      </c>
      <c r="H1091">
        <v>3</v>
      </c>
      <c r="I1091">
        <v>1</v>
      </c>
      <c r="M1091" t="str">
        <f>VLOOKUP(B1091, [1]Course!$A$1:$O$933, 12, FALSE)</f>
        <v>MA</v>
      </c>
      <c r="N1091" t="s">
        <v>14</v>
      </c>
      <c r="O1091" t="str">
        <f>VLOOKUP(B1091, [1]Course!$A$1:$O$933, 14, FALSE)</f>
        <v>HM</v>
      </c>
      <c r="P1091">
        <v>1</v>
      </c>
    </row>
    <row r="1092" spans="1:16" x14ac:dyDescent="0.25">
      <c r="A1092">
        <v>1095</v>
      </c>
      <c r="B1092">
        <v>111</v>
      </c>
      <c r="C1092">
        <v>133</v>
      </c>
      <c r="D1092" t="s">
        <v>67</v>
      </c>
      <c r="E1092" t="str">
        <f t="shared" si="17"/>
        <v>633TR03PT</v>
      </c>
      <c r="F1092">
        <f>VLOOKUP(B1092,[1]Course!$A$2:$R$329,2,FALSE)</f>
        <v>0</v>
      </c>
      <c r="G1092">
        <f>VLOOKUP(B1092, [1]Course!$A$2:$L$950, 8, FALSE)</f>
        <v>6</v>
      </c>
      <c r="H1092">
        <v>3</v>
      </c>
      <c r="I1092">
        <v>1</v>
      </c>
      <c r="J1092">
        <v>2004</v>
      </c>
      <c r="K1092">
        <v>2013</v>
      </c>
      <c r="L1092">
        <v>1</v>
      </c>
      <c r="M1092" t="str">
        <f>VLOOKUP(B1092, [1]Course!$A$1:$O$933, 12, FALSE)</f>
        <v>MA</v>
      </c>
      <c r="N1092" t="s">
        <v>14</v>
      </c>
      <c r="O1092" t="str">
        <f>VLOOKUP(B1092, [1]Course!$A$1:$O$933, 14, FALSE)</f>
        <v>TR</v>
      </c>
      <c r="P1092">
        <v>1</v>
      </c>
    </row>
    <row r="1093" spans="1:16" x14ac:dyDescent="0.25">
      <c r="A1093">
        <v>1096</v>
      </c>
      <c r="B1093">
        <v>111</v>
      </c>
      <c r="C1093">
        <v>134</v>
      </c>
      <c r="D1093" t="s">
        <v>67</v>
      </c>
      <c r="E1093" t="str">
        <f t="shared" si="17"/>
        <v>634TR03PT</v>
      </c>
      <c r="F1093">
        <f>VLOOKUP(B1093,[1]Course!$A$2:$R$329,2,FALSE)</f>
        <v>0</v>
      </c>
      <c r="G1093">
        <f>VLOOKUP(B1093, [1]Course!$A$2:$L$950, 8, FALSE)</f>
        <v>6</v>
      </c>
      <c r="H1093">
        <v>3</v>
      </c>
      <c r="I1093">
        <v>1</v>
      </c>
      <c r="J1093">
        <v>2004</v>
      </c>
      <c r="K1093">
        <v>2014</v>
      </c>
      <c r="L1093">
        <v>1</v>
      </c>
      <c r="M1093" t="str">
        <f>VLOOKUP(B1093, [1]Course!$A$1:$O$933, 12, FALSE)</f>
        <v>MA</v>
      </c>
      <c r="N1093" t="s">
        <v>14</v>
      </c>
      <c r="O1093" t="str">
        <f>VLOOKUP(B1093, [1]Course!$A$1:$O$933, 14, FALSE)</f>
        <v>TR</v>
      </c>
      <c r="P1093">
        <v>1</v>
      </c>
    </row>
    <row r="1094" spans="1:16" x14ac:dyDescent="0.25">
      <c r="A1094">
        <v>1097</v>
      </c>
      <c r="B1094">
        <v>111</v>
      </c>
      <c r="C1094">
        <v>135</v>
      </c>
      <c r="D1094" t="s">
        <v>67</v>
      </c>
      <c r="E1094" t="str">
        <f t="shared" si="17"/>
        <v>635TR03PT</v>
      </c>
      <c r="F1094">
        <f>VLOOKUP(B1094,[1]Course!$A$2:$R$329,2,FALSE)</f>
        <v>0</v>
      </c>
      <c r="G1094">
        <f>VLOOKUP(B1094, [1]Course!$A$2:$L$950, 8, FALSE)</f>
        <v>6</v>
      </c>
      <c r="H1094">
        <v>3</v>
      </c>
      <c r="I1094">
        <v>1</v>
      </c>
      <c r="J1094">
        <v>2004</v>
      </c>
      <c r="K1094">
        <v>2010</v>
      </c>
      <c r="L1094">
        <v>1</v>
      </c>
      <c r="M1094" t="str">
        <f>VLOOKUP(B1094, [1]Course!$A$1:$O$933, 12, FALSE)</f>
        <v>MA</v>
      </c>
      <c r="N1094" t="s">
        <v>14</v>
      </c>
      <c r="O1094" t="str">
        <f>VLOOKUP(B1094, [1]Course!$A$1:$O$933, 14, FALSE)</f>
        <v>TR</v>
      </c>
      <c r="P1094">
        <v>1</v>
      </c>
    </row>
    <row r="1095" spans="1:16" x14ac:dyDescent="0.25">
      <c r="A1095">
        <v>1098</v>
      </c>
      <c r="B1095">
        <v>111</v>
      </c>
      <c r="C1095">
        <v>136</v>
      </c>
      <c r="D1095" t="s">
        <v>67</v>
      </c>
      <c r="E1095" t="str">
        <f t="shared" si="17"/>
        <v>636TR03PT</v>
      </c>
      <c r="F1095">
        <f>VLOOKUP(B1095,[1]Course!$A$2:$R$329,2,FALSE)</f>
        <v>0</v>
      </c>
      <c r="G1095">
        <f>VLOOKUP(B1095, [1]Course!$A$2:$L$950, 8, FALSE)</f>
        <v>6</v>
      </c>
      <c r="H1095">
        <v>3</v>
      </c>
      <c r="I1095">
        <v>1</v>
      </c>
      <c r="J1095">
        <v>2004</v>
      </c>
      <c r="K1095">
        <v>2013</v>
      </c>
      <c r="L1095">
        <v>1</v>
      </c>
      <c r="M1095" t="str">
        <f>VLOOKUP(B1095, [1]Course!$A$1:$O$933, 12, FALSE)</f>
        <v>MA</v>
      </c>
      <c r="N1095" t="s">
        <v>14</v>
      </c>
      <c r="O1095" t="str">
        <f>VLOOKUP(B1095, [1]Course!$A$1:$O$933, 14, FALSE)</f>
        <v>TR</v>
      </c>
      <c r="P1095">
        <v>1</v>
      </c>
    </row>
    <row r="1096" spans="1:16" x14ac:dyDescent="0.25">
      <c r="A1096">
        <v>1099</v>
      </c>
      <c r="B1096">
        <v>111</v>
      </c>
      <c r="C1096">
        <v>137</v>
      </c>
      <c r="D1096" t="s">
        <v>67</v>
      </c>
      <c r="E1096" t="str">
        <f t="shared" si="17"/>
        <v>637TR03PT</v>
      </c>
      <c r="F1096">
        <f>VLOOKUP(B1096,[1]Course!$A$2:$R$329,2,FALSE)</f>
        <v>0</v>
      </c>
      <c r="G1096">
        <f>VLOOKUP(B1096, [1]Course!$A$2:$L$950, 8, FALSE)</f>
        <v>6</v>
      </c>
      <c r="H1096">
        <v>3</v>
      </c>
      <c r="I1096">
        <v>1</v>
      </c>
      <c r="J1096">
        <v>2004</v>
      </c>
      <c r="K1096">
        <v>2011</v>
      </c>
      <c r="L1096">
        <v>1</v>
      </c>
      <c r="M1096" t="str">
        <f>VLOOKUP(B1096, [1]Course!$A$1:$O$933, 12, FALSE)</f>
        <v>MA</v>
      </c>
      <c r="N1096" t="s">
        <v>14</v>
      </c>
      <c r="O1096" t="str">
        <f>VLOOKUP(B1096, [1]Course!$A$1:$O$933, 14, FALSE)</f>
        <v>TR</v>
      </c>
      <c r="P1096">
        <v>1</v>
      </c>
    </row>
    <row r="1097" spans="1:16" x14ac:dyDescent="0.25">
      <c r="A1097">
        <v>1100</v>
      </c>
      <c r="B1097">
        <v>111</v>
      </c>
      <c r="C1097">
        <v>138</v>
      </c>
      <c r="D1097" t="s">
        <v>67</v>
      </c>
      <c r="E1097" t="str">
        <f t="shared" si="17"/>
        <v>638TR03PT</v>
      </c>
      <c r="F1097">
        <f>VLOOKUP(B1097,[1]Course!$A$2:$R$329,2,FALSE)</f>
        <v>0</v>
      </c>
      <c r="G1097">
        <f>VLOOKUP(B1097, [1]Course!$A$2:$L$950, 8, FALSE)</f>
        <v>6</v>
      </c>
      <c r="H1097">
        <v>3</v>
      </c>
      <c r="I1097">
        <v>1</v>
      </c>
      <c r="J1097">
        <v>2004</v>
      </c>
      <c r="K1097" t="s">
        <v>92</v>
      </c>
      <c r="L1097">
        <v>1</v>
      </c>
      <c r="M1097" t="str">
        <f>VLOOKUP(B1097, [1]Course!$A$1:$O$933, 12, FALSE)</f>
        <v>MA</v>
      </c>
      <c r="N1097" t="s">
        <v>14</v>
      </c>
      <c r="O1097" t="str">
        <f>VLOOKUP(B1097, [1]Course!$A$1:$O$933, 14, FALSE)</f>
        <v>TR</v>
      </c>
      <c r="P1097">
        <v>1</v>
      </c>
    </row>
    <row r="1098" spans="1:16" x14ac:dyDescent="0.25">
      <c r="A1098">
        <v>1101</v>
      </c>
      <c r="B1098">
        <v>112</v>
      </c>
      <c r="C1098">
        <v>11</v>
      </c>
      <c r="D1098" t="s">
        <v>68</v>
      </c>
      <c r="E1098" t="str">
        <f t="shared" si="17"/>
        <v>1011EC03PT</v>
      </c>
      <c r="F1098">
        <f>VLOOKUP(B1098,[1]Course!$A$2:$R$329,2,FALSE)</f>
        <v>0</v>
      </c>
      <c r="G1098">
        <f>VLOOKUP(B1098, [1]Course!$A$2:$L$950, 8, FALSE)</f>
        <v>10</v>
      </c>
      <c r="H1098">
        <v>3</v>
      </c>
      <c r="I1098">
        <v>1</v>
      </c>
      <c r="J1098">
        <v>2008</v>
      </c>
      <c r="K1098" t="s">
        <v>92</v>
      </c>
      <c r="L1098">
        <v>1</v>
      </c>
      <c r="M1098" t="str">
        <f>VLOOKUP(B1098, [1]Course!$A$1:$O$933, 12, FALSE)</f>
        <v>LA</v>
      </c>
      <c r="N1098" t="s">
        <v>14</v>
      </c>
      <c r="O1098" t="str">
        <f>VLOOKUP(B1098, [1]Course!$A$1:$O$933, 14, FALSE)</f>
        <v>EC</v>
      </c>
      <c r="P1098">
        <v>1</v>
      </c>
    </row>
    <row r="1099" spans="1:16" x14ac:dyDescent="0.25">
      <c r="A1099">
        <v>1102</v>
      </c>
      <c r="B1099">
        <v>112</v>
      </c>
      <c r="C1099">
        <v>12</v>
      </c>
      <c r="D1099" t="s">
        <v>68</v>
      </c>
      <c r="E1099" t="str">
        <f t="shared" si="17"/>
        <v>1012EC03PT</v>
      </c>
      <c r="F1099">
        <f>VLOOKUP(B1099,[1]Course!$A$2:$R$329,2,FALSE)</f>
        <v>0</v>
      </c>
      <c r="G1099">
        <f>VLOOKUP(B1099, [1]Course!$A$2:$L$950, 8, FALSE)</f>
        <v>10</v>
      </c>
      <c r="H1099">
        <v>3</v>
      </c>
      <c r="I1099">
        <v>1</v>
      </c>
      <c r="J1099">
        <v>2008</v>
      </c>
      <c r="K1099" t="s">
        <v>92</v>
      </c>
      <c r="L1099">
        <v>1</v>
      </c>
      <c r="M1099" t="str">
        <f>VLOOKUP(B1099, [1]Course!$A$1:$O$933, 12, FALSE)</f>
        <v>LA</v>
      </c>
      <c r="N1099" t="s">
        <v>14</v>
      </c>
      <c r="O1099" t="str">
        <f>VLOOKUP(B1099, [1]Course!$A$1:$O$933, 14, FALSE)</f>
        <v>EC</v>
      </c>
      <c r="P1099">
        <v>1</v>
      </c>
    </row>
    <row r="1100" spans="1:16" x14ac:dyDescent="0.25">
      <c r="A1100">
        <v>1103</v>
      </c>
      <c r="B1100">
        <v>112</v>
      </c>
      <c r="C1100">
        <v>13</v>
      </c>
      <c r="D1100" t="s">
        <v>68</v>
      </c>
      <c r="E1100" t="str">
        <f t="shared" si="17"/>
        <v>1013EC03PT</v>
      </c>
      <c r="F1100">
        <f>VLOOKUP(B1100,[1]Course!$A$2:$R$329,2,FALSE)</f>
        <v>0</v>
      </c>
      <c r="G1100">
        <f>VLOOKUP(B1100, [1]Course!$A$2:$L$950, 8, FALSE)</f>
        <v>10</v>
      </c>
      <c r="H1100">
        <v>3</v>
      </c>
      <c r="I1100">
        <v>1</v>
      </c>
      <c r="J1100">
        <v>2008</v>
      </c>
      <c r="K1100" t="s">
        <v>92</v>
      </c>
      <c r="L1100">
        <v>1</v>
      </c>
      <c r="M1100" t="str">
        <f>VLOOKUP(B1100, [1]Course!$A$1:$O$933, 12, FALSE)</f>
        <v>LA</v>
      </c>
      <c r="N1100" t="s">
        <v>14</v>
      </c>
      <c r="O1100" t="str">
        <f>VLOOKUP(B1100, [1]Course!$A$1:$O$933, 14, FALSE)</f>
        <v>EC</v>
      </c>
      <c r="P1100">
        <v>1</v>
      </c>
    </row>
    <row r="1101" spans="1:16" x14ac:dyDescent="0.25">
      <c r="A1101">
        <v>1104</v>
      </c>
      <c r="B1101">
        <v>112</v>
      </c>
      <c r="C1101">
        <v>14</v>
      </c>
      <c r="D1101" t="s">
        <v>68</v>
      </c>
      <c r="E1101" t="str">
        <f t="shared" si="17"/>
        <v>1014EC03PT</v>
      </c>
      <c r="F1101">
        <f>VLOOKUP(B1101,[1]Course!$A$2:$R$329,2,FALSE)</f>
        <v>0</v>
      </c>
      <c r="G1101">
        <f>VLOOKUP(B1101, [1]Course!$A$2:$L$950, 8, FALSE)</f>
        <v>10</v>
      </c>
      <c r="H1101">
        <v>3</v>
      </c>
      <c r="I1101">
        <v>1</v>
      </c>
      <c r="J1101">
        <v>2008</v>
      </c>
      <c r="K1101" t="s">
        <v>92</v>
      </c>
      <c r="L1101">
        <v>1</v>
      </c>
      <c r="M1101" t="str">
        <f>VLOOKUP(B1101, [1]Course!$A$1:$O$933, 12, FALSE)</f>
        <v>LA</v>
      </c>
      <c r="N1101" t="s">
        <v>14</v>
      </c>
      <c r="O1101" t="str">
        <f>VLOOKUP(B1101, [1]Course!$A$1:$O$933, 14, FALSE)</f>
        <v>EC</v>
      </c>
      <c r="P1101">
        <v>1</v>
      </c>
    </row>
    <row r="1102" spans="1:16" x14ac:dyDescent="0.25">
      <c r="A1102">
        <v>1105</v>
      </c>
      <c r="B1102">
        <v>112</v>
      </c>
      <c r="C1102">
        <v>15</v>
      </c>
      <c r="D1102" t="s">
        <v>68</v>
      </c>
      <c r="E1102" t="str">
        <f t="shared" si="17"/>
        <v>1015EC03PT</v>
      </c>
      <c r="F1102">
        <f>VLOOKUP(B1102,[1]Course!$A$2:$R$329,2,FALSE)</f>
        <v>0</v>
      </c>
      <c r="G1102">
        <f>VLOOKUP(B1102, [1]Course!$A$2:$L$950, 8, FALSE)</f>
        <v>10</v>
      </c>
      <c r="H1102">
        <v>3</v>
      </c>
      <c r="I1102">
        <v>1</v>
      </c>
      <c r="J1102">
        <v>2008</v>
      </c>
      <c r="K1102" t="s">
        <v>92</v>
      </c>
      <c r="L1102">
        <v>1</v>
      </c>
      <c r="M1102" t="str">
        <f>VLOOKUP(B1102, [1]Course!$A$1:$O$933, 12, FALSE)</f>
        <v>LA</v>
      </c>
      <c r="N1102" t="s">
        <v>14</v>
      </c>
      <c r="O1102" t="str">
        <f>VLOOKUP(B1102, [1]Course!$A$1:$O$933, 14, FALSE)</f>
        <v>EC</v>
      </c>
      <c r="P1102">
        <v>1</v>
      </c>
    </row>
    <row r="1103" spans="1:16" x14ac:dyDescent="0.25">
      <c r="A1103">
        <v>1106</v>
      </c>
      <c r="B1103">
        <v>112</v>
      </c>
      <c r="C1103">
        <v>16</v>
      </c>
      <c r="D1103" t="s">
        <v>68</v>
      </c>
      <c r="E1103" t="str">
        <f t="shared" si="17"/>
        <v>1016EC03PT</v>
      </c>
      <c r="F1103">
        <f>VLOOKUP(B1103,[1]Course!$A$2:$R$329,2,FALSE)</f>
        <v>0</v>
      </c>
      <c r="G1103">
        <f>VLOOKUP(B1103, [1]Course!$A$2:$L$950, 8, FALSE)</f>
        <v>10</v>
      </c>
      <c r="H1103">
        <v>3</v>
      </c>
      <c r="I1103">
        <v>1</v>
      </c>
      <c r="J1103">
        <v>2008</v>
      </c>
      <c r="K1103" t="s">
        <v>92</v>
      </c>
      <c r="L1103">
        <v>1</v>
      </c>
      <c r="M1103" t="str">
        <f>VLOOKUP(B1103, [1]Course!$A$1:$O$933, 12, FALSE)</f>
        <v>LA</v>
      </c>
      <c r="N1103" t="s">
        <v>14</v>
      </c>
      <c r="O1103" t="str">
        <f>VLOOKUP(B1103, [1]Course!$A$1:$O$933, 14, FALSE)</f>
        <v>EC</v>
      </c>
      <c r="P1103">
        <v>1</v>
      </c>
    </row>
    <row r="1104" spans="1:16" x14ac:dyDescent="0.25">
      <c r="A1104">
        <v>1107</v>
      </c>
      <c r="B1104">
        <v>112</v>
      </c>
      <c r="C1104">
        <v>17</v>
      </c>
      <c r="D1104" t="s">
        <v>68</v>
      </c>
      <c r="E1104" t="str">
        <f t="shared" si="17"/>
        <v>1017EC03PT</v>
      </c>
      <c r="F1104">
        <f>VLOOKUP(B1104,[1]Course!$A$2:$R$329,2,FALSE)</f>
        <v>0</v>
      </c>
      <c r="G1104">
        <f>VLOOKUP(B1104, [1]Course!$A$2:$L$950, 8, FALSE)</f>
        <v>10</v>
      </c>
      <c r="H1104">
        <v>3</v>
      </c>
      <c r="I1104">
        <v>1</v>
      </c>
      <c r="J1104">
        <v>2008</v>
      </c>
      <c r="K1104" t="s">
        <v>92</v>
      </c>
      <c r="L1104">
        <v>1</v>
      </c>
      <c r="M1104" t="str">
        <f>VLOOKUP(B1104, [1]Course!$A$1:$O$933, 12, FALSE)</f>
        <v>LA</v>
      </c>
      <c r="N1104" t="s">
        <v>14</v>
      </c>
      <c r="O1104" t="str">
        <f>VLOOKUP(B1104, [1]Course!$A$1:$O$933, 14, FALSE)</f>
        <v>EC</v>
      </c>
      <c r="P1104">
        <v>1</v>
      </c>
    </row>
    <row r="1105" spans="1:16" x14ac:dyDescent="0.25">
      <c r="A1105">
        <v>1108</v>
      </c>
      <c r="B1105">
        <v>112</v>
      </c>
      <c r="C1105">
        <v>18</v>
      </c>
      <c r="D1105" t="s">
        <v>68</v>
      </c>
      <c r="E1105" t="str">
        <f t="shared" si="17"/>
        <v>1018EC03PT</v>
      </c>
      <c r="F1105">
        <f>VLOOKUP(B1105,[1]Course!$A$2:$R$329,2,FALSE)</f>
        <v>0</v>
      </c>
      <c r="G1105">
        <f>VLOOKUP(B1105, [1]Course!$A$2:$L$950, 8, FALSE)</f>
        <v>10</v>
      </c>
      <c r="H1105">
        <v>3</v>
      </c>
      <c r="I1105">
        <v>1</v>
      </c>
      <c r="J1105">
        <v>2008</v>
      </c>
      <c r="K1105" t="s">
        <v>92</v>
      </c>
      <c r="L1105">
        <v>1</v>
      </c>
      <c r="M1105" t="str">
        <f>VLOOKUP(B1105, [1]Course!$A$1:$O$933, 12, FALSE)</f>
        <v>LA</v>
      </c>
      <c r="N1105" t="s">
        <v>14</v>
      </c>
      <c r="O1105" t="str">
        <f>VLOOKUP(B1105, [1]Course!$A$1:$O$933, 14, FALSE)</f>
        <v>EC</v>
      </c>
      <c r="P1105">
        <v>1</v>
      </c>
    </row>
    <row r="1106" spans="1:16" x14ac:dyDescent="0.25">
      <c r="A1106">
        <v>1109</v>
      </c>
      <c r="B1106">
        <v>112</v>
      </c>
      <c r="C1106">
        <v>19</v>
      </c>
      <c r="D1106" t="s">
        <v>68</v>
      </c>
      <c r="E1106" t="str">
        <f t="shared" si="17"/>
        <v>1019EC03PT</v>
      </c>
      <c r="F1106">
        <f>VLOOKUP(B1106,[1]Course!$A$2:$R$329,2,FALSE)</f>
        <v>0</v>
      </c>
      <c r="G1106">
        <f>VLOOKUP(B1106, [1]Course!$A$2:$L$950, 8, FALSE)</f>
        <v>10</v>
      </c>
      <c r="H1106">
        <v>3</v>
      </c>
      <c r="I1106">
        <v>1</v>
      </c>
      <c r="J1106">
        <v>2008</v>
      </c>
      <c r="K1106" t="s">
        <v>92</v>
      </c>
      <c r="L1106">
        <v>1</v>
      </c>
      <c r="M1106" t="str">
        <f>VLOOKUP(B1106, [1]Course!$A$1:$O$933, 12, FALSE)</f>
        <v>LA</v>
      </c>
      <c r="N1106" t="s">
        <v>14</v>
      </c>
      <c r="O1106" t="str">
        <f>VLOOKUP(B1106, [1]Course!$A$1:$O$933, 14, FALSE)</f>
        <v>EC</v>
      </c>
      <c r="P1106">
        <v>1</v>
      </c>
    </row>
    <row r="1107" spans="1:16" x14ac:dyDescent="0.25">
      <c r="A1107">
        <v>1110</v>
      </c>
      <c r="B1107">
        <v>112</v>
      </c>
      <c r="C1107">
        <v>20</v>
      </c>
      <c r="D1107" t="s">
        <v>68</v>
      </c>
      <c r="E1107" t="str">
        <f t="shared" si="17"/>
        <v>1020EC03PT</v>
      </c>
      <c r="F1107">
        <f>VLOOKUP(B1107,[1]Course!$A$2:$R$329,2,FALSE)</f>
        <v>0</v>
      </c>
      <c r="G1107">
        <f>VLOOKUP(B1107, [1]Course!$A$2:$L$950, 8, FALSE)</f>
        <v>10</v>
      </c>
      <c r="H1107">
        <v>3</v>
      </c>
      <c r="I1107">
        <v>1</v>
      </c>
      <c r="J1107">
        <v>2008</v>
      </c>
      <c r="K1107" t="s">
        <v>92</v>
      </c>
      <c r="L1107">
        <v>1</v>
      </c>
      <c r="M1107" t="str">
        <f>VLOOKUP(B1107, [1]Course!$A$1:$O$933, 12, FALSE)</f>
        <v>LA</v>
      </c>
      <c r="N1107" t="s">
        <v>14</v>
      </c>
      <c r="O1107" t="str">
        <f>VLOOKUP(B1107, [1]Course!$A$1:$O$933, 14, FALSE)</f>
        <v>EC</v>
      </c>
      <c r="P1107">
        <v>1</v>
      </c>
    </row>
    <row r="1108" spans="1:16" x14ac:dyDescent="0.25">
      <c r="A1108">
        <v>1111</v>
      </c>
      <c r="B1108">
        <v>113</v>
      </c>
      <c r="C1108">
        <v>133</v>
      </c>
      <c r="D1108" t="s">
        <v>16</v>
      </c>
      <c r="E1108" t="str">
        <f t="shared" si="17"/>
        <v>1233EN03PT</v>
      </c>
      <c r="F1108">
        <f>VLOOKUP(B1108,[1]Course!$A$2:$R$329,2,FALSE)</f>
        <v>0</v>
      </c>
      <c r="G1108">
        <f>VLOOKUP(B1108, [1]Course!$A$2:$L$950, 8, FALSE)</f>
        <v>12</v>
      </c>
      <c r="H1108">
        <v>3</v>
      </c>
      <c r="I1108">
        <v>1</v>
      </c>
      <c r="J1108">
        <v>1993</v>
      </c>
      <c r="K1108">
        <v>2015</v>
      </c>
      <c r="L1108">
        <v>1</v>
      </c>
      <c r="M1108" t="str">
        <f>VLOOKUP(B1108, [1]Course!$A$1:$O$933, 12, FALSE)</f>
        <v>LA</v>
      </c>
      <c r="N1108" t="s">
        <v>14</v>
      </c>
      <c r="O1108" t="str">
        <f>VLOOKUP(B1108, [1]Course!$A$1:$O$933, 14, FALSE)</f>
        <v>EN</v>
      </c>
      <c r="P1108">
        <v>1</v>
      </c>
    </row>
    <row r="1109" spans="1:16" x14ac:dyDescent="0.25">
      <c r="A1109">
        <v>1112</v>
      </c>
      <c r="B1109">
        <v>113</v>
      </c>
      <c r="C1109">
        <v>134</v>
      </c>
      <c r="D1109" t="s">
        <v>16</v>
      </c>
      <c r="E1109" t="str">
        <f t="shared" si="17"/>
        <v>1234EN03PT</v>
      </c>
      <c r="F1109">
        <f>VLOOKUP(B1109,[1]Course!$A$2:$R$329,2,FALSE)</f>
        <v>0</v>
      </c>
      <c r="G1109">
        <f>VLOOKUP(B1109, [1]Course!$A$2:$L$950, 8, FALSE)</f>
        <v>12</v>
      </c>
      <c r="H1109">
        <v>3</v>
      </c>
      <c r="I1109">
        <v>1</v>
      </c>
      <c r="J1109">
        <v>1993</v>
      </c>
      <c r="K1109">
        <v>2008</v>
      </c>
      <c r="L1109">
        <v>1</v>
      </c>
      <c r="M1109" t="str">
        <f>VLOOKUP(B1109, [1]Course!$A$1:$O$933, 12, FALSE)</f>
        <v>LA</v>
      </c>
      <c r="N1109" t="s">
        <v>14</v>
      </c>
      <c r="O1109" t="str">
        <f>VLOOKUP(B1109, [1]Course!$A$1:$O$933, 14, FALSE)</f>
        <v>EN</v>
      </c>
      <c r="P1109">
        <v>1</v>
      </c>
    </row>
    <row r="1110" spans="1:16" x14ac:dyDescent="0.25">
      <c r="A1110">
        <v>1113</v>
      </c>
      <c r="B1110">
        <v>113</v>
      </c>
      <c r="C1110">
        <v>135</v>
      </c>
      <c r="D1110" t="s">
        <v>16</v>
      </c>
      <c r="E1110" t="str">
        <f t="shared" si="17"/>
        <v>1235EN03PT</v>
      </c>
      <c r="F1110">
        <f>VLOOKUP(B1110,[1]Course!$A$2:$R$329,2,FALSE)</f>
        <v>0</v>
      </c>
      <c r="G1110">
        <f>VLOOKUP(B1110, [1]Course!$A$2:$L$950, 8, FALSE)</f>
        <v>12</v>
      </c>
      <c r="H1110">
        <v>3</v>
      </c>
      <c r="I1110">
        <v>1</v>
      </c>
      <c r="J1110">
        <v>1993</v>
      </c>
      <c r="K1110">
        <v>1995</v>
      </c>
      <c r="L1110">
        <v>1</v>
      </c>
      <c r="M1110" t="str">
        <f>VLOOKUP(B1110, [1]Course!$A$1:$O$933, 12, FALSE)</f>
        <v>LA</v>
      </c>
      <c r="N1110" t="s">
        <v>14</v>
      </c>
      <c r="O1110" t="str">
        <f>VLOOKUP(B1110, [1]Course!$A$1:$O$933, 14, FALSE)</f>
        <v>EN</v>
      </c>
      <c r="P1110">
        <v>1</v>
      </c>
    </row>
    <row r="1111" spans="1:16" x14ac:dyDescent="0.25">
      <c r="A1111">
        <v>1114</v>
      </c>
      <c r="B1111">
        <v>113</v>
      </c>
      <c r="C1111">
        <v>136</v>
      </c>
      <c r="D1111" t="s">
        <v>16</v>
      </c>
      <c r="E1111" t="str">
        <f t="shared" si="17"/>
        <v>1236EN03PT</v>
      </c>
      <c r="F1111">
        <f>VLOOKUP(B1111,[1]Course!$A$2:$R$329,2,FALSE)</f>
        <v>0</v>
      </c>
      <c r="G1111">
        <f>VLOOKUP(B1111, [1]Course!$A$2:$L$950, 8, FALSE)</f>
        <v>12</v>
      </c>
      <c r="H1111">
        <v>3</v>
      </c>
      <c r="I1111">
        <v>1</v>
      </c>
      <c r="J1111">
        <v>1993</v>
      </c>
      <c r="K1111">
        <v>2004</v>
      </c>
      <c r="L1111">
        <v>1</v>
      </c>
      <c r="M1111" t="str">
        <f>VLOOKUP(B1111, [1]Course!$A$1:$O$933, 12, FALSE)</f>
        <v>LA</v>
      </c>
      <c r="N1111" t="s">
        <v>14</v>
      </c>
      <c r="O1111" t="str">
        <f>VLOOKUP(B1111, [1]Course!$A$1:$O$933, 14, FALSE)</f>
        <v>EN</v>
      </c>
      <c r="P1111">
        <v>1</v>
      </c>
    </row>
    <row r="1112" spans="1:16" x14ac:dyDescent="0.25">
      <c r="A1112">
        <v>1115</v>
      </c>
      <c r="B1112">
        <v>113</v>
      </c>
      <c r="C1112">
        <v>137</v>
      </c>
      <c r="D1112" t="s">
        <v>16</v>
      </c>
      <c r="E1112" t="str">
        <f t="shared" si="17"/>
        <v>1237EN03PT</v>
      </c>
      <c r="F1112">
        <f>VLOOKUP(B1112,[1]Course!$A$2:$R$329,2,FALSE)</f>
        <v>0</v>
      </c>
      <c r="G1112">
        <f>VLOOKUP(B1112, [1]Course!$A$2:$L$950, 8, FALSE)</f>
        <v>12</v>
      </c>
      <c r="H1112">
        <v>3</v>
      </c>
      <c r="I1112">
        <v>1</v>
      </c>
      <c r="J1112">
        <v>1993</v>
      </c>
      <c r="K1112">
        <v>2007</v>
      </c>
      <c r="L1112">
        <v>1</v>
      </c>
      <c r="M1112" t="str">
        <f>VLOOKUP(B1112, [1]Course!$A$1:$O$933, 12, FALSE)</f>
        <v>LA</v>
      </c>
      <c r="N1112" t="s">
        <v>14</v>
      </c>
      <c r="O1112" t="str">
        <f>VLOOKUP(B1112, [1]Course!$A$1:$O$933, 14, FALSE)</f>
        <v>EN</v>
      </c>
      <c r="P1112">
        <v>1</v>
      </c>
    </row>
    <row r="1113" spans="1:16" x14ac:dyDescent="0.25">
      <c r="A1113">
        <v>1116</v>
      </c>
      <c r="B1113">
        <v>113</v>
      </c>
      <c r="C1113">
        <v>138</v>
      </c>
      <c r="D1113" t="s">
        <v>16</v>
      </c>
      <c r="E1113" t="str">
        <f t="shared" si="17"/>
        <v>1238EN03PT</v>
      </c>
      <c r="F1113">
        <f>VLOOKUP(B1113,[1]Course!$A$2:$R$329,2,FALSE)</f>
        <v>0</v>
      </c>
      <c r="G1113">
        <f>VLOOKUP(B1113, [1]Course!$A$2:$L$950, 8, FALSE)</f>
        <v>12</v>
      </c>
      <c r="H1113">
        <v>3</v>
      </c>
      <c r="I1113">
        <v>1</v>
      </c>
      <c r="J1113">
        <v>1993</v>
      </c>
      <c r="K1113">
        <v>2001</v>
      </c>
      <c r="L1113">
        <v>1</v>
      </c>
      <c r="M1113" t="str">
        <f>VLOOKUP(B1113, [1]Course!$A$1:$O$933, 12, FALSE)</f>
        <v>LA</v>
      </c>
      <c r="N1113" t="s">
        <v>14</v>
      </c>
      <c r="O1113" t="str">
        <f>VLOOKUP(B1113, [1]Course!$A$1:$O$933, 14, FALSE)</f>
        <v>EN</v>
      </c>
      <c r="P1113">
        <v>1</v>
      </c>
    </row>
    <row r="1114" spans="1:16" x14ac:dyDescent="0.25">
      <c r="A1114">
        <v>1117</v>
      </c>
      <c r="B1114">
        <v>113</v>
      </c>
      <c r="C1114">
        <v>139</v>
      </c>
      <c r="D1114" t="s">
        <v>16</v>
      </c>
      <c r="E1114" t="str">
        <f t="shared" si="17"/>
        <v>1239EN03PT</v>
      </c>
      <c r="F1114">
        <f>VLOOKUP(B1114,[1]Course!$A$2:$R$329,2,FALSE)</f>
        <v>0</v>
      </c>
      <c r="G1114">
        <f>VLOOKUP(B1114, [1]Course!$A$2:$L$950, 8, FALSE)</f>
        <v>12</v>
      </c>
      <c r="H1114">
        <v>3</v>
      </c>
      <c r="I1114">
        <v>1</v>
      </c>
      <c r="J1114">
        <v>1993</v>
      </c>
      <c r="K1114">
        <v>1996</v>
      </c>
      <c r="L1114">
        <v>1</v>
      </c>
      <c r="M1114" t="str">
        <f>VLOOKUP(B1114, [1]Course!$A$1:$O$933, 12, FALSE)</f>
        <v>LA</v>
      </c>
      <c r="N1114" t="s">
        <v>14</v>
      </c>
      <c r="O1114" t="str">
        <f>VLOOKUP(B1114, [1]Course!$A$1:$O$933, 14, FALSE)</f>
        <v>EN</v>
      </c>
      <c r="P1114">
        <v>1</v>
      </c>
    </row>
    <row r="1115" spans="1:16" x14ac:dyDescent="0.25">
      <c r="A1115">
        <v>1118</v>
      </c>
      <c r="B1115">
        <v>113</v>
      </c>
      <c r="C1115">
        <v>140</v>
      </c>
      <c r="D1115" t="s">
        <v>16</v>
      </c>
      <c r="E1115" t="str">
        <f t="shared" si="17"/>
        <v>1240EN03PT</v>
      </c>
      <c r="F1115">
        <f>VLOOKUP(B1115,[1]Course!$A$2:$R$329,2,FALSE)</f>
        <v>0</v>
      </c>
      <c r="G1115">
        <f>VLOOKUP(B1115, [1]Course!$A$2:$L$950, 8, FALSE)</f>
        <v>12</v>
      </c>
      <c r="H1115">
        <v>3</v>
      </c>
      <c r="I1115">
        <v>1</v>
      </c>
      <c r="J1115">
        <v>1993</v>
      </c>
      <c r="K1115" t="s">
        <v>92</v>
      </c>
      <c r="L1115">
        <v>1</v>
      </c>
      <c r="M1115" t="str">
        <f>VLOOKUP(B1115, [1]Course!$A$1:$O$933, 12, FALSE)</f>
        <v>LA</v>
      </c>
      <c r="N1115" t="s">
        <v>14</v>
      </c>
      <c r="O1115" t="str">
        <f>VLOOKUP(B1115, [1]Course!$A$1:$O$933, 14, FALSE)</f>
        <v>EN</v>
      </c>
      <c r="P1115">
        <v>1</v>
      </c>
    </row>
    <row r="1116" spans="1:16" x14ac:dyDescent="0.25">
      <c r="A1116">
        <v>1119</v>
      </c>
      <c r="B1116">
        <v>113</v>
      </c>
      <c r="C1116">
        <v>141</v>
      </c>
      <c r="D1116" t="s">
        <v>16</v>
      </c>
      <c r="E1116" t="str">
        <f t="shared" si="17"/>
        <v>1241EN03PT</v>
      </c>
      <c r="F1116">
        <f>VLOOKUP(B1116,[1]Course!$A$2:$R$329,2,FALSE)</f>
        <v>0</v>
      </c>
      <c r="G1116">
        <f>VLOOKUP(B1116, [1]Course!$A$2:$L$950, 8, FALSE)</f>
        <v>12</v>
      </c>
      <c r="H1116">
        <v>3</v>
      </c>
      <c r="I1116">
        <v>1</v>
      </c>
      <c r="J1116">
        <v>1993</v>
      </c>
      <c r="K1116">
        <v>1997</v>
      </c>
      <c r="L1116">
        <v>1</v>
      </c>
      <c r="M1116" t="str">
        <f>VLOOKUP(B1116, [1]Course!$A$1:$O$933, 12, FALSE)</f>
        <v>LA</v>
      </c>
      <c r="N1116" t="s">
        <v>14</v>
      </c>
      <c r="O1116" t="str">
        <f>VLOOKUP(B1116, [1]Course!$A$1:$O$933, 14, FALSE)</f>
        <v>EN</v>
      </c>
      <c r="P1116">
        <v>1</v>
      </c>
    </row>
    <row r="1117" spans="1:16" x14ac:dyDescent="0.25">
      <c r="A1117">
        <v>1120</v>
      </c>
      <c r="B1117">
        <v>113</v>
      </c>
      <c r="C1117">
        <v>142</v>
      </c>
      <c r="D1117" t="s">
        <v>16</v>
      </c>
      <c r="E1117" t="str">
        <f t="shared" si="17"/>
        <v>1242EN03PT</v>
      </c>
      <c r="F1117">
        <f>VLOOKUP(B1117,[1]Course!$A$2:$R$329,2,FALSE)</f>
        <v>0</v>
      </c>
      <c r="G1117">
        <f>VLOOKUP(B1117, [1]Course!$A$2:$L$950, 8, FALSE)</f>
        <v>12</v>
      </c>
      <c r="H1117">
        <v>3</v>
      </c>
      <c r="I1117">
        <v>1</v>
      </c>
      <c r="J1117">
        <v>1993</v>
      </c>
      <c r="K1117">
        <v>1997</v>
      </c>
      <c r="L1117">
        <v>1</v>
      </c>
      <c r="M1117" t="str">
        <f>VLOOKUP(B1117, [1]Course!$A$1:$O$933, 12, FALSE)</f>
        <v>LA</v>
      </c>
      <c r="N1117" t="s">
        <v>14</v>
      </c>
      <c r="O1117" t="str">
        <f>VLOOKUP(B1117, [1]Course!$A$1:$O$933, 14, FALSE)</f>
        <v>EN</v>
      </c>
      <c r="P1117">
        <v>1</v>
      </c>
    </row>
    <row r="1118" spans="1:16" x14ac:dyDescent="0.25">
      <c r="A1118">
        <v>1121</v>
      </c>
      <c r="B1118">
        <v>113</v>
      </c>
      <c r="C1118">
        <v>143</v>
      </c>
      <c r="D1118" t="s">
        <v>16</v>
      </c>
      <c r="E1118" t="str">
        <f t="shared" si="17"/>
        <v>1243EN03PT</v>
      </c>
      <c r="F1118">
        <f>VLOOKUP(B1118,[1]Course!$A$2:$R$329,2,FALSE)</f>
        <v>0</v>
      </c>
      <c r="G1118">
        <f>VLOOKUP(B1118, [1]Course!$A$2:$L$950, 8, FALSE)</f>
        <v>12</v>
      </c>
      <c r="H1118">
        <v>3</v>
      </c>
      <c r="I1118">
        <v>1</v>
      </c>
      <c r="J1118">
        <v>1993</v>
      </c>
      <c r="K1118">
        <v>2007</v>
      </c>
      <c r="L1118">
        <v>1</v>
      </c>
      <c r="M1118" t="str">
        <f>VLOOKUP(B1118, [1]Course!$A$1:$O$933, 12, FALSE)</f>
        <v>LA</v>
      </c>
      <c r="N1118" t="s">
        <v>14</v>
      </c>
      <c r="O1118" t="str">
        <f>VLOOKUP(B1118, [1]Course!$A$1:$O$933, 14, FALSE)</f>
        <v>EN</v>
      </c>
      <c r="P1118">
        <v>1</v>
      </c>
    </row>
    <row r="1119" spans="1:16" x14ac:dyDescent="0.25">
      <c r="A1119">
        <v>1122</v>
      </c>
      <c r="B1119">
        <v>113</v>
      </c>
      <c r="C1119">
        <v>144</v>
      </c>
      <c r="D1119" t="s">
        <v>16</v>
      </c>
      <c r="E1119" t="str">
        <f t="shared" si="17"/>
        <v>1244EN03PT</v>
      </c>
      <c r="F1119">
        <f>VLOOKUP(B1119,[1]Course!$A$2:$R$329,2,FALSE)</f>
        <v>0</v>
      </c>
      <c r="G1119">
        <f>VLOOKUP(B1119, [1]Course!$A$2:$L$950, 8, FALSE)</f>
        <v>12</v>
      </c>
      <c r="H1119">
        <v>3</v>
      </c>
      <c r="I1119">
        <v>1</v>
      </c>
      <c r="J1119">
        <v>1993</v>
      </c>
      <c r="K1119">
        <v>2000</v>
      </c>
      <c r="L1119">
        <v>1</v>
      </c>
      <c r="M1119" t="str">
        <f>VLOOKUP(B1119, [1]Course!$A$1:$O$933, 12, FALSE)</f>
        <v>LA</v>
      </c>
      <c r="N1119" t="s">
        <v>14</v>
      </c>
      <c r="O1119" t="str">
        <f>VLOOKUP(B1119, [1]Course!$A$1:$O$933, 14, FALSE)</f>
        <v>EN</v>
      </c>
      <c r="P1119">
        <v>1</v>
      </c>
    </row>
    <row r="1120" spans="1:16" x14ac:dyDescent="0.25">
      <c r="A1120">
        <v>1123</v>
      </c>
      <c r="B1120">
        <v>114</v>
      </c>
      <c r="C1120">
        <v>11</v>
      </c>
      <c r="D1120" t="s">
        <v>61</v>
      </c>
      <c r="E1120" t="str">
        <f t="shared" si="17"/>
        <v>1011GR03PT</v>
      </c>
      <c r="F1120">
        <f>VLOOKUP(B1120,[1]Course!$A$2:$R$329,2,FALSE)</f>
        <v>0</v>
      </c>
      <c r="G1120">
        <f>VLOOKUP(B1120, [1]Course!$A$2:$L$950, 8, FALSE)</f>
        <v>10</v>
      </c>
      <c r="H1120">
        <v>3</v>
      </c>
      <c r="I1120">
        <v>1</v>
      </c>
      <c r="M1120" t="str">
        <f>VLOOKUP(B1120, [1]Course!$A$1:$O$933, 12, FALSE)</f>
        <v>LA</v>
      </c>
      <c r="N1120" t="s">
        <v>14</v>
      </c>
      <c r="O1120" t="str">
        <f>VLOOKUP(B1120, [1]Course!$A$1:$O$933, 14, FALSE)</f>
        <v>GR</v>
      </c>
      <c r="P1120">
        <v>1</v>
      </c>
    </row>
    <row r="1121" spans="1:16" x14ac:dyDescent="0.25">
      <c r="A1121">
        <v>1124</v>
      </c>
      <c r="B1121">
        <v>114</v>
      </c>
      <c r="C1121">
        <v>12</v>
      </c>
      <c r="D1121" t="s">
        <v>61</v>
      </c>
      <c r="E1121" t="str">
        <f t="shared" si="17"/>
        <v>1012GR03PT</v>
      </c>
      <c r="F1121">
        <f>VLOOKUP(B1121,[1]Course!$A$2:$R$329,2,FALSE)</f>
        <v>0</v>
      </c>
      <c r="G1121">
        <f>VLOOKUP(B1121, [1]Course!$A$2:$L$950, 8, FALSE)</f>
        <v>10</v>
      </c>
      <c r="H1121">
        <v>3</v>
      </c>
      <c r="I1121">
        <v>1</v>
      </c>
      <c r="M1121" t="str">
        <f>VLOOKUP(B1121, [1]Course!$A$1:$O$933, 12, FALSE)</f>
        <v>LA</v>
      </c>
      <c r="N1121" t="s">
        <v>14</v>
      </c>
      <c r="O1121" t="str">
        <f>VLOOKUP(B1121, [1]Course!$A$1:$O$933, 14, FALSE)</f>
        <v>GR</v>
      </c>
      <c r="P1121">
        <v>1</v>
      </c>
    </row>
    <row r="1122" spans="1:16" x14ac:dyDescent="0.25">
      <c r="A1122">
        <v>1125</v>
      </c>
      <c r="B1122">
        <v>114</v>
      </c>
      <c r="C1122">
        <v>13</v>
      </c>
      <c r="D1122" t="s">
        <v>61</v>
      </c>
      <c r="E1122" t="str">
        <f t="shared" si="17"/>
        <v>1013GR03PT</v>
      </c>
      <c r="F1122">
        <f>VLOOKUP(B1122,[1]Course!$A$2:$R$329,2,FALSE)</f>
        <v>0</v>
      </c>
      <c r="G1122">
        <f>VLOOKUP(B1122, [1]Course!$A$2:$L$950, 8, FALSE)</f>
        <v>10</v>
      </c>
      <c r="H1122">
        <v>3</v>
      </c>
      <c r="I1122">
        <v>1</v>
      </c>
      <c r="M1122" t="str">
        <f>VLOOKUP(B1122, [1]Course!$A$1:$O$933, 12, FALSE)</f>
        <v>LA</v>
      </c>
      <c r="N1122" t="s">
        <v>14</v>
      </c>
      <c r="O1122" t="str">
        <f>VLOOKUP(B1122, [1]Course!$A$1:$O$933, 14, FALSE)</f>
        <v>GR</v>
      </c>
      <c r="P1122">
        <v>1</v>
      </c>
    </row>
    <row r="1123" spans="1:16" x14ac:dyDescent="0.25">
      <c r="A1123">
        <v>1126</v>
      </c>
      <c r="B1123">
        <v>114</v>
      </c>
      <c r="C1123">
        <v>14</v>
      </c>
      <c r="D1123" t="s">
        <v>61</v>
      </c>
      <c r="E1123" t="str">
        <f t="shared" si="17"/>
        <v>1014GR03PT</v>
      </c>
      <c r="F1123">
        <f>VLOOKUP(B1123,[1]Course!$A$2:$R$329,2,FALSE)</f>
        <v>0</v>
      </c>
      <c r="G1123">
        <f>VLOOKUP(B1123, [1]Course!$A$2:$L$950, 8, FALSE)</f>
        <v>10</v>
      </c>
      <c r="H1123">
        <v>3</v>
      </c>
      <c r="I1123">
        <v>1</v>
      </c>
      <c r="M1123" t="str">
        <f>VLOOKUP(B1123, [1]Course!$A$1:$O$933, 12, FALSE)</f>
        <v>LA</v>
      </c>
      <c r="N1123" t="s">
        <v>14</v>
      </c>
      <c r="O1123" t="str">
        <f>VLOOKUP(B1123, [1]Course!$A$1:$O$933, 14, FALSE)</f>
        <v>GR</v>
      </c>
      <c r="P1123">
        <v>1</v>
      </c>
    </row>
    <row r="1124" spans="1:16" x14ac:dyDescent="0.25">
      <c r="A1124">
        <v>1127</v>
      </c>
      <c r="B1124">
        <v>114</v>
      </c>
      <c r="C1124">
        <v>15</v>
      </c>
      <c r="D1124" t="s">
        <v>61</v>
      </c>
      <c r="E1124" t="str">
        <f t="shared" si="17"/>
        <v>1015GR03PT</v>
      </c>
      <c r="F1124">
        <f>VLOOKUP(B1124,[1]Course!$A$2:$R$329,2,FALSE)</f>
        <v>0</v>
      </c>
      <c r="G1124">
        <f>VLOOKUP(B1124, [1]Course!$A$2:$L$950, 8, FALSE)</f>
        <v>10</v>
      </c>
      <c r="H1124">
        <v>3</v>
      </c>
      <c r="I1124">
        <v>1</v>
      </c>
      <c r="M1124" t="str">
        <f>VLOOKUP(B1124, [1]Course!$A$1:$O$933, 12, FALSE)</f>
        <v>LA</v>
      </c>
      <c r="N1124" t="s">
        <v>14</v>
      </c>
      <c r="O1124" t="str">
        <f>VLOOKUP(B1124, [1]Course!$A$1:$O$933, 14, FALSE)</f>
        <v>GR</v>
      </c>
      <c r="P1124">
        <v>1</v>
      </c>
    </row>
    <row r="1125" spans="1:16" x14ac:dyDescent="0.25">
      <c r="A1125">
        <v>1128</v>
      </c>
      <c r="B1125">
        <v>114</v>
      </c>
      <c r="C1125">
        <v>16</v>
      </c>
      <c r="D1125" t="s">
        <v>61</v>
      </c>
      <c r="E1125" t="str">
        <f t="shared" si="17"/>
        <v>1016GR03PT</v>
      </c>
      <c r="F1125">
        <f>VLOOKUP(B1125,[1]Course!$A$2:$R$329,2,FALSE)</f>
        <v>0</v>
      </c>
      <c r="G1125">
        <f>VLOOKUP(B1125, [1]Course!$A$2:$L$950, 8, FALSE)</f>
        <v>10</v>
      </c>
      <c r="H1125">
        <v>3</v>
      </c>
      <c r="I1125">
        <v>1</v>
      </c>
      <c r="M1125" t="str">
        <f>VLOOKUP(B1125, [1]Course!$A$1:$O$933, 12, FALSE)</f>
        <v>LA</v>
      </c>
      <c r="N1125" t="s">
        <v>14</v>
      </c>
      <c r="O1125" t="str">
        <f>VLOOKUP(B1125, [1]Course!$A$1:$O$933, 14, FALSE)</f>
        <v>GR</v>
      </c>
      <c r="P1125">
        <v>1</v>
      </c>
    </row>
    <row r="1126" spans="1:16" x14ac:dyDescent="0.25">
      <c r="A1126">
        <v>1129</v>
      </c>
      <c r="B1126">
        <v>114</v>
      </c>
      <c r="C1126">
        <v>17</v>
      </c>
      <c r="D1126" t="s">
        <v>61</v>
      </c>
      <c r="E1126" t="str">
        <f t="shared" si="17"/>
        <v>1017GR03PT</v>
      </c>
      <c r="F1126">
        <f>VLOOKUP(B1126,[1]Course!$A$2:$R$329,2,FALSE)</f>
        <v>0</v>
      </c>
      <c r="G1126">
        <f>VLOOKUP(B1126, [1]Course!$A$2:$L$950, 8, FALSE)</f>
        <v>10</v>
      </c>
      <c r="H1126">
        <v>3</v>
      </c>
      <c r="I1126">
        <v>1</v>
      </c>
      <c r="M1126" t="str">
        <f>VLOOKUP(B1126, [1]Course!$A$1:$O$933, 12, FALSE)</f>
        <v>LA</v>
      </c>
      <c r="N1126" t="s">
        <v>14</v>
      </c>
      <c r="O1126" t="str">
        <f>VLOOKUP(B1126, [1]Course!$A$1:$O$933, 14, FALSE)</f>
        <v>GR</v>
      </c>
      <c r="P1126">
        <v>1</v>
      </c>
    </row>
    <row r="1127" spans="1:16" x14ac:dyDescent="0.25">
      <c r="A1127">
        <v>1130</v>
      </c>
      <c r="B1127">
        <v>114</v>
      </c>
      <c r="C1127">
        <v>18</v>
      </c>
      <c r="D1127" t="s">
        <v>61</v>
      </c>
      <c r="E1127" t="str">
        <f t="shared" si="17"/>
        <v>1018GR03PT</v>
      </c>
      <c r="F1127">
        <f>VLOOKUP(B1127,[1]Course!$A$2:$R$329,2,FALSE)</f>
        <v>0</v>
      </c>
      <c r="G1127">
        <f>VLOOKUP(B1127, [1]Course!$A$2:$L$950, 8, FALSE)</f>
        <v>10</v>
      </c>
      <c r="H1127">
        <v>3</v>
      </c>
      <c r="I1127">
        <v>1</v>
      </c>
      <c r="M1127" t="str">
        <f>VLOOKUP(B1127, [1]Course!$A$1:$O$933, 12, FALSE)</f>
        <v>LA</v>
      </c>
      <c r="N1127" t="s">
        <v>14</v>
      </c>
      <c r="O1127" t="str">
        <f>VLOOKUP(B1127, [1]Course!$A$1:$O$933, 14, FALSE)</f>
        <v>GR</v>
      </c>
      <c r="P1127">
        <v>1</v>
      </c>
    </row>
    <row r="1128" spans="1:16" x14ac:dyDescent="0.25">
      <c r="A1128">
        <v>1131</v>
      </c>
      <c r="B1128">
        <v>114</v>
      </c>
      <c r="C1128">
        <v>19</v>
      </c>
      <c r="D1128" t="s">
        <v>61</v>
      </c>
      <c r="E1128" t="str">
        <f t="shared" si="17"/>
        <v>1019GR03PT</v>
      </c>
      <c r="F1128">
        <f>VLOOKUP(B1128,[1]Course!$A$2:$R$329,2,FALSE)</f>
        <v>0</v>
      </c>
      <c r="G1128">
        <f>VLOOKUP(B1128, [1]Course!$A$2:$L$950, 8, FALSE)</f>
        <v>10</v>
      </c>
      <c r="H1128">
        <v>3</v>
      </c>
      <c r="I1128">
        <v>1</v>
      </c>
      <c r="M1128" t="str">
        <f>VLOOKUP(B1128, [1]Course!$A$1:$O$933, 12, FALSE)</f>
        <v>LA</v>
      </c>
      <c r="N1128" t="s">
        <v>14</v>
      </c>
      <c r="O1128" t="str">
        <f>VLOOKUP(B1128, [1]Course!$A$1:$O$933, 14, FALSE)</f>
        <v>GR</v>
      </c>
      <c r="P1128">
        <v>1</v>
      </c>
    </row>
    <row r="1129" spans="1:16" x14ac:dyDescent="0.25">
      <c r="A1129">
        <v>1132</v>
      </c>
      <c r="B1129">
        <v>114</v>
      </c>
      <c r="C1129">
        <v>20</v>
      </c>
      <c r="D1129" t="s">
        <v>61</v>
      </c>
      <c r="E1129" t="str">
        <f t="shared" si="17"/>
        <v>1020GR03PT</v>
      </c>
      <c r="F1129">
        <f>VLOOKUP(B1129,[1]Course!$A$2:$R$329,2,FALSE)</f>
        <v>0</v>
      </c>
      <c r="G1129">
        <f>VLOOKUP(B1129, [1]Course!$A$2:$L$950, 8, FALSE)</f>
        <v>10</v>
      </c>
      <c r="H1129">
        <v>3</v>
      </c>
      <c r="I1129">
        <v>1</v>
      </c>
      <c r="M1129" t="str">
        <f>VLOOKUP(B1129, [1]Course!$A$1:$O$933, 12, FALSE)</f>
        <v>LA</v>
      </c>
      <c r="N1129" t="s">
        <v>14</v>
      </c>
      <c r="O1129" t="str">
        <f>VLOOKUP(B1129, [1]Course!$A$1:$O$933, 14, FALSE)</f>
        <v>GR</v>
      </c>
      <c r="P1129">
        <v>1</v>
      </c>
    </row>
    <row r="1130" spans="1:16" x14ac:dyDescent="0.25">
      <c r="A1130">
        <v>1133</v>
      </c>
      <c r="B1130">
        <v>115</v>
      </c>
      <c r="C1130">
        <v>7</v>
      </c>
      <c r="D1130" t="s">
        <v>35</v>
      </c>
      <c r="E1130" t="str">
        <f t="shared" si="17"/>
        <v>207MT03PT</v>
      </c>
      <c r="F1130">
        <f>VLOOKUP(B1130,[1]Course!$A$2:$R$329,2,FALSE)</f>
        <v>0</v>
      </c>
      <c r="G1130">
        <f>VLOOKUP(B1130, [1]Course!$A$2:$L$950, 8, FALSE)</f>
        <v>2</v>
      </c>
      <c r="H1130">
        <v>3</v>
      </c>
      <c r="I1130">
        <v>1</v>
      </c>
      <c r="M1130" t="str">
        <f>VLOOKUP(B1130, [1]Course!$A$1:$O$933, 12, FALSE)</f>
        <v>SU</v>
      </c>
      <c r="N1130" t="s">
        <v>14</v>
      </c>
      <c r="O1130" t="str">
        <f>VLOOKUP(B1130, [1]Course!$A$1:$O$933, 14, FALSE)</f>
        <v>MT</v>
      </c>
      <c r="P1130">
        <v>1</v>
      </c>
    </row>
    <row r="1131" spans="1:16" x14ac:dyDescent="0.25">
      <c r="A1131">
        <v>1134</v>
      </c>
      <c r="B1131">
        <v>115</v>
      </c>
      <c r="C1131">
        <v>8</v>
      </c>
      <c r="D1131" t="s">
        <v>35</v>
      </c>
      <c r="E1131" t="str">
        <f t="shared" si="17"/>
        <v>208MT03PT</v>
      </c>
      <c r="F1131">
        <f>VLOOKUP(B1131,[1]Course!$A$2:$R$329,2,FALSE)</f>
        <v>0</v>
      </c>
      <c r="G1131">
        <f>VLOOKUP(B1131, [1]Course!$A$2:$L$950, 8, FALSE)</f>
        <v>2</v>
      </c>
      <c r="H1131">
        <v>3</v>
      </c>
      <c r="I1131">
        <v>1</v>
      </c>
      <c r="M1131" t="str">
        <f>VLOOKUP(B1131, [1]Course!$A$1:$O$933, 12, FALSE)</f>
        <v>SU</v>
      </c>
      <c r="N1131" t="s">
        <v>14</v>
      </c>
      <c r="O1131" t="str">
        <f>VLOOKUP(B1131, [1]Course!$A$1:$O$933, 14, FALSE)</f>
        <v>MT</v>
      </c>
      <c r="P1131">
        <v>1</v>
      </c>
    </row>
    <row r="1132" spans="1:16" x14ac:dyDescent="0.25">
      <c r="A1132">
        <v>1135</v>
      </c>
      <c r="B1132">
        <v>116</v>
      </c>
      <c r="C1132">
        <v>1</v>
      </c>
      <c r="D1132" t="s">
        <v>69</v>
      </c>
      <c r="E1132" t="str">
        <f t="shared" si="17"/>
        <v>1001CP03PT</v>
      </c>
      <c r="F1132" t="str">
        <f>VLOOKUP(B1132,[1]Course!$A$2:$R$329,2,FALSE)</f>
        <v>Basic Intro. to Physical Science</v>
      </c>
      <c r="G1132">
        <f>VLOOKUP(B1132, [1]Course!$A$2:$L$950, 8, FALSE)</f>
        <v>10</v>
      </c>
      <c r="H1132">
        <v>3</v>
      </c>
      <c r="I1132">
        <v>1</v>
      </c>
      <c r="J1132">
        <v>1980</v>
      </c>
      <c r="K1132">
        <v>2000</v>
      </c>
      <c r="L1132">
        <v>1</v>
      </c>
      <c r="M1132" t="str">
        <f>VLOOKUP(B1132, [1]Course!$A$1:$O$933, 12, FALSE)</f>
        <v>SC</v>
      </c>
      <c r="N1132" t="s">
        <v>14</v>
      </c>
      <c r="O1132" t="str">
        <f>VLOOKUP(B1132, [1]Course!$A$1:$O$933, 14, FALSE)</f>
        <v>CP</v>
      </c>
      <c r="P1132">
        <v>1</v>
      </c>
    </row>
    <row r="1133" spans="1:16" x14ac:dyDescent="0.25">
      <c r="A1133">
        <v>1136</v>
      </c>
      <c r="B1133">
        <v>116</v>
      </c>
      <c r="C1133">
        <v>2</v>
      </c>
      <c r="D1133" t="s">
        <v>69</v>
      </c>
      <c r="E1133" t="str">
        <f t="shared" si="17"/>
        <v>1002CP03PT</v>
      </c>
      <c r="F1133" t="str">
        <f>VLOOKUP(B1133,[1]Course!$A$2:$R$329,2,FALSE)</f>
        <v>Basic Intro. to Physical Science</v>
      </c>
      <c r="G1133">
        <f>VLOOKUP(B1133, [1]Course!$A$2:$L$950, 8, FALSE)</f>
        <v>10</v>
      </c>
      <c r="H1133">
        <v>3</v>
      </c>
      <c r="I1133">
        <v>1</v>
      </c>
      <c r="J1133">
        <v>1980</v>
      </c>
      <c r="K1133" t="s">
        <v>92</v>
      </c>
      <c r="L1133">
        <v>1</v>
      </c>
      <c r="M1133" t="str">
        <f>VLOOKUP(B1133, [1]Course!$A$1:$O$933, 12, FALSE)</f>
        <v>SC</v>
      </c>
      <c r="N1133" t="s">
        <v>14</v>
      </c>
      <c r="O1133" t="str">
        <f>VLOOKUP(B1133, [1]Course!$A$1:$O$933, 14, FALSE)</f>
        <v>CP</v>
      </c>
      <c r="P1133">
        <v>1</v>
      </c>
    </row>
    <row r="1134" spans="1:16" x14ac:dyDescent="0.25">
      <c r="A1134">
        <v>1137</v>
      </c>
      <c r="B1134">
        <v>116</v>
      </c>
      <c r="C1134">
        <v>3</v>
      </c>
      <c r="D1134" t="s">
        <v>69</v>
      </c>
      <c r="E1134" t="str">
        <f t="shared" si="17"/>
        <v>1003CP03PT</v>
      </c>
      <c r="F1134" t="str">
        <f>VLOOKUP(B1134,[1]Course!$A$2:$R$329,2,FALSE)</f>
        <v>Basic Intro. to Physical Science</v>
      </c>
      <c r="G1134">
        <f>VLOOKUP(B1134, [1]Course!$A$2:$L$950, 8, FALSE)</f>
        <v>10</v>
      </c>
      <c r="H1134">
        <v>3</v>
      </c>
      <c r="I1134">
        <v>1</v>
      </c>
      <c r="J1134">
        <v>1980</v>
      </c>
      <c r="K1134" t="s">
        <v>92</v>
      </c>
      <c r="L1134">
        <v>1</v>
      </c>
      <c r="M1134" t="str">
        <f>VLOOKUP(B1134, [1]Course!$A$1:$O$933, 12, FALSE)</f>
        <v>SC</v>
      </c>
      <c r="N1134" t="s">
        <v>14</v>
      </c>
      <c r="O1134" t="str">
        <f>VLOOKUP(B1134, [1]Course!$A$1:$O$933, 14, FALSE)</f>
        <v>CP</v>
      </c>
      <c r="P1134">
        <v>1</v>
      </c>
    </row>
    <row r="1135" spans="1:16" x14ac:dyDescent="0.25">
      <c r="A1135">
        <v>1138</v>
      </c>
      <c r="B1135">
        <v>116</v>
      </c>
      <c r="C1135">
        <v>4</v>
      </c>
      <c r="D1135" t="s">
        <v>69</v>
      </c>
      <c r="E1135" t="str">
        <f t="shared" si="17"/>
        <v>1004CP03PT</v>
      </c>
      <c r="F1135" t="str">
        <f>VLOOKUP(B1135,[1]Course!$A$2:$R$329,2,FALSE)</f>
        <v>Basic Intro. to Physical Science</v>
      </c>
      <c r="G1135">
        <f>VLOOKUP(B1135, [1]Course!$A$2:$L$950, 8, FALSE)</f>
        <v>10</v>
      </c>
      <c r="H1135">
        <v>3</v>
      </c>
      <c r="I1135">
        <v>1</v>
      </c>
      <c r="J1135">
        <v>1980</v>
      </c>
      <c r="K1135" t="s">
        <v>92</v>
      </c>
      <c r="L1135">
        <v>1</v>
      </c>
      <c r="M1135" t="str">
        <f>VLOOKUP(B1135, [1]Course!$A$1:$O$933, 12, FALSE)</f>
        <v>SC</v>
      </c>
      <c r="N1135" t="s">
        <v>14</v>
      </c>
      <c r="O1135" t="str">
        <f>VLOOKUP(B1135, [1]Course!$A$1:$O$933, 14, FALSE)</f>
        <v>CP</v>
      </c>
      <c r="P1135">
        <v>1</v>
      </c>
    </row>
    <row r="1136" spans="1:16" x14ac:dyDescent="0.25">
      <c r="A1136">
        <v>1139</v>
      </c>
      <c r="B1136">
        <v>116</v>
      </c>
      <c r="C1136">
        <v>5</v>
      </c>
      <c r="D1136" t="s">
        <v>69</v>
      </c>
      <c r="E1136" t="str">
        <f t="shared" si="17"/>
        <v>1005CP03PT</v>
      </c>
      <c r="F1136" t="str">
        <f>VLOOKUP(B1136,[1]Course!$A$2:$R$329,2,FALSE)</f>
        <v>Basic Intro. to Physical Science</v>
      </c>
      <c r="G1136">
        <f>VLOOKUP(B1136, [1]Course!$A$2:$L$950, 8, FALSE)</f>
        <v>10</v>
      </c>
      <c r="H1136">
        <v>3</v>
      </c>
      <c r="I1136">
        <v>1</v>
      </c>
      <c r="J1136">
        <v>1980</v>
      </c>
      <c r="K1136">
        <v>2000</v>
      </c>
      <c r="L1136">
        <v>1</v>
      </c>
      <c r="M1136" t="str">
        <f>VLOOKUP(B1136, [1]Course!$A$1:$O$933, 12, FALSE)</f>
        <v>SC</v>
      </c>
      <c r="N1136" t="s">
        <v>14</v>
      </c>
      <c r="O1136" t="str">
        <f>VLOOKUP(B1136, [1]Course!$A$1:$O$933, 14, FALSE)</f>
        <v>CP</v>
      </c>
      <c r="P1136">
        <v>2</v>
      </c>
    </row>
    <row r="1137" spans="1:16" x14ac:dyDescent="0.25">
      <c r="A1137">
        <v>1140</v>
      </c>
      <c r="B1137">
        <v>116</v>
      </c>
      <c r="C1137">
        <v>6</v>
      </c>
      <c r="D1137" t="s">
        <v>69</v>
      </c>
      <c r="E1137" t="str">
        <f t="shared" si="17"/>
        <v>1006CP03PT</v>
      </c>
      <c r="F1137" t="str">
        <f>VLOOKUP(B1137,[1]Course!$A$2:$R$329,2,FALSE)</f>
        <v>Basic Intro. to Physical Science</v>
      </c>
      <c r="G1137">
        <f>VLOOKUP(B1137, [1]Course!$A$2:$L$950, 8, FALSE)</f>
        <v>10</v>
      </c>
      <c r="H1137">
        <v>3</v>
      </c>
      <c r="I1137">
        <v>1</v>
      </c>
      <c r="J1137">
        <v>1980</v>
      </c>
      <c r="K1137" t="s">
        <v>92</v>
      </c>
      <c r="L1137">
        <v>1</v>
      </c>
      <c r="M1137" t="str">
        <f>VLOOKUP(B1137, [1]Course!$A$1:$O$933, 12, FALSE)</f>
        <v>SC</v>
      </c>
      <c r="N1137" t="s">
        <v>14</v>
      </c>
      <c r="O1137" t="str">
        <f>VLOOKUP(B1137, [1]Course!$A$1:$O$933, 14, FALSE)</f>
        <v>CP</v>
      </c>
      <c r="P1137">
        <v>1</v>
      </c>
    </row>
    <row r="1138" spans="1:16" x14ac:dyDescent="0.25">
      <c r="A1138">
        <v>1141</v>
      </c>
      <c r="B1138">
        <v>116</v>
      </c>
      <c r="C1138">
        <v>7</v>
      </c>
      <c r="D1138" t="s">
        <v>69</v>
      </c>
      <c r="E1138" t="str">
        <f t="shared" si="17"/>
        <v>1007CP03PT</v>
      </c>
      <c r="F1138" t="str">
        <f>VLOOKUP(B1138,[1]Course!$A$2:$R$329,2,FALSE)</f>
        <v>Basic Intro. to Physical Science</v>
      </c>
      <c r="G1138">
        <f>VLOOKUP(B1138, [1]Course!$A$2:$L$950, 8, FALSE)</f>
        <v>10</v>
      </c>
      <c r="H1138">
        <v>3</v>
      </c>
      <c r="I1138">
        <v>1</v>
      </c>
      <c r="J1138">
        <v>1980</v>
      </c>
      <c r="K1138" t="s">
        <v>92</v>
      </c>
      <c r="L1138">
        <v>1</v>
      </c>
      <c r="M1138" t="str">
        <f>VLOOKUP(B1138, [1]Course!$A$1:$O$933, 12, FALSE)</f>
        <v>SC</v>
      </c>
      <c r="N1138" t="s">
        <v>14</v>
      </c>
      <c r="O1138" t="str">
        <f>VLOOKUP(B1138, [1]Course!$A$1:$O$933, 14, FALSE)</f>
        <v>CP</v>
      </c>
      <c r="P1138">
        <v>1</v>
      </c>
    </row>
    <row r="1139" spans="1:16" x14ac:dyDescent="0.25">
      <c r="A1139">
        <v>1142</v>
      </c>
      <c r="B1139">
        <v>116</v>
      </c>
      <c r="C1139">
        <v>8</v>
      </c>
      <c r="D1139" t="s">
        <v>69</v>
      </c>
      <c r="E1139" t="str">
        <f t="shared" si="17"/>
        <v>1008CP03PT</v>
      </c>
      <c r="F1139" t="str">
        <f>VLOOKUP(B1139,[1]Course!$A$2:$R$329,2,FALSE)</f>
        <v>Basic Intro. to Physical Science</v>
      </c>
      <c r="G1139">
        <f>VLOOKUP(B1139, [1]Course!$A$2:$L$950, 8, FALSE)</f>
        <v>10</v>
      </c>
      <c r="H1139">
        <v>3</v>
      </c>
      <c r="I1139">
        <v>1</v>
      </c>
      <c r="J1139">
        <v>1980</v>
      </c>
      <c r="K1139" t="s">
        <v>92</v>
      </c>
      <c r="L1139">
        <v>1</v>
      </c>
      <c r="M1139" t="str">
        <f>VLOOKUP(B1139, [1]Course!$A$1:$O$933, 12, FALSE)</f>
        <v>SC</v>
      </c>
      <c r="N1139" t="s">
        <v>14</v>
      </c>
      <c r="O1139" t="str">
        <f>VLOOKUP(B1139, [1]Course!$A$1:$O$933, 14, FALSE)</f>
        <v>CP</v>
      </c>
      <c r="P1139">
        <v>1</v>
      </c>
    </row>
    <row r="1140" spans="1:16" x14ac:dyDescent="0.25">
      <c r="A1140">
        <v>1143</v>
      </c>
      <c r="B1140">
        <v>116</v>
      </c>
      <c r="C1140">
        <v>9</v>
      </c>
      <c r="D1140" t="s">
        <v>69</v>
      </c>
      <c r="E1140" t="str">
        <f t="shared" si="17"/>
        <v>1009CP03PT</v>
      </c>
      <c r="F1140" t="str">
        <f>VLOOKUP(B1140,[1]Course!$A$2:$R$329,2,FALSE)</f>
        <v>Basic Intro. to Physical Science</v>
      </c>
      <c r="G1140">
        <f>VLOOKUP(B1140, [1]Course!$A$2:$L$950, 8, FALSE)</f>
        <v>10</v>
      </c>
      <c r="H1140">
        <v>3</v>
      </c>
      <c r="I1140">
        <v>1</v>
      </c>
      <c r="J1140">
        <v>1980</v>
      </c>
      <c r="K1140" t="s">
        <v>92</v>
      </c>
      <c r="L1140">
        <v>1</v>
      </c>
      <c r="M1140" t="str">
        <f>VLOOKUP(B1140, [1]Course!$A$1:$O$933, 12, FALSE)</f>
        <v>SC</v>
      </c>
      <c r="N1140" t="s">
        <v>14</v>
      </c>
      <c r="O1140" t="str">
        <f>VLOOKUP(B1140, [1]Course!$A$1:$O$933, 14, FALSE)</f>
        <v>CP</v>
      </c>
      <c r="P1140">
        <v>1</v>
      </c>
    </row>
    <row r="1141" spans="1:16" x14ac:dyDescent="0.25">
      <c r="A1141">
        <v>1144</v>
      </c>
      <c r="B1141">
        <v>116</v>
      </c>
      <c r="C1141">
        <v>10</v>
      </c>
      <c r="D1141" t="s">
        <v>69</v>
      </c>
      <c r="E1141" t="str">
        <f t="shared" si="17"/>
        <v>1010CP03PT</v>
      </c>
      <c r="F1141" t="str">
        <f>VLOOKUP(B1141,[1]Course!$A$2:$R$329,2,FALSE)</f>
        <v>Basic Intro. to Physical Science</v>
      </c>
      <c r="G1141">
        <f>VLOOKUP(B1141, [1]Course!$A$2:$L$950, 8, FALSE)</f>
        <v>10</v>
      </c>
      <c r="H1141">
        <v>3</v>
      </c>
      <c r="I1141">
        <v>1</v>
      </c>
      <c r="J1141">
        <v>1980</v>
      </c>
      <c r="K1141" t="s">
        <v>92</v>
      </c>
      <c r="L1141">
        <v>1</v>
      </c>
      <c r="M1141" t="str">
        <f>VLOOKUP(B1141, [1]Course!$A$1:$O$933, 12, FALSE)</f>
        <v>SC</v>
      </c>
      <c r="N1141" t="s">
        <v>14</v>
      </c>
      <c r="O1141" t="str">
        <f>VLOOKUP(B1141, [1]Course!$A$1:$O$933, 14, FALSE)</f>
        <v>CP</v>
      </c>
      <c r="P1141">
        <v>2</v>
      </c>
    </row>
    <row r="1142" spans="1:16" x14ac:dyDescent="0.25">
      <c r="A1142">
        <v>1145</v>
      </c>
      <c r="B1142">
        <v>117</v>
      </c>
      <c r="C1142">
        <v>133</v>
      </c>
      <c r="D1142" t="s">
        <v>70</v>
      </c>
      <c r="E1142" t="str">
        <f t="shared" si="17"/>
        <v>1233PH03PT</v>
      </c>
      <c r="F1142" t="str">
        <f>VLOOKUP(B1142,[1]Course!$A$2:$R$329,2,FALSE)</f>
        <v>Science 12</v>
      </c>
      <c r="G1142">
        <f>VLOOKUP(B1142, [1]Course!$A$2:$L$950, 8, FALSE)</f>
        <v>12</v>
      </c>
      <c r="H1142">
        <v>3</v>
      </c>
      <c r="I1142">
        <v>1</v>
      </c>
      <c r="J1142">
        <v>1987</v>
      </c>
      <c r="K1142">
        <v>1998</v>
      </c>
      <c r="L1142">
        <v>1</v>
      </c>
      <c r="M1142" t="str">
        <f>VLOOKUP(B1142, [1]Course!$A$1:$O$933, 12, FALSE)</f>
        <v>SC</v>
      </c>
      <c r="N1142" t="s">
        <v>14</v>
      </c>
      <c r="O1142" t="str">
        <f>VLOOKUP(B1142, [1]Course!$A$1:$O$933, 14, FALSE)</f>
        <v>PH</v>
      </c>
      <c r="P1142">
        <v>1</v>
      </c>
    </row>
    <row r="1143" spans="1:16" x14ac:dyDescent="0.25">
      <c r="A1143">
        <v>1146</v>
      </c>
      <c r="B1143">
        <v>117</v>
      </c>
      <c r="C1143">
        <v>134</v>
      </c>
      <c r="D1143" t="s">
        <v>70</v>
      </c>
      <c r="E1143" t="str">
        <f t="shared" si="17"/>
        <v>1234PH03PT</v>
      </c>
      <c r="F1143" t="str">
        <f>VLOOKUP(B1143,[1]Course!$A$2:$R$329,2,FALSE)</f>
        <v>Science 12</v>
      </c>
      <c r="G1143">
        <f>VLOOKUP(B1143, [1]Course!$A$2:$L$950, 8, FALSE)</f>
        <v>12</v>
      </c>
      <c r="H1143">
        <v>3</v>
      </c>
      <c r="I1143">
        <v>1</v>
      </c>
      <c r="J1143">
        <v>1987</v>
      </c>
      <c r="K1143">
        <v>2012</v>
      </c>
      <c r="L1143">
        <v>1</v>
      </c>
      <c r="M1143" t="str">
        <f>VLOOKUP(B1143, [1]Course!$A$1:$O$933, 12, FALSE)</f>
        <v>SC</v>
      </c>
      <c r="N1143" t="s">
        <v>14</v>
      </c>
      <c r="O1143" t="str">
        <f>VLOOKUP(B1143, [1]Course!$A$1:$O$933, 14, FALSE)</f>
        <v>PH</v>
      </c>
      <c r="P1143">
        <v>1</v>
      </c>
    </row>
    <row r="1144" spans="1:16" x14ac:dyDescent="0.25">
      <c r="A1144">
        <v>1147</v>
      </c>
      <c r="B1144">
        <v>117</v>
      </c>
      <c r="C1144">
        <v>135</v>
      </c>
      <c r="D1144" t="s">
        <v>70</v>
      </c>
      <c r="E1144" t="str">
        <f t="shared" si="17"/>
        <v>1235PH03PT</v>
      </c>
      <c r="F1144" t="str">
        <f>VLOOKUP(B1144,[1]Course!$A$2:$R$329,2,FALSE)</f>
        <v>Science 12</v>
      </c>
      <c r="G1144">
        <f>VLOOKUP(B1144, [1]Course!$A$2:$L$950, 8, FALSE)</f>
        <v>12</v>
      </c>
      <c r="H1144">
        <v>3</v>
      </c>
      <c r="I1144">
        <v>1</v>
      </c>
      <c r="J1144">
        <v>1987</v>
      </c>
      <c r="K1144">
        <v>2014</v>
      </c>
      <c r="L1144">
        <v>1</v>
      </c>
      <c r="M1144" t="str">
        <f>VLOOKUP(B1144, [1]Course!$A$1:$O$933, 12, FALSE)</f>
        <v>SC</v>
      </c>
      <c r="N1144" t="s">
        <v>14</v>
      </c>
      <c r="O1144" t="str">
        <f>VLOOKUP(B1144, [1]Course!$A$1:$O$933, 14, FALSE)</f>
        <v>PH</v>
      </c>
      <c r="P1144">
        <v>1</v>
      </c>
    </row>
    <row r="1145" spans="1:16" x14ac:dyDescent="0.25">
      <c r="A1145">
        <v>1148</v>
      </c>
      <c r="B1145">
        <v>117</v>
      </c>
      <c r="C1145">
        <v>136</v>
      </c>
      <c r="D1145" t="s">
        <v>70</v>
      </c>
      <c r="E1145" t="str">
        <f t="shared" si="17"/>
        <v>1236PH03PT</v>
      </c>
      <c r="F1145" t="str">
        <f>VLOOKUP(B1145,[1]Course!$A$2:$R$329,2,FALSE)</f>
        <v>Science 12</v>
      </c>
      <c r="G1145">
        <f>VLOOKUP(B1145, [1]Course!$A$2:$L$950, 8, FALSE)</f>
        <v>12</v>
      </c>
      <c r="H1145">
        <v>3</v>
      </c>
      <c r="I1145">
        <v>1</v>
      </c>
      <c r="J1145">
        <v>1987</v>
      </c>
      <c r="K1145">
        <v>1995</v>
      </c>
      <c r="L1145">
        <v>1</v>
      </c>
      <c r="M1145" t="str">
        <f>VLOOKUP(B1145, [1]Course!$A$1:$O$933, 12, FALSE)</f>
        <v>SC</v>
      </c>
      <c r="N1145" t="s">
        <v>14</v>
      </c>
      <c r="O1145" t="str">
        <f>VLOOKUP(B1145, [1]Course!$A$1:$O$933, 14, FALSE)</f>
        <v>PH</v>
      </c>
      <c r="P1145">
        <v>1</v>
      </c>
    </row>
    <row r="1146" spans="1:16" x14ac:dyDescent="0.25">
      <c r="A1146">
        <v>1149</v>
      </c>
      <c r="B1146">
        <v>117</v>
      </c>
      <c r="C1146">
        <v>137</v>
      </c>
      <c r="D1146" t="s">
        <v>70</v>
      </c>
      <c r="E1146" t="str">
        <f t="shared" si="17"/>
        <v>1237PH03PT</v>
      </c>
      <c r="F1146" t="str">
        <f>VLOOKUP(B1146,[1]Course!$A$2:$R$329,2,FALSE)</f>
        <v>Science 12</v>
      </c>
      <c r="G1146">
        <f>VLOOKUP(B1146, [1]Course!$A$2:$L$950, 8, FALSE)</f>
        <v>12</v>
      </c>
      <c r="H1146">
        <v>3</v>
      </c>
      <c r="I1146">
        <v>1</v>
      </c>
      <c r="J1146">
        <v>1987</v>
      </c>
      <c r="K1146">
        <v>2006</v>
      </c>
      <c r="L1146">
        <v>1</v>
      </c>
      <c r="M1146" t="str">
        <f>VLOOKUP(B1146, [1]Course!$A$1:$O$933, 12, FALSE)</f>
        <v>SC</v>
      </c>
      <c r="N1146" t="s">
        <v>14</v>
      </c>
      <c r="O1146" t="str">
        <f>VLOOKUP(B1146, [1]Course!$A$1:$O$933, 14, FALSE)</f>
        <v>PH</v>
      </c>
      <c r="P1146">
        <v>1</v>
      </c>
    </row>
    <row r="1147" spans="1:16" x14ac:dyDescent="0.25">
      <c r="A1147">
        <v>1150</v>
      </c>
      <c r="B1147">
        <v>117</v>
      </c>
      <c r="C1147">
        <v>138</v>
      </c>
      <c r="D1147" t="s">
        <v>70</v>
      </c>
      <c r="E1147" t="str">
        <f t="shared" si="17"/>
        <v>1238PH03PT</v>
      </c>
      <c r="F1147" t="str">
        <f>VLOOKUP(B1147,[1]Course!$A$2:$R$329,2,FALSE)</f>
        <v>Science 12</v>
      </c>
      <c r="G1147">
        <f>VLOOKUP(B1147, [1]Course!$A$2:$L$950, 8, FALSE)</f>
        <v>12</v>
      </c>
      <c r="H1147">
        <v>3</v>
      </c>
      <c r="I1147">
        <v>1</v>
      </c>
      <c r="J1147">
        <v>1987</v>
      </c>
      <c r="K1147">
        <v>2014</v>
      </c>
      <c r="L1147">
        <v>1</v>
      </c>
      <c r="M1147" t="str">
        <f>VLOOKUP(B1147, [1]Course!$A$1:$O$933, 12, FALSE)</f>
        <v>SC</v>
      </c>
      <c r="N1147" t="s">
        <v>14</v>
      </c>
      <c r="O1147" t="str">
        <f>VLOOKUP(B1147, [1]Course!$A$1:$O$933, 14, FALSE)</f>
        <v>PH</v>
      </c>
      <c r="P1147">
        <v>1</v>
      </c>
    </row>
    <row r="1148" spans="1:16" x14ac:dyDescent="0.25">
      <c r="A1148">
        <v>1151</v>
      </c>
      <c r="B1148">
        <v>117</v>
      </c>
      <c r="C1148">
        <v>139</v>
      </c>
      <c r="D1148" t="s">
        <v>70</v>
      </c>
      <c r="E1148" t="str">
        <f t="shared" si="17"/>
        <v>1239PH03PT</v>
      </c>
      <c r="F1148" t="str">
        <f>VLOOKUP(B1148,[1]Course!$A$2:$R$329,2,FALSE)</f>
        <v>Science 12</v>
      </c>
      <c r="G1148">
        <f>VLOOKUP(B1148, [1]Course!$A$2:$L$950, 8, FALSE)</f>
        <v>12</v>
      </c>
      <c r="H1148">
        <v>3</v>
      </c>
      <c r="I1148">
        <v>1</v>
      </c>
      <c r="J1148">
        <v>1987</v>
      </c>
      <c r="K1148">
        <v>2014</v>
      </c>
      <c r="L1148">
        <v>1</v>
      </c>
      <c r="M1148" t="str">
        <f>VLOOKUP(B1148, [1]Course!$A$1:$O$933, 12, FALSE)</f>
        <v>SC</v>
      </c>
      <c r="N1148" t="s">
        <v>14</v>
      </c>
      <c r="O1148" t="str">
        <f>VLOOKUP(B1148, [1]Course!$A$1:$O$933, 14, FALSE)</f>
        <v>PH</v>
      </c>
      <c r="P1148">
        <v>1</v>
      </c>
    </row>
    <row r="1149" spans="1:16" x14ac:dyDescent="0.25">
      <c r="A1149">
        <v>1152</v>
      </c>
      <c r="B1149">
        <v>117</v>
      </c>
      <c r="C1149">
        <v>140</v>
      </c>
      <c r="D1149" t="s">
        <v>70</v>
      </c>
      <c r="E1149" t="str">
        <f t="shared" si="17"/>
        <v>1240PH03PT</v>
      </c>
      <c r="F1149" t="str">
        <f>VLOOKUP(B1149,[1]Course!$A$2:$R$329,2,FALSE)</f>
        <v>Science 12</v>
      </c>
      <c r="G1149">
        <f>VLOOKUP(B1149, [1]Course!$A$2:$L$950, 8, FALSE)</f>
        <v>12</v>
      </c>
      <c r="H1149">
        <v>3</v>
      </c>
      <c r="I1149">
        <v>1</v>
      </c>
      <c r="J1149">
        <v>1987</v>
      </c>
      <c r="K1149">
        <v>2002</v>
      </c>
      <c r="L1149">
        <v>1</v>
      </c>
      <c r="M1149" t="str">
        <f>VLOOKUP(B1149, [1]Course!$A$1:$O$933, 12, FALSE)</f>
        <v>SC</v>
      </c>
      <c r="N1149" t="s">
        <v>14</v>
      </c>
      <c r="O1149" t="str">
        <f>VLOOKUP(B1149, [1]Course!$A$1:$O$933, 14, FALSE)</f>
        <v>PH</v>
      </c>
      <c r="P1149">
        <v>1</v>
      </c>
    </row>
    <row r="1150" spans="1:16" x14ac:dyDescent="0.25">
      <c r="A1150">
        <v>1153</v>
      </c>
      <c r="B1150">
        <v>117</v>
      </c>
      <c r="C1150">
        <v>141</v>
      </c>
      <c r="D1150" t="s">
        <v>70</v>
      </c>
      <c r="E1150" t="str">
        <f t="shared" si="17"/>
        <v>1241PH03PT</v>
      </c>
      <c r="F1150" t="str">
        <f>VLOOKUP(B1150,[1]Course!$A$2:$R$329,2,FALSE)</f>
        <v>Science 12</v>
      </c>
      <c r="G1150">
        <f>VLOOKUP(B1150, [1]Course!$A$2:$L$950, 8, FALSE)</f>
        <v>12</v>
      </c>
      <c r="H1150">
        <v>3</v>
      </c>
      <c r="I1150">
        <v>1</v>
      </c>
      <c r="J1150">
        <v>1987</v>
      </c>
      <c r="K1150">
        <v>2014</v>
      </c>
      <c r="L1150">
        <v>1</v>
      </c>
      <c r="M1150" t="str">
        <f>VLOOKUP(B1150, [1]Course!$A$1:$O$933, 12, FALSE)</f>
        <v>SC</v>
      </c>
      <c r="N1150" t="s">
        <v>14</v>
      </c>
      <c r="O1150" t="str">
        <f>VLOOKUP(B1150, [1]Course!$A$1:$O$933, 14, FALSE)</f>
        <v>PH</v>
      </c>
      <c r="P1150">
        <v>1</v>
      </c>
    </row>
    <row r="1151" spans="1:16" x14ac:dyDescent="0.25">
      <c r="A1151">
        <v>1154</v>
      </c>
      <c r="B1151">
        <v>117</v>
      </c>
      <c r="C1151">
        <v>142</v>
      </c>
      <c r="D1151" t="s">
        <v>70</v>
      </c>
      <c r="E1151" t="str">
        <f t="shared" si="17"/>
        <v>1242PH03PT</v>
      </c>
      <c r="F1151" t="str">
        <f>VLOOKUP(B1151,[1]Course!$A$2:$R$329,2,FALSE)</f>
        <v>Science 12</v>
      </c>
      <c r="G1151">
        <f>VLOOKUP(B1151, [1]Course!$A$2:$L$950, 8, FALSE)</f>
        <v>12</v>
      </c>
      <c r="H1151">
        <v>3</v>
      </c>
      <c r="I1151">
        <v>1</v>
      </c>
      <c r="J1151">
        <v>1987</v>
      </c>
      <c r="K1151">
        <v>2014</v>
      </c>
      <c r="L1151">
        <v>1</v>
      </c>
      <c r="M1151" t="str">
        <f>VLOOKUP(B1151, [1]Course!$A$1:$O$933, 12, FALSE)</f>
        <v>SC</v>
      </c>
      <c r="N1151" t="s">
        <v>14</v>
      </c>
      <c r="O1151" t="str">
        <f>VLOOKUP(B1151, [1]Course!$A$1:$O$933, 14, FALSE)</f>
        <v>PH</v>
      </c>
      <c r="P1151">
        <v>1</v>
      </c>
    </row>
    <row r="1152" spans="1:16" x14ac:dyDescent="0.25">
      <c r="A1152">
        <v>1155</v>
      </c>
      <c r="B1152">
        <v>117</v>
      </c>
      <c r="C1152">
        <v>143</v>
      </c>
      <c r="D1152" t="s">
        <v>70</v>
      </c>
      <c r="E1152" t="str">
        <f t="shared" si="17"/>
        <v>1243PH03PT</v>
      </c>
      <c r="F1152" t="str">
        <f>VLOOKUP(B1152,[1]Course!$A$2:$R$329,2,FALSE)</f>
        <v>Science 12</v>
      </c>
      <c r="G1152">
        <f>VLOOKUP(B1152, [1]Course!$A$2:$L$950, 8, FALSE)</f>
        <v>12</v>
      </c>
      <c r="H1152">
        <v>3</v>
      </c>
      <c r="I1152">
        <v>1</v>
      </c>
      <c r="J1152">
        <v>1987</v>
      </c>
      <c r="K1152">
        <v>2014</v>
      </c>
      <c r="L1152">
        <v>1</v>
      </c>
      <c r="M1152" t="str">
        <f>VLOOKUP(B1152, [1]Course!$A$1:$O$933, 12, FALSE)</f>
        <v>SC</v>
      </c>
      <c r="N1152" t="s">
        <v>14</v>
      </c>
      <c r="O1152" t="str">
        <f>VLOOKUP(B1152, [1]Course!$A$1:$O$933, 14, FALSE)</f>
        <v>PH</v>
      </c>
      <c r="P1152">
        <v>1</v>
      </c>
    </row>
    <row r="1153" spans="1:16" x14ac:dyDescent="0.25">
      <c r="A1153">
        <v>1156</v>
      </c>
      <c r="B1153">
        <v>117</v>
      </c>
      <c r="C1153">
        <v>144</v>
      </c>
      <c r="D1153" t="s">
        <v>70</v>
      </c>
      <c r="E1153" t="str">
        <f t="shared" si="17"/>
        <v>1244PH03PT</v>
      </c>
      <c r="F1153" t="str">
        <f>VLOOKUP(B1153,[1]Course!$A$2:$R$329,2,FALSE)</f>
        <v>Science 12</v>
      </c>
      <c r="G1153">
        <f>VLOOKUP(B1153, [1]Course!$A$2:$L$950, 8, FALSE)</f>
        <v>12</v>
      </c>
      <c r="H1153">
        <v>3</v>
      </c>
      <c r="I1153">
        <v>1</v>
      </c>
      <c r="J1153">
        <v>1987</v>
      </c>
      <c r="K1153">
        <v>1995</v>
      </c>
      <c r="L1153">
        <v>1</v>
      </c>
      <c r="M1153" t="str">
        <f>VLOOKUP(B1153, [1]Course!$A$1:$O$933, 12, FALSE)</f>
        <v>SC</v>
      </c>
      <c r="N1153" t="s">
        <v>14</v>
      </c>
      <c r="O1153" t="str">
        <f>VLOOKUP(B1153, [1]Course!$A$1:$O$933, 14, FALSE)</f>
        <v>PH</v>
      </c>
      <c r="P1153">
        <v>1</v>
      </c>
    </row>
    <row r="1154" spans="1:16" x14ac:dyDescent="0.25">
      <c r="A1154">
        <v>1157</v>
      </c>
      <c r="B1154">
        <v>118</v>
      </c>
      <c r="C1154">
        <v>85</v>
      </c>
      <c r="D1154" t="s">
        <v>71</v>
      </c>
      <c r="E1154" t="str">
        <f t="shared" si="17"/>
        <v>1285AH03PT</v>
      </c>
      <c r="F1154">
        <f>VLOOKUP(B1154,[1]Course!$A$2:$R$329,2,FALSE)</f>
        <v>0</v>
      </c>
      <c r="G1154">
        <f>VLOOKUP(B1154, [1]Course!$A$2:$L$950, 8, FALSE)</f>
        <v>12</v>
      </c>
      <c r="H1154">
        <v>3</v>
      </c>
      <c r="I1154">
        <v>1</v>
      </c>
      <c r="M1154" t="str">
        <f>VLOOKUP(B1154, [1]Course!$A$1:$O$933, 12, FALSE)</f>
        <v>SS</v>
      </c>
      <c r="N1154" t="s">
        <v>14</v>
      </c>
      <c r="O1154" t="str">
        <f>VLOOKUP(B1154, [1]Course!$A$1:$O$933, 14, FALSE)</f>
        <v>AH</v>
      </c>
      <c r="P1154">
        <v>1</v>
      </c>
    </row>
    <row r="1155" spans="1:16" x14ac:dyDescent="0.25">
      <c r="A1155">
        <v>1158</v>
      </c>
      <c r="B1155">
        <v>118</v>
      </c>
      <c r="C1155">
        <v>86</v>
      </c>
      <c r="D1155" t="s">
        <v>71</v>
      </c>
      <c r="E1155" t="str">
        <f t="shared" ref="E1155:E1218" si="18">UPPER(LEFT(G1155,2)) &amp; RIGHT("0" &amp; C1155, 2) &amp; D1155 &amp; RIGHT("0" &amp; H1155, 2) &amp; N1155</f>
        <v>1286AH03PT</v>
      </c>
      <c r="F1155">
        <f>VLOOKUP(B1155,[1]Course!$A$2:$R$329,2,FALSE)</f>
        <v>0</v>
      </c>
      <c r="G1155">
        <f>VLOOKUP(B1155, [1]Course!$A$2:$L$950, 8, FALSE)</f>
        <v>12</v>
      </c>
      <c r="H1155">
        <v>3</v>
      </c>
      <c r="I1155">
        <v>1</v>
      </c>
      <c r="M1155" t="str">
        <f>VLOOKUP(B1155, [1]Course!$A$1:$O$933, 12, FALSE)</f>
        <v>SS</v>
      </c>
      <c r="N1155" t="s">
        <v>14</v>
      </c>
      <c r="O1155" t="str">
        <f>VLOOKUP(B1155, [1]Course!$A$1:$O$933, 14, FALSE)</f>
        <v>AH</v>
      </c>
      <c r="P1155">
        <v>1</v>
      </c>
    </row>
    <row r="1156" spans="1:16" x14ac:dyDescent="0.25">
      <c r="A1156">
        <v>1159</v>
      </c>
      <c r="B1156">
        <v>118</v>
      </c>
      <c r="C1156">
        <v>87</v>
      </c>
      <c r="D1156" t="s">
        <v>71</v>
      </c>
      <c r="E1156" t="str">
        <f t="shared" si="18"/>
        <v>1287AH03PT</v>
      </c>
      <c r="F1156">
        <f>VLOOKUP(B1156,[1]Course!$A$2:$R$329,2,FALSE)</f>
        <v>0</v>
      </c>
      <c r="G1156">
        <f>VLOOKUP(B1156, [1]Course!$A$2:$L$950, 8, FALSE)</f>
        <v>12</v>
      </c>
      <c r="H1156">
        <v>3</v>
      </c>
      <c r="I1156">
        <v>1</v>
      </c>
      <c r="M1156" t="str">
        <f>VLOOKUP(B1156, [1]Course!$A$1:$O$933, 12, FALSE)</f>
        <v>SS</v>
      </c>
      <c r="N1156" t="s">
        <v>14</v>
      </c>
      <c r="O1156" t="str">
        <f>VLOOKUP(B1156, [1]Course!$A$1:$O$933, 14, FALSE)</f>
        <v>AH</v>
      </c>
      <c r="P1156">
        <v>1</v>
      </c>
    </row>
    <row r="1157" spans="1:16" x14ac:dyDescent="0.25">
      <c r="A1157">
        <v>1160</v>
      </c>
      <c r="B1157">
        <v>118</v>
      </c>
      <c r="C1157">
        <v>88</v>
      </c>
      <c r="D1157" t="s">
        <v>71</v>
      </c>
      <c r="E1157" t="str">
        <f t="shared" si="18"/>
        <v>1288AH03PT</v>
      </c>
      <c r="F1157">
        <f>VLOOKUP(B1157,[1]Course!$A$2:$R$329,2,FALSE)</f>
        <v>0</v>
      </c>
      <c r="G1157">
        <f>VLOOKUP(B1157, [1]Course!$A$2:$L$950, 8, FALSE)</f>
        <v>12</v>
      </c>
      <c r="H1157">
        <v>3</v>
      </c>
      <c r="I1157">
        <v>1</v>
      </c>
      <c r="M1157" t="str">
        <f>VLOOKUP(B1157, [1]Course!$A$1:$O$933, 12, FALSE)</f>
        <v>SS</v>
      </c>
      <c r="N1157" t="s">
        <v>14</v>
      </c>
      <c r="O1157" t="str">
        <f>VLOOKUP(B1157, [1]Course!$A$1:$O$933, 14, FALSE)</f>
        <v>AH</v>
      </c>
      <c r="P1157">
        <v>1</v>
      </c>
    </row>
    <row r="1158" spans="1:16" x14ac:dyDescent="0.25">
      <c r="A1158">
        <v>1161</v>
      </c>
      <c r="B1158">
        <v>118</v>
      </c>
      <c r="C1158">
        <v>89</v>
      </c>
      <c r="D1158" t="s">
        <v>71</v>
      </c>
      <c r="E1158" t="str">
        <f t="shared" si="18"/>
        <v>1289AH03PT</v>
      </c>
      <c r="F1158">
        <f>VLOOKUP(B1158,[1]Course!$A$2:$R$329,2,FALSE)</f>
        <v>0</v>
      </c>
      <c r="G1158">
        <f>VLOOKUP(B1158, [1]Course!$A$2:$L$950, 8, FALSE)</f>
        <v>12</v>
      </c>
      <c r="H1158">
        <v>3</v>
      </c>
      <c r="I1158">
        <v>1</v>
      </c>
      <c r="M1158" t="str">
        <f>VLOOKUP(B1158, [1]Course!$A$1:$O$933, 12, FALSE)</f>
        <v>SS</v>
      </c>
      <c r="N1158" t="s">
        <v>14</v>
      </c>
      <c r="O1158" t="str">
        <f>VLOOKUP(B1158, [1]Course!$A$1:$O$933, 14, FALSE)</f>
        <v>AH</v>
      </c>
      <c r="P1158">
        <v>1</v>
      </c>
    </row>
    <row r="1159" spans="1:16" x14ac:dyDescent="0.25">
      <c r="A1159">
        <v>1162</v>
      </c>
      <c r="B1159">
        <v>118</v>
      </c>
      <c r="C1159">
        <v>90</v>
      </c>
      <c r="D1159" t="s">
        <v>71</v>
      </c>
      <c r="E1159" t="str">
        <f t="shared" si="18"/>
        <v>1290AH03PT</v>
      </c>
      <c r="F1159">
        <f>VLOOKUP(B1159,[1]Course!$A$2:$R$329,2,FALSE)</f>
        <v>0</v>
      </c>
      <c r="G1159">
        <f>VLOOKUP(B1159, [1]Course!$A$2:$L$950, 8, FALSE)</f>
        <v>12</v>
      </c>
      <c r="H1159">
        <v>3</v>
      </c>
      <c r="I1159">
        <v>1</v>
      </c>
      <c r="M1159" t="str">
        <f>VLOOKUP(B1159, [1]Course!$A$1:$O$933, 12, FALSE)</f>
        <v>SS</v>
      </c>
      <c r="N1159" t="s">
        <v>14</v>
      </c>
      <c r="O1159" t="str">
        <f>VLOOKUP(B1159, [1]Course!$A$1:$O$933, 14, FALSE)</f>
        <v>AH</v>
      </c>
      <c r="P1159">
        <v>1</v>
      </c>
    </row>
    <row r="1160" spans="1:16" x14ac:dyDescent="0.25">
      <c r="A1160">
        <v>1163</v>
      </c>
      <c r="B1160">
        <v>118</v>
      </c>
      <c r="C1160">
        <v>91</v>
      </c>
      <c r="D1160" t="s">
        <v>71</v>
      </c>
      <c r="E1160" t="str">
        <f t="shared" si="18"/>
        <v>1291AH03PT</v>
      </c>
      <c r="F1160">
        <f>VLOOKUP(B1160,[1]Course!$A$2:$R$329,2,FALSE)</f>
        <v>0</v>
      </c>
      <c r="G1160">
        <f>VLOOKUP(B1160, [1]Course!$A$2:$L$950, 8, FALSE)</f>
        <v>12</v>
      </c>
      <c r="H1160">
        <v>3</v>
      </c>
      <c r="I1160">
        <v>1</v>
      </c>
      <c r="M1160" t="str">
        <f>VLOOKUP(B1160, [1]Course!$A$1:$O$933, 12, FALSE)</f>
        <v>SS</v>
      </c>
      <c r="N1160" t="s">
        <v>14</v>
      </c>
      <c r="O1160" t="str">
        <f>VLOOKUP(B1160, [1]Course!$A$1:$O$933, 14, FALSE)</f>
        <v>AH</v>
      </c>
      <c r="P1160">
        <v>1</v>
      </c>
    </row>
    <row r="1161" spans="1:16" x14ac:dyDescent="0.25">
      <c r="A1161">
        <v>1164</v>
      </c>
      <c r="B1161">
        <v>118</v>
      </c>
      <c r="C1161">
        <v>92</v>
      </c>
      <c r="D1161" t="s">
        <v>71</v>
      </c>
      <c r="E1161" t="str">
        <f t="shared" si="18"/>
        <v>1292AH03PT</v>
      </c>
      <c r="F1161">
        <f>VLOOKUP(B1161,[1]Course!$A$2:$R$329,2,FALSE)</f>
        <v>0</v>
      </c>
      <c r="G1161">
        <f>VLOOKUP(B1161, [1]Course!$A$2:$L$950, 8, FALSE)</f>
        <v>12</v>
      </c>
      <c r="H1161">
        <v>3</v>
      </c>
      <c r="I1161">
        <v>1</v>
      </c>
      <c r="M1161" t="str">
        <f>VLOOKUP(B1161, [1]Course!$A$1:$O$933, 12, FALSE)</f>
        <v>SS</v>
      </c>
      <c r="N1161" t="s">
        <v>14</v>
      </c>
      <c r="O1161" t="str">
        <f>VLOOKUP(B1161, [1]Course!$A$1:$O$933, 14, FALSE)</f>
        <v>AH</v>
      </c>
      <c r="P1161">
        <v>1</v>
      </c>
    </row>
    <row r="1162" spans="1:16" x14ac:dyDescent="0.25">
      <c r="A1162">
        <v>1165</v>
      </c>
      <c r="B1162">
        <v>118</v>
      </c>
      <c r="C1162">
        <v>93</v>
      </c>
      <c r="D1162" t="s">
        <v>71</v>
      </c>
      <c r="E1162" t="str">
        <f t="shared" si="18"/>
        <v>1293AH03PT</v>
      </c>
      <c r="F1162">
        <f>VLOOKUP(B1162,[1]Course!$A$2:$R$329,2,FALSE)</f>
        <v>0</v>
      </c>
      <c r="G1162">
        <f>VLOOKUP(B1162, [1]Course!$A$2:$L$950, 8, FALSE)</f>
        <v>12</v>
      </c>
      <c r="H1162">
        <v>3</v>
      </c>
      <c r="I1162">
        <v>1</v>
      </c>
      <c r="M1162" t="str">
        <f>VLOOKUP(B1162, [1]Course!$A$1:$O$933, 12, FALSE)</f>
        <v>SS</v>
      </c>
      <c r="N1162" t="s">
        <v>14</v>
      </c>
      <c r="O1162" t="str">
        <f>VLOOKUP(B1162, [1]Course!$A$1:$O$933, 14, FALSE)</f>
        <v>AH</v>
      </c>
      <c r="P1162">
        <v>1</v>
      </c>
    </row>
    <row r="1163" spans="1:16" x14ac:dyDescent="0.25">
      <c r="A1163">
        <v>1166</v>
      </c>
      <c r="B1163">
        <v>118</v>
      </c>
      <c r="C1163">
        <v>94</v>
      </c>
      <c r="D1163" t="s">
        <v>71</v>
      </c>
      <c r="E1163" t="str">
        <f t="shared" si="18"/>
        <v>1294AH03PT</v>
      </c>
      <c r="F1163">
        <f>VLOOKUP(B1163,[1]Course!$A$2:$R$329,2,FALSE)</f>
        <v>0</v>
      </c>
      <c r="G1163">
        <f>VLOOKUP(B1163, [1]Course!$A$2:$L$950, 8, FALSE)</f>
        <v>12</v>
      </c>
      <c r="H1163">
        <v>3</v>
      </c>
      <c r="I1163">
        <v>1</v>
      </c>
      <c r="M1163" t="str">
        <f>VLOOKUP(B1163, [1]Course!$A$1:$O$933, 12, FALSE)</f>
        <v>SS</v>
      </c>
      <c r="N1163" t="s">
        <v>14</v>
      </c>
      <c r="O1163" t="str">
        <f>VLOOKUP(B1163, [1]Course!$A$1:$O$933, 14, FALSE)</f>
        <v>AH</v>
      </c>
      <c r="P1163">
        <v>1</v>
      </c>
    </row>
    <row r="1164" spans="1:16" x14ac:dyDescent="0.25">
      <c r="A1164">
        <v>1167</v>
      </c>
      <c r="B1164">
        <v>118</v>
      </c>
      <c r="C1164">
        <v>95</v>
      </c>
      <c r="D1164" t="s">
        <v>71</v>
      </c>
      <c r="E1164" t="str">
        <f t="shared" si="18"/>
        <v>1295AH03PT</v>
      </c>
      <c r="F1164">
        <f>VLOOKUP(B1164,[1]Course!$A$2:$R$329,2,FALSE)</f>
        <v>0</v>
      </c>
      <c r="G1164">
        <f>VLOOKUP(B1164, [1]Course!$A$2:$L$950, 8, FALSE)</f>
        <v>12</v>
      </c>
      <c r="H1164">
        <v>3</v>
      </c>
      <c r="I1164">
        <v>1</v>
      </c>
      <c r="M1164" t="str">
        <f>VLOOKUP(B1164, [1]Course!$A$1:$O$933, 12, FALSE)</f>
        <v>SS</v>
      </c>
      <c r="N1164" t="s">
        <v>14</v>
      </c>
      <c r="O1164" t="str">
        <f>VLOOKUP(B1164, [1]Course!$A$1:$O$933, 14, FALSE)</f>
        <v>AH</v>
      </c>
      <c r="P1164">
        <v>1</v>
      </c>
    </row>
    <row r="1165" spans="1:16" x14ac:dyDescent="0.25">
      <c r="A1165">
        <v>1168</v>
      </c>
      <c r="B1165">
        <v>118</v>
      </c>
      <c r="C1165">
        <v>96</v>
      </c>
      <c r="D1165" t="s">
        <v>71</v>
      </c>
      <c r="E1165" t="str">
        <f t="shared" si="18"/>
        <v>1296AH03PT</v>
      </c>
      <c r="F1165">
        <f>VLOOKUP(B1165,[1]Course!$A$2:$R$329,2,FALSE)</f>
        <v>0</v>
      </c>
      <c r="G1165">
        <f>VLOOKUP(B1165, [1]Course!$A$2:$L$950, 8, FALSE)</f>
        <v>12</v>
      </c>
      <c r="H1165">
        <v>3</v>
      </c>
      <c r="I1165">
        <v>1</v>
      </c>
      <c r="M1165" t="str">
        <f>VLOOKUP(B1165, [1]Course!$A$1:$O$933, 12, FALSE)</f>
        <v>SS</v>
      </c>
      <c r="N1165" t="s">
        <v>14</v>
      </c>
      <c r="O1165" t="str">
        <f>VLOOKUP(B1165, [1]Course!$A$1:$O$933, 14, FALSE)</f>
        <v>AH</v>
      </c>
      <c r="P1165">
        <v>1</v>
      </c>
    </row>
    <row r="1166" spans="1:16" x14ac:dyDescent="0.25">
      <c r="A1166">
        <v>1169</v>
      </c>
      <c r="B1166">
        <v>164</v>
      </c>
      <c r="C1166">
        <v>133</v>
      </c>
      <c r="D1166" t="s">
        <v>72</v>
      </c>
      <c r="E1166" t="str">
        <f t="shared" si="18"/>
        <v>633CE03PT</v>
      </c>
      <c r="F1166" t="str">
        <f>VLOOKUP(B1166,[1]Course!$A$2:$R$329,2,FALSE)</f>
        <v>U.S. Civics</v>
      </c>
      <c r="G1166">
        <f>VLOOKUP(B1166, [1]Course!$A$2:$L$950, 8, FALSE)</f>
        <v>6</v>
      </c>
      <c r="H1166">
        <v>3</v>
      </c>
      <c r="I1166">
        <v>1</v>
      </c>
      <c r="J1166">
        <v>1997</v>
      </c>
      <c r="K1166" t="s">
        <v>92</v>
      </c>
      <c r="L1166">
        <v>1</v>
      </c>
      <c r="M1166" t="str">
        <f>VLOOKUP(B1166, [1]Course!$A$1:$O$933, 12, FALSE)</f>
        <v>SS</v>
      </c>
      <c r="N1166" t="s">
        <v>14</v>
      </c>
      <c r="O1166" t="str">
        <f>VLOOKUP(B1166, [1]Course!$A$1:$O$933, 14, FALSE)</f>
        <v>USCI</v>
      </c>
      <c r="P1166">
        <v>1</v>
      </c>
    </row>
    <row r="1167" spans="1:16" x14ac:dyDescent="0.25">
      <c r="A1167">
        <v>1170</v>
      </c>
      <c r="B1167">
        <v>164</v>
      </c>
      <c r="C1167">
        <v>134</v>
      </c>
      <c r="D1167" t="s">
        <v>72</v>
      </c>
      <c r="E1167" t="str">
        <f t="shared" si="18"/>
        <v>634CE03PT</v>
      </c>
      <c r="F1167" t="str">
        <f>VLOOKUP(B1167,[1]Course!$A$2:$R$329,2,FALSE)</f>
        <v>U.S. Civics</v>
      </c>
      <c r="G1167">
        <f>VLOOKUP(B1167, [1]Course!$A$2:$L$950, 8, FALSE)</f>
        <v>6</v>
      </c>
      <c r="H1167">
        <v>3</v>
      </c>
      <c r="I1167">
        <v>1</v>
      </c>
      <c r="J1167">
        <v>1997</v>
      </c>
      <c r="K1167" t="s">
        <v>92</v>
      </c>
      <c r="L1167">
        <v>1</v>
      </c>
      <c r="M1167" t="str">
        <f>VLOOKUP(B1167, [1]Course!$A$1:$O$933, 12, FALSE)</f>
        <v>SS</v>
      </c>
      <c r="N1167" t="s">
        <v>14</v>
      </c>
      <c r="O1167" t="str">
        <f>VLOOKUP(B1167, [1]Course!$A$1:$O$933, 14, FALSE)</f>
        <v>USCI</v>
      </c>
      <c r="P1167">
        <v>1</v>
      </c>
    </row>
    <row r="1168" spans="1:16" x14ac:dyDescent="0.25">
      <c r="A1168">
        <v>1171</v>
      </c>
      <c r="B1168">
        <v>164</v>
      </c>
      <c r="C1168">
        <v>135</v>
      </c>
      <c r="D1168" t="s">
        <v>72</v>
      </c>
      <c r="E1168" t="str">
        <f t="shared" si="18"/>
        <v>635CE03PT</v>
      </c>
      <c r="F1168" t="str">
        <f>VLOOKUP(B1168,[1]Course!$A$2:$R$329,2,FALSE)</f>
        <v>U.S. Civics</v>
      </c>
      <c r="G1168">
        <f>VLOOKUP(B1168, [1]Course!$A$2:$L$950, 8, FALSE)</f>
        <v>6</v>
      </c>
      <c r="H1168">
        <v>3</v>
      </c>
      <c r="I1168">
        <v>1</v>
      </c>
      <c r="J1168">
        <v>1997</v>
      </c>
      <c r="K1168">
        <v>1999</v>
      </c>
      <c r="L1168">
        <v>1</v>
      </c>
      <c r="M1168" t="str">
        <f>VLOOKUP(B1168, [1]Course!$A$1:$O$933, 12, FALSE)</f>
        <v>SS</v>
      </c>
      <c r="N1168" t="s">
        <v>14</v>
      </c>
      <c r="O1168" t="str">
        <f>VLOOKUP(B1168, [1]Course!$A$1:$O$933, 14, FALSE)</f>
        <v>USCI</v>
      </c>
      <c r="P1168">
        <v>1</v>
      </c>
    </row>
    <row r="1169" spans="1:16" x14ac:dyDescent="0.25">
      <c r="A1169">
        <v>1172</v>
      </c>
      <c r="B1169">
        <v>164</v>
      </c>
      <c r="C1169">
        <v>136</v>
      </c>
      <c r="D1169" t="s">
        <v>72</v>
      </c>
      <c r="E1169" t="str">
        <f t="shared" si="18"/>
        <v>636CE03PT</v>
      </c>
      <c r="F1169" t="str">
        <f>VLOOKUP(B1169,[1]Course!$A$2:$R$329,2,FALSE)</f>
        <v>U.S. Civics</v>
      </c>
      <c r="G1169">
        <f>VLOOKUP(B1169, [1]Course!$A$2:$L$950, 8, FALSE)</f>
        <v>6</v>
      </c>
      <c r="H1169">
        <v>3</v>
      </c>
      <c r="I1169">
        <v>1</v>
      </c>
      <c r="J1169">
        <v>1997</v>
      </c>
      <c r="K1169" t="s">
        <v>92</v>
      </c>
      <c r="L1169">
        <v>2</v>
      </c>
      <c r="M1169" t="str">
        <f>VLOOKUP(B1169, [1]Course!$A$1:$O$933, 12, FALSE)</f>
        <v>SS</v>
      </c>
      <c r="N1169" t="s">
        <v>14</v>
      </c>
      <c r="O1169" t="str">
        <f>VLOOKUP(B1169, [1]Course!$A$1:$O$933, 14, FALSE)</f>
        <v>USCI</v>
      </c>
      <c r="P1169">
        <v>1</v>
      </c>
    </row>
    <row r="1170" spans="1:16" x14ac:dyDescent="0.25">
      <c r="A1170">
        <v>1173</v>
      </c>
      <c r="B1170">
        <v>164</v>
      </c>
      <c r="C1170">
        <v>137</v>
      </c>
      <c r="D1170" t="s">
        <v>72</v>
      </c>
      <c r="E1170" t="str">
        <f t="shared" si="18"/>
        <v>637CE03PT</v>
      </c>
      <c r="F1170" t="str">
        <f>VLOOKUP(B1170,[1]Course!$A$2:$R$329,2,FALSE)</f>
        <v>U.S. Civics</v>
      </c>
      <c r="G1170">
        <f>VLOOKUP(B1170, [1]Course!$A$2:$L$950, 8, FALSE)</f>
        <v>6</v>
      </c>
      <c r="H1170">
        <v>3</v>
      </c>
      <c r="I1170">
        <v>1</v>
      </c>
      <c r="J1170">
        <v>1997</v>
      </c>
      <c r="K1170" t="s">
        <v>92</v>
      </c>
      <c r="L1170">
        <v>1</v>
      </c>
      <c r="M1170" t="str">
        <f>VLOOKUP(B1170, [1]Course!$A$1:$O$933, 12, FALSE)</f>
        <v>SS</v>
      </c>
      <c r="N1170" t="s">
        <v>14</v>
      </c>
      <c r="O1170" t="str">
        <f>VLOOKUP(B1170, [1]Course!$A$1:$O$933, 14, FALSE)</f>
        <v>USCI</v>
      </c>
      <c r="P1170">
        <v>1</v>
      </c>
    </row>
    <row r="1171" spans="1:16" x14ac:dyDescent="0.25">
      <c r="A1171">
        <v>1174</v>
      </c>
      <c r="B1171">
        <v>164</v>
      </c>
      <c r="C1171">
        <v>138</v>
      </c>
      <c r="D1171" t="s">
        <v>72</v>
      </c>
      <c r="E1171" t="str">
        <f t="shared" si="18"/>
        <v>638CE03PT</v>
      </c>
      <c r="F1171" t="str">
        <f>VLOOKUP(B1171,[1]Course!$A$2:$R$329,2,FALSE)</f>
        <v>U.S. Civics</v>
      </c>
      <c r="G1171">
        <f>VLOOKUP(B1171, [1]Course!$A$2:$L$950, 8, FALSE)</f>
        <v>6</v>
      </c>
      <c r="H1171">
        <v>3</v>
      </c>
      <c r="I1171">
        <v>1</v>
      </c>
      <c r="J1171">
        <v>1997</v>
      </c>
      <c r="K1171">
        <v>1999</v>
      </c>
      <c r="L1171">
        <v>1</v>
      </c>
      <c r="M1171" t="str">
        <f>VLOOKUP(B1171, [1]Course!$A$1:$O$933, 12, FALSE)</f>
        <v>SS</v>
      </c>
      <c r="N1171" t="s">
        <v>14</v>
      </c>
      <c r="O1171" t="str">
        <f>VLOOKUP(B1171, [1]Course!$A$1:$O$933, 14, FALSE)</f>
        <v>USCI</v>
      </c>
      <c r="P1171">
        <v>1</v>
      </c>
    </row>
    <row r="1172" spans="1:16" x14ac:dyDescent="0.25">
      <c r="A1172">
        <v>1175</v>
      </c>
      <c r="B1172">
        <v>165</v>
      </c>
      <c r="C1172">
        <v>139</v>
      </c>
      <c r="D1172" t="s">
        <v>72</v>
      </c>
      <c r="E1172" t="str">
        <f t="shared" si="18"/>
        <v>639CE03PT</v>
      </c>
      <c r="F1172" t="str">
        <f>VLOOKUP(B1172,[1]Course!$A$2:$R$329,2,FALSE)</f>
        <v>Economics</v>
      </c>
      <c r="G1172">
        <f>VLOOKUP(B1172, [1]Course!$A$2:$L$950, 8, FALSE)</f>
        <v>6</v>
      </c>
      <c r="H1172">
        <v>3</v>
      </c>
      <c r="I1172">
        <v>1</v>
      </c>
      <c r="J1172">
        <v>1998</v>
      </c>
      <c r="K1172">
        <v>2000</v>
      </c>
      <c r="L1172">
        <v>1</v>
      </c>
      <c r="M1172" t="str">
        <f>VLOOKUP(B1172, [1]Course!$A$1:$O$933, 12, FALSE)</f>
        <v>SS</v>
      </c>
      <c r="N1172" t="s">
        <v>14</v>
      </c>
      <c r="O1172" t="str">
        <f>VLOOKUP(B1172, [1]Course!$A$1:$O$933, 14, FALSE)</f>
        <v>ECON</v>
      </c>
      <c r="P1172">
        <v>1</v>
      </c>
    </row>
    <row r="1173" spans="1:16" x14ac:dyDescent="0.25">
      <c r="A1173">
        <v>1176</v>
      </c>
      <c r="B1173">
        <v>165</v>
      </c>
      <c r="C1173">
        <v>140</v>
      </c>
      <c r="D1173" t="s">
        <v>72</v>
      </c>
      <c r="E1173" t="str">
        <f t="shared" si="18"/>
        <v>640CE03PT</v>
      </c>
      <c r="F1173" t="str">
        <f>VLOOKUP(B1173,[1]Course!$A$2:$R$329,2,FALSE)</f>
        <v>Economics</v>
      </c>
      <c r="G1173">
        <f>VLOOKUP(B1173, [1]Course!$A$2:$L$950, 8, FALSE)</f>
        <v>6</v>
      </c>
      <c r="H1173">
        <v>3</v>
      </c>
      <c r="I1173">
        <v>1</v>
      </c>
      <c r="J1173">
        <v>1998</v>
      </c>
      <c r="K1173">
        <v>2016</v>
      </c>
      <c r="L1173">
        <v>1</v>
      </c>
      <c r="M1173" t="str">
        <f>VLOOKUP(B1173, [1]Course!$A$1:$O$933, 12, FALSE)</f>
        <v>SS</v>
      </c>
      <c r="N1173" t="s">
        <v>14</v>
      </c>
      <c r="O1173" t="str">
        <f>VLOOKUP(B1173, [1]Course!$A$1:$O$933, 14, FALSE)</f>
        <v>ECON</v>
      </c>
      <c r="P1173">
        <v>1</v>
      </c>
    </row>
    <row r="1174" spans="1:16" x14ac:dyDescent="0.25">
      <c r="A1174">
        <v>1177</v>
      </c>
      <c r="B1174">
        <v>165</v>
      </c>
      <c r="C1174">
        <v>141</v>
      </c>
      <c r="D1174" t="s">
        <v>72</v>
      </c>
      <c r="E1174" t="str">
        <f t="shared" si="18"/>
        <v>641CE03PT</v>
      </c>
      <c r="F1174" t="str">
        <f>VLOOKUP(B1174,[1]Course!$A$2:$R$329,2,FALSE)</f>
        <v>Economics</v>
      </c>
      <c r="G1174">
        <f>VLOOKUP(B1174, [1]Course!$A$2:$L$950, 8, FALSE)</f>
        <v>6</v>
      </c>
      <c r="H1174">
        <v>3</v>
      </c>
      <c r="I1174">
        <v>1</v>
      </c>
      <c r="J1174">
        <v>1998</v>
      </c>
      <c r="K1174" t="s">
        <v>92</v>
      </c>
      <c r="L1174">
        <v>1</v>
      </c>
      <c r="M1174" t="str">
        <f>VLOOKUP(B1174, [1]Course!$A$1:$O$933, 12, FALSE)</f>
        <v>SS</v>
      </c>
      <c r="N1174" t="s">
        <v>14</v>
      </c>
      <c r="O1174" t="str">
        <f>VLOOKUP(B1174, [1]Course!$A$1:$O$933, 14, FALSE)</f>
        <v>ECON</v>
      </c>
      <c r="P1174">
        <v>1</v>
      </c>
    </row>
    <row r="1175" spans="1:16" x14ac:dyDescent="0.25">
      <c r="A1175">
        <v>1178</v>
      </c>
      <c r="B1175">
        <v>165</v>
      </c>
      <c r="C1175">
        <v>142</v>
      </c>
      <c r="D1175" t="s">
        <v>72</v>
      </c>
      <c r="E1175" t="str">
        <f t="shared" si="18"/>
        <v>642CE03PT</v>
      </c>
      <c r="F1175" t="str">
        <f>VLOOKUP(B1175,[1]Course!$A$2:$R$329,2,FALSE)</f>
        <v>Economics</v>
      </c>
      <c r="G1175">
        <f>VLOOKUP(B1175, [1]Course!$A$2:$L$950, 8, FALSE)</f>
        <v>6</v>
      </c>
      <c r="H1175">
        <v>3</v>
      </c>
      <c r="I1175">
        <v>1</v>
      </c>
      <c r="J1175">
        <v>1998</v>
      </c>
      <c r="K1175" t="s">
        <v>92</v>
      </c>
      <c r="L1175">
        <v>1</v>
      </c>
      <c r="M1175" t="str">
        <f>VLOOKUP(B1175, [1]Course!$A$1:$O$933, 12, FALSE)</f>
        <v>SS</v>
      </c>
      <c r="N1175" t="s">
        <v>14</v>
      </c>
      <c r="O1175" t="str">
        <f>VLOOKUP(B1175, [1]Course!$A$1:$O$933, 14, FALSE)</f>
        <v>ECON</v>
      </c>
      <c r="P1175">
        <v>1</v>
      </c>
    </row>
    <row r="1176" spans="1:16" x14ac:dyDescent="0.25">
      <c r="A1176">
        <v>1179</v>
      </c>
      <c r="B1176">
        <v>165</v>
      </c>
      <c r="C1176">
        <v>143</v>
      </c>
      <c r="D1176" t="s">
        <v>72</v>
      </c>
      <c r="E1176" t="str">
        <f t="shared" si="18"/>
        <v>643CE03PT</v>
      </c>
      <c r="F1176" t="str">
        <f>VLOOKUP(B1176,[1]Course!$A$2:$R$329,2,FALSE)</f>
        <v>Economics</v>
      </c>
      <c r="G1176">
        <f>VLOOKUP(B1176, [1]Course!$A$2:$L$950, 8, FALSE)</f>
        <v>6</v>
      </c>
      <c r="H1176">
        <v>3</v>
      </c>
      <c r="I1176">
        <v>1</v>
      </c>
      <c r="J1176">
        <v>1998</v>
      </c>
      <c r="K1176" t="s">
        <v>92</v>
      </c>
      <c r="L1176">
        <v>1</v>
      </c>
      <c r="M1176" t="str">
        <f>VLOOKUP(B1176, [1]Course!$A$1:$O$933, 12, FALSE)</f>
        <v>SS</v>
      </c>
      <c r="N1176" t="s">
        <v>14</v>
      </c>
      <c r="O1176" t="str">
        <f>VLOOKUP(B1176, [1]Course!$A$1:$O$933, 14, FALSE)</f>
        <v>ECON</v>
      </c>
      <c r="P1176">
        <v>1</v>
      </c>
    </row>
    <row r="1177" spans="1:16" x14ac:dyDescent="0.25">
      <c r="A1177">
        <v>1180</v>
      </c>
      <c r="B1177">
        <v>165</v>
      </c>
      <c r="C1177">
        <v>144</v>
      </c>
      <c r="D1177" t="s">
        <v>72</v>
      </c>
      <c r="E1177" t="str">
        <f t="shared" si="18"/>
        <v>644CE03PT</v>
      </c>
      <c r="F1177" t="str">
        <f>VLOOKUP(B1177,[1]Course!$A$2:$R$329,2,FALSE)</f>
        <v>Economics</v>
      </c>
      <c r="G1177">
        <f>VLOOKUP(B1177, [1]Course!$A$2:$L$950, 8, FALSE)</f>
        <v>6</v>
      </c>
      <c r="H1177">
        <v>3</v>
      </c>
      <c r="I1177">
        <v>1</v>
      </c>
      <c r="J1177">
        <v>1998</v>
      </c>
      <c r="K1177" t="s">
        <v>92</v>
      </c>
      <c r="L1177">
        <v>1</v>
      </c>
      <c r="M1177" t="str">
        <f>VLOOKUP(B1177, [1]Course!$A$1:$O$933, 12, FALSE)</f>
        <v>SS</v>
      </c>
      <c r="N1177" t="s">
        <v>14</v>
      </c>
      <c r="O1177" t="str">
        <f>VLOOKUP(B1177, [1]Course!$A$1:$O$933, 14, FALSE)</f>
        <v>ECON</v>
      </c>
      <c r="P1177">
        <v>1</v>
      </c>
    </row>
    <row r="1178" spans="1:16" x14ac:dyDescent="0.25">
      <c r="A1178">
        <v>1181</v>
      </c>
      <c r="B1178">
        <v>120</v>
      </c>
      <c r="C1178">
        <v>133</v>
      </c>
      <c r="D1178" t="s">
        <v>73</v>
      </c>
      <c r="E1178" t="str">
        <f t="shared" si="18"/>
        <v>633CO03PT</v>
      </c>
      <c r="F1178">
        <f>VLOOKUP(B1178,[1]Course!$A$2:$R$329,2,FALSE)</f>
        <v>0</v>
      </c>
      <c r="G1178">
        <f>VLOOKUP(B1178, [1]Course!$A$2:$L$950, 8, FALSE)</f>
        <v>6</v>
      </c>
      <c r="H1178">
        <v>3</v>
      </c>
      <c r="I1178">
        <v>1</v>
      </c>
      <c r="M1178" t="str">
        <f>VLOOKUP(B1178, [1]Course!$A$1:$O$933, 12, FALSE)</f>
        <v>SS</v>
      </c>
      <c r="N1178" t="s">
        <v>14</v>
      </c>
      <c r="O1178" t="str">
        <f>VLOOKUP(B1178, [1]Course!$A$1:$O$933, 14, FALSE)</f>
        <v>CO</v>
      </c>
      <c r="P1178">
        <v>1</v>
      </c>
    </row>
    <row r="1179" spans="1:16" x14ac:dyDescent="0.25">
      <c r="A1179">
        <v>1182</v>
      </c>
      <c r="B1179">
        <v>120</v>
      </c>
      <c r="C1179">
        <v>134</v>
      </c>
      <c r="D1179" t="s">
        <v>73</v>
      </c>
      <c r="E1179" t="str">
        <f t="shared" si="18"/>
        <v>634CO03PT</v>
      </c>
      <c r="F1179">
        <f>VLOOKUP(B1179,[1]Course!$A$2:$R$329,2,FALSE)</f>
        <v>0</v>
      </c>
      <c r="G1179">
        <f>VLOOKUP(B1179, [1]Course!$A$2:$L$950, 8, FALSE)</f>
        <v>6</v>
      </c>
      <c r="H1179">
        <v>3</v>
      </c>
      <c r="I1179">
        <v>1</v>
      </c>
      <c r="M1179" t="str">
        <f>VLOOKUP(B1179, [1]Course!$A$1:$O$933, 12, FALSE)</f>
        <v>SS</v>
      </c>
      <c r="N1179" t="s">
        <v>14</v>
      </c>
      <c r="O1179" t="str">
        <f>VLOOKUP(B1179, [1]Course!$A$1:$O$933, 14, FALSE)</f>
        <v>CO</v>
      </c>
      <c r="P1179">
        <v>1</v>
      </c>
    </row>
    <row r="1180" spans="1:16" x14ac:dyDescent="0.25">
      <c r="A1180">
        <v>1183</v>
      </c>
      <c r="B1180">
        <v>120</v>
      </c>
      <c r="C1180">
        <v>135</v>
      </c>
      <c r="D1180" t="s">
        <v>73</v>
      </c>
      <c r="E1180" t="str">
        <f t="shared" si="18"/>
        <v>635CO03PT</v>
      </c>
      <c r="F1180">
        <f>VLOOKUP(B1180,[1]Course!$A$2:$R$329,2,FALSE)</f>
        <v>0</v>
      </c>
      <c r="G1180">
        <f>VLOOKUP(B1180, [1]Course!$A$2:$L$950, 8, FALSE)</f>
        <v>6</v>
      </c>
      <c r="H1180">
        <v>3</v>
      </c>
      <c r="I1180">
        <v>1</v>
      </c>
      <c r="M1180" t="str">
        <f>VLOOKUP(B1180, [1]Course!$A$1:$O$933, 12, FALSE)</f>
        <v>SS</v>
      </c>
      <c r="N1180" t="s">
        <v>14</v>
      </c>
      <c r="O1180" t="str">
        <f>VLOOKUP(B1180, [1]Course!$A$1:$O$933, 14, FALSE)</f>
        <v>CO</v>
      </c>
      <c r="P1180">
        <v>1</v>
      </c>
    </row>
    <row r="1181" spans="1:16" x14ac:dyDescent="0.25">
      <c r="A1181">
        <v>1184</v>
      </c>
      <c r="B1181">
        <v>120</v>
      </c>
      <c r="C1181">
        <v>136</v>
      </c>
      <c r="D1181" t="s">
        <v>73</v>
      </c>
      <c r="E1181" t="str">
        <f t="shared" si="18"/>
        <v>636CO03PT</v>
      </c>
      <c r="F1181">
        <f>VLOOKUP(B1181,[1]Course!$A$2:$R$329,2,FALSE)</f>
        <v>0</v>
      </c>
      <c r="G1181">
        <f>VLOOKUP(B1181, [1]Course!$A$2:$L$950, 8, FALSE)</f>
        <v>6</v>
      </c>
      <c r="H1181">
        <v>3</v>
      </c>
      <c r="I1181">
        <v>1</v>
      </c>
      <c r="M1181" t="str">
        <f>VLOOKUP(B1181, [1]Course!$A$1:$O$933, 12, FALSE)</f>
        <v>SS</v>
      </c>
      <c r="N1181" t="s">
        <v>14</v>
      </c>
      <c r="O1181" t="str">
        <f>VLOOKUP(B1181, [1]Course!$A$1:$O$933, 14, FALSE)</f>
        <v>CO</v>
      </c>
      <c r="P1181">
        <v>1</v>
      </c>
    </row>
    <row r="1182" spans="1:16" x14ac:dyDescent="0.25">
      <c r="A1182">
        <v>1185</v>
      </c>
      <c r="B1182">
        <v>120</v>
      </c>
      <c r="C1182">
        <v>137</v>
      </c>
      <c r="D1182" t="s">
        <v>73</v>
      </c>
      <c r="E1182" t="str">
        <f t="shared" si="18"/>
        <v>637CO03PT</v>
      </c>
      <c r="F1182">
        <f>VLOOKUP(B1182,[1]Course!$A$2:$R$329,2,FALSE)</f>
        <v>0</v>
      </c>
      <c r="G1182">
        <f>VLOOKUP(B1182, [1]Course!$A$2:$L$950, 8, FALSE)</f>
        <v>6</v>
      </c>
      <c r="H1182">
        <v>3</v>
      </c>
      <c r="I1182">
        <v>1</v>
      </c>
      <c r="M1182" t="str">
        <f>VLOOKUP(B1182, [1]Course!$A$1:$O$933, 12, FALSE)</f>
        <v>SS</v>
      </c>
      <c r="N1182" t="s">
        <v>14</v>
      </c>
      <c r="O1182" t="str">
        <f>VLOOKUP(B1182, [1]Course!$A$1:$O$933, 14, FALSE)</f>
        <v>CO</v>
      </c>
      <c r="P1182">
        <v>1</v>
      </c>
    </row>
    <row r="1183" spans="1:16" x14ac:dyDescent="0.25">
      <c r="A1183">
        <v>1186</v>
      </c>
      <c r="B1183">
        <v>120</v>
      </c>
      <c r="C1183">
        <v>138</v>
      </c>
      <c r="D1183" t="s">
        <v>73</v>
      </c>
      <c r="E1183" t="str">
        <f t="shared" si="18"/>
        <v>638CO03PT</v>
      </c>
      <c r="F1183">
        <f>VLOOKUP(B1183,[1]Course!$A$2:$R$329,2,FALSE)</f>
        <v>0</v>
      </c>
      <c r="G1183">
        <f>VLOOKUP(B1183, [1]Course!$A$2:$L$950, 8, FALSE)</f>
        <v>6</v>
      </c>
      <c r="H1183">
        <v>3</v>
      </c>
      <c r="I1183">
        <v>1</v>
      </c>
      <c r="M1183" t="str">
        <f>VLOOKUP(B1183, [1]Course!$A$1:$O$933, 12, FALSE)</f>
        <v>SS</v>
      </c>
      <c r="N1183" t="s">
        <v>14</v>
      </c>
      <c r="O1183" t="str">
        <f>VLOOKUP(B1183, [1]Course!$A$1:$O$933, 14, FALSE)</f>
        <v>CO</v>
      </c>
      <c r="P1183">
        <v>1</v>
      </c>
    </row>
    <row r="1184" spans="1:16" x14ac:dyDescent="0.25">
      <c r="A1184">
        <v>1187</v>
      </c>
      <c r="B1184">
        <v>121</v>
      </c>
      <c r="C1184">
        <v>11</v>
      </c>
      <c r="D1184" t="s">
        <v>55</v>
      </c>
      <c r="E1184" t="str">
        <f t="shared" si="18"/>
        <v>1011HC03PT</v>
      </c>
      <c r="F1184" t="str">
        <f>VLOOKUP(B1184,[1]Course!$A$2:$R$329,2,FALSE)</f>
        <v>History of Civilisation II</v>
      </c>
      <c r="G1184">
        <f>VLOOKUP(B1184, [1]Course!$A$2:$L$950, 8, FALSE)</f>
        <v>10</v>
      </c>
      <c r="H1184">
        <v>3</v>
      </c>
      <c r="I1184">
        <v>1</v>
      </c>
      <c r="J1184">
        <v>1977</v>
      </c>
      <c r="K1184">
        <v>2004</v>
      </c>
      <c r="L1184">
        <v>1</v>
      </c>
      <c r="M1184" t="str">
        <f>VLOOKUP(B1184, [1]Course!$A$1:$O$933, 12, FALSE)</f>
        <v>SS</v>
      </c>
      <c r="N1184" t="s">
        <v>14</v>
      </c>
      <c r="O1184" t="str">
        <f>VLOOKUP(B1184, [1]Course!$A$1:$O$933, 14, FALSE)</f>
        <v>HC</v>
      </c>
      <c r="P1184">
        <v>1</v>
      </c>
    </row>
    <row r="1185" spans="1:16" x14ac:dyDescent="0.25">
      <c r="A1185">
        <v>1188</v>
      </c>
      <c r="B1185">
        <v>121</v>
      </c>
      <c r="C1185">
        <v>12</v>
      </c>
      <c r="D1185" t="s">
        <v>55</v>
      </c>
      <c r="E1185" t="str">
        <f t="shared" si="18"/>
        <v>1012HC03PT</v>
      </c>
      <c r="F1185" t="str">
        <f>VLOOKUP(B1185,[1]Course!$A$2:$R$329,2,FALSE)</f>
        <v>History of Civilisation II</v>
      </c>
      <c r="G1185">
        <f>VLOOKUP(B1185, [1]Course!$A$2:$L$950, 8, FALSE)</f>
        <v>10</v>
      </c>
      <c r="H1185">
        <v>3</v>
      </c>
      <c r="I1185">
        <v>1</v>
      </c>
      <c r="J1185">
        <v>1977</v>
      </c>
      <c r="K1185" t="s">
        <v>92</v>
      </c>
      <c r="L1185">
        <v>1</v>
      </c>
      <c r="M1185" t="str">
        <f>VLOOKUP(B1185, [1]Course!$A$1:$O$933, 12, FALSE)</f>
        <v>SS</v>
      </c>
      <c r="N1185" t="s">
        <v>14</v>
      </c>
      <c r="O1185" t="str">
        <f>VLOOKUP(B1185, [1]Course!$A$1:$O$933, 14, FALSE)</f>
        <v>HC</v>
      </c>
      <c r="P1185">
        <v>1</v>
      </c>
    </row>
    <row r="1186" spans="1:16" x14ac:dyDescent="0.25">
      <c r="A1186">
        <v>1189</v>
      </c>
      <c r="B1186">
        <v>121</v>
      </c>
      <c r="C1186">
        <v>13</v>
      </c>
      <c r="D1186" t="s">
        <v>55</v>
      </c>
      <c r="E1186" t="str">
        <f t="shared" si="18"/>
        <v>1013HC03PT</v>
      </c>
      <c r="F1186" t="str">
        <f>VLOOKUP(B1186,[1]Course!$A$2:$R$329,2,FALSE)</f>
        <v>History of Civilisation II</v>
      </c>
      <c r="G1186">
        <f>VLOOKUP(B1186, [1]Course!$A$2:$L$950, 8, FALSE)</f>
        <v>10</v>
      </c>
      <c r="H1186">
        <v>3</v>
      </c>
      <c r="I1186">
        <v>1</v>
      </c>
      <c r="J1186">
        <v>1977</v>
      </c>
      <c r="K1186">
        <v>2015</v>
      </c>
      <c r="L1186">
        <v>1</v>
      </c>
      <c r="M1186" t="str">
        <f>VLOOKUP(B1186, [1]Course!$A$1:$O$933, 12, FALSE)</f>
        <v>SS</v>
      </c>
      <c r="N1186" t="s">
        <v>14</v>
      </c>
      <c r="O1186" t="str">
        <f>VLOOKUP(B1186, [1]Course!$A$1:$O$933, 14, FALSE)</f>
        <v>HC</v>
      </c>
      <c r="P1186">
        <v>1</v>
      </c>
    </row>
    <row r="1187" spans="1:16" x14ac:dyDescent="0.25">
      <c r="A1187">
        <v>1190</v>
      </c>
      <c r="B1187">
        <v>121</v>
      </c>
      <c r="C1187">
        <v>14</v>
      </c>
      <c r="D1187" t="s">
        <v>55</v>
      </c>
      <c r="E1187" t="str">
        <f t="shared" si="18"/>
        <v>1014HC03PT</v>
      </c>
      <c r="F1187" t="str">
        <f>VLOOKUP(B1187,[1]Course!$A$2:$R$329,2,FALSE)</f>
        <v>History of Civilisation II</v>
      </c>
      <c r="G1187">
        <f>VLOOKUP(B1187, [1]Course!$A$2:$L$950, 8, FALSE)</f>
        <v>10</v>
      </c>
      <c r="H1187">
        <v>3</v>
      </c>
      <c r="I1187">
        <v>1</v>
      </c>
      <c r="J1187">
        <v>1977</v>
      </c>
      <c r="K1187">
        <v>1999</v>
      </c>
      <c r="L1187">
        <v>1</v>
      </c>
      <c r="M1187" t="str">
        <f>VLOOKUP(B1187, [1]Course!$A$1:$O$933, 12, FALSE)</f>
        <v>SS</v>
      </c>
      <c r="N1187" t="s">
        <v>14</v>
      </c>
      <c r="O1187" t="str">
        <f>VLOOKUP(B1187, [1]Course!$A$1:$O$933, 14, FALSE)</f>
        <v>HC</v>
      </c>
      <c r="P1187">
        <v>1</v>
      </c>
    </row>
    <row r="1188" spans="1:16" x14ac:dyDescent="0.25">
      <c r="A1188">
        <v>1191</v>
      </c>
      <c r="B1188">
        <v>121</v>
      </c>
      <c r="C1188">
        <v>15</v>
      </c>
      <c r="D1188" t="s">
        <v>55</v>
      </c>
      <c r="E1188" t="str">
        <f t="shared" si="18"/>
        <v>1015HC03PT</v>
      </c>
      <c r="F1188" t="str">
        <f>VLOOKUP(B1188,[1]Course!$A$2:$R$329,2,FALSE)</f>
        <v>History of Civilisation II</v>
      </c>
      <c r="G1188">
        <f>VLOOKUP(B1188, [1]Course!$A$2:$L$950, 8, FALSE)</f>
        <v>10</v>
      </c>
      <c r="H1188">
        <v>3</v>
      </c>
      <c r="I1188">
        <v>1</v>
      </c>
      <c r="J1188">
        <v>1977</v>
      </c>
      <c r="K1188">
        <v>1999</v>
      </c>
      <c r="L1188">
        <v>1</v>
      </c>
      <c r="M1188" t="str">
        <f>VLOOKUP(B1188, [1]Course!$A$1:$O$933, 12, FALSE)</f>
        <v>SS</v>
      </c>
      <c r="N1188" t="s">
        <v>14</v>
      </c>
      <c r="O1188" t="str">
        <f>VLOOKUP(B1188, [1]Course!$A$1:$O$933, 14, FALSE)</f>
        <v>HC</v>
      </c>
      <c r="P1188">
        <v>2</v>
      </c>
    </row>
    <row r="1189" spans="1:16" x14ac:dyDescent="0.25">
      <c r="A1189">
        <v>1192</v>
      </c>
      <c r="B1189">
        <v>121</v>
      </c>
      <c r="C1189">
        <v>16</v>
      </c>
      <c r="D1189" t="s">
        <v>55</v>
      </c>
      <c r="E1189" t="str">
        <f t="shared" si="18"/>
        <v>1016HC03PT</v>
      </c>
      <c r="F1189" t="str">
        <f>VLOOKUP(B1189,[1]Course!$A$2:$R$329,2,FALSE)</f>
        <v>History of Civilisation II</v>
      </c>
      <c r="G1189">
        <f>VLOOKUP(B1189, [1]Course!$A$2:$L$950, 8, FALSE)</f>
        <v>10</v>
      </c>
      <c r="H1189">
        <v>3</v>
      </c>
      <c r="I1189">
        <v>1</v>
      </c>
      <c r="J1189">
        <v>1977</v>
      </c>
      <c r="K1189">
        <v>1996</v>
      </c>
      <c r="L1189">
        <v>1</v>
      </c>
      <c r="M1189" t="str">
        <f>VLOOKUP(B1189, [1]Course!$A$1:$O$933, 12, FALSE)</f>
        <v>SS</v>
      </c>
      <c r="N1189" t="s">
        <v>14</v>
      </c>
      <c r="O1189" t="str">
        <f>VLOOKUP(B1189, [1]Course!$A$1:$O$933, 14, FALSE)</f>
        <v>HC</v>
      </c>
      <c r="P1189">
        <v>1</v>
      </c>
    </row>
    <row r="1190" spans="1:16" x14ac:dyDescent="0.25">
      <c r="A1190">
        <v>1193</v>
      </c>
      <c r="B1190">
        <v>121</v>
      </c>
      <c r="C1190">
        <v>17</v>
      </c>
      <c r="D1190" t="s">
        <v>55</v>
      </c>
      <c r="E1190" t="str">
        <f t="shared" si="18"/>
        <v>1017HC03PT</v>
      </c>
      <c r="F1190" t="str">
        <f>VLOOKUP(B1190,[1]Course!$A$2:$R$329,2,FALSE)</f>
        <v>History of Civilisation II</v>
      </c>
      <c r="G1190">
        <f>VLOOKUP(B1190, [1]Course!$A$2:$L$950, 8, FALSE)</f>
        <v>10</v>
      </c>
      <c r="H1190">
        <v>3</v>
      </c>
      <c r="I1190">
        <v>1</v>
      </c>
      <c r="J1190">
        <v>1977</v>
      </c>
      <c r="K1190">
        <v>2007</v>
      </c>
      <c r="L1190">
        <v>1</v>
      </c>
      <c r="M1190" t="str">
        <f>VLOOKUP(B1190, [1]Course!$A$1:$O$933, 12, FALSE)</f>
        <v>SS</v>
      </c>
      <c r="N1190" t="s">
        <v>14</v>
      </c>
      <c r="O1190" t="str">
        <f>VLOOKUP(B1190, [1]Course!$A$1:$O$933, 14, FALSE)</f>
        <v>HC</v>
      </c>
      <c r="P1190">
        <v>1</v>
      </c>
    </row>
    <row r="1191" spans="1:16" x14ac:dyDescent="0.25">
      <c r="A1191">
        <v>1194</v>
      </c>
      <c r="B1191">
        <v>121</v>
      </c>
      <c r="C1191">
        <v>18</v>
      </c>
      <c r="D1191" t="s">
        <v>55</v>
      </c>
      <c r="E1191" t="str">
        <f t="shared" si="18"/>
        <v>1018HC03PT</v>
      </c>
      <c r="F1191" t="str">
        <f>VLOOKUP(B1191,[1]Course!$A$2:$R$329,2,FALSE)</f>
        <v>History of Civilisation II</v>
      </c>
      <c r="G1191">
        <f>VLOOKUP(B1191, [1]Course!$A$2:$L$950, 8, FALSE)</f>
        <v>10</v>
      </c>
      <c r="H1191">
        <v>3</v>
      </c>
      <c r="I1191">
        <v>1</v>
      </c>
      <c r="J1191">
        <v>1977</v>
      </c>
      <c r="K1191">
        <v>1997</v>
      </c>
      <c r="L1191">
        <v>1</v>
      </c>
      <c r="M1191" t="str">
        <f>VLOOKUP(B1191, [1]Course!$A$1:$O$933, 12, FALSE)</f>
        <v>SS</v>
      </c>
      <c r="N1191" t="s">
        <v>14</v>
      </c>
      <c r="O1191" t="str">
        <f>VLOOKUP(B1191, [1]Course!$A$1:$O$933, 14, FALSE)</f>
        <v>HC</v>
      </c>
      <c r="P1191">
        <v>1</v>
      </c>
    </row>
    <row r="1192" spans="1:16" x14ac:dyDescent="0.25">
      <c r="A1192">
        <v>1195</v>
      </c>
      <c r="B1192">
        <v>121</v>
      </c>
      <c r="C1192">
        <v>19</v>
      </c>
      <c r="D1192" t="s">
        <v>55</v>
      </c>
      <c r="E1192" t="str">
        <f t="shared" si="18"/>
        <v>1019HC03PT</v>
      </c>
      <c r="F1192" t="str">
        <f>VLOOKUP(B1192,[1]Course!$A$2:$R$329,2,FALSE)</f>
        <v>History of Civilisation II</v>
      </c>
      <c r="G1192">
        <f>VLOOKUP(B1192, [1]Course!$A$2:$L$950, 8, FALSE)</f>
        <v>10</v>
      </c>
      <c r="H1192">
        <v>3</v>
      </c>
      <c r="I1192">
        <v>1</v>
      </c>
      <c r="J1192">
        <v>1977</v>
      </c>
      <c r="K1192">
        <v>2014</v>
      </c>
      <c r="L1192">
        <v>1</v>
      </c>
      <c r="M1192" t="str">
        <f>VLOOKUP(B1192, [1]Course!$A$1:$O$933, 12, FALSE)</f>
        <v>SS</v>
      </c>
      <c r="N1192" t="s">
        <v>14</v>
      </c>
      <c r="O1192" t="str">
        <f>VLOOKUP(B1192, [1]Course!$A$1:$O$933, 14, FALSE)</f>
        <v>HC</v>
      </c>
      <c r="P1192">
        <v>1</v>
      </c>
    </row>
    <row r="1193" spans="1:16" x14ac:dyDescent="0.25">
      <c r="A1193">
        <v>1196</v>
      </c>
      <c r="B1193">
        <v>121</v>
      </c>
      <c r="C1193">
        <v>20</v>
      </c>
      <c r="D1193" t="s">
        <v>55</v>
      </c>
      <c r="E1193" t="str">
        <f t="shared" si="18"/>
        <v>1020HC03PT</v>
      </c>
      <c r="F1193" t="str">
        <f>VLOOKUP(B1193,[1]Course!$A$2:$R$329,2,FALSE)</f>
        <v>History of Civilisation II</v>
      </c>
      <c r="G1193">
        <f>VLOOKUP(B1193, [1]Course!$A$2:$L$950, 8, FALSE)</f>
        <v>10</v>
      </c>
      <c r="H1193">
        <v>3</v>
      </c>
      <c r="I1193">
        <v>1</v>
      </c>
      <c r="J1193">
        <v>1977</v>
      </c>
      <c r="K1193">
        <v>1998</v>
      </c>
      <c r="L1193">
        <v>1</v>
      </c>
      <c r="M1193" t="str">
        <f>VLOOKUP(B1193, [1]Course!$A$1:$O$933, 12, FALSE)</f>
        <v>SS</v>
      </c>
      <c r="N1193" t="s">
        <v>14</v>
      </c>
      <c r="O1193" t="str">
        <f>VLOOKUP(B1193, [1]Course!$A$1:$O$933, 14, FALSE)</f>
        <v>HC</v>
      </c>
      <c r="P1193">
        <v>2</v>
      </c>
    </row>
    <row r="1194" spans="1:16" x14ac:dyDescent="0.25">
      <c r="A1194">
        <v>1197</v>
      </c>
      <c r="B1194">
        <v>122</v>
      </c>
      <c r="C1194">
        <v>133</v>
      </c>
      <c r="D1194" t="s">
        <v>74</v>
      </c>
      <c r="E1194" t="str">
        <f t="shared" si="18"/>
        <v>433UC03PT</v>
      </c>
      <c r="F1194">
        <f>VLOOKUP(B1194,[1]Course!$A$2:$R$329,2,FALSE)</f>
        <v>0</v>
      </c>
      <c r="G1194">
        <f>VLOOKUP(B1194, [1]Course!$A$2:$L$950, 8, FALSE)</f>
        <v>4</v>
      </c>
      <c r="H1194">
        <v>3</v>
      </c>
      <c r="I1194">
        <v>1</v>
      </c>
      <c r="M1194" t="str">
        <f>VLOOKUP(B1194, [1]Course!$A$1:$O$933, 12, FALSE)</f>
        <v>SS</v>
      </c>
      <c r="N1194" t="s">
        <v>14</v>
      </c>
      <c r="O1194" t="str">
        <f>VLOOKUP(B1194, [1]Course!$A$1:$O$933, 14, FALSE)</f>
        <v>UC</v>
      </c>
      <c r="P1194">
        <v>1</v>
      </c>
    </row>
    <row r="1195" spans="1:16" x14ac:dyDescent="0.25">
      <c r="A1195">
        <v>1198</v>
      </c>
      <c r="B1195">
        <v>122</v>
      </c>
      <c r="C1195">
        <v>134</v>
      </c>
      <c r="D1195" t="s">
        <v>74</v>
      </c>
      <c r="E1195" t="str">
        <f t="shared" si="18"/>
        <v>434UC03PT</v>
      </c>
      <c r="F1195">
        <f>VLOOKUP(B1195,[1]Course!$A$2:$R$329,2,FALSE)</f>
        <v>0</v>
      </c>
      <c r="G1195">
        <f>VLOOKUP(B1195, [1]Course!$A$2:$L$950, 8, FALSE)</f>
        <v>4</v>
      </c>
      <c r="H1195">
        <v>3</v>
      </c>
      <c r="I1195">
        <v>1</v>
      </c>
      <c r="M1195" t="str">
        <f>VLOOKUP(B1195, [1]Course!$A$1:$O$933, 12, FALSE)</f>
        <v>SS</v>
      </c>
      <c r="N1195" t="s">
        <v>14</v>
      </c>
      <c r="O1195" t="str">
        <f>VLOOKUP(B1195, [1]Course!$A$1:$O$933, 14, FALSE)</f>
        <v>UC</v>
      </c>
      <c r="P1195">
        <v>1</v>
      </c>
    </row>
    <row r="1196" spans="1:16" x14ac:dyDescent="0.25">
      <c r="A1196">
        <v>1199</v>
      </c>
      <c r="B1196">
        <v>122</v>
      </c>
      <c r="C1196">
        <v>135</v>
      </c>
      <c r="D1196" t="s">
        <v>74</v>
      </c>
      <c r="E1196" t="str">
        <f t="shared" si="18"/>
        <v>435UC03PT</v>
      </c>
      <c r="F1196">
        <f>VLOOKUP(B1196,[1]Course!$A$2:$R$329,2,FALSE)</f>
        <v>0</v>
      </c>
      <c r="G1196">
        <f>VLOOKUP(B1196, [1]Course!$A$2:$L$950, 8, FALSE)</f>
        <v>4</v>
      </c>
      <c r="H1196">
        <v>3</v>
      </c>
      <c r="I1196">
        <v>1</v>
      </c>
      <c r="M1196" t="str">
        <f>VLOOKUP(B1196, [1]Course!$A$1:$O$933, 12, FALSE)</f>
        <v>SS</v>
      </c>
      <c r="N1196" t="s">
        <v>14</v>
      </c>
      <c r="O1196" t="str">
        <f>VLOOKUP(B1196, [1]Course!$A$1:$O$933, 14, FALSE)</f>
        <v>UC</v>
      </c>
      <c r="P1196">
        <v>1</v>
      </c>
    </row>
    <row r="1197" spans="1:16" x14ac:dyDescent="0.25">
      <c r="A1197">
        <v>1200</v>
      </c>
      <c r="B1197">
        <v>122</v>
      </c>
      <c r="C1197">
        <v>136</v>
      </c>
      <c r="D1197" t="s">
        <v>74</v>
      </c>
      <c r="E1197" t="str">
        <f t="shared" si="18"/>
        <v>436UC03PT</v>
      </c>
      <c r="F1197">
        <f>VLOOKUP(B1197,[1]Course!$A$2:$R$329,2,FALSE)</f>
        <v>0</v>
      </c>
      <c r="G1197">
        <f>VLOOKUP(B1197, [1]Course!$A$2:$L$950, 8, FALSE)</f>
        <v>4</v>
      </c>
      <c r="H1197">
        <v>3</v>
      </c>
      <c r="I1197">
        <v>1</v>
      </c>
      <c r="M1197" t="str">
        <f>VLOOKUP(B1197, [1]Course!$A$1:$O$933, 12, FALSE)</f>
        <v>SS</v>
      </c>
      <c r="N1197" t="s">
        <v>14</v>
      </c>
      <c r="O1197" t="str">
        <f>VLOOKUP(B1197, [1]Course!$A$1:$O$933, 14, FALSE)</f>
        <v>UC</v>
      </c>
      <c r="P1197">
        <v>1</v>
      </c>
    </row>
    <row r="1198" spans="1:16" x14ac:dyDescent="0.25">
      <c r="A1198">
        <v>1201</v>
      </c>
      <c r="B1198">
        <v>123</v>
      </c>
      <c r="C1198">
        <v>6</v>
      </c>
      <c r="D1198" t="s">
        <v>56</v>
      </c>
      <c r="E1198" t="str">
        <f t="shared" si="18"/>
        <v>506CC03PT</v>
      </c>
      <c r="F1198">
        <f>VLOOKUP(B1198,[1]Course!$A$2:$R$329,2,FALSE)</f>
        <v>0</v>
      </c>
      <c r="G1198">
        <f>VLOOKUP(B1198, [1]Course!$A$2:$L$950, 8, FALSE)</f>
        <v>5</v>
      </c>
      <c r="H1198">
        <v>3</v>
      </c>
      <c r="I1198">
        <v>1</v>
      </c>
      <c r="J1198">
        <v>1980</v>
      </c>
      <c r="K1198" t="s">
        <v>92</v>
      </c>
      <c r="L1198">
        <v>2</v>
      </c>
      <c r="M1198" t="str">
        <f>VLOOKUP(B1198, [1]Course!$A$1:$O$933, 12, FALSE)</f>
        <v>BS</v>
      </c>
      <c r="N1198" t="s">
        <v>14</v>
      </c>
      <c r="O1198" t="str">
        <f>VLOOKUP(B1198, [1]Course!$A$1:$O$933, 14, FALSE)</f>
        <v>CC</v>
      </c>
      <c r="P1198">
        <v>1</v>
      </c>
    </row>
    <row r="1199" spans="1:16" x14ac:dyDescent="0.25">
      <c r="A1199">
        <v>1202</v>
      </c>
      <c r="B1199">
        <v>123</v>
      </c>
      <c r="C1199">
        <v>7</v>
      </c>
      <c r="D1199" t="s">
        <v>56</v>
      </c>
      <c r="E1199" t="str">
        <f t="shared" si="18"/>
        <v>507CC03PT</v>
      </c>
      <c r="F1199">
        <f>VLOOKUP(B1199,[1]Course!$A$2:$R$329,2,FALSE)</f>
        <v>0</v>
      </c>
      <c r="G1199">
        <f>VLOOKUP(B1199, [1]Course!$A$2:$L$950, 8, FALSE)</f>
        <v>5</v>
      </c>
      <c r="H1199">
        <v>3</v>
      </c>
      <c r="I1199">
        <v>1</v>
      </c>
      <c r="J1199">
        <v>1981</v>
      </c>
      <c r="K1199" t="s">
        <v>92</v>
      </c>
      <c r="L1199">
        <v>1</v>
      </c>
      <c r="M1199" t="str">
        <f>VLOOKUP(B1199, [1]Course!$A$1:$O$933, 12, FALSE)</f>
        <v>BS</v>
      </c>
      <c r="N1199" t="s">
        <v>14</v>
      </c>
      <c r="O1199" t="str">
        <f>VLOOKUP(B1199, [1]Course!$A$1:$O$933, 14, FALSE)</f>
        <v>CC</v>
      </c>
      <c r="P1199">
        <v>1</v>
      </c>
    </row>
    <row r="1200" spans="1:16" x14ac:dyDescent="0.25">
      <c r="A1200">
        <v>1203</v>
      </c>
      <c r="B1200">
        <v>123</v>
      </c>
      <c r="C1200">
        <v>8</v>
      </c>
      <c r="D1200" t="s">
        <v>56</v>
      </c>
      <c r="E1200" t="str">
        <f t="shared" si="18"/>
        <v>508CC03PT</v>
      </c>
      <c r="F1200">
        <f>VLOOKUP(B1200,[1]Course!$A$2:$R$329,2,FALSE)</f>
        <v>0</v>
      </c>
      <c r="G1200">
        <f>VLOOKUP(B1200, [1]Course!$A$2:$L$950, 8, FALSE)</f>
        <v>5</v>
      </c>
      <c r="H1200">
        <v>3</v>
      </c>
      <c r="I1200">
        <v>1</v>
      </c>
      <c r="J1200">
        <v>1980</v>
      </c>
      <c r="K1200" t="s">
        <v>92</v>
      </c>
      <c r="L1200">
        <v>1</v>
      </c>
      <c r="M1200" t="str">
        <f>VLOOKUP(B1200, [1]Course!$A$1:$O$933, 12, FALSE)</f>
        <v>BS</v>
      </c>
      <c r="N1200" t="s">
        <v>14</v>
      </c>
      <c r="O1200" t="str">
        <f>VLOOKUP(B1200, [1]Course!$A$1:$O$933, 14, FALSE)</f>
        <v>CC</v>
      </c>
      <c r="P1200">
        <v>1</v>
      </c>
    </row>
    <row r="1201" spans="1:16" x14ac:dyDescent="0.25">
      <c r="A1201">
        <v>1204</v>
      </c>
      <c r="B1201">
        <v>123</v>
      </c>
      <c r="C1201">
        <v>9</v>
      </c>
      <c r="D1201" t="s">
        <v>56</v>
      </c>
      <c r="E1201" t="str">
        <f t="shared" si="18"/>
        <v>509CC03PT</v>
      </c>
      <c r="F1201">
        <f>VLOOKUP(B1201,[1]Course!$A$2:$R$329,2,FALSE)</f>
        <v>0</v>
      </c>
      <c r="G1201">
        <f>VLOOKUP(B1201, [1]Course!$A$2:$L$950, 8, FALSE)</f>
        <v>5</v>
      </c>
      <c r="H1201">
        <v>3</v>
      </c>
      <c r="I1201">
        <v>1</v>
      </c>
      <c r="J1201">
        <v>1980</v>
      </c>
      <c r="K1201" t="s">
        <v>92</v>
      </c>
      <c r="L1201">
        <v>1</v>
      </c>
      <c r="M1201" t="str">
        <f>VLOOKUP(B1201, [1]Course!$A$1:$O$933, 12, FALSE)</f>
        <v>BS</v>
      </c>
      <c r="N1201" t="s">
        <v>14</v>
      </c>
      <c r="O1201" t="str">
        <f>VLOOKUP(B1201, [1]Course!$A$1:$O$933, 14, FALSE)</f>
        <v>CC</v>
      </c>
      <c r="P1201">
        <v>1</v>
      </c>
    </row>
    <row r="1202" spans="1:16" x14ac:dyDescent="0.25">
      <c r="A1202">
        <v>1205</v>
      </c>
      <c r="B1202">
        <v>123</v>
      </c>
      <c r="C1202">
        <v>10</v>
      </c>
      <c r="D1202" t="s">
        <v>56</v>
      </c>
      <c r="E1202" t="str">
        <f t="shared" si="18"/>
        <v>510CC03PT</v>
      </c>
      <c r="F1202">
        <f>VLOOKUP(B1202,[1]Course!$A$2:$R$329,2,FALSE)</f>
        <v>0</v>
      </c>
      <c r="G1202">
        <f>VLOOKUP(B1202, [1]Course!$A$2:$L$950, 8, FALSE)</f>
        <v>5</v>
      </c>
      <c r="H1202">
        <v>3</v>
      </c>
      <c r="I1202">
        <v>1</v>
      </c>
      <c r="J1202">
        <v>1980</v>
      </c>
      <c r="K1202" t="s">
        <v>92</v>
      </c>
      <c r="L1202">
        <v>1</v>
      </c>
      <c r="M1202" t="str">
        <f>VLOOKUP(B1202, [1]Course!$A$1:$O$933, 12, FALSE)</f>
        <v>BS</v>
      </c>
      <c r="N1202" t="s">
        <v>14</v>
      </c>
      <c r="O1202" t="str">
        <f>VLOOKUP(B1202, [1]Course!$A$1:$O$933, 14, FALSE)</f>
        <v>CC</v>
      </c>
      <c r="P1202">
        <v>1</v>
      </c>
    </row>
    <row r="1203" spans="1:16" x14ac:dyDescent="0.25">
      <c r="A1203">
        <v>1206</v>
      </c>
      <c r="B1203">
        <v>124</v>
      </c>
      <c r="C1203">
        <v>133</v>
      </c>
      <c r="D1203" t="s">
        <v>75</v>
      </c>
      <c r="E1203" t="str">
        <f t="shared" si="18"/>
        <v>633CG03PT</v>
      </c>
      <c r="F1203" t="str">
        <f>VLOOKUP(B1203,[1]Course!$A$2:$R$329,2,FALSE)</f>
        <v>Basic Christian Growth</v>
      </c>
      <c r="G1203">
        <f>VLOOKUP(B1203, [1]Course!$A$2:$L$950, 8, FALSE)</f>
        <v>6</v>
      </c>
      <c r="H1203">
        <v>3</v>
      </c>
      <c r="I1203">
        <v>1</v>
      </c>
      <c r="J1203">
        <v>2002</v>
      </c>
      <c r="K1203" t="s">
        <v>92</v>
      </c>
      <c r="L1203">
        <v>1</v>
      </c>
      <c r="M1203" t="str">
        <f>VLOOKUP(B1203, [1]Course!$A$1:$O$933, 12, FALSE)</f>
        <v>BS</v>
      </c>
      <c r="N1203" t="s">
        <v>14</v>
      </c>
      <c r="O1203" t="str">
        <f>VLOOKUP(B1203, [1]Course!$A$1:$O$933, 14, FALSE)</f>
        <v>CG</v>
      </c>
      <c r="P1203">
        <v>1</v>
      </c>
    </row>
    <row r="1204" spans="1:16" x14ac:dyDescent="0.25">
      <c r="A1204">
        <v>1207</v>
      </c>
      <c r="B1204">
        <v>124</v>
      </c>
      <c r="C1204">
        <v>134</v>
      </c>
      <c r="D1204" t="s">
        <v>75</v>
      </c>
      <c r="E1204" t="str">
        <f t="shared" si="18"/>
        <v>634CG03PT</v>
      </c>
      <c r="F1204" t="str">
        <f>VLOOKUP(B1204,[1]Course!$A$2:$R$329,2,FALSE)</f>
        <v>Basic Christian Growth</v>
      </c>
      <c r="G1204">
        <f>VLOOKUP(B1204, [1]Course!$A$2:$L$950, 8, FALSE)</f>
        <v>6</v>
      </c>
      <c r="H1204">
        <v>3</v>
      </c>
      <c r="I1204">
        <v>1</v>
      </c>
      <c r="J1204">
        <v>2001</v>
      </c>
      <c r="K1204">
        <v>2006</v>
      </c>
      <c r="L1204">
        <v>1</v>
      </c>
      <c r="M1204" t="str">
        <f>VLOOKUP(B1204, [1]Course!$A$1:$O$933, 12, FALSE)</f>
        <v>BS</v>
      </c>
      <c r="N1204" t="s">
        <v>14</v>
      </c>
      <c r="O1204" t="str">
        <f>VLOOKUP(B1204, [1]Course!$A$1:$O$933, 14, FALSE)</f>
        <v>CG</v>
      </c>
      <c r="P1204">
        <v>1</v>
      </c>
    </row>
    <row r="1205" spans="1:16" x14ac:dyDescent="0.25">
      <c r="A1205">
        <v>1208</v>
      </c>
      <c r="B1205">
        <v>124</v>
      </c>
      <c r="C1205">
        <v>135</v>
      </c>
      <c r="D1205" t="s">
        <v>75</v>
      </c>
      <c r="E1205" t="str">
        <f t="shared" si="18"/>
        <v>635CG03PT</v>
      </c>
      <c r="F1205" t="str">
        <f>VLOOKUP(B1205,[1]Course!$A$2:$R$329,2,FALSE)</f>
        <v>Basic Christian Growth</v>
      </c>
      <c r="G1205">
        <f>VLOOKUP(B1205, [1]Course!$A$2:$L$950, 8, FALSE)</f>
        <v>6</v>
      </c>
      <c r="H1205">
        <v>3</v>
      </c>
      <c r="I1205">
        <v>1</v>
      </c>
      <c r="J1205">
        <v>1974</v>
      </c>
      <c r="K1205">
        <v>1999</v>
      </c>
      <c r="L1205">
        <v>1</v>
      </c>
      <c r="M1205" t="str">
        <f>VLOOKUP(B1205, [1]Course!$A$1:$O$933, 12, FALSE)</f>
        <v>BS</v>
      </c>
      <c r="N1205" t="s">
        <v>14</v>
      </c>
      <c r="O1205" t="str">
        <f>VLOOKUP(B1205, [1]Course!$A$1:$O$933, 14, FALSE)</f>
        <v>CG</v>
      </c>
      <c r="P1205">
        <v>1</v>
      </c>
    </row>
    <row r="1206" spans="1:16" x14ac:dyDescent="0.25">
      <c r="A1206">
        <v>1209</v>
      </c>
      <c r="B1206">
        <v>124</v>
      </c>
      <c r="C1206">
        <v>136</v>
      </c>
      <c r="D1206" t="s">
        <v>75</v>
      </c>
      <c r="E1206" t="str">
        <f t="shared" si="18"/>
        <v>636CG03PT</v>
      </c>
      <c r="F1206" t="str">
        <f>VLOOKUP(B1206,[1]Course!$A$2:$R$329,2,FALSE)</f>
        <v>Basic Christian Growth</v>
      </c>
      <c r="G1206">
        <f>VLOOKUP(B1206, [1]Course!$A$2:$L$950, 8, FALSE)</f>
        <v>6</v>
      </c>
      <c r="H1206">
        <v>3</v>
      </c>
      <c r="I1206">
        <v>1</v>
      </c>
      <c r="J1206">
        <v>1974</v>
      </c>
      <c r="K1206">
        <v>1999</v>
      </c>
      <c r="L1206">
        <v>1</v>
      </c>
      <c r="M1206" t="str">
        <f>VLOOKUP(B1206, [1]Course!$A$1:$O$933, 12, FALSE)</f>
        <v>BS</v>
      </c>
      <c r="N1206" t="s">
        <v>14</v>
      </c>
      <c r="O1206" t="str">
        <f>VLOOKUP(B1206, [1]Course!$A$1:$O$933, 14, FALSE)</f>
        <v>CG</v>
      </c>
      <c r="P1206">
        <v>1</v>
      </c>
    </row>
    <row r="1207" spans="1:16" x14ac:dyDescent="0.25">
      <c r="A1207">
        <v>1210</v>
      </c>
      <c r="B1207">
        <v>124</v>
      </c>
      <c r="C1207">
        <v>137</v>
      </c>
      <c r="D1207" t="s">
        <v>75</v>
      </c>
      <c r="E1207" t="str">
        <f t="shared" si="18"/>
        <v>637CG03PT</v>
      </c>
      <c r="F1207" t="str">
        <f>VLOOKUP(B1207,[1]Course!$A$2:$R$329,2,FALSE)</f>
        <v>Basic Christian Growth</v>
      </c>
      <c r="G1207">
        <f>VLOOKUP(B1207, [1]Course!$A$2:$L$950, 8, FALSE)</f>
        <v>6</v>
      </c>
      <c r="H1207">
        <v>3</v>
      </c>
      <c r="I1207">
        <v>1</v>
      </c>
      <c r="J1207">
        <v>1974</v>
      </c>
      <c r="K1207">
        <v>2000</v>
      </c>
      <c r="L1207">
        <v>1</v>
      </c>
      <c r="M1207" t="str">
        <f>VLOOKUP(B1207, [1]Course!$A$1:$O$933, 12, FALSE)</f>
        <v>BS</v>
      </c>
      <c r="N1207" t="s">
        <v>14</v>
      </c>
      <c r="O1207" t="str">
        <f>VLOOKUP(B1207, [1]Course!$A$1:$O$933, 14, FALSE)</f>
        <v>CG</v>
      </c>
      <c r="P1207">
        <v>1</v>
      </c>
    </row>
    <row r="1208" spans="1:16" x14ac:dyDescent="0.25">
      <c r="A1208">
        <v>1211</v>
      </c>
      <c r="B1208">
        <v>124</v>
      </c>
      <c r="C1208">
        <v>138</v>
      </c>
      <c r="D1208" t="s">
        <v>75</v>
      </c>
      <c r="E1208" t="str">
        <f t="shared" si="18"/>
        <v>638CG03PT</v>
      </c>
      <c r="F1208" t="str">
        <f>VLOOKUP(B1208,[1]Course!$A$2:$R$329,2,FALSE)</f>
        <v>Basic Christian Growth</v>
      </c>
      <c r="G1208">
        <f>VLOOKUP(B1208, [1]Course!$A$2:$L$950, 8, FALSE)</f>
        <v>6</v>
      </c>
      <c r="H1208">
        <v>3</v>
      </c>
      <c r="I1208">
        <v>1</v>
      </c>
      <c r="J1208">
        <v>1974</v>
      </c>
      <c r="K1208" t="s">
        <v>92</v>
      </c>
      <c r="L1208">
        <v>1</v>
      </c>
      <c r="M1208" t="str">
        <f>VLOOKUP(B1208, [1]Course!$A$1:$O$933, 12, FALSE)</f>
        <v>BS</v>
      </c>
      <c r="N1208" t="s">
        <v>14</v>
      </c>
      <c r="O1208" t="str">
        <f>VLOOKUP(B1208, [1]Course!$A$1:$O$933, 14, FALSE)</f>
        <v>CG</v>
      </c>
      <c r="P1208">
        <v>1</v>
      </c>
    </row>
    <row r="1209" spans="1:16" x14ac:dyDescent="0.25">
      <c r="A1209">
        <v>1212</v>
      </c>
      <c r="B1209">
        <v>162</v>
      </c>
      <c r="C1209">
        <v>1</v>
      </c>
      <c r="D1209" t="s">
        <v>97</v>
      </c>
      <c r="E1209" t="str">
        <f t="shared" ref="E1209:E1218" si="19">UPPER(LEFT(G1209,2)) &amp; RIGHT("0" &amp; C1209, 2) &amp; D1209 &amp; RIGHT("0" &amp; H1209, 2) &amp; K1209</f>
        <v>1001BC03NA</v>
      </c>
      <c r="F1209" t="str">
        <f>VLOOKUP(B1209,[1]Course!$A$2:$R$329,2,FALSE)</f>
        <v>Basic Biographies of Christians</v>
      </c>
      <c r="G1209">
        <f>VLOOKUP(B1209, [1]Course!$A$2:$L$950, 8, FALSE)</f>
        <v>10</v>
      </c>
      <c r="H1209">
        <v>3</v>
      </c>
      <c r="I1209">
        <v>1</v>
      </c>
      <c r="J1209">
        <v>1978</v>
      </c>
      <c r="K1209" t="s">
        <v>92</v>
      </c>
      <c r="L1209">
        <v>1</v>
      </c>
      <c r="M1209" t="str">
        <f>VLOOKUP(B1209, [1]Course!$A$1:$O$933, 12, FALSE)</f>
        <v>BS</v>
      </c>
      <c r="N1209" t="s">
        <v>14</v>
      </c>
      <c r="O1209" t="str">
        <f>VLOOKUP(B1209, [1]Course!$A$1:$O$933, 14, FALSE)</f>
        <v>BC</v>
      </c>
      <c r="P1209">
        <v>1</v>
      </c>
    </row>
    <row r="1210" spans="1:16" x14ac:dyDescent="0.25">
      <c r="A1210">
        <v>1213</v>
      </c>
      <c r="B1210">
        <v>162</v>
      </c>
      <c r="C1210">
        <v>2</v>
      </c>
      <c r="D1210" t="s">
        <v>97</v>
      </c>
      <c r="E1210" t="str">
        <f t="shared" si="19"/>
        <v>1002BC03NA</v>
      </c>
      <c r="F1210" t="str">
        <f>VLOOKUP(B1210,[1]Course!$A$2:$R$329,2,FALSE)</f>
        <v>Basic Biographies of Christians</v>
      </c>
      <c r="G1210">
        <f>VLOOKUP(B1210, [1]Course!$A$2:$L$950, 8, FALSE)</f>
        <v>10</v>
      </c>
      <c r="H1210">
        <v>3</v>
      </c>
      <c r="I1210">
        <v>1</v>
      </c>
      <c r="J1210">
        <v>1978</v>
      </c>
      <c r="K1210" t="s">
        <v>92</v>
      </c>
      <c r="L1210">
        <v>1</v>
      </c>
      <c r="M1210" t="str">
        <f>VLOOKUP(B1210, [1]Course!$A$1:$O$933, 12, FALSE)</f>
        <v>BS</v>
      </c>
      <c r="N1210" t="s">
        <v>14</v>
      </c>
      <c r="O1210" t="str">
        <f>VLOOKUP(B1210, [1]Course!$A$1:$O$933, 14, FALSE)</f>
        <v>BC</v>
      </c>
      <c r="P1210">
        <v>1</v>
      </c>
    </row>
    <row r="1211" spans="1:16" x14ac:dyDescent="0.25">
      <c r="A1211">
        <v>1214</v>
      </c>
      <c r="B1211">
        <v>162</v>
      </c>
      <c r="C1211">
        <v>3</v>
      </c>
      <c r="D1211" t="s">
        <v>97</v>
      </c>
      <c r="E1211" t="str">
        <f t="shared" si="19"/>
        <v>1003BC031998</v>
      </c>
      <c r="F1211" t="str">
        <f>VLOOKUP(B1211,[1]Course!$A$2:$R$329,2,FALSE)</f>
        <v>Basic Biographies of Christians</v>
      </c>
      <c r="G1211">
        <f>VLOOKUP(B1211, [1]Course!$A$2:$L$950, 8, FALSE)</f>
        <v>10</v>
      </c>
      <c r="H1211">
        <v>3</v>
      </c>
      <c r="I1211">
        <v>1</v>
      </c>
      <c r="J1211">
        <v>1978</v>
      </c>
      <c r="K1211">
        <v>1998</v>
      </c>
      <c r="L1211">
        <v>1</v>
      </c>
      <c r="M1211" t="str">
        <f>VLOOKUP(B1211, [1]Course!$A$1:$O$933, 12, FALSE)</f>
        <v>BS</v>
      </c>
      <c r="N1211" t="s">
        <v>14</v>
      </c>
      <c r="O1211" t="str">
        <f>VLOOKUP(B1211, [1]Course!$A$1:$O$933, 14, FALSE)</f>
        <v>BC</v>
      </c>
      <c r="P1211">
        <v>1</v>
      </c>
    </row>
    <row r="1212" spans="1:16" x14ac:dyDescent="0.25">
      <c r="A1212">
        <v>1215</v>
      </c>
      <c r="B1212">
        <v>162</v>
      </c>
      <c r="C1212">
        <v>4</v>
      </c>
      <c r="D1212" t="s">
        <v>97</v>
      </c>
      <c r="E1212" t="str">
        <f t="shared" si="19"/>
        <v>1004BC032000</v>
      </c>
      <c r="F1212" t="str">
        <f>VLOOKUP(B1212,[1]Course!$A$2:$R$329,2,FALSE)</f>
        <v>Basic Biographies of Christians</v>
      </c>
      <c r="G1212">
        <f>VLOOKUP(B1212, [1]Course!$A$2:$L$950, 8, FALSE)</f>
        <v>10</v>
      </c>
      <c r="H1212">
        <v>3</v>
      </c>
      <c r="I1212">
        <v>1</v>
      </c>
      <c r="J1212">
        <v>1978</v>
      </c>
      <c r="K1212">
        <v>2000</v>
      </c>
      <c r="L1212">
        <v>1</v>
      </c>
      <c r="M1212" t="str">
        <f>VLOOKUP(B1212, [1]Course!$A$1:$O$933, 12, FALSE)</f>
        <v>BS</v>
      </c>
      <c r="N1212" t="s">
        <v>14</v>
      </c>
      <c r="O1212" t="str">
        <f>VLOOKUP(B1212, [1]Course!$A$1:$O$933, 14, FALSE)</f>
        <v>BC</v>
      </c>
      <c r="P1212">
        <v>1</v>
      </c>
    </row>
    <row r="1213" spans="1:16" x14ac:dyDescent="0.25">
      <c r="A1213">
        <v>1216</v>
      </c>
      <c r="B1213">
        <v>162</v>
      </c>
      <c r="C1213">
        <v>5</v>
      </c>
      <c r="D1213" t="s">
        <v>97</v>
      </c>
      <c r="E1213" t="str">
        <f t="shared" si="19"/>
        <v>1005BC032002</v>
      </c>
      <c r="F1213" t="str">
        <f>VLOOKUP(B1213,[1]Course!$A$2:$R$329,2,FALSE)</f>
        <v>Basic Biographies of Christians</v>
      </c>
      <c r="G1213">
        <f>VLOOKUP(B1213, [1]Course!$A$2:$L$950, 8, FALSE)</f>
        <v>10</v>
      </c>
      <c r="H1213">
        <v>3</v>
      </c>
      <c r="I1213">
        <v>1</v>
      </c>
      <c r="J1213">
        <v>1978</v>
      </c>
      <c r="K1213">
        <v>2002</v>
      </c>
      <c r="L1213">
        <v>1</v>
      </c>
      <c r="M1213" t="str">
        <f>VLOOKUP(B1213, [1]Course!$A$1:$O$933, 12, FALSE)</f>
        <v>BS</v>
      </c>
      <c r="N1213" t="s">
        <v>14</v>
      </c>
      <c r="O1213" t="str">
        <f>VLOOKUP(B1213, [1]Course!$A$1:$O$933, 14, FALSE)</f>
        <v>BC</v>
      </c>
      <c r="P1213">
        <v>1</v>
      </c>
    </row>
    <row r="1214" spans="1:16" x14ac:dyDescent="0.25">
      <c r="A1214">
        <v>1217</v>
      </c>
      <c r="B1214">
        <v>162</v>
      </c>
      <c r="C1214">
        <v>6</v>
      </c>
      <c r="D1214" t="s">
        <v>97</v>
      </c>
      <c r="E1214" t="str">
        <f t="shared" si="19"/>
        <v>1006BC03NA</v>
      </c>
      <c r="F1214" t="str">
        <f>VLOOKUP(B1214,[1]Course!$A$2:$R$329,2,FALSE)</f>
        <v>Basic Biographies of Christians</v>
      </c>
      <c r="G1214">
        <f>VLOOKUP(B1214, [1]Course!$A$2:$L$950, 8, FALSE)</f>
        <v>10</v>
      </c>
      <c r="H1214">
        <v>3</v>
      </c>
      <c r="I1214">
        <v>1</v>
      </c>
      <c r="J1214">
        <v>1974</v>
      </c>
      <c r="K1214" t="s">
        <v>92</v>
      </c>
      <c r="L1214">
        <v>1</v>
      </c>
      <c r="M1214" t="str">
        <f>VLOOKUP(B1214, [1]Course!$A$1:$O$933, 12, FALSE)</f>
        <v>BS</v>
      </c>
      <c r="N1214" t="s">
        <v>14</v>
      </c>
      <c r="O1214" t="str">
        <f>VLOOKUP(B1214, [1]Course!$A$1:$O$933, 14, FALSE)</f>
        <v>BC</v>
      </c>
      <c r="P1214">
        <v>1</v>
      </c>
    </row>
    <row r="1215" spans="1:16" x14ac:dyDescent="0.25">
      <c r="A1215">
        <v>1218</v>
      </c>
      <c r="B1215">
        <v>162</v>
      </c>
      <c r="C1215">
        <v>7</v>
      </c>
      <c r="D1215" t="s">
        <v>97</v>
      </c>
      <c r="E1215" t="str">
        <f t="shared" si="19"/>
        <v>1007BC031998</v>
      </c>
      <c r="F1215" t="str">
        <f>VLOOKUP(B1215,[1]Course!$A$2:$R$329,2,FALSE)</f>
        <v>Basic Biographies of Christians</v>
      </c>
      <c r="G1215">
        <f>VLOOKUP(B1215, [1]Course!$A$2:$L$950, 8, FALSE)</f>
        <v>10</v>
      </c>
      <c r="H1215">
        <v>3</v>
      </c>
      <c r="I1215">
        <v>1</v>
      </c>
      <c r="J1215">
        <v>1978</v>
      </c>
      <c r="K1215">
        <v>1998</v>
      </c>
      <c r="L1215">
        <v>1</v>
      </c>
      <c r="M1215" t="str">
        <f>VLOOKUP(B1215, [1]Course!$A$1:$O$933, 12, FALSE)</f>
        <v>BS</v>
      </c>
      <c r="N1215" t="s">
        <v>14</v>
      </c>
      <c r="O1215" t="str">
        <f>VLOOKUP(B1215, [1]Course!$A$1:$O$933, 14, FALSE)</f>
        <v>BC</v>
      </c>
      <c r="P1215">
        <v>1</v>
      </c>
    </row>
    <row r="1216" spans="1:16" x14ac:dyDescent="0.25">
      <c r="A1216">
        <v>1219</v>
      </c>
      <c r="B1216">
        <v>162</v>
      </c>
      <c r="C1216">
        <v>8</v>
      </c>
      <c r="D1216" t="s">
        <v>97</v>
      </c>
      <c r="E1216" t="str">
        <f t="shared" si="19"/>
        <v>1008BC03NA</v>
      </c>
      <c r="F1216" t="str">
        <f>VLOOKUP(B1216,[1]Course!$A$2:$R$329,2,FALSE)</f>
        <v>Basic Biographies of Christians</v>
      </c>
      <c r="G1216">
        <f>VLOOKUP(B1216, [1]Course!$A$2:$L$950, 8, FALSE)</f>
        <v>10</v>
      </c>
      <c r="H1216">
        <v>3</v>
      </c>
      <c r="I1216">
        <v>1</v>
      </c>
      <c r="J1216">
        <v>1978</v>
      </c>
      <c r="K1216" t="s">
        <v>92</v>
      </c>
      <c r="L1216">
        <v>1</v>
      </c>
      <c r="M1216" t="str">
        <f>VLOOKUP(B1216, [1]Course!$A$1:$O$933, 12, FALSE)</f>
        <v>BS</v>
      </c>
      <c r="N1216" t="s">
        <v>14</v>
      </c>
      <c r="O1216" t="str">
        <f>VLOOKUP(B1216, [1]Course!$A$1:$O$933, 14, FALSE)</f>
        <v>BC</v>
      </c>
      <c r="P1216">
        <v>1</v>
      </c>
    </row>
    <row r="1217" spans="1:16" x14ac:dyDescent="0.25">
      <c r="A1217">
        <v>1220</v>
      </c>
      <c r="B1217">
        <v>162</v>
      </c>
      <c r="C1217">
        <v>9</v>
      </c>
      <c r="D1217" t="s">
        <v>97</v>
      </c>
      <c r="E1217" t="str">
        <f t="shared" si="19"/>
        <v>1009BC03NA</v>
      </c>
      <c r="F1217" t="str">
        <f>VLOOKUP(B1217,[1]Course!$A$2:$R$329,2,FALSE)</f>
        <v>Basic Biographies of Christians</v>
      </c>
      <c r="G1217">
        <f>VLOOKUP(B1217, [1]Course!$A$2:$L$950, 8, FALSE)</f>
        <v>10</v>
      </c>
      <c r="H1217">
        <v>3</v>
      </c>
      <c r="I1217">
        <v>1</v>
      </c>
      <c r="J1217">
        <v>1978</v>
      </c>
      <c r="K1217" t="s">
        <v>92</v>
      </c>
      <c r="L1217">
        <v>1</v>
      </c>
      <c r="M1217" t="str">
        <f>VLOOKUP(B1217, [1]Course!$A$1:$O$933, 12, FALSE)</f>
        <v>BS</v>
      </c>
      <c r="N1217" t="s">
        <v>14</v>
      </c>
      <c r="O1217" t="str">
        <f>VLOOKUP(B1217, [1]Course!$A$1:$O$933, 14, FALSE)</f>
        <v>BC</v>
      </c>
      <c r="P1217">
        <v>1</v>
      </c>
    </row>
    <row r="1218" spans="1:16" x14ac:dyDescent="0.25">
      <c r="A1218">
        <v>1221</v>
      </c>
      <c r="B1218">
        <v>162</v>
      </c>
      <c r="C1218">
        <v>10</v>
      </c>
      <c r="D1218" t="s">
        <v>97</v>
      </c>
      <c r="E1218" t="str">
        <f t="shared" si="19"/>
        <v>1010BC03NA</v>
      </c>
      <c r="F1218" t="str">
        <f>VLOOKUP(B1218,[1]Course!$A$2:$R$329,2,FALSE)</f>
        <v>Basic Biographies of Christians</v>
      </c>
      <c r="G1218">
        <f>VLOOKUP(B1218, [1]Course!$A$2:$L$950, 8, FALSE)</f>
        <v>10</v>
      </c>
      <c r="H1218">
        <v>3</v>
      </c>
      <c r="I1218">
        <v>1</v>
      </c>
      <c r="J1218">
        <v>1978</v>
      </c>
      <c r="K1218" t="s">
        <v>92</v>
      </c>
      <c r="L1218">
        <v>1</v>
      </c>
      <c r="M1218" t="str">
        <f>VLOOKUP(B1218, [1]Course!$A$1:$O$933, 12, FALSE)</f>
        <v>BS</v>
      </c>
      <c r="N1218" t="s">
        <v>14</v>
      </c>
      <c r="O1218" t="str">
        <f>VLOOKUP(B1218, [1]Course!$A$1:$O$933, 14, FALSE)</f>
        <v>BC</v>
      </c>
      <c r="P1218">
        <v>1</v>
      </c>
    </row>
    <row r="1219" spans="1:16" x14ac:dyDescent="0.25">
      <c r="A1219">
        <v>1222</v>
      </c>
      <c r="B1219">
        <v>131</v>
      </c>
      <c r="C1219">
        <v>134</v>
      </c>
      <c r="D1219" t="s">
        <v>18</v>
      </c>
      <c r="E1219" t="str">
        <f t="shared" ref="E1219" si="20">UPPER(LEFT(G1219,2)) &amp; RIGHT("0" &amp; C1219, 2) &amp; D1219 &amp; RIGHT("0" &amp; H1219, 2) &amp; N1219</f>
        <v>1234LC03PT</v>
      </c>
      <c r="F1219">
        <f>VLOOKUP(B1219,[1]Course!$A$2:$R$329,2,FALSE)</f>
        <v>0</v>
      </c>
      <c r="G1219">
        <f>VLOOKUP(B1219, [1]Course!$A$2:$L$950, 8, FALSE)</f>
        <v>12</v>
      </c>
      <c r="H1219">
        <v>3</v>
      </c>
      <c r="I1219">
        <v>1</v>
      </c>
      <c r="J1219">
        <v>2020</v>
      </c>
      <c r="K1219" t="s">
        <v>92</v>
      </c>
      <c r="L1219">
        <v>1</v>
      </c>
      <c r="M1219" t="str">
        <f>VLOOKUP(B1219, [1]Course!$A$1:$O$933, 12, FALSE)</f>
        <v>BS</v>
      </c>
      <c r="N1219" t="s">
        <v>14</v>
      </c>
      <c r="O1219" t="str">
        <f>VLOOKUP(B1219, [1]Course!$A$1:$O$933, 14, FALSE)</f>
        <v>LC</v>
      </c>
      <c r="P1219">
        <v>1</v>
      </c>
    </row>
    <row r="1220" spans="1:16" x14ac:dyDescent="0.25">
      <c r="A1220">
        <v>1223</v>
      </c>
      <c r="B1220">
        <v>131</v>
      </c>
      <c r="C1220">
        <v>133</v>
      </c>
      <c r="D1220" t="s">
        <v>18</v>
      </c>
      <c r="E1220" t="str">
        <f t="shared" ref="E1220" si="21">UPPER(LEFT(G1220,2)) &amp; RIGHT("0" &amp; C1220, 2) &amp; D1220 &amp; RIGHT("0" &amp; H1220, 2) &amp; N1220</f>
        <v>1233LC03PT</v>
      </c>
      <c r="F1220">
        <f>VLOOKUP(B1220,[1]Course!$A$2:$R$329,2,FALSE)</f>
        <v>0</v>
      </c>
      <c r="G1220">
        <f>VLOOKUP(B1220, [1]Course!$A$2:$L$950, 8, FALSE)</f>
        <v>12</v>
      </c>
      <c r="H1220">
        <v>3</v>
      </c>
      <c r="I1220">
        <v>1</v>
      </c>
      <c r="J1220">
        <v>2020</v>
      </c>
      <c r="K1220" t="s">
        <v>92</v>
      </c>
      <c r="L1220">
        <v>1</v>
      </c>
      <c r="M1220" t="str">
        <f>VLOOKUP(B1220, [1]Course!$A$1:$O$933, 12, FALSE)</f>
        <v>BS</v>
      </c>
      <c r="N1220" t="s">
        <v>14</v>
      </c>
      <c r="O1220" t="str">
        <f>VLOOKUP(B1220, [1]Course!$A$1:$O$933, 14, FALSE)</f>
        <v>LC</v>
      </c>
      <c r="P1220">
        <v>1</v>
      </c>
    </row>
    <row r="1221" spans="1:16" x14ac:dyDescent="0.25">
      <c r="A1221">
        <v>1224</v>
      </c>
      <c r="B1221">
        <v>127</v>
      </c>
      <c r="C1221">
        <v>1</v>
      </c>
      <c r="D1221" t="s">
        <v>68</v>
      </c>
      <c r="E1221" t="str">
        <f t="shared" ref="E1219:E1282" si="22">UPPER(LEFT(G1221,2)) &amp; RIGHT("0" &amp; C1221, 2) &amp; D1221 &amp; RIGHT("0" &amp; H1221, 2) &amp; N1221</f>
        <v>1001EC03PT</v>
      </c>
      <c r="F1221">
        <f>VLOOKUP(B1221,[1]Course!$A$2:$R$329,2,FALSE)</f>
        <v>0</v>
      </c>
      <c r="G1221">
        <f>VLOOKUP(B1221, [1]Course!$A$2:$L$950, 8, FALSE)</f>
        <v>10</v>
      </c>
      <c r="H1221">
        <v>3</v>
      </c>
      <c r="I1221">
        <v>1</v>
      </c>
      <c r="J1221">
        <v>1976</v>
      </c>
      <c r="K1221">
        <v>2012</v>
      </c>
      <c r="L1221">
        <v>1</v>
      </c>
      <c r="M1221" t="str">
        <f>VLOOKUP(B1221, [1]Course!$A$1:$O$933, 12, FALSE)</f>
        <v>LA</v>
      </c>
      <c r="N1221" t="s">
        <v>14</v>
      </c>
      <c r="O1221" t="str">
        <f>VLOOKUP(B1221, [1]Course!$A$1:$O$933, 14, FALSE)</f>
        <v>EC</v>
      </c>
      <c r="P1221">
        <v>1</v>
      </c>
    </row>
    <row r="1222" spans="1:16" x14ac:dyDescent="0.25">
      <c r="A1222">
        <v>1225</v>
      </c>
      <c r="B1222">
        <v>127</v>
      </c>
      <c r="C1222">
        <v>2</v>
      </c>
      <c r="D1222" t="s">
        <v>68</v>
      </c>
      <c r="E1222" t="str">
        <f t="shared" si="22"/>
        <v>1002EC03PT</v>
      </c>
      <c r="F1222">
        <f>VLOOKUP(B1222,[1]Course!$A$2:$R$329,2,FALSE)</f>
        <v>0</v>
      </c>
      <c r="G1222">
        <f>VLOOKUP(B1222, [1]Course!$A$2:$L$950, 8, FALSE)</f>
        <v>10</v>
      </c>
      <c r="H1222">
        <v>3</v>
      </c>
      <c r="I1222">
        <v>1</v>
      </c>
      <c r="J1222">
        <v>1976</v>
      </c>
      <c r="K1222" t="s">
        <v>92</v>
      </c>
      <c r="L1222">
        <v>1</v>
      </c>
      <c r="M1222" t="str">
        <f>VLOOKUP(B1222, [1]Course!$A$1:$O$933, 12, FALSE)</f>
        <v>LA</v>
      </c>
      <c r="N1222" t="s">
        <v>14</v>
      </c>
      <c r="O1222" t="str">
        <f>VLOOKUP(B1222, [1]Course!$A$1:$O$933, 14, FALSE)</f>
        <v>EC</v>
      </c>
      <c r="P1222">
        <v>1</v>
      </c>
    </row>
    <row r="1223" spans="1:16" x14ac:dyDescent="0.25">
      <c r="A1223">
        <v>1226</v>
      </c>
      <c r="B1223">
        <v>127</v>
      </c>
      <c r="C1223">
        <v>3</v>
      </c>
      <c r="D1223" t="s">
        <v>68</v>
      </c>
      <c r="E1223" t="str">
        <f t="shared" si="22"/>
        <v>1003EC03PT</v>
      </c>
      <c r="F1223">
        <f>VLOOKUP(B1223,[1]Course!$A$2:$R$329,2,FALSE)</f>
        <v>0</v>
      </c>
      <c r="G1223">
        <f>VLOOKUP(B1223, [1]Course!$A$2:$L$950, 8, FALSE)</f>
        <v>10</v>
      </c>
      <c r="H1223">
        <v>3</v>
      </c>
      <c r="I1223">
        <v>1</v>
      </c>
      <c r="J1223">
        <v>1976</v>
      </c>
      <c r="K1223">
        <v>2005</v>
      </c>
      <c r="L1223">
        <v>1</v>
      </c>
      <c r="M1223" t="str">
        <f>VLOOKUP(B1223, [1]Course!$A$1:$O$933, 12, FALSE)</f>
        <v>LA</v>
      </c>
      <c r="N1223" t="s">
        <v>14</v>
      </c>
      <c r="O1223" t="str">
        <f>VLOOKUP(B1223, [1]Course!$A$1:$O$933, 14, FALSE)</f>
        <v>EC</v>
      </c>
      <c r="P1223">
        <v>1</v>
      </c>
    </row>
    <row r="1224" spans="1:16" x14ac:dyDescent="0.25">
      <c r="A1224">
        <v>1227</v>
      </c>
      <c r="B1224">
        <v>127</v>
      </c>
      <c r="C1224">
        <v>4</v>
      </c>
      <c r="D1224" t="s">
        <v>68</v>
      </c>
      <c r="E1224" t="str">
        <f t="shared" si="22"/>
        <v>1004EC03PT</v>
      </c>
      <c r="F1224">
        <f>VLOOKUP(B1224,[1]Course!$A$2:$R$329,2,FALSE)</f>
        <v>0</v>
      </c>
      <c r="G1224">
        <f>VLOOKUP(B1224, [1]Course!$A$2:$L$950, 8, FALSE)</f>
        <v>10</v>
      </c>
      <c r="H1224">
        <v>3</v>
      </c>
      <c r="I1224">
        <v>1</v>
      </c>
      <c r="J1224">
        <v>1976</v>
      </c>
      <c r="K1224" t="s">
        <v>92</v>
      </c>
      <c r="L1224">
        <v>1</v>
      </c>
      <c r="M1224" t="str">
        <f>VLOOKUP(B1224, [1]Course!$A$1:$O$933, 12, FALSE)</f>
        <v>LA</v>
      </c>
      <c r="N1224" t="s">
        <v>14</v>
      </c>
      <c r="O1224" t="str">
        <f>VLOOKUP(B1224, [1]Course!$A$1:$O$933, 14, FALSE)</f>
        <v>EC</v>
      </c>
      <c r="P1224">
        <v>1</v>
      </c>
    </row>
    <row r="1225" spans="1:16" x14ac:dyDescent="0.25">
      <c r="A1225">
        <v>1228</v>
      </c>
      <c r="B1225">
        <v>127</v>
      </c>
      <c r="C1225">
        <v>5</v>
      </c>
      <c r="D1225" t="s">
        <v>68</v>
      </c>
      <c r="E1225" t="str">
        <f t="shared" si="22"/>
        <v>1005EC03PT</v>
      </c>
      <c r="F1225">
        <f>VLOOKUP(B1225,[1]Course!$A$2:$R$329,2,FALSE)</f>
        <v>0</v>
      </c>
      <c r="G1225">
        <f>VLOOKUP(B1225, [1]Course!$A$2:$L$950, 8, FALSE)</f>
        <v>10</v>
      </c>
      <c r="H1225">
        <v>3</v>
      </c>
      <c r="I1225">
        <v>1</v>
      </c>
      <c r="J1225">
        <v>1976</v>
      </c>
      <c r="K1225" t="s">
        <v>92</v>
      </c>
      <c r="L1225">
        <v>1</v>
      </c>
      <c r="M1225" t="str">
        <f>VLOOKUP(B1225, [1]Course!$A$1:$O$933, 12, FALSE)</f>
        <v>LA</v>
      </c>
      <c r="N1225" t="s">
        <v>14</v>
      </c>
      <c r="O1225" t="str">
        <f>VLOOKUP(B1225, [1]Course!$A$1:$O$933, 14, FALSE)</f>
        <v>EC</v>
      </c>
      <c r="P1225">
        <v>1</v>
      </c>
    </row>
    <row r="1226" spans="1:16" x14ac:dyDescent="0.25">
      <c r="A1226">
        <v>1229</v>
      </c>
      <c r="B1226">
        <v>127</v>
      </c>
      <c r="C1226">
        <v>6</v>
      </c>
      <c r="D1226" t="s">
        <v>68</v>
      </c>
      <c r="E1226" t="str">
        <f t="shared" si="22"/>
        <v>1006EC03PT</v>
      </c>
      <c r="F1226">
        <f>VLOOKUP(B1226,[1]Course!$A$2:$R$329,2,FALSE)</f>
        <v>0</v>
      </c>
      <c r="G1226">
        <f>VLOOKUP(B1226, [1]Course!$A$2:$L$950, 8, FALSE)</f>
        <v>10</v>
      </c>
      <c r="H1226">
        <v>3</v>
      </c>
      <c r="I1226">
        <v>1</v>
      </c>
      <c r="J1226">
        <v>1976</v>
      </c>
      <c r="K1226" t="s">
        <v>92</v>
      </c>
      <c r="L1226">
        <v>1</v>
      </c>
      <c r="M1226" t="str">
        <f>VLOOKUP(B1226, [1]Course!$A$1:$O$933, 12, FALSE)</f>
        <v>LA</v>
      </c>
      <c r="N1226" t="s">
        <v>14</v>
      </c>
      <c r="O1226" t="str">
        <f>VLOOKUP(B1226, [1]Course!$A$1:$O$933, 14, FALSE)</f>
        <v>EC</v>
      </c>
      <c r="P1226">
        <v>1</v>
      </c>
    </row>
    <row r="1227" spans="1:16" x14ac:dyDescent="0.25">
      <c r="A1227">
        <v>1230</v>
      </c>
      <c r="B1227">
        <v>127</v>
      </c>
      <c r="C1227">
        <v>7</v>
      </c>
      <c r="D1227" t="s">
        <v>68</v>
      </c>
      <c r="E1227" t="str">
        <f t="shared" si="22"/>
        <v>1007EC03PT</v>
      </c>
      <c r="F1227">
        <f>VLOOKUP(B1227,[1]Course!$A$2:$R$329,2,FALSE)</f>
        <v>0</v>
      </c>
      <c r="G1227">
        <f>VLOOKUP(B1227, [1]Course!$A$2:$L$950, 8, FALSE)</f>
        <v>10</v>
      </c>
      <c r="H1227">
        <v>3</v>
      </c>
      <c r="I1227">
        <v>1</v>
      </c>
      <c r="J1227">
        <v>1976</v>
      </c>
      <c r="K1227">
        <v>1994</v>
      </c>
      <c r="L1227">
        <v>1</v>
      </c>
      <c r="M1227" t="str">
        <f>VLOOKUP(B1227, [1]Course!$A$1:$O$933, 12, FALSE)</f>
        <v>LA</v>
      </c>
      <c r="N1227" t="s">
        <v>14</v>
      </c>
      <c r="O1227" t="str">
        <f>VLOOKUP(B1227, [1]Course!$A$1:$O$933, 14, FALSE)</f>
        <v>EC</v>
      </c>
      <c r="P1227">
        <v>1</v>
      </c>
    </row>
    <row r="1228" spans="1:16" x14ac:dyDescent="0.25">
      <c r="A1228">
        <v>1231</v>
      </c>
      <c r="B1228">
        <v>127</v>
      </c>
      <c r="C1228">
        <v>8</v>
      </c>
      <c r="D1228" t="s">
        <v>68</v>
      </c>
      <c r="E1228" t="str">
        <f t="shared" si="22"/>
        <v>1008EC03PT</v>
      </c>
      <c r="F1228">
        <f>VLOOKUP(B1228,[1]Course!$A$2:$R$329,2,FALSE)</f>
        <v>0</v>
      </c>
      <c r="G1228">
        <f>VLOOKUP(B1228, [1]Course!$A$2:$L$950, 8, FALSE)</f>
        <v>10</v>
      </c>
      <c r="H1228">
        <v>3</v>
      </c>
      <c r="I1228">
        <v>1</v>
      </c>
      <c r="J1228">
        <v>1976</v>
      </c>
      <c r="K1228">
        <v>1993</v>
      </c>
      <c r="L1228">
        <v>1</v>
      </c>
      <c r="M1228" t="str">
        <f>VLOOKUP(B1228, [1]Course!$A$1:$O$933, 12, FALSE)</f>
        <v>LA</v>
      </c>
      <c r="N1228" t="s">
        <v>14</v>
      </c>
      <c r="O1228" t="str">
        <f>VLOOKUP(B1228, [1]Course!$A$1:$O$933, 14, FALSE)</f>
        <v>EC</v>
      </c>
      <c r="P1228">
        <v>1</v>
      </c>
    </row>
    <row r="1229" spans="1:16" x14ac:dyDescent="0.25">
      <c r="A1229">
        <v>1232</v>
      </c>
      <c r="B1229">
        <v>127</v>
      </c>
      <c r="C1229">
        <v>9</v>
      </c>
      <c r="D1229" t="s">
        <v>68</v>
      </c>
      <c r="E1229" t="str">
        <f t="shared" si="22"/>
        <v>1009EC03PT</v>
      </c>
      <c r="F1229">
        <f>VLOOKUP(B1229,[1]Course!$A$2:$R$329,2,FALSE)</f>
        <v>0</v>
      </c>
      <c r="G1229">
        <f>VLOOKUP(B1229, [1]Course!$A$2:$L$950, 8, FALSE)</f>
        <v>10</v>
      </c>
      <c r="H1229">
        <v>3</v>
      </c>
      <c r="I1229">
        <v>1</v>
      </c>
      <c r="J1229">
        <v>1976</v>
      </c>
      <c r="K1229">
        <v>1997</v>
      </c>
      <c r="L1229">
        <v>1</v>
      </c>
      <c r="M1229" t="str">
        <f>VLOOKUP(B1229, [1]Course!$A$1:$O$933, 12, FALSE)</f>
        <v>LA</v>
      </c>
      <c r="N1229" t="s">
        <v>14</v>
      </c>
      <c r="O1229" t="str">
        <f>VLOOKUP(B1229, [1]Course!$A$1:$O$933, 14, FALSE)</f>
        <v>EC</v>
      </c>
      <c r="P1229">
        <v>1</v>
      </c>
    </row>
    <row r="1230" spans="1:16" x14ac:dyDescent="0.25">
      <c r="A1230">
        <v>1233</v>
      </c>
      <c r="B1230">
        <v>127</v>
      </c>
      <c r="C1230">
        <v>10</v>
      </c>
      <c r="D1230" t="s">
        <v>68</v>
      </c>
      <c r="E1230" t="str">
        <f t="shared" si="22"/>
        <v>1010EC03PT</v>
      </c>
      <c r="F1230">
        <f>VLOOKUP(B1230,[1]Course!$A$2:$R$329,2,FALSE)</f>
        <v>0</v>
      </c>
      <c r="G1230">
        <f>VLOOKUP(B1230, [1]Course!$A$2:$L$950, 8, FALSE)</f>
        <v>10</v>
      </c>
      <c r="H1230">
        <v>3</v>
      </c>
      <c r="I1230">
        <v>1</v>
      </c>
      <c r="J1230">
        <v>1976</v>
      </c>
      <c r="K1230">
        <v>2012</v>
      </c>
      <c r="L1230">
        <v>1</v>
      </c>
      <c r="M1230" t="str">
        <f>VLOOKUP(B1230, [1]Course!$A$1:$O$933, 12, FALSE)</f>
        <v>LA</v>
      </c>
      <c r="N1230" t="s">
        <v>14</v>
      </c>
      <c r="O1230" t="str">
        <f>VLOOKUP(B1230, [1]Course!$A$1:$O$933, 14, FALSE)</f>
        <v>EC</v>
      </c>
      <c r="P1230">
        <v>1</v>
      </c>
    </row>
    <row r="1231" spans="1:16" x14ac:dyDescent="0.25">
      <c r="A1231">
        <v>1234</v>
      </c>
      <c r="B1231">
        <v>130</v>
      </c>
      <c r="C1231">
        <v>1</v>
      </c>
      <c r="D1231" t="s">
        <v>22</v>
      </c>
      <c r="E1231" t="str">
        <f t="shared" si="22"/>
        <v>1601BA03PT</v>
      </c>
      <c r="F1231">
        <f>VLOOKUP(B1231,[1]Course!$A$2:$R$329,2,FALSE)</f>
        <v>0</v>
      </c>
      <c r="G1231">
        <f>VLOOKUP(B1231, [1]Course!$A$2:$L$950, 8, FALSE)</f>
        <v>16</v>
      </c>
      <c r="H1231">
        <v>3</v>
      </c>
      <c r="I1231">
        <v>1</v>
      </c>
      <c r="M1231" t="str">
        <f>VLOOKUP(B1231, [1]Course!$A$1:$O$933, 12, FALSE)</f>
        <v>SC</v>
      </c>
      <c r="N1231" t="s">
        <v>14</v>
      </c>
      <c r="O1231" t="str">
        <f>VLOOKUP(B1231, [1]Course!$A$1:$O$933, 14, FALSE)</f>
        <v>BA</v>
      </c>
      <c r="P1231">
        <v>1</v>
      </c>
    </row>
    <row r="1232" spans="1:16" x14ac:dyDescent="0.25">
      <c r="A1232">
        <v>1235</v>
      </c>
      <c r="B1232">
        <v>130</v>
      </c>
      <c r="C1232">
        <v>2</v>
      </c>
      <c r="D1232" t="s">
        <v>22</v>
      </c>
      <c r="E1232" t="str">
        <f t="shared" si="22"/>
        <v>1602BA03PT</v>
      </c>
      <c r="F1232">
        <f>VLOOKUP(B1232,[1]Course!$A$2:$R$329,2,FALSE)</f>
        <v>0</v>
      </c>
      <c r="G1232">
        <f>VLOOKUP(B1232, [1]Course!$A$2:$L$950, 8, FALSE)</f>
        <v>16</v>
      </c>
      <c r="H1232">
        <v>3</v>
      </c>
      <c r="I1232">
        <v>1</v>
      </c>
      <c r="M1232" t="str">
        <f>VLOOKUP(B1232, [1]Course!$A$1:$O$933, 12, FALSE)</f>
        <v>SC</v>
      </c>
      <c r="N1232" t="s">
        <v>14</v>
      </c>
      <c r="O1232" t="str">
        <f>VLOOKUP(B1232, [1]Course!$A$1:$O$933, 14, FALSE)</f>
        <v>BA</v>
      </c>
      <c r="P1232">
        <v>1</v>
      </c>
    </row>
    <row r="1233" spans="1:16" x14ac:dyDescent="0.25">
      <c r="A1233">
        <v>1236</v>
      </c>
      <c r="B1233">
        <v>130</v>
      </c>
      <c r="C1233">
        <v>3</v>
      </c>
      <c r="D1233" t="s">
        <v>22</v>
      </c>
      <c r="E1233" t="str">
        <f t="shared" si="22"/>
        <v>1603BA03PT</v>
      </c>
      <c r="F1233">
        <f>VLOOKUP(B1233,[1]Course!$A$2:$R$329,2,FALSE)</f>
        <v>0</v>
      </c>
      <c r="G1233">
        <f>VLOOKUP(B1233, [1]Course!$A$2:$L$950, 8, FALSE)</f>
        <v>16</v>
      </c>
      <c r="H1233">
        <v>3</v>
      </c>
      <c r="I1233">
        <v>1</v>
      </c>
      <c r="M1233" t="str">
        <f>VLOOKUP(B1233, [1]Course!$A$1:$O$933, 12, FALSE)</f>
        <v>SC</v>
      </c>
      <c r="N1233" t="s">
        <v>14</v>
      </c>
      <c r="O1233" t="str">
        <f>VLOOKUP(B1233, [1]Course!$A$1:$O$933, 14, FALSE)</f>
        <v>BA</v>
      </c>
      <c r="P1233">
        <v>1</v>
      </c>
    </row>
    <row r="1234" spans="1:16" x14ac:dyDescent="0.25">
      <c r="A1234">
        <v>1237</v>
      </c>
      <c r="B1234">
        <v>130</v>
      </c>
      <c r="C1234">
        <v>4</v>
      </c>
      <c r="D1234" t="s">
        <v>22</v>
      </c>
      <c r="E1234" t="str">
        <f t="shared" si="22"/>
        <v>1604BA03PT</v>
      </c>
      <c r="F1234">
        <f>VLOOKUP(B1234,[1]Course!$A$2:$R$329,2,FALSE)</f>
        <v>0</v>
      </c>
      <c r="G1234">
        <f>VLOOKUP(B1234, [1]Course!$A$2:$L$950, 8, FALSE)</f>
        <v>16</v>
      </c>
      <c r="H1234">
        <v>3</v>
      </c>
      <c r="I1234">
        <v>1</v>
      </c>
      <c r="M1234" t="str">
        <f>VLOOKUP(B1234, [1]Course!$A$1:$O$933, 12, FALSE)</f>
        <v>SC</v>
      </c>
      <c r="N1234" t="s">
        <v>14</v>
      </c>
      <c r="O1234" t="str">
        <f>VLOOKUP(B1234, [1]Course!$A$1:$O$933, 14, FALSE)</f>
        <v>BA</v>
      </c>
      <c r="P1234">
        <v>1</v>
      </c>
    </row>
    <row r="1235" spans="1:16" x14ac:dyDescent="0.25">
      <c r="A1235">
        <v>1238</v>
      </c>
      <c r="B1235">
        <v>130</v>
      </c>
      <c r="C1235">
        <v>5</v>
      </c>
      <c r="D1235" t="s">
        <v>22</v>
      </c>
      <c r="E1235" t="str">
        <f t="shared" si="22"/>
        <v>1605BA03PT</v>
      </c>
      <c r="F1235">
        <f>VLOOKUP(B1235,[1]Course!$A$2:$R$329,2,FALSE)</f>
        <v>0</v>
      </c>
      <c r="G1235">
        <f>VLOOKUP(B1235, [1]Course!$A$2:$L$950, 8, FALSE)</f>
        <v>16</v>
      </c>
      <c r="H1235">
        <v>3</v>
      </c>
      <c r="I1235">
        <v>1</v>
      </c>
      <c r="M1235" t="str">
        <f>VLOOKUP(B1235, [1]Course!$A$1:$O$933, 12, FALSE)</f>
        <v>SC</v>
      </c>
      <c r="N1235" t="s">
        <v>14</v>
      </c>
      <c r="O1235" t="str">
        <f>VLOOKUP(B1235, [1]Course!$A$1:$O$933, 14, FALSE)</f>
        <v>BA</v>
      </c>
      <c r="P1235">
        <v>1</v>
      </c>
    </row>
    <row r="1236" spans="1:16" x14ac:dyDescent="0.25">
      <c r="A1236">
        <v>1239</v>
      </c>
      <c r="B1236">
        <v>130</v>
      </c>
      <c r="C1236">
        <v>6</v>
      </c>
      <c r="D1236" t="s">
        <v>22</v>
      </c>
      <c r="E1236" t="str">
        <f t="shared" si="22"/>
        <v>1606BA03PT</v>
      </c>
      <c r="F1236">
        <f>VLOOKUP(B1236,[1]Course!$A$2:$R$329,2,FALSE)</f>
        <v>0</v>
      </c>
      <c r="G1236">
        <f>VLOOKUP(B1236, [1]Course!$A$2:$L$950, 8, FALSE)</f>
        <v>16</v>
      </c>
      <c r="H1236">
        <v>3</v>
      </c>
      <c r="I1236">
        <v>1</v>
      </c>
      <c r="M1236" t="str">
        <f>VLOOKUP(B1236, [1]Course!$A$1:$O$933, 12, FALSE)</f>
        <v>SC</v>
      </c>
      <c r="N1236" t="s">
        <v>14</v>
      </c>
      <c r="O1236" t="str">
        <f>VLOOKUP(B1236, [1]Course!$A$1:$O$933, 14, FALSE)</f>
        <v>BA</v>
      </c>
      <c r="P1236">
        <v>1</v>
      </c>
    </row>
    <row r="1237" spans="1:16" x14ac:dyDescent="0.25">
      <c r="A1237">
        <v>1240</v>
      </c>
      <c r="B1237">
        <v>130</v>
      </c>
      <c r="C1237">
        <v>7</v>
      </c>
      <c r="D1237" t="s">
        <v>22</v>
      </c>
      <c r="E1237" t="str">
        <f t="shared" si="22"/>
        <v>1607BA03PT</v>
      </c>
      <c r="F1237">
        <f>VLOOKUP(B1237,[1]Course!$A$2:$R$329,2,FALSE)</f>
        <v>0</v>
      </c>
      <c r="G1237">
        <f>VLOOKUP(B1237, [1]Course!$A$2:$L$950, 8, FALSE)</f>
        <v>16</v>
      </c>
      <c r="H1237">
        <v>3</v>
      </c>
      <c r="I1237">
        <v>1</v>
      </c>
      <c r="M1237" t="str">
        <f>VLOOKUP(B1237, [1]Course!$A$1:$O$933, 12, FALSE)</f>
        <v>SC</v>
      </c>
      <c r="N1237" t="s">
        <v>14</v>
      </c>
      <c r="O1237" t="str">
        <f>VLOOKUP(B1237, [1]Course!$A$1:$O$933, 14, FALSE)</f>
        <v>BA</v>
      </c>
      <c r="P1237">
        <v>1</v>
      </c>
    </row>
    <row r="1238" spans="1:16" x14ac:dyDescent="0.25">
      <c r="A1238">
        <v>1241</v>
      </c>
      <c r="B1238">
        <v>130</v>
      </c>
      <c r="C1238">
        <v>8</v>
      </c>
      <c r="D1238" t="s">
        <v>22</v>
      </c>
      <c r="E1238" t="str">
        <f t="shared" si="22"/>
        <v>1608BA03PT</v>
      </c>
      <c r="F1238">
        <f>VLOOKUP(B1238,[1]Course!$A$2:$R$329,2,FALSE)</f>
        <v>0</v>
      </c>
      <c r="G1238">
        <f>VLOOKUP(B1238, [1]Course!$A$2:$L$950, 8, FALSE)</f>
        <v>16</v>
      </c>
      <c r="H1238">
        <v>3</v>
      </c>
      <c r="I1238">
        <v>1</v>
      </c>
      <c r="M1238" t="str">
        <f>VLOOKUP(B1238, [1]Course!$A$1:$O$933, 12, FALSE)</f>
        <v>SC</v>
      </c>
      <c r="N1238" t="s">
        <v>14</v>
      </c>
      <c r="O1238" t="str">
        <f>VLOOKUP(B1238, [1]Course!$A$1:$O$933, 14, FALSE)</f>
        <v>BA</v>
      </c>
      <c r="P1238">
        <v>1</v>
      </c>
    </row>
    <row r="1239" spans="1:16" x14ac:dyDescent="0.25">
      <c r="A1239">
        <v>1242</v>
      </c>
      <c r="B1239">
        <v>130</v>
      </c>
      <c r="C1239">
        <v>9</v>
      </c>
      <c r="D1239" t="s">
        <v>22</v>
      </c>
      <c r="E1239" t="str">
        <f t="shared" si="22"/>
        <v>1609BA03PT</v>
      </c>
      <c r="F1239">
        <f>VLOOKUP(B1239,[1]Course!$A$2:$R$329,2,FALSE)</f>
        <v>0</v>
      </c>
      <c r="G1239">
        <f>VLOOKUP(B1239, [1]Course!$A$2:$L$950, 8, FALSE)</f>
        <v>16</v>
      </c>
      <c r="H1239">
        <v>3</v>
      </c>
      <c r="I1239">
        <v>1</v>
      </c>
      <c r="M1239" t="str">
        <f>VLOOKUP(B1239, [1]Course!$A$1:$O$933, 12, FALSE)</f>
        <v>SC</v>
      </c>
      <c r="N1239" t="s">
        <v>14</v>
      </c>
      <c r="O1239" t="str">
        <f>VLOOKUP(B1239, [1]Course!$A$1:$O$933, 14, FALSE)</f>
        <v>BA</v>
      </c>
      <c r="P1239">
        <v>1</v>
      </c>
    </row>
    <row r="1240" spans="1:16" x14ac:dyDescent="0.25">
      <c r="A1240">
        <v>1243</v>
      </c>
      <c r="B1240">
        <v>130</v>
      </c>
      <c r="C1240">
        <v>10</v>
      </c>
      <c r="D1240" t="s">
        <v>22</v>
      </c>
      <c r="E1240" t="str">
        <f t="shared" si="22"/>
        <v>1610BA03PT</v>
      </c>
      <c r="F1240">
        <f>VLOOKUP(B1240,[1]Course!$A$2:$R$329,2,FALSE)</f>
        <v>0</v>
      </c>
      <c r="G1240">
        <f>VLOOKUP(B1240, [1]Course!$A$2:$L$950, 8, FALSE)</f>
        <v>16</v>
      </c>
      <c r="H1240">
        <v>3</v>
      </c>
      <c r="I1240">
        <v>1</v>
      </c>
      <c r="M1240" t="str">
        <f>VLOOKUP(B1240, [1]Course!$A$1:$O$933, 12, FALSE)</f>
        <v>SC</v>
      </c>
      <c r="N1240" t="s">
        <v>14</v>
      </c>
      <c r="O1240" t="str">
        <f>VLOOKUP(B1240, [1]Course!$A$1:$O$933, 14, FALSE)</f>
        <v>BA</v>
      </c>
      <c r="P1240">
        <v>1</v>
      </c>
    </row>
    <row r="1241" spans="1:16" x14ac:dyDescent="0.25">
      <c r="A1241">
        <v>1244</v>
      </c>
      <c r="B1241">
        <v>130</v>
      </c>
      <c r="C1241">
        <v>11</v>
      </c>
      <c r="D1241" t="s">
        <v>22</v>
      </c>
      <c r="E1241" t="str">
        <f t="shared" si="22"/>
        <v>1611BA03PT</v>
      </c>
      <c r="F1241">
        <f>VLOOKUP(B1241,[1]Course!$A$2:$R$329,2,FALSE)</f>
        <v>0</v>
      </c>
      <c r="G1241">
        <f>VLOOKUP(B1241, [1]Course!$A$2:$L$950, 8, FALSE)</f>
        <v>16</v>
      </c>
      <c r="H1241">
        <v>3</v>
      </c>
      <c r="I1241">
        <v>1</v>
      </c>
      <c r="M1241" t="str">
        <f>VLOOKUP(B1241, [1]Course!$A$1:$O$933, 12, FALSE)</f>
        <v>SC</v>
      </c>
      <c r="N1241" t="s">
        <v>14</v>
      </c>
      <c r="O1241" t="str">
        <f>VLOOKUP(B1241, [1]Course!$A$1:$O$933, 14, FALSE)</f>
        <v>BA</v>
      </c>
      <c r="P1241">
        <v>1</v>
      </c>
    </row>
    <row r="1242" spans="1:16" x14ac:dyDescent="0.25">
      <c r="A1242">
        <v>1245</v>
      </c>
      <c r="B1242">
        <v>130</v>
      </c>
      <c r="C1242">
        <v>12</v>
      </c>
      <c r="D1242" t="s">
        <v>22</v>
      </c>
      <c r="E1242" t="str">
        <f t="shared" si="22"/>
        <v>1612BA03PT</v>
      </c>
      <c r="F1242">
        <f>VLOOKUP(B1242,[1]Course!$A$2:$R$329,2,FALSE)</f>
        <v>0</v>
      </c>
      <c r="G1242">
        <f>VLOOKUP(B1242, [1]Course!$A$2:$L$950, 8, FALSE)</f>
        <v>16</v>
      </c>
      <c r="H1242">
        <v>3</v>
      </c>
      <c r="I1242">
        <v>1</v>
      </c>
      <c r="M1242" t="str">
        <f>VLOOKUP(B1242, [1]Course!$A$1:$O$933, 12, FALSE)</f>
        <v>SC</v>
      </c>
      <c r="N1242" t="s">
        <v>14</v>
      </c>
      <c r="O1242" t="str">
        <f>VLOOKUP(B1242, [1]Course!$A$1:$O$933, 14, FALSE)</f>
        <v>BA</v>
      </c>
      <c r="P1242">
        <v>1</v>
      </c>
    </row>
    <row r="1243" spans="1:16" x14ac:dyDescent="0.25">
      <c r="A1243">
        <v>1246</v>
      </c>
      <c r="B1243">
        <v>130</v>
      </c>
      <c r="C1243">
        <v>13</v>
      </c>
      <c r="D1243" t="s">
        <v>22</v>
      </c>
      <c r="E1243" t="str">
        <f t="shared" si="22"/>
        <v>1613BA03PT</v>
      </c>
      <c r="F1243">
        <f>VLOOKUP(B1243,[1]Course!$A$2:$R$329,2,FALSE)</f>
        <v>0</v>
      </c>
      <c r="G1243">
        <f>VLOOKUP(B1243, [1]Course!$A$2:$L$950, 8, FALSE)</f>
        <v>16</v>
      </c>
      <c r="H1243">
        <v>3</v>
      </c>
      <c r="I1243">
        <v>1</v>
      </c>
      <c r="M1243" t="str">
        <f>VLOOKUP(B1243, [1]Course!$A$1:$O$933, 12, FALSE)</f>
        <v>SC</v>
      </c>
      <c r="N1243" t="s">
        <v>14</v>
      </c>
      <c r="O1243" t="str">
        <f>VLOOKUP(B1243, [1]Course!$A$1:$O$933, 14, FALSE)</f>
        <v>BA</v>
      </c>
      <c r="P1243">
        <v>1</v>
      </c>
    </row>
    <row r="1244" spans="1:16" x14ac:dyDescent="0.25">
      <c r="A1244">
        <v>1247</v>
      </c>
      <c r="B1244">
        <v>130</v>
      </c>
      <c r="C1244">
        <v>14</v>
      </c>
      <c r="D1244" t="s">
        <v>22</v>
      </c>
      <c r="E1244" t="str">
        <f t="shared" si="22"/>
        <v>1614BA03PT</v>
      </c>
      <c r="F1244">
        <f>VLOOKUP(B1244,[1]Course!$A$2:$R$329,2,FALSE)</f>
        <v>0</v>
      </c>
      <c r="G1244">
        <f>VLOOKUP(B1244, [1]Course!$A$2:$L$950, 8, FALSE)</f>
        <v>16</v>
      </c>
      <c r="H1244">
        <v>3</v>
      </c>
      <c r="I1244">
        <v>1</v>
      </c>
      <c r="M1244" t="str">
        <f>VLOOKUP(B1244, [1]Course!$A$1:$O$933, 12, FALSE)</f>
        <v>SC</v>
      </c>
      <c r="N1244" t="s">
        <v>14</v>
      </c>
      <c r="O1244" t="str">
        <f>VLOOKUP(B1244, [1]Course!$A$1:$O$933, 14, FALSE)</f>
        <v>BA</v>
      </c>
      <c r="P1244">
        <v>1</v>
      </c>
    </row>
    <row r="1245" spans="1:16" x14ac:dyDescent="0.25">
      <c r="A1245">
        <v>1248</v>
      </c>
      <c r="B1245">
        <v>130</v>
      </c>
      <c r="C1245">
        <v>15</v>
      </c>
      <c r="D1245" t="s">
        <v>22</v>
      </c>
      <c r="E1245" t="str">
        <f t="shared" si="22"/>
        <v>1615BA03PT</v>
      </c>
      <c r="F1245">
        <f>VLOOKUP(B1245,[1]Course!$A$2:$R$329,2,FALSE)</f>
        <v>0</v>
      </c>
      <c r="G1245">
        <f>VLOOKUP(B1245, [1]Course!$A$2:$L$950, 8, FALSE)</f>
        <v>16</v>
      </c>
      <c r="H1245">
        <v>3</v>
      </c>
      <c r="I1245">
        <v>1</v>
      </c>
      <c r="M1245" t="str">
        <f>VLOOKUP(B1245, [1]Course!$A$1:$O$933, 12, FALSE)</f>
        <v>SC</v>
      </c>
      <c r="N1245" t="s">
        <v>14</v>
      </c>
      <c r="O1245" t="str">
        <f>VLOOKUP(B1245, [1]Course!$A$1:$O$933, 14, FALSE)</f>
        <v>BA</v>
      </c>
      <c r="P1245">
        <v>1</v>
      </c>
    </row>
    <row r="1246" spans="1:16" x14ac:dyDescent="0.25">
      <c r="A1246">
        <v>1249</v>
      </c>
      <c r="B1246">
        <v>130</v>
      </c>
      <c r="C1246">
        <v>16</v>
      </c>
      <c r="D1246" t="s">
        <v>22</v>
      </c>
      <c r="E1246" t="str">
        <f t="shared" si="22"/>
        <v>1616BA03PT</v>
      </c>
      <c r="F1246">
        <f>VLOOKUP(B1246,[1]Course!$A$2:$R$329,2,FALSE)</f>
        <v>0</v>
      </c>
      <c r="G1246">
        <f>VLOOKUP(B1246, [1]Course!$A$2:$L$950, 8, FALSE)</f>
        <v>16</v>
      </c>
      <c r="H1246">
        <v>3</v>
      </c>
      <c r="I1246">
        <v>1</v>
      </c>
      <c r="M1246" t="str">
        <f>VLOOKUP(B1246, [1]Course!$A$1:$O$933, 12, FALSE)</f>
        <v>SC</v>
      </c>
      <c r="N1246" t="s">
        <v>14</v>
      </c>
      <c r="O1246" t="str">
        <f>VLOOKUP(B1246, [1]Course!$A$1:$O$933, 14, FALSE)</f>
        <v>BA</v>
      </c>
      <c r="P1246">
        <v>1</v>
      </c>
    </row>
    <row r="1247" spans="1:16" x14ac:dyDescent="0.25">
      <c r="A1247">
        <v>1250</v>
      </c>
      <c r="B1247">
        <v>131</v>
      </c>
      <c r="C1247">
        <v>133</v>
      </c>
      <c r="D1247" t="s">
        <v>18</v>
      </c>
      <c r="E1247" t="str">
        <f t="shared" si="22"/>
        <v>1233LC03PT</v>
      </c>
      <c r="F1247">
        <f>VLOOKUP(B1247,[1]Course!$A$2:$R$329,2,FALSE)</f>
        <v>0</v>
      </c>
      <c r="G1247">
        <f>VLOOKUP(B1247, [1]Course!$A$2:$L$950, 8, FALSE)</f>
        <v>12</v>
      </c>
      <c r="H1247">
        <v>3</v>
      </c>
      <c r="I1247">
        <v>1</v>
      </c>
      <c r="J1247">
        <v>1988</v>
      </c>
      <c r="K1247" t="s">
        <v>92</v>
      </c>
      <c r="L1247">
        <v>1</v>
      </c>
      <c r="M1247" t="str">
        <f>VLOOKUP(B1247, [1]Course!$A$1:$O$933, 12, FALSE)</f>
        <v>BS</v>
      </c>
      <c r="N1247" t="s">
        <v>14</v>
      </c>
      <c r="O1247" t="str">
        <f>VLOOKUP(B1247, [1]Course!$A$1:$O$933, 14, FALSE)</f>
        <v>LC</v>
      </c>
      <c r="P1247">
        <v>1</v>
      </c>
    </row>
    <row r="1248" spans="1:16" x14ac:dyDescent="0.25">
      <c r="A1248">
        <v>1251</v>
      </c>
      <c r="B1248">
        <v>131</v>
      </c>
      <c r="C1248">
        <v>134</v>
      </c>
      <c r="D1248" t="s">
        <v>18</v>
      </c>
      <c r="E1248" t="str">
        <f t="shared" si="22"/>
        <v>1234LC03PT</v>
      </c>
      <c r="F1248">
        <f>VLOOKUP(B1248,[1]Course!$A$2:$R$329,2,FALSE)</f>
        <v>0</v>
      </c>
      <c r="G1248">
        <f>VLOOKUP(B1248, [1]Course!$A$2:$L$950, 8, FALSE)</f>
        <v>12</v>
      </c>
      <c r="H1248">
        <v>3</v>
      </c>
      <c r="I1248">
        <v>1</v>
      </c>
      <c r="J1248">
        <v>1974</v>
      </c>
      <c r="K1248">
        <v>1995</v>
      </c>
      <c r="L1248">
        <v>1</v>
      </c>
      <c r="M1248" t="str">
        <f>VLOOKUP(B1248, [1]Course!$A$1:$O$933, 12, FALSE)</f>
        <v>BS</v>
      </c>
      <c r="N1248" t="s">
        <v>14</v>
      </c>
      <c r="O1248" t="str">
        <f>VLOOKUP(B1248, [1]Course!$A$1:$O$933, 14, FALSE)</f>
        <v>LC</v>
      </c>
      <c r="P1248">
        <v>1</v>
      </c>
    </row>
    <row r="1249" spans="1:17" x14ac:dyDescent="0.25">
      <c r="A1249">
        <v>1252</v>
      </c>
      <c r="B1249">
        <v>131</v>
      </c>
      <c r="C1249">
        <v>135</v>
      </c>
      <c r="D1249" t="s">
        <v>18</v>
      </c>
      <c r="E1249" t="str">
        <f t="shared" si="22"/>
        <v>1235LC03PT</v>
      </c>
      <c r="F1249">
        <f>VLOOKUP(B1249,[1]Course!$A$2:$R$329,2,FALSE)</f>
        <v>0</v>
      </c>
      <c r="G1249">
        <f>VLOOKUP(B1249, [1]Course!$A$2:$L$950, 8, FALSE)</f>
        <v>12</v>
      </c>
      <c r="H1249">
        <v>3</v>
      </c>
      <c r="I1249">
        <v>1</v>
      </c>
      <c r="J1249">
        <v>1974</v>
      </c>
      <c r="K1249">
        <v>1999</v>
      </c>
      <c r="L1249">
        <v>1</v>
      </c>
      <c r="M1249" t="str">
        <f>VLOOKUP(B1249, [1]Course!$A$1:$O$933, 12, FALSE)</f>
        <v>BS</v>
      </c>
      <c r="N1249" t="s">
        <v>14</v>
      </c>
      <c r="O1249" t="str">
        <f>VLOOKUP(B1249, [1]Course!$A$1:$O$933, 14, FALSE)</f>
        <v>LC</v>
      </c>
      <c r="P1249">
        <v>1</v>
      </c>
    </row>
    <row r="1250" spans="1:17" x14ac:dyDescent="0.25">
      <c r="A1250">
        <v>1253</v>
      </c>
      <c r="B1250">
        <v>131</v>
      </c>
      <c r="C1250">
        <v>136</v>
      </c>
      <c r="D1250" t="s">
        <v>18</v>
      </c>
      <c r="E1250" t="str">
        <f t="shared" si="22"/>
        <v>1236LC03PT</v>
      </c>
      <c r="F1250">
        <f>VLOOKUP(B1250,[1]Course!$A$2:$R$329,2,FALSE)</f>
        <v>0</v>
      </c>
      <c r="G1250">
        <f>VLOOKUP(B1250, [1]Course!$A$2:$L$950, 8, FALSE)</f>
        <v>12</v>
      </c>
      <c r="H1250">
        <v>3</v>
      </c>
      <c r="I1250">
        <v>1</v>
      </c>
      <c r="J1250">
        <v>1975</v>
      </c>
      <c r="K1250" t="s">
        <v>92</v>
      </c>
      <c r="L1250">
        <v>1</v>
      </c>
      <c r="M1250" t="str">
        <f>VLOOKUP(B1250, [1]Course!$A$1:$O$933, 12, FALSE)</f>
        <v>BS</v>
      </c>
      <c r="N1250" t="s">
        <v>14</v>
      </c>
      <c r="O1250" t="str">
        <f>VLOOKUP(B1250, [1]Course!$A$1:$O$933, 14, FALSE)</f>
        <v>LC</v>
      </c>
      <c r="P1250">
        <v>1</v>
      </c>
    </row>
    <row r="1251" spans="1:17" x14ac:dyDescent="0.25">
      <c r="A1251">
        <v>1254</v>
      </c>
      <c r="B1251">
        <v>131</v>
      </c>
      <c r="C1251">
        <v>137</v>
      </c>
      <c r="D1251" t="s">
        <v>18</v>
      </c>
      <c r="E1251" t="str">
        <f t="shared" si="22"/>
        <v>1237LC03PT</v>
      </c>
      <c r="F1251">
        <f>VLOOKUP(B1251,[1]Course!$A$2:$R$329,2,FALSE)</f>
        <v>0</v>
      </c>
      <c r="G1251">
        <f>VLOOKUP(B1251, [1]Course!$A$2:$L$950, 8, FALSE)</f>
        <v>12</v>
      </c>
      <c r="H1251">
        <v>3</v>
      </c>
      <c r="I1251">
        <v>1</v>
      </c>
      <c r="J1251">
        <v>1975</v>
      </c>
      <c r="K1251">
        <v>2000</v>
      </c>
      <c r="L1251">
        <v>1</v>
      </c>
      <c r="M1251" t="str">
        <f>VLOOKUP(B1251, [1]Course!$A$1:$O$933, 12, FALSE)</f>
        <v>BS</v>
      </c>
      <c r="N1251" t="s">
        <v>14</v>
      </c>
      <c r="O1251" t="str">
        <f>VLOOKUP(B1251, [1]Course!$A$1:$O$933, 14, FALSE)</f>
        <v>LC</v>
      </c>
      <c r="P1251">
        <v>1</v>
      </c>
    </row>
    <row r="1252" spans="1:17" x14ac:dyDescent="0.25">
      <c r="A1252">
        <v>1255</v>
      </c>
      <c r="B1252">
        <v>131</v>
      </c>
      <c r="C1252">
        <v>138</v>
      </c>
      <c r="D1252" t="s">
        <v>18</v>
      </c>
      <c r="E1252" t="str">
        <f t="shared" si="22"/>
        <v>1238LC03PT</v>
      </c>
      <c r="F1252">
        <f>VLOOKUP(B1252,[1]Course!$A$2:$R$329,2,FALSE)</f>
        <v>0</v>
      </c>
      <c r="G1252">
        <f>VLOOKUP(B1252, [1]Course!$A$2:$L$950, 8, FALSE)</f>
        <v>12</v>
      </c>
      <c r="H1252">
        <v>3</v>
      </c>
      <c r="I1252">
        <v>1</v>
      </c>
      <c r="J1252">
        <v>1975</v>
      </c>
      <c r="K1252">
        <v>1998</v>
      </c>
      <c r="L1252">
        <v>1</v>
      </c>
      <c r="M1252" t="str">
        <f>VLOOKUP(B1252, [1]Course!$A$1:$O$933, 12, FALSE)</f>
        <v>BS</v>
      </c>
      <c r="N1252" t="s">
        <v>14</v>
      </c>
      <c r="O1252" t="str">
        <f>VLOOKUP(B1252, [1]Course!$A$1:$O$933, 14, FALSE)</f>
        <v>LC</v>
      </c>
      <c r="P1252">
        <v>1</v>
      </c>
    </row>
    <row r="1253" spans="1:17" x14ac:dyDescent="0.25">
      <c r="A1253">
        <v>1256</v>
      </c>
      <c r="B1253">
        <v>131</v>
      </c>
      <c r="C1253">
        <v>139</v>
      </c>
      <c r="D1253" t="s">
        <v>18</v>
      </c>
      <c r="E1253" t="str">
        <f t="shared" si="22"/>
        <v>1239LC03PT</v>
      </c>
      <c r="F1253">
        <f>VLOOKUP(B1253,[1]Course!$A$2:$R$329,2,FALSE)</f>
        <v>0</v>
      </c>
      <c r="G1253">
        <f>VLOOKUP(B1253, [1]Course!$A$2:$L$950, 8, FALSE)</f>
        <v>12</v>
      </c>
      <c r="H1253">
        <v>3</v>
      </c>
      <c r="I1253">
        <v>1</v>
      </c>
      <c r="J1253">
        <v>1975</v>
      </c>
      <c r="K1253" t="s">
        <v>92</v>
      </c>
      <c r="L1253">
        <v>1</v>
      </c>
      <c r="M1253" t="str">
        <f>VLOOKUP(B1253, [1]Course!$A$1:$O$933, 12, FALSE)</f>
        <v>BS</v>
      </c>
      <c r="N1253" t="s">
        <v>14</v>
      </c>
      <c r="O1253" t="str">
        <f>VLOOKUP(B1253, [1]Course!$A$1:$O$933, 14, FALSE)</f>
        <v>LC</v>
      </c>
      <c r="P1253">
        <v>1</v>
      </c>
    </row>
    <row r="1254" spans="1:17" x14ac:dyDescent="0.25">
      <c r="A1254">
        <v>1257</v>
      </c>
      <c r="B1254">
        <v>131</v>
      </c>
      <c r="C1254">
        <v>140</v>
      </c>
      <c r="D1254" t="s">
        <v>18</v>
      </c>
      <c r="E1254" t="str">
        <f t="shared" si="22"/>
        <v>1240LC03PT</v>
      </c>
      <c r="F1254">
        <f>VLOOKUP(B1254,[1]Course!$A$2:$R$329,2,FALSE)</f>
        <v>0</v>
      </c>
      <c r="G1254">
        <f>VLOOKUP(B1254, [1]Course!$A$2:$L$950, 8, FALSE)</f>
        <v>12</v>
      </c>
      <c r="H1254">
        <v>3</v>
      </c>
      <c r="I1254">
        <v>1</v>
      </c>
      <c r="J1254">
        <v>1976</v>
      </c>
      <c r="K1254" t="s">
        <v>92</v>
      </c>
      <c r="L1254">
        <v>1</v>
      </c>
      <c r="M1254" t="str">
        <f>VLOOKUP(B1254, [1]Course!$A$1:$O$933, 12, FALSE)</f>
        <v>BS</v>
      </c>
      <c r="N1254" t="s">
        <v>14</v>
      </c>
      <c r="O1254" t="str">
        <f>VLOOKUP(B1254, [1]Course!$A$1:$O$933, 14, FALSE)</f>
        <v>LC</v>
      </c>
      <c r="P1254">
        <v>1</v>
      </c>
    </row>
    <row r="1255" spans="1:17" x14ac:dyDescent="0.25">
      <c r="A1255">
        <v>1258</v>
      </c>
      <c r="B1255">
        <v>131</v>
      </c>
      <c r="C1255">
        <v>141</v>
      </c>
      <c r="D1255" t="s">
        <v>18</v>
      </c>
      <c r="E1255" t="str">
        <f t="shared" si="22"/>
        <v>1241LC03PT</v>
      </c>
      <c r="F1255">
        <f>VLOOKUP(B1255,[1]Course!$A$2:$R$329,2,FALSE)</f>
        <v>0</v>
      </c>
      <c r="G1255">
        <f>VLOOKUP(B1255, [1]Course!$A$2:$L$950, 8, FALSE)</f>
        <v>12</v>
      </c>
      <c r="H1255">
        <v>3</v>
      </c>
      <c r="I1255">
        <v>1</v>
      </c>
      <c r="J1255">
        <v>1976</v>
      </c>
      <c r="K1255" t="s">
        <v>92</v>
      </c>
      <c r="L1255">
        <v>1</v>
      </c>
      <c r="M1255" t="str">
        <f>VLOOKUP(B1255, [1]Course!$A$1:$O$933, 12, FALSE)</f>
        <v>BS</v>
      </c>
      <c r="N1255" t="s">
        <v>14</v>
      </c>
      <c r="O1255" t="str">
        <f>VLOOKUP(B1255, [1]Course!$A$1:$O$933, 14, FALSE)</f>
        <v>LC</v>
      </c>
      <c r="P1255">
        <v>1</v>
      </c>
    </row>
    <row r="1256" spans="1:17" x14ac:dyDescent="0.25">
      <c r="A1256">
        <v>1259</v>
      </c>
      <c r="B1256">
        <v>131</v>
      </c>
      <c r="C1256">
        <v>142</v>
      </c>
      <c r="D1256" t="s">
        <v>18</v>
      </c>
      <c r="E1256" t="str">
        <f t="shared" si="22"/>
        <v>1242LC03PT</v>
      </c>
      <c r="F1256">
        <f>VLOOKUP(B1256,[1]Course!$A$2:$R$329,2,FALSE)</f>
        <v>0</v>
      </c>
      <c r="G1256">
        <f>VLOOKUP(B1256, [1]Course!$A$2:$L$950, 8, FALSE)</f>
        <v>12</v>
      </c>
      <c r="H1256">
        <v>3</v>
      </c>
      <c r="I1256">
        <v>1</v>
      </c>
      <c r="J1256">
        <v>1976</v>
      </c>
      <c r="K1256" t="s">
        <v>92</v>
      </c>
      <c r="L1256">
        <v>1</v>
      </c>
      <c r="M1256" t="str">
        <f>VLOOKUP(B1256, [1]Course!$A$1:$O$933, 12, FALSE)</f>
        <v>BS</v>
      </c>
      <c r="N1256" t="s">
        <v>14</v>
      </c>
      <c r="O1256" t="str">
        <f>VLOOKUP(B1256, [1]Course!$A$1:$O$933, 14, FALSE)</f>
        <v>LC</v>
      </c>
      <c r="P1256">
        <v>1</v>
      </c>
    </row>
    <row r="1257" spans="1:17" x14ac:dyDescent="0.25">
      <c r="A1257">
        <v>1260</v>
      </c>
      <c r="B1257">
        <v>131</v>
      </c>
      <c r="C1257">
        <v>143</v>
      </c>
      <c r="D1257" t="s">
        <v>18</v>
      </c>
      <c r="E1257" t="str">
        <f t="shared" si="22"/>
        <v>1243LC03PT</v>
      </c>
      <c r="F1257">
        <f>VLOOKUP(B1257,[1]Course!$A$2:$R$329,2,FALSE)</f>
        <v>0</v>
      </c>
      <c r="G1257">
        <f>VLOOKUP(B1257, [1]Course!$A$2:$L$950, 8, FALSE)</f>
        <v>12</v>
      </c>
      <c r="H1257">
        <v>3</v>
      </c>
      <c r="I1257">
        <v>1</v>
      </c>
      <c r="J1257">
        <v>1976</v>
      </c>
      <c r="K1257">
        <v>1992</v>
      </c>
      <c r="L1257">
        <v>1</v>
      </c>
      <c r="M1257" t="str">
        <f>VLOOKUP(B1257, [1]Course!$A$1:$O$933, 12, FALSE)</f>
        <v>BS</v>
      </c>
      <c r="N1257" t="s">
        <v>14</v>
      </c>
      <c r="O1257" t="str">
        <f>VLOOKUP(B1257, [1]Course!$A$1:$O$933, 14, FALSE)</f>
        <v>LC</v>
      </c>
      <c r="P1257">
        <v>1</v>
      </c>
    </row>
    <row r="1258" spans="1:17" x14ac:dyDescent="0.25">
      <c r="A1258">
        <v>1261</v>
      </c>
      <c r="B1258">
        <v>131</v>
      </c>
      <c r="C1258">
        <v>144</v>
      </c>
      <c r="D1258" t="s">
        <v>18</v>
      </c>
      <c r="E1258" t="str">
        <f t="shared" si="22"/>
        <v>1244LC03PT</v>
      </c>
      <c r="F1258">
        <f>VLOOKUP(B1258,[1]Course!$A$2:$R$329,2,FALSE)</f>
        <v>0</v>
      </c>
      <c r="G1258">
        <f>VLOOKUP(B1258, [1]Course!$A$2:$L$950, 8, FALSE)</f>
        <v>12</v>
      </c>
      <c r="H1258">
        <v>3</v>
      </c>
      <c r="I1258">
        <v>1</v>
      </c>
      <c r="J1258">
        <v>1976</v>
      </c>
      <c r="K1258" t="s">
        <v>92</v>
      </c>
      <c r="L1258">
        <v>2</v>
      </c>
      <c r="M1258" t="str">
        <f>VLOOKUP(B1258, [1]Course!$A$1:$O$933, 12, FALSE)</f>
        <v>BS</v>
      </c>
      <c r="N1258" t="s">
        <v>14</v>
      </c>
      <c r="O1258" t="str">
        <f>VLOOKUP(B1258, [1]Course!$A$1:$O$933, 14, FALSE)</f>
        <v>LC</v>
      </c>
      <c r="P1258">
        <v>1</v>
      </c>
    </row>
    <row r="1259" spans="1:17" x14ac:dyDescent="0.25">
      <c r="A1259">
        <v>1262</v>
      </c>
      <c r="B1259">
        <v>129</v>
      </c>
      <c r="C1259">
        <v>1</v>
      </c>
      <c r="D1259" t="s">
        <v>76</v>
      </c>
      <c r="E1259" t="str">
        <f t="shared" si="22"/>
        <v>601IB03PT</v>
      </c>
      <c r="F1259">
        <f>VLOOKUP(B1259,[1]Course!$A$2:$R$329,2,FALSE)</f>
        <v>0</v>
      </c>
      <c r="G1259">
        <f>VLOOKUP(B1259, [1]Course!$A$2:$L$950, 8, FALSE)</f>
        <v>6</v>
      </c>
      <c r="H1259">
        <v>3</v>
      </c>
      <c r="I1259">
        <v>1</v>
      </c>
      <c r="M1259" t="str">
        <f>VLOOKUP(B1259, [1]Course!$A$1:$O$933, 12, FALSE)</f>
        <v>SC</v>
      </c>
      <c r="N1259" t="s">
        <v>14</v>
      </c>
      <c r="O1259" t="str">
        <f>VLOOKUP(B1259, [1]Course!$A$1:$O$933, 14, FALSE)</f>
        <v>IB</v>
      </c>
      <c r="P1259">
        <v>1</v>
      </c>
      <c r="Q1259" t="s">
        <v>95</v>
      </c>
    </row>
    <row r="1260" spans="1:17" x14ac:dyDescent="0.25">
      <c r="A1260">
        <v>1263</v>
      </c>
      <c r="B1260">
        <v>129</v>
      </c>
      <c r="C1260">
        <v>2</v>
      </c>
      <c r="D1260" t="s">
        <v>76</v>
      </c>
      <c r="E1260" t="str">
        <f t="shared" si="22"/>
        <v>602IB03PT</v>
      </c>
      <c r="F1260">
        <f>VLOOKUP(B1260,[1]Course!$A$2:$R$329,2,FALSE)</f>
        <v>0</v>
      </c>
      <c r="G1260">
        <f>VLOOKUP(B1260, [1]Course!$A$2:$L$950, 8, FALSE)</f>
        <v>6</v>
      </c>
      <c r="H1260">
        <v>3</v>
      </c>
      <c r="I1260">
        <v>1</v>
      </c>
      <c r="M1260" t="str">
        <f>VLOOKUP(B1260, [1]Course!$A$1:$O$933, 12, FALSE)</f>
        <v>SC</v>
      </c>
      <c r="N1260" t="s">
        <v>14</v>
      </c>
      <c r="O1260" t="str">
        <f>VLOOKUP(B1260, [1]Course!$A$1:$O$933, 14, FALSE)</f>
        <v>IB</v>
      </c>
      <c r="P1260">
        <v>1</v>
      </c>
      <c r="Q1260" t="s">
        <v>95</v>
      </c>
    </row>
    <row r="1261" spans="1:17" x14ac:dyDescent="0.25">
      <c r="A1261">
        <v>1264</v>
      </c>
      <c r="B1261">
        <v>129</v>
      </c>
      <c r="C1261">
        <v>3</v>
      </c>
      <c r="D1261" t="s">
        <v>76</v>
      </c>
      <c r="E1261" t="str">
        <f t="shared" si="22"/>
        <v>603IB03PT</v>
      </c>
      <c r="F1261">
        <f>VLOOKUP(B1261,[1]Course!$A$2:$R$329,2,FALSE)</f>
        <v>0</v>
      </c>
      <c r="G1261">
        <f>VLOOKUP(B1261, [1]Course!$A$2:$L$950, 8, FALSE)</f>
        <v>6</v>
      </c>
      <c r="H1261">
        <v>3</v>
      </c>
      <c r="I1261">
        <v>1</v>
      </c>
      <c r="M1261" t="str">
        <f>VLOOKUP(B1261, [1]Course!$A$1:$O$933, 12, FALSE)</f>
        <v>SC</v>
      </c>
      <c r="N1261" t="s">
        <v>14</v>
      </c>
      <c r="O1261" t="str">
        <f>VLOOKUP(B1261, [1]Course!$A$1:$O$933, 14, FALSE)</f>
        <v>IB</v>
      </c>
      <c r="P1261">
        <v>1</v>
      </c>
      <c r="Q1261" t="s">
        <v>95</v>
      </c>
    </row>
    <row r="1262" spans="1:17" x14ac:dyDescent="0.25">
      <c r="A1262">
        <v>1265</v>
      </c>
      <c r="B1262">
        <v>129</v>
      </c>
      <c r="C1262">
        <v>4</v>
      </c>
      <c r="D1262" t="s">
        <v>76</v>
      </c>
      <c r="E1262" t="str">
        <f t="shared" si="22"/>
        <v>604IB03PT</v>
      </c>
      <c r="F1262">
        <f>VLOOKUP(B1262,[1]Course!$A$2:$R$329,2,FALSE)</f>
        <v>0</v>
      </c>
      <c r="G1262">
        <f>VLOOKUP(B1262, [1]Course!$A$2:$L$950, 8, FALSE)</f>
        <v>6</v>
      </c>
      <c r="H1262">
        <v>3</v>
      </c>
      <c r="I1262">
        <v>1</v>
      </c>
      <c r="M1262" t="str">
        <f>VLOOKUP(B1262, [1]Course!$A$1:$O$933, 12, FALSE)</f>
        <v>SC</v>
      </c>
      <c r="N1262" t="s">
        <v>14</v>
      </c>
      <c r="O1262" t="str">
        <f>VLOOKUP(B1262, [1]Course!$A$1:$O$933, 14, FALSE)</f>
        <v>IB</v>
      </c>
      <c r="P1262">
        <v>1</v>
      </c>
      <c r="Q1262" t="s">
        <v>95</v>
      </c>
    </row>
    <row r="1263" spans="1:17" x14ac:dyDescent="0.25">
      <c r="A1263">
        <v>1266</v>
      </c>
      <c r="B1263">
        <v>129</v>
      </c>
      <c r="C1263">
        <v>5</v>
      </c>
      <c r="D1263" t="s">
        <v>76</v>
      </c>
      <c r="E1263" t="str">
        <f t="shared" si="22"/>
        <v>605IB03PT</v>
      </c>
      <c r="F1263">
        <f>VLOOKUP(B1263,[1]Course!$A$2:$R$329,2,FALSE)</f>
        <v>0</v>
      </c>
      <c r="G1263">
        <f>VLOOKUP(B1263, [1]Course!$A$2:$L$950, 8, FALSE)</f>
        <v>6</v>
      </c>
      <c r="H1263">
        <v>3</v>
      </c>
      <c r="I1263">
        <v>1</v>
      </c>
      <c r="M1263" t="str">
        <f>VLOOKUP(B1263, [1]Course!$A$1:$O$933, 12, FALSE)</f>
        <v>SC</v>
      </c>
      <c r="N1263" t="s">
        <v>14</v>
      </c>
      <c r="O1263" t="str">
        <f>VLOOKUP(B1263, [1]Course!$A$1:$O$933, 14, FALSE)</f>
        <v>IB</v>
      </c>
      <c r="P1263">
        <v>1</v>
      </c>
      <c r="Q1263" t="s">
        <v>95</v>
      </c>
    </row>
    <row r="1264" spans="1:17" x14ac:dyDescent="0.25">
      <c r="A1264">
        <v>1267</v>
      </c>
      <c r="B1264">
        <v>129</v>
      </c>
      <c r="C1264">
        <v>6</v>
      </c>
      <c r="D1264" t="s">
        <v>76</v>
      </c>
      <c r="E1264" t="str">
        <f t="shared" si="22"/>
        <v>606IB03PT</v>
      </c>
      <c r="F1264">
        <f>VLOOKUP(B1264,[1]Course!$A$2:$R$329,2,FALSE)</f>
        <v>0</v>
      </c>
      <c r="G1264">
        <f>VLOOKUP(B1264, [1]Course!$A$2:$L$950, 8, FALSE)</f>
        <v>6</v>
      </c>
      <c r="H1264">
        <v>3</v>
      </c>
      <c r="I1264">
        <v>1</v>
      </c>
      <c r="M1264" t="str">
        <f>VLOOKUP(B1264, [1]Course!$A$1:$O$933, 12, FALSE)</f>
        <v>SC</v>
      </c>
      <c r="N1264" t="s">
        <v>14</v>
      </c>
      <c r="O1264" t="str">
        <f>VLOOKUP(B1264, [1]Course!$A$1:$O$933, 14, FALSE)</f>
        <v>IB</v>
      </c>
      <c r="P1264">
        <v>1</v>
      </c>
      <c r="Q1264" t="s">
        <v>95</v>
      </c>
    </row>
    <row r="1265" spans="1:16" x14ac:dyDescent="0.25">
      <c r="A1265">
        <v>1268</v>
      </c>
      <c r="B1265">
        <v>147</v>
      </c>
      <c r="C1265">
        <v>49</v>
      </c>
      <c r="D1265" t="s">
        <v>26</v>
      </c>
      <c r="E1265" t="str">
        <f t="shared" si="22"/>
        <v>1249UK03PT</v>
      </c>
      <c r="F1265">
        <f>VLOOKUP(B1265,[1]Course!$A$2:$R$329,2,FALSE)</f>
        <v>0</v>
      </c>
      <c r="G1265">
        <f>VLOOKUP(B1265, [1]Course!$A$2:$L$950, 8, FALSE)</f>
        <v>12</v>
      </c>
      <c r="H1265">
        <v>3</v>
      </c>
      <c r="I1265">
        <v>1</v>
      </c>
      <c r="M1265" t="str">
        <f>VLOOKUP(B1265, [1]Course!$A$1:$O$933, 12, FALSE)</f>
        <v>SS</v>
      </c>
      <c r="N1265" t="s">
        <v>14</v>
      </c>
      <c r="O1265" t="str">
        <f>VLOOKUP(B1265, [1]Course!$A$1:$O$933, 14, FALSE)</f>
        <v>UK</v>
      </c>
      <c r="P1265">
        <v>1</v>
      </c>
    </row>
    <row r="1266" spans="1:16" x14ac:dyDescent="0.25">
      <c r="A1266">
        <v>1269</v>
      </c>
      <c r="B1266">
        <v>147</v>
      </c>
      <c r="C1266">
        <v>50</v>
      </c>
      <c r="D1266" t="s">
        <v>26</v>
      </c>
      <c r="E1266" t="str">
        <f t="shared" si="22"/>
        <v>1250UK03PT</v>
      </c>
      <c r="F1266">
        <f>VLOOKUP(B1266,[1]Course!$A$2:$R$329,2,FALSE)</f>
        <v>0</v>
      </c>
      <c r="G1266">
        <f>VLOOKUP(B1266, [1]Course!$A$2:$L$950, 8, FALSE)</f>
        <v>12</v>
      </c>
      <c r="H1266">
        <v>3</v>
      </c>
      <c r="I1266">
        <v>1</v>
      </c>
      <c r="M1266" t="str">
        <f>VLOOKUP(B1266, [1]Course!$A$1:$O$933, 12, FALSE)</f>
        <v>SS</v>
      </c>
      <c r="N1266" t="s">
        <v>14</v>
      </c>
      <c r="O1266" t="str">
        <f>VLOOKUP(B1266, [1]Course!$A$1:$O$933, 14, FALSE)</f>
        <v>UK</v>
      </c>
      <c r="P1266">
        <v>1</v>
      </c>
    </row>
    <row r="1267" spans="1:16" x14ac:dyDescent="0.25">
      <c r="A1267">
        <v>1270</v>
      </c>
      <c r="B1267">
        <v>147</v>
      </c>
      <c r="C1267">
        <v>51</v>
      </c>
      <c r="D1267" t="s">
        <v>26</v>
      </c>
      <c r="E1267" t="str">
        <f t="shared" si="22"/>
        <v>1251UK03PT</v>
      </c>
      <c r="F1267">
        <f>VLOOKUP(B1267,[1]Course!$A$2:$R$329,2,FALSE)</f>
        <v>0</v>
      </c>
      <c r="G1267">
        <f>VLOOKUP(B1267, [1]Course!$A$2:$L$950, 8, FALSE)</f>
        <v>12</v>
      </c>
      <c r="H1267">
        <v>3</v>
      </c>
      <c r="I1267">
        <v>1</v>
      </c>
      <c r="M1267" t="str">
        <f>VLOOKUP(B1267, [1]Course!$A$1:$O$933, 12, FALSE)</f>
        <v>SS</v>
      </c>
      <c r="N1267" t="s">
        <v>14</v>
      </c>
      <c r="O1267" t="str">
        <f>VLOOKUP(B1267, [1]Course!$A$1:$O$933, 14, FALSE)</f>
        <v>UK</v>
      </c>
      <c r="P1267">
        <v>1</v>
      </c>
    </row>
    <row r="1268" spans="1:16" x14ac:dyDescent="0.25">
      <c r="A1268">
        <v>1271</v>
      </c>
      <c r="B1268">
        <v>147</v>
      </c>
      <c r="C1268">
        <v>52</v>
      </c>
      <c r="D1268" t="s">
        <v>26</v>
      </c>
      <c r="E1268" t="str">
        <f t="shared" si="22"/>
        <v>1252UK03PT</v>
      </c>
      <c r="F1268">
        <f>VLOOKUP(B1268,[1]Course!$A$2:$R$329,2,FALSE)</f>
        <v>0</v>
      </c>
      <c r="G1268">
        <f>VLOOKUP(B1268, [1]Course!$A$2:$L$950, 8, FALSE)</f>
        <v>12</v>
      </c>
      <c r="H1268">
        <v>3</v>
      </c>
      <c r="I1268">
        <v>1</v>
      </c>
      <c r="M1268" t="str">
        <f>VLOOKUP(B1268, [1]Course!$A$1:$O$933, 12, FALSE)</f>
        <v>SS</v>
      </c>
      <c r="N1268" t="s">
        <v>14</v>
      </c>
      <c r="O1268" t="str">
        <f>VLOOKUP(B1268, [1]Course!$A$1:$O$933, 14, FALSE)</f>
        <v>UK</v>
      </c>
      <c r="P1268">
        <v>1</v>
      </c>
    </row>
    <row r="1269" spans="1:16" x14ac:dyDescent="0.25">
      <c r="A1269">
        <v>1272</v>
      </c>
      <c r="B1269">
        <v>147</v>
      </c>
      <c r="C1269">
        <v>53</v>
      </c>
      <c r="D1269" t="s">
        <v>26</v>
      </c>
      <c r="E1269" t="str">
        <f t="shared" si="22"/>
        <v>1253UK03PT</v>
      </c>
      <c r="F1269">
        <f>VLOOKUP(B1269,[1]Course!$A$2:$R$329,2,FALSE)</f>
        <v>0</v>
      </c>
      <c r="G1269">
        <f>VLOOKUP(B1269, [1]Course!$A$2:$L$950, 8, FALSE)</f>
        <v>12</v>
      </c>
      <c r="H1269">
        <v>3</v>
      </c>
      <c r="I1269">
        <v>1</v>
      </c>
      <c r="M1269" t="str">
        <f>VLOOKUP(B1269, [1]Course!$A$1:$O$933, 12, FALSE)</f>
        <v>SS</v>
      </c>
      <c r="N1269" t="s">
        <v>14</v>
      </c>
      <c r="O1269" t="str">
        <f>VLOOKUP(B1269, [1]Course!$A$1:$O$933, 14, FALSE)</f>
        <v>UK</v>
      </c>
      <c r="P1269">
        <v>1</v>
      </c>
    </row>
    <row r="1270" spans="1:16" x14ac:dyDescent="0.25">
      <c r="A1270">
        <v>1273</v>
      </c>
      <c r="B1270">
        <v>147</v>
      </c>
      <c r="C1270">
        <v>54</v>
      </c>
      <c r="D1270" t="s">
        <v>26</v>
      </c>
      <c r="E1270" t="str">
        <f t="shared" si="22"/>
        <v>1254UK03PT</v>
      </c>
      <c r="F1270">
        <f>VLOOKUP(B1270,[1]Course!$A$2:$R$329,2,FALSE)</f>
        <v>0</v>
      </c>
      <c r="G1270">
        <f>VLOOKUP(B1270, [1]Course!$A$2:$L$950, 8, FALSE)</f>
        <v>12</v>
      </c>
      <c r="H1270">
        <v>3</v>
      </c>
      <c r="I1270">
        <v>1</v>
      </c>
      <c r="M1270" t="str">
        <f>VLOOKUP(B1270, [1]Course!$A$1:$O$933, 12, FALSE)</f>
        <v>SS</v>
      </c>
      <c r="N1270" t="s">
        <v>14</v>
      </c>
      <c r="O1270" t="str">
        <f>VLOOKUP(B1270, [1]Course!$A$1:$O$933, 14, FALSE)</f>
        <v>UK</v>
      </c>
      <c r="P1270">
        <v>1</v>
      </c>
    </row>
    <row r="1271" spans="1:16" x14ac:dyDescent="0.25">
      <c r="A1271">
        <v>1274</v>
      </c>
      <c r="B1271">
        <v>147</v>
      </c>
      <c r="C1271">
        <v>55</v>
      </c>
      <c r="D1271" t="s">
        <v>26</v>
      </c>
      <c r="E1271" t="str">
        <f t="shared" si="22"/>
        <v>1255UK03PT</v>
      </c>
      <c r="F1271">
        <f>VLOOKUP(B1271,[1]Course!$A$2:$R$329,2,FALSE)</f>
        <v>0</v>
      </c>
      <c r="G1271">
        <f>VLOOKUP(B1271, [1]Course!$A$2:$L$950, 8, FALSE)</f>
        <v>12</v>
      </c>
      <c r="H1271">
        <v>3</v>
      </c>
      <c r="I1271">
        <v>1</v>
      </c>
      <c r="M1271" t="str">
        <f>VLOOKUP(B1271, [1]Course!$A$1:$O$933, 12, FALSE)</f>
        <v>SS</v>
      </c>
      <c r="N1271" t="s">
        <v>14</v>
      </c>
      <c r="O1271" t="str">
        <f>VLOOKUP(B1271, [1]Course!$A$1:$O$933, 14, FALSE)</f>
        <v>UK</v>
      </c>
      <c r="P1271">
        <v>1</v>
      </c>
    </row>
    <row r="1272" spans="1:16" x14ac:dyDescent="0.25">
      <c r="A1272">
        <v>1275</v>
      </c>
      <c r="B1272">
        <v>147</v>
      </c>
      <c r="C1272">
        <v>56</v>
      </c>
      <c r="D1272" t="s">
        <v>26</v>
      </c>
      <c r="E1272" t="str">
        <f t="shared" si="22"/>
        <v>1256UK03PT</v>
      </c>
      <c r="F1272">
        <f>VLOOKUP(B1272,[1]Course!$A$2:$R$329,2,FALSE)</f>
        <v>0</v>
      </c>
      <c r="G1272">
        <f>VLOOKUP(B1272, [1]Course!$A$2:$L$950, 8, FALSE)</f>
        <v>12</v>
      </c>
      <c r="H1272">
        <v>3</v>
      </c>
      <c r="I1272">
        <v>1</v>
      </c>
      <c r="M1272" t="str">
        <f>VLOOKUP(B1272, [1]Course!$A$1:$O$933, 12, FALSE)</f>
        <v>SS</v>
      </c>
      <c r="N1272" t="s">
        <v>14</v>
      </c>
      <c r="O1272" t="str">
        <f>VLOOKUP(B1272, [1]Course!$A$1:$O$933, 14, FALSE)</f>
        <v>UK</v>
      </c>
      <c r="P1272">
        <v>1</v>
      </c>
    </row>
    <row r="1273" spans="1:16" x14ac:dyDescent="0.25">
      <c r="A1273">
        <v>1276</v>
      </c>
      <c r="B1273">
        <v>147</v>
      </c>
      <c r="C1273">
        <v>57</v>
      </c>
      <c r="D1273" t="s">
        <v>26</v>
      </c>
      <c r="E1273" t="str">
        <f t="shared" si="22"/>
        <v>1257UK03PT</v>
      </c>
      <c r="F1273">
        <f>VLOOKUP(B1273,[1]Course!$A$2:$R$329,2,FALSE)</f>
        <v>0</v>
      </c>
      <c r="G1273">
        <f>VLOOKUP(B1273, [1]Course!$A$2:$L$950, 8, FALSE)</f>
        <v>12</v>
      </c>
      <c r="H1273">
        <v>3</v>
      </c>
      <c r="I1273">
        <v>1</v>
      </c>
      <c r="M1273" t="str">
        <f>VLOOKUP(B1273, [1]Course!$A$1:$O$933, 12, FALSE)</f>
        <v>SS</v>
      </c>
      <c r="N1273" t="s">
        <v>14</v>
      </c>
      <c r="O1273" t="str">
        <f>VLOOKUP(B1273, [1]Course!$A$1:$O$933, 14, FALSE)</f>
        <v>UK</v>
      </c>
      <c r="P1273">
        <v>1</v>
      </c>
    </row>
    <row r="1274" spans="1:16" x14ac:dyDescent="0.25">
      <c r="A1274">
        <v>1277</v>
      </c>
      <c r="B1274">
        <v>147</v>
      </c>
      <c r="C1274">
        <v>58</v>
      </c>
      <c r="D1274" t="s">
        <v>26</v>
      </c>
      <c r="E1274" t="str">
        <f t="shared" si="22"/>
        <v>1258UK03PT</v>
      </c>
      <c r="F1274">
        <f>VLOOKUP(B1274,[1]Course!$A$2:$R$329,2,FALSE)</f>
        <v>0</v>
      </c>
      <c r="G1274">
        <f>VLOOKUP(B1274, [1]Course!$A$2:$L$950, 8, FALSE)</f>
        <v>12</v>
      </c>
      <c r="H1274">
        <v>3</v>
      </c>
      <c r="I1274">
        <v>1</v>
      </c>
      <c r="M1274" t="str">
        <f>VLOOKUP(B1274, [1]Course!$A$1:$O$933, 12, FALSE)</f>
        <v>SS</v>
      </c>
      <c r="N1274" t="s">
        <v>14</v>
      </c>
      <c r="O1274" t="str">
        <f>VLOOKUP(B1274, [1]Course!$A$1:$O$933, 14, FALSE)</f>
        <v>UK</v>
      </c>
      <c r="P1274">
        <v>1</v>
      </c>
    </row>
    <row r="1275" spans="1:16" x14ac:dyDescent="0.25">
      <c r="A1275">
        <v>1278</v>
      </c>
      <c r="B1275">
        <v>147</v>
      </c>
      <c r="C1275">
        <v>59</v>
      </c>
      <c r="D1275" t="s">
        <v>26</v>
      </c>
      <c r="E1275" t="str">
        <f t="shared" si="22"/>
        <v>1259UK03PT</v>
      </c>
      <c r="F1275">
        <f>VLOOKUP(B1275,[1]Course!$A$2:$R$329,2,FALSE)</f>
        <v>0</v>
      </c>
      <c r="G1275">
        <f>VLOOKUP(B1275, [1]Course!$A$2:$L$950, 8, FALSE)</f>
        <v>12</v>
      </c>
      <c r="H1275">
        <v>3</v>
      </c>
      <c r="I1275">
        <v>1</v>
      </c>
      <c r="M1275" t="str">
        <f>VLOOKUP(B1275, [1]Course!$A$1:$O$933, 12, FALSE)</f>
        <v>SS</v>
      </c>
      <c r="N1275" t="s">
        <v>14</v>
      </c>
      <c r="O1275" t="str">
        <f>VLOOKUP(B1275, [1]Course!$A$1:$O$933, 14, FALSE)</f>
        <v>UK</v>
      </c>
      <c r="P1275">
        <v>1</v>
      </c>
    </row>
    <row r="1276" spans="1:16" x14ac:dyDescent="0.25">
      <c r="A1276">
        <v>1279</v>
      </c>
      <c r="B1276">
        <v>147</v>
      </c>
      <c r="C1276">
        <v>60</v>
      </c>
      <c r="D1276" t="s">
        <v>26</v>
      </c>
      <c r="E1276" t="str">
        <f t="shared" si="22"/>
        <v>1260UK03PT</v>
      </c>
      <c r="F1276">
        <f>VLOOKUP(B1276,[1]Course!$A$2:$R$329,2,FALSE)</f>
        <v>0</v>
      </c>
      <c r="G1276">
        <f>VLOOKUP(B1276, [1]Course!$A$2:$L$950, 8, FALSE)</f>
        <v>12</v>
      </c>
      <c r="H1276">
        <v>3</v>
      </c>
      <c r="I1276">
        <v>1</v>
      </c>
      <c r="M1276" t="str">
        <f>VLOOKUP(B1276, [1]Course!$A$1:$O$933, 12, FALSE)</f>
        <v>SS</v>
      </c>
      <c r="N1276" t="s">
        <v>14</v>
      </c>
      <c r="O1276" t="str">
        <f>VLOOKUP(B1276, [1]Course!$A$1:$O$933, 14, FALSE)</f>
        <v>UK</v>
      </c>
      <c r="P1276">
        <v>1</v>
      </c>
    </row>
    <row r="1277" spans="1:16" x14ac:dyDescent="0.25">
      <c r="A1277">
        <v>1280</v>
      </c>
      <c r="B1277">
        <v>148</v>
      </c>
      <c r="C1277">
        <v>109</v>
      </c>
      <c r="D1277" t="s">
        <v>77</v>
      </c>
      <c r="E1277" t="str">
        <f t="shared" si="22"/>
        <v>1209US03PT</v>
      </c>
      <c r="F1277">
        <f>VLOOKUP(B1277,[1]Course!$A$2:$R$329,2,FALSE)</f>
        <v>0</v>
      </c>
      <c r="G1277">
        <f>VLOOKUP(B1277, [1]Course!$A$2:$L$950, 8, FALSE)</f>
        <v>12</v>
      </c>
      <c r="H1277">
        <v>3</v>
      </c>
      <c r="I1277">
        <v>1</v>
      </c>
      <c r="M1277" t="str">
        <f>VLOOKUP(B1277, [1]Course!$A$1:$O$933, 12, FALSE)</f>
        <v>SS</v>
      </c>
      <c r="N1277" t="s">
        <v>14</v>
      </c>
      <c r="O1277" t="str">
        <f>VLOOKUP(B1277, [1]Course!$A$1:$O$933, 14, FALSE)</f>
        <v>UH</v>
      </c>
      <c r="P1277">
        <v>1</v>
      </c>
    </row>
    <row r="1278" spans="1:16" x14ac:dyDescent="0.25">
      <c r="A1278">
        <v>1281</v>
      </c>
      <c r="B1278">
        <v>148</v>
      </c>
      <c r="C1278">
        <v>110</v>
      </c>
      <c r="D1278" t="s">
        <v>77</v>
      </c>
      <c r="E1278" t="str">
        <f t="shared" si="22"/>
        <v>1210US03PT</v>
      </c>
      <c r="F1278">
        <f>VLOOKUP(B1278,[1]Course!$A$2:$R$329,2,FALSE)</f>
        <v>0</v>
      </c>
      <c r="G1278">
        <f>VLOOKUP(B1278, [1]Course!$A$2:$L$950, 8, FALSE)</f>
        <v>12</v>
      </c>
      <c r="H1278">
        <v>3</v>
      </c>
      <c r="I1278">
        <v>1</v>
      </c>
      <c r="M1278" t="str">
        <f>VLOOKUP(B1278, [1]Course!$A$1:$O$933, 12, FALSE)</f>
        <v>SS</v>
      </c>
      <c r="N1278" t="s">
        <v>14</v>
      </c>
      <c r="O1278" t="str">
        <f>VLOOKUP(B1278, [1]Course!$A$1:$O$933, 14, FALSE)</f>
        <v>UH</v>
      </c>
      <c r="P1278">
        <v>1</v>
      </c>
    </row>
    <row r="1279" spans="1:16" x14ac:dyDescent="0.25">
      <c r="A1279">
        <v>1282</v>
      </c>
      <c r="B1279">
        <v>148</v>
      </c>
      <c r="C1279">
        <v>111</v>
      </c>
      <c r="D1279" t="s">
        <v>77</v>
      </c>
      <c r="E1279" t="str">
        <f t="shared" si="22"/>
        <v>1211US03PT</v>
      </c>
      <c r="F1279">
        <f>VLOOKUP(B1279,[1]Course!$A$2:$R$329,2,FALSE)</f>
        <v>0</v>
      </c>
      <c r="G1279">
        <f>VLOOKUP(B1279, [1]Course!$A$2:$L$950, 8, FALSE)</f>
        <v>12</v>
      </c>
      <c r="H1279">
        <v>3</v>
      </c>
      <c r="I1279">
        <v>1</v>
      </c>
      <c r="M1279" t="str">
        <f>VLOOKUP(B1279, [1]Course!$A$1:$O$933, 12, FALSE)</f>
        <v>SS</v>
      </c>
      <c r="N1279" t="s">
        <v>14</v>
      </c>
      <c r="O1279" t="str">
        <f>VLOOKUP(B1279, [1]Course!$A$1:$O$933, 14, FALSE)</f>
        <v>UH</v>
      </c>
      <c r="P1279">
        <v>1</v>
      </c>
    </row>
    <row r="1280" spans="1:16" x14ac:dyDescent="0.25">
      <c r="A1280">
        <v>1283</v>
      </c>
      <c r="B1280">
        <v>148</v>
      </c>
      <c r="C1280">
        <v>112</v>
      </c>
      <c r="D1280" t="s">
        <v>77</v>
      </c>
      <c r="E1280" t="str">
        <f t="shared" si="22"/>
        <v>1212US03PT</v>
      </c>
      <c r="F1280">
        <f>VLOOKUP(B1280,[1]Course!$A$2:$R$329,2,FALSE)</f>
        <v>0</v>
      </c>
      <c r="G1280">
        <f>VLOOKUP(B1280, [1]Course!$A$2:$L$950, 8, FALSE)</f>
        <v>12</v>
      </c>
      <c r="H1280">
        <v>3</v>
      </c>
      <c r="I1280">
        <v>1</v>
      </c>
      <c r="M1280" t="str">
        <f>VLOOKUP(B1280, [1]Course!$A$1:$O$933, 12, FALSE)</f>
        <v>SS</v>
      </c>
      <c r="N1280" t="s">
        <v>14</v>
      </c>
      <c r="O1280" t="str">
        <f>VLOOKUP(B1280, [1]Course!$A$1:$O$933, 14, FALSE)</f>
        <v>UH</v>
      </c>
      <c r="P1280">
        <v>1</v>
      </c>
    </row>
    <row r="1281" spans="1:16" x14ac:dyDescent="0.25">
      <c r="A1281">
        <v>1284</v>
      </c>
      <c r="B1281">
        <v>148</v>
      </c>
      <c r="C1281">
        <v>113</v>
      </c>
      <c r="D1281" t="s">
        <v>77</v>
      </c>
      <c r="E1281" t="str">
        <f t="shared" si="22"/>
        <v>1213US03PT</v>
      </c>
      <c r="F1281">
        <f>VLOOKUP(B1281,[1]Course!$A$2:$R$329,2,FALSE)</f>
        <v>0</v>
      </c>
      <c r="G1281">
        <f>VLOOKUP(B1281, [1]Course!$A$2:$L$950, 8, FALSE)</f>
        <v>12</v>
      </c>
      <c r="H1281">
        <v>3</v>
      </c>
      <c r="I1281">
        <v>1</v>
      </c>
      <c r="M1281" t="str">
        <f>VLOOKUP(B1281, [1]Course!$A$1:$O$933, 12, FALSE)</f>
        <v>SS</v>
      </c>
      <c r="N1281" t="s">
        <v>14</v>
      </c>
      <c r="O1281" t="str">
        <f>VLOOKUP(B1281, [1]Course!$A$1:$O$933, 14, FALSE)</f>
        <v>UH</v>
      </c>
      <c r="P1281">
        <v>1</v>
      </c>
    </row>
    <row r="1282" spans="1:16" x14ac:dyDescent="0.25">
      <c r="A1282">
        <v>1285</v>
      </c>
      <c r="B1282">
        <v>148</v>
      </c>
      <c r="C1282">
        <v>114</v>
      </c>
      <c r="D1282" t="s">
        <v>77</v>
      </c>
      <c r="E1282" t="str">
        <f t="shared" si="22"/>
        <v>1214US03PT</v>
      </c>
      <c r="F1282">
        <f>VLOOKUP(B1282,[1]Course!$A$2:$R$329,2,FALSE)</f>
        <v>0</v>
      </c>
      <c r="G1282">
        <f>VLOOKUP(B1282, [1]Course!$A$2:$L$950, 8, FALSE)</f>
        <v>12</v>
      </c>
      <c r="H1282">
        <v>3</v>
      </c>
      <c r="I1282">
        <v>1</v>
      </c>
      <c r="M1282" t="str">
        <f>VLOOKUP(B1282, [1]Course!$A$1:$O$933, 12, FALSE)</f>
        <v>SS</v>
      </c>
      <c r="N1282" t="s">
        <v>14</v>
      </c>
      <c r="O1282" t="str">
        <f>VLOOKUP(B1282, [1]Course!$A$1:$O$933, 14, FALSE)</f>
        <v>UH</v>
      </c>
      <c r="P1282">
        <v>1</v>
      </c>
    </row>
    <row r="1283" spans="1:16" x14ac:dyDescent="0.25">
      <c r="A1283">
        <v>1286</v>
      </c>
      <c r="B1283">
        <v>148</v>
      </c>
      <c r="C1283">
        <v>115</v>
      </c>
      <c r="D1283" t="s">
        <v>77</v>
      </c>
      <c r="E1283" t="str">
        <f t="shared" ref="E1283:E1346" si="23">UPPER(LEFT(G1283,2)) &amp; RIGHT("0" &amp; C1283, 2) &amp; D1283 &amp; RIGHT("0" &amp; H1283, 2) &amp; N1283</f>
        <v>1215US03PT</v>
      </c>
      <c r="F1283">
        <f>VLOOKUP(B1283,[1]Course!$A$2:$R$329,2,FALSE)</f>
        <v>0</v>
      </c>
      <c r="G1283">
        <f>VLOOKUP(B1283, [1]Course!$A$2:$L$950, 8, FALSE)</f>
        <v>12</v>
      </c>
      <c r="H1283">
        <v>3</v>
      </c>
      <c r="I1283">
        <v>1</v>
      </c>
      <c r="M1283" t="str">
        <f>VLOOKUP(B1283, [1]Course!$A$1:$O$933, 12, FALSE)</f>
        <v>SS</v>
      </c>
      <c r="N1283" t="s">
        <v>14</v>
      </c>
      <c r="O1283" t="str">
        <f>VLOOKUP(B1283, [1]Course!$A$1:$O$933, 14, FALSE)</f>
        <v>UH</v>
      </c>
      <c r="P1283">
        <v>1</v>
      </c>
    </row>
    <row r="1284" spans="1:16" x14ac:dyDescent="0.25">
      <c r="A1284">
        <v>1287</v>
      </c>
      <c r="B1284">
        <v>148</v>
      </c>
      <c r="C1284">
        <v>116</v>
      </c>
      <c r="D1284" t="s">
        <v>77</v>
      </c>
      <c r="E1284" t="str">
        <f t="shared" si="23"/>
        <v>1216US03PT</v>
      </c>
      <c r="F1284">
        <f>VLOOKUP(B1284,[1]Course!$A$2:$R$329,2,FALSE)</f>
        <v>0</v>
      </c>
      <c r="G1284">
        <f>VLOOKUP(B1284, [1]Course!$A$2:$L$950, 8, FALSE)</f>
        <v>12</v>
      </c>
      <c r="H1284">
        <v>3</v>
      </c>
      <c r="I1284">
        <v>1</v>
      </c>
      <c r="M1284" t="str">
        <f>VLOOKUP(B1284, [1]Course!$A$1:$O$933, 12, FALSE)</f>
        <v>SS</v>
      </c>
      <c r="N1284" t="s">
        <v>14</v>
      </c>
      <c r="O1284" t="str">
        <f>VLOOKUP(B1284, [1]Course!$A$1:$O$933, 14, FALSE)</f>
        <v>UH</v>
      </c>
      <c r="P1284">
        <v>1</v>
      </c>
    </row>
    <row r="1285" spans="1:16" x14ac:dyDescent="0.25">
      <c r="A1285">
        <v>1288</v>
      </c>
      <c r="B1285">
        <v>148</v>
      </c>
      <c r="C1285">
        <v>117</v>
      </c>
      <c r="D1285" t="s">
        <v>77</v>
      </c>
      <c r="E1285" t="str">
        <f t="shared" si="23"/>
        <v>1217US03PT</v>
      </c>
      <c r="F1285">
        <f>VLOOKUP(B1285,[1]Course!$A$2:$R$329,2,FALSE)</f>
        <v>0</v>
      </c>
      <c r="G1285">
        <f>VLOOKUP(B1285, [1]Course!$A$2:$L$950, 8, FALSE)</f>
        <v>12</v>
      </c>
      <c r="H1285">
        <v>3</v>
      </c>
      <c r="I1285">
        <v>1</v>
      </c>
      <c r="M1285" t="str">
        <f>VLOOKUP(B1285, [1]Course!$A$1:$O$933, 12, FALSE)</f>
        <v>SS</v>
      </c>
      <c r="N1285" t="s">
        <v>14</v>
      </c>
      <c r="O1285" t="str">
        <f>VLOOKUP(B1285, [1]Course!$A$1:$O$933, 14, FALSE)</f>
        <v>UH</v>
      </c>
      <c r="P1285">
        <v>1</v>
      </c>
    </row>
    <row r="1286" spans="1:16" x14ac:dyDescent="0.25">
      <c r="A1286">
        <v>1289</v>
      </c>
      <c r="B1286">
        <v>148</v>
      </c>
      <c r="C1286">
        <v>118</v>
      </c>
      <c r="D1286" t="s">
        <v>77</v>
      </c>
      <c r="E1286" t="str">
        <f t="shared" si="23"/>
        <v>1218US03PT</v>
      </c>
      <c r="F1286">
        <f>VLOOKUP(B1286,[1]Course!$A$2:$R$329,2,FALSE)</f>
        <v>0</v>
      </c>
      <c r="G1286">
        <f>VLOOKUP(B1286, [1]Course!$A$2:$L$950, 8, FALSE)</f>
        <v>12</v>
      </c>
      <c r="H1286">
        <v>3</v>
      </c>
      <c r="I1286">
        <v>1</v>
      </c>
      <c r="M1286" t="str">
        <f>VLOOKUP(B1286, [1]Course!$A$1:$O$933, 12, FALSE)</f>
        <v>SS</v>
      </c>
      <c r="N1286" t="s">
        <v>14</v>
      </c>
      <c r="O1286" t="str">
        <f>VLOOKUP(B1286, [1]Course!$A$1:$O$933, 14, FALSE)</f>
        <v>UH</v>
      </c>
      <c r="P1286">
        <v>1</v>
      </c>
    </row>
    <row r="1287" spans="1:16" x14ac:dyDescent="0.25">
      <c r="A1287">
        <v>1290</v>
      </c>
      <c r="B1287">
        <v>148</v>
      </c>
      <c r="C1287">
        <v>119</v>
      </c>
      <c r="D1287" t="s">
        <v>77</v>
      </c>
      <c r="E1287" t="str">
        <f t="shared" si="23"/>
        <v>1219US03PT</v>
      </c>
      <c r="F1287">
        <f>VLOOKUP(B1287,[1]Course!$A$2:$R$329,2,FALSE)</f>
        <v>0</v>
      </c>
      <c r="G1287">
        <f>VLOOKUP(B1287, [1]Course!$A$2:$L$950, 8, FALSE)</f>
        <v>12</v>
      </c>
      <c r="H1287">
        <v>3</v>
      </c>
      <c r="I1287">
        <v>1</v>
      </c>
      <c r="M1287" t="str">
        <f>VLOOKUP(B1287, [1]Course!$A$1:$O$933, 12, FALSE)</f>
        <v>SS</v>
      </c>
      <c r="N1287" t="s">
        <v>14</v>
      </c>
      <c r="O1287" t="str">
        <f>VLOOKUP(B1287, [1]Course!$A$1:$O$933, 14, FALSE)</f>
        <v>UH</v>
      </c>
      <c r="P1287">
        <v>1</v>
      </c>
    </row>
    <row r="1288" spans="1:16" x14ac:dyDescent="0.25">
      <c r="A1288">
        <v>1291</v>
      </c>
      <c r="B1288">
        <v>148</v>
      </c>
      <c r="C1288">
        <v>120</v>
      </c>
      <c r="D1288" t="s">
        <v>77</v>
      </c>
      <c r="E1288" t="str">
        <f t="shared" si="23"/>
        <v>1220US03PT</v>
      </c>
      <c r="F1288">
        <f>VLOOKUP(B1288,[1]Course!$A$2:$R$329,2,FALSE)</f>
        <v>0</v>
      </c>
      <c r="G1288">
        <f>VLOOKUP(B1288, [1]Course!$A$2:$L$950, 8, FALSE)</f>
        <v>12</v>
      </c>
      <c r="H1288">
        <v>3</v>
      </c>
      <c r="I1288">
        <v>1</v>
      </c>
      <c r="M1288" t="str">
        <f>VLOOKUP(B1288, [1]Course!$A$1:$O$933, 12, FALSE)</f>
        <v>SS</v>
      </c>
      <c r="N1288" t="s">
        <v>14</v>
      </c>
      <c r="O1288" t="str">
        <f>VLOOKUP(B1288, [1]Course!$A$1:$O$933, 14, FALSE)</f>
        <v>UH</v>
      </c>
      <c r="P1288">
        <v>1</v>
      </c>
    </row>
    <row r="1289" spans="1:16" x14ac:dyDescent="0.25">
      <c r="A1289">
        <v>1292</v>
      </c>
      <c r="B1289">
        <v>149</v>
      </c>
      <c r="C1289">
        <v>13</v>
      </c>
      <c r="D1289" t="s">
        <v>38</v>
      </c>
      <c r="E1289" t="str">
        <f t="shared" si="23"/>
        <v>1213AS03PT</v>
      </c>
      <c r="F1289">
        <f>VLOOKUP(B1289,[1]Course!$A$2:$R$329,2,FALSE)</f>
        <v>0</v>
      </c>
      <c r="G1289">
        <f>VLOOKUP(B1289, [1]Course!$A$2:$L$950, 8, FALSE)</f>
        <v>12</v>
      </c>
      <c r="H1289">
        <v>3</v>
      </c>
      <c r="I1289">
        <v>1</v>
      </c>
      <c r="M1289" t="str">
        <f>VLOOKUP(B1289, [1]Course!$A$1:$O$933, 12, FALSE)</f>
        <v>SC</v>
      </c>
      <c r="N1289" t="s">
        <v>14</v>
      </c>
      <c r="O1289" t="str">
        <f>VLOOKUP(B1289, [1]Course!$A$1:$O$933, 14, FALSE)</f>
        <v>AS</v>
      </c>
      <c r="P1289">
        <v>1</v>
      </c>
    </row>
    <row r="1290" spans="1:16" x14ac:dyDescent="0.25">
      <c r="A1290">
        <v>1293</v>
      </c>
      <c r="B1290">
        <v>149</v>
      </c>
      <c r="C1290">
        <v>14</v>
      </c>
      <c r="D1290" t="s">
        <v>38</v>
      </c>
      <c r="E1290" t="str">
        <f t="shared" si="23"/>
        <v>1214AS03PT</v>
      </c>
      <c r="F1290">
        <f>VLOOKUP(B1290,[1]Course!$A$2:$R$329,2,FALSE)</f>
        <v>0</v>
      </c>
      <c r="G1290">
        <f>VLOOKUP(B1290, [1]Course!$A$2:$L$950, 8, FALSE)</f>
        <v>12</v>
      </c>
      <c r="H1290">
        <v>3</v>
      </c>
      <c r="I1290">
        <v>1</v>
      </c>
      <c r="M1290" t="str">
        <f>VLOOKUP(B1290, [1]Course!$A$1:$O$933, 12, FALSE)</f>
        <v>SC</v>
      </c>
      <c r="N1290" t="s">
        <v>14</v>
      </c>
      <c r="O1290" t="str">
        <f>VLOOKUP(B1290, [1]Course!$A$1:$O$933, 14, FALSE)</f>
        <v>AS</v>
      </c>
      <c r="P1290">
        <v>1</v>
      </c>
    </row>
    <row r="1291" spans="1:16" x14ac:dyDescent="0.25">
      <c r="A1291">
        <v>1294</v>
      </c>
      <c r="B1291">
        <v>149</v>
      </c>
      <c r="C1291">
        <v>15</v>
      </c>
      <c r="D1291" t="s">
        <v>38</v>
      </c>
      <c r="E1291" t="str">
        <f t="shared" si="23"/>
        <v>1215AS03PT</v>
      </c>
      <c r="F1291">
        <f>VLOOKUP(B1291,[1]Course!$A$2:$R$329,2,FALSE)</f>
        <v>0</v>
      </c>
      <c r="G1291">
        <f>VLOOKUP(B1291, [1]Course!$A$2:$L$950, 8, FALSE)</f>
        <v>12</v>
      </c>
      <c r="H1291">
        <v>3</v>
      </c>
      <c r="I1291">
        <v>1</v>
      </c>
      <c r="M1291" t="str">
        <f>VLOOKUP(B1291, [1]Course!$A$1:$O$933, 12, FALSE)</f>
        <v>SC</v>
      </c>
      <c r="N1291" t="s">
        <v>14</v>
      </c>
      <c r="O1291" t="str">
        <f>VLOOKUP(B1291, [1]Course!$A$1:$O$933, 14, FALSE)</f>
        <v>AS</v>
      </c>
      <c r="P1291">
        <v>1</v>
      </c>
    </row>
    <row r="1292" spans="1:16" x14ac:dyDescent="0.25">
      <c r="A1292">
        <v>1295</v>
      </c>
      <c r="B1292">
        <v>149</v>
      </c>
      <c r="C1292">
        <v>16</v>
      </c>
      <c r="D1292" t="s">
        <v>38</v>
      </c>
      <c r="E1292" t="str">
        <f t="shared" si="23"/>
        <v>1216AS03PT</v>
      </c>
      <c r="F1292">
        <f>VLOOKUP(B1292,[1]Course!$A$2:$R$329,2,FALSE)</f>
        <v>0</v>
      </c>
      <c r="G1292">
        <f>VLOOKUP(B1292, [1]Course!$A$2:$L$950, 8, FALSE)</f>
        <v>12</v>
      </c>
      <c r="H1292">
        <v>3</v>
      </c>
      <c r="I1292">
        <v>1</v>
      </c>
      <c r="M1292" t="str">
        <f>VLOOKUP(B1292, [1]Course!$A$1:$O$933, 12, FALSE)</f>
        <v>SC</v>
      </c>
      <c r="N1292" t="s">
        <v>14</v>
      </c>
      <c r="O1292" t="str">
        <f>VLOOKUP(B1292, [1]Course!$A$1:$O$933, 14, FALSE)</f>
        <v>AS</v>
      </c>
      <c r="P1292">
        <v>1</v>
      </c>
    </row>
    <row r="1293" spans="1:16" x14ac:dyDescent="0.25">
      <c r="A1293">
        <v>1296</v>
      </c>
      <c r="B1293">
        <v>149</v>
      </c>
      <c r="C1293">
        <v>17</v>
      </c>
      <c r="D1293" t="s">
        <v>38</v>
      </c>
      <c r="E1293" t="str">
        <f t="shared" si="23"/>
        <v>1217AS03PT</v>
      </c>
      <c r="F1293">
        <f>VLOOKUP(B1293,[1]Course!$A$2:$R$329,2,FALSE)</f>
        <v>0</v>
      </c>
      <c r="G1293">
        <f>VLOOKUP(B1293, [1]Course!$A$2:$L$950, 8, FALSE)</f>
        <v>12</v>
      </c>
      <c r="H1293">
        <v>3</v>
      </c>
      <c r="I1293">
        <v>1</v>
      </c>
      <c r="M1293" t="str">
        <f>VLOOKUP(B1293, [1]Course!$A$1:$O$933, 12, FALSE)</f>
        <v>SC</v>
      </c>
      <c r="N1293" t="s">
        <v>14</v>
      </c>
      <c r="O1293" t="str">
        <f>VLOOKUP(B1293, [1]Course!$A$1:$O$933, 14, FALSE)</f>
        <v>AS</v>
      </c>
      <c r="P1293">
        <v>1</v>
      </c>
    </row>
    <row r="1294" spans="1:16" x14ac:dyDescent="0.25">
      <c r="A1294">
        <v>1297</v>
      </c>
      <c r="B1294">
        <v>149</v>
      </c>
      <c r="C1294">
        <v>18</v>
      </c>
      <c r="D1294" t="s">
        <v>38</v>
      </c>
      <c r="E1294" t="str">
        <f t="shared" si="23"/>
        <v>1218AS03PT</v>
      </c>
      <c r="F1294">
        <f>VLOOKUP(B1294,[1]Course!$A$2:$R$329,2,FALSE)</f>
        <v>0</v>
      </c>
      <c r="G1294">
        <f>VLOOKUP(B1294, [1]Course!$A$2:$L$950, 8, FALSE)</f>
        <v>12</v>
      </c>
      <c r="H1294">
        <v>3</v>
      </c>
      <c r="I1294">
        <v>1</v>
      </c>
      <c r="M1294" t="str">
        <f>VLOOKUP(B1294, [1]Course!$A$1:$O$933, 12, FALSE)</f>
        <v>SC</v>
      </c>
      <c r="N1294" t="s">
        <v>14</v>
      </c>
      <c r="O1294" t="str">
        <f>VLOOKUP(B1294, [1]Course!$A$1:$O$933, 14, FALSE)</f>
        <v>AS</v>
      </c>
      <c r="P1294">
        <v>1</v>
      </c>
    </row>
    <row r="1295" spans="1:16" x14ac:dyDescent="0.25">
      <c r="A1295">
        <v>1298</v>
      </c>
      <c r="B1295">
        <v>149</v>
      </c>
      <c r="C1295">
        <v>19</v>
      </c>
      <c r="D1295" t="s">
        <v>38</v>
      </c>
      <c r="E1295" t="str">
        <f t="shared" si="23"/>
        <v>1219AS03PT</v>
      </c>
      <c r="F1295">
        <f>VLOOKUP(B1295,[1]Course!$A$2:$R$329,2,FALSE)</f>
        <v>0</v>
      </c>
      <c r="G1295">
        <f>VLOOKUP(B1295, [1]Course!$A$2:$L$950, 8, FALSE)</f>
        <v>12</v>
      </c>
      <c r="H1295">
        <v>3</v>
      </c>
      <c r="I1295">
        <v>1</v>
      </c>
      <c r="M1295" t="str">
        <f>VLOOKUP(B1295, [1]Course!$A$1:$O$933, 12, FALSE)</f>
        <v>SC</v>
      </c>
      <c r="N1295" t="s">
        <v>14</v>
      </c>
      <c r="O1295" t="str">
        <f>VLOOKUP(B1295, [1]Course!$A$1:$O$933, 14, FALSE)</f>
        <v>AS</v>
      </c>
      <c r="P1295">
        <v>1</v>
      </c>
    </row>
    <row r="1296" spans="1:16" x14ac:dyDescent="0.25">
      <c r="A1296">
        <v>1299</v>
      </c>
      <c r="B1296">
        <v>149</v>
      </c>
      <c r="C1296">
        <v>20</v>
      </c>
      <c r="D1296" t="s">
        <v>38</v>
      </c>
      <c r="E1296" t="str">
        <f t="shared" si="23"/>
        <v>1220AS03PT</v>
      </c>
      <c r="F1296">
        <f>VLOOKUP(B1296,[1]Course!$A$2:$R$329,2,FALSE)</f>
        <v>0</v>
      </c>
      <c r="G1296">
        <f>VLOOKUP(B1296, [1]Course!$A$2:$L$950, 8, FALSE)</f>
        <v>12</v>
      </c>
      <c r="H1296">
        <v>3</v>
      </c>
      <c r="I1296">
        <v>1</v>
      </c>
      <c r="M1296" t="str">
        <f>VLOOKUP(B1296, [1]Course!$A$1:$O$933, 12, FALSE)</f>
        <v>SC</v>
      </c>
      <c r="N1296" t="s">
        <v>14</v>
      </c>
      <c r="O1296" t="str">
        <f>VLOOKUP(B1296, [1]Course!$A$1:$O$933, 14, FALSE)</f>
        <v>AS</v>
      </c>
      <c r="P1296">
        <v>1</v>
      </c>
    </row>
    <row r="1297" spans="1:17" x14ac:dyDescent="0.25">
      <c r="A1297">
        <v>1300</v>
      </c>
      <c r="B1297">
        <v>149</v>
      </c>
      <c r="C1297">
        <v>21</v>
      </c>
      <c r="D1297" t="s">
        <v>38</v>
      </c>
      <c r="E1297" t="str">
        <f t="shared" si="23"/>
        <v>1221AS03PT</v>
      </c>
      <c r="F1297">
        <f>VLOOKUP(B1297,[1]Course!$A$2:$R$329,2,FALSE)</f>
        <v>0</v>
      </c>
      <c r="G1297">
        <f>VLOOKUP(B1297, [1]Course!$A$2:$L$950, 8, FALSE)</f>
        <v>12</v>
      </c>
      <c r="H1297">
        <v>3</v>
      </c>
      <c r="I1297">
        <v>1</v>
      </c>
      <c r="M1297" t="str">
        <f>VLOOKUP(B1297, [1]Course!$A$1:$O$933, 12, FALSE)</f>
        <v>SC</v>
      </c>
      <c r="N1297" t="s">
        <v>14</v>
      </c>
      <c r="O1297" t="str">
        <f>VLOOKUP(B1297, [1]Course!$A$1:$O$933, 14, FALSE)</f>
        <v>AS</v>
      </c>
      <c r="P1297">
        <v>1</v>
      </c>
    </row>
    <row r="1298" spans="1:17" x14ac:dyDescent="0.25">
      <c r="A1298">
        <v>1301</v>
      </c>
      <c r="B1298">
        <v>149</v>
      </c>
      <c r="C1298">
        <v>22</v>
      </c>
      <c r="D1298" t="s">
        <v>38</v>
      </c>
      <c r="E1298" t="str">
        <f t="shared" si="23"/>
        <v>1222AS03PT</v>
      </c>
      <c r="F1298">
        <f>VLOOKUP(B1298,[1]Course!$A$2:$R$329,2,FALSE)</f>
        <v>0</v>
      </c>
      <c r="G1298">
        <f>VLOOKUP(B1298, [1]Course!$A$2:$L$950, 8, FALSE)</f>
        <v>12</v>
      </c>
      <c r="H1298">
        <v>3</v>
      </c>
      <c r="I1298">
        <v>1</v>
      </c>
      <c r="M1298" t="str">
        <f>VLOOKUP(B1298, [1]Course!$A$1:$O$933, 12, FALSE)</f>
        <v>SC</v>
      </c>
      <c r="N1298" t="s">
        <v>14</v>
      </c>
      <c r="O1298" t="str">
        <f>VLOOKUP(B1298, [1]Course!$A$1:$O$933, 14, FALSE)</f>
        <v>AS</v>
      </c>
      <c r="P1298">
        <v>1</v>
      </c>
    </row>
    <row r="1299" spans="1:17" x14ac:dyDescent="0.25">
      <c r="A1299">
        <v>1302</v>
      </c>
      <c r="B1299">
        <v>149</v>
      </c>
      <c r="C1299">
        <v>23</v>
      </c>
      <c r="D1299" t="s">
        <v>38</v>
      </c>
      <c r="E1299" t="str">
        <f t="shared" si="23"/>
        <v>1223AS03PT</v>
      </c>
      <c r="F1299">
        <f>VLOOKUP(B1299,[1]Course!$A$2:$R$329,2,FALSE)</f>
        <v>0</v>
      </c>
      <c r="G1299">
        <f>VLOOKUP(B1299, [1]Course!$A$2:$L$950, 8, FALSE)</f>
        <v>12</v>
      </c>
      <c r="H1299">
        <v>3</v>
      </c>
      <c r="I1299">
        <v>1</v>
      </c>
      <c r="M1299" t="str">
        <f>VLOOKUP(B1299, [1]Course!$A$1:$O$933, 12, FALSE)</f>
        <v>SC</v>
      </c>
      <c r="N1299" t="s">
        <v>14</v>
      </c>
      <c r="O1299" t="str">
        <f>VLOOKUP(B1299, [1]Course!$A$1:$O$933, 14, FALSE)</f>
        <v>AS</v>
      </c>
      <c r="P1299">
        <v>1</v>
      </c>
    </row>
    <row r="1300" spans="1:17" x14ac:dyDescent="0.25">
      <c r="A1300">
        <v>1303</v>
      </c>
      <c r="B1300">
        <v>149</v>
      </c>
      <c r="C1300">
        <v>24</v>
      </c>
      <c r="D1300" t="s">
        <v>38</v>
      </c>
      <c r="E1300" t="str">
        <f t="shared" si="23"/>
        <v>1224AS03PT</v>
      </c>
      <c r="F1300">
        <f>VLOOKUP(B1300,[1]Course!$A$2:$R$329,2,FALSE)</f>
        <v>0</v>
      </c>
      <c r="G1300">
        <f>VLOOKUP(B1300, [1]Course!$A$2:$L$950, 8, FALSE)</f>
        <v>12</v>
      </c>
      <c r="H1300">
        <v>3</v>
      </c>
      <c r="I1300">
        <v>1</v>
      </c>
      <c r="M1300" t="str">
        <f>VLOOKUP(B1300, [1]Course!$A$1:$O$933, 12, FALSE)</f>
        <v>SC</v>
      </c>
      <c r="N1300" t="s">
        <v>14</v>
      </c>
      <c r="O1300" t="str">
        <f>VLOOKUP(B1300, [1]Course!$A$1:$O$933, 14, FALSE)</f>
        <v>AS</v>
      </c>
      <c r="P1300">
        <v>1</v>
      </c>
    </row>
    <row r="1301" spans="1:17" x14ac:dyDescent="0.25">
      <c r="A1301">
        <v>1304</v>
      </c>
      <c r="B1301">
        <v>146</v>
      </c>
      <c r="C1301">
        <v>98</v>
      </c>
      <c r="D1301" t="s">
        <v>78</v>
      </c>
      <c r="E1301" t="str">
        <f t="shared" si="23"/>
        <v>1198LI03PT</v>
      </c>
      <c r="F1301">
        <f>VLOOKUP(B1301,[1]Course!$A$2:$R$329,2,FALSE)</f>
        <v>0</v>
      </c>
      <c r="G1301">
        <f>VLOOKUP(B1301, [1]Course!$A$2:$L$950, 8, FALSE)</f>
        <v>11</v>
      </c>
      <c r="H1301">
        <v>3</v>
      </c>
      <c r="I1301">
        <v>1</v>
      </c>
      <c r="M1301" t="str">
        <f>VLOOKUP(B1301, [1]Course!$A$1:$O$933, 12, FALSE)</f>
        <v>LI</v>
      </c>
      <c r="N1301" t="s">
        <v>14</v>
      </c>
      <c r="O1301" t="str">
        <f>VLOOKUP(B1301, [1]Course!$A$1:$O$933, 14, FALSE)</f>
        <v>LC</v>
      </c>
      <c r="P1301">
        <v>1</v>
      </c>
    </row>
    <row r="1302" spans="1:17" x14ac:dyDescent="0.25">
      <c r="A1302">
        <v>1305</v>
      </c>
      <c r="B1302">
        <v>146</v>
      </c>
      <c r="C1302">
        <v>100</v>
      </c>
      <c r="D1302" t="s">
        <v>78</v>
      </c>
      <c r="E1302" t="str">
        <f t="shared" si="23"/>
        <v>1100LI03PT</v>
      </c>
      <c r="F1302">
        <f>VLOOKUP(B1302,[1]Course!$A$2:$R$329,2,FALSE)</f>
        <v>0</v>
      </c>
      <c r="G1302">
        <f>VLOOKUP(B1302, [1]Course!$A$2:$L$950, 8, FALSE)</f>
        <v>11</v>
      </c>
      <c r="H1302">
        <v>3</v>
      </c>
      <c r="I1302">
        <v>1</v>
      </c>
      <c r="M1302" t="str">
        <f>VLOOKUP(B1302, [1]Course!$A$1:$O$933, 12, FALSE)</f>
        <v>LI</v>
      </c>
      <c r="N1302" t="s">
        <v>14</v>
      </c>
      <c r="O1302" t="str">
        <f>VLOOKUP(B1302, [1]Course!$A$1:$O$933, 14, FALSE)</f>
        <v>LC</v>
      </c>
      <c r="P1302">
        <v>1</v>
      </c>
    </row>
    <row r="1303" spans="1:17" x14ac:dyDescent="0.25">
      <c r="A1303">
        <v>1306</v>
      </c>
      <c r="B1303">
        <v>146</v>
      </c>
      <c r="C1303">
        <v>102</v>
      </c>
      <c r="D1303" t="s">
        <v>78</v>
      </c>
      <c r="E1303" t="str">
        <f t="shared" si="23"/>
        <v>1102LI03PT</v>
      </c>
      <c r="F1303">
        <f>VLOOKUP(B1303,[1]Course!$A$2:$R$329,2,FALSE)</f>
        <v>0</v>
      </c>
      <c r="G1303">
        <f>VLOOKUP(B1303, [1]Course!$A$2:$L$950, 8, FALSE)</f>
        <v>11</v>
      </c>
      <c r="H1303">
        <v>3</v>
      </c>
      <c r="I1303">
        <v>1</v>
      </c>
      <c r="M1303" t="str">
        <f>VLOOKUP(B1303, [1]Course!$A$1:$O$933, 12, FALSE)</f>
        <v>LI</v>
      </c>
      <c r="N1303" t="s">
        <v>14</v>
      </c>
      <c r="O1303" t="str">
        <f>VLOOKUP(B1303, [1]Course!$A$1:$O$933, 14, FALSE)</f>
        <v>LC</v>
      </c>
      <c r="P1303">
        <v>1</v>
      </c>
    </row>
    <row r="1304" spans="1:17" x14ac:dyDescent="0.25">
      <c r="A1304">
        <v>1307</v>
      </c>
      <c r="B1304">
        <v>146</v>
      </c>
      <c r="C1304">
        <v>104</v>
      </c>
      <c r="D1304" t="s">
        <v>78</v>
      </c>
      <c r="E1304" t="str">
        <f t="shared" si="23"/>
        <v>1104LI03PT</v>
      </c>
      <c r="F1304">
        <f>VLOOKUP(B1304,[1]Course!$A$2:$R$329,2,FALSE)</f>
        <v>0</v>
      </c>
      <c r="G1304">
        <f>VLOOKUP(B1304, [1]Course!$A$2:$L$950, 8, FALSE)</f>
        <v>11</v>
      </c>
      <c r="H1304">
        <v>3</v>
      </c>
      <c r="I1304">
        <v>1</v>
      </c>
      <c r="M1304" t="str">
        <f>VLOOKUP(B1304, [1]Course!$A$1:$O$933, 12, FALSE)</f>
        <v>LI</v>
      </c>
      <c r="N1304" t="s">
        <v>14</v>
      </c>
      <c r="O1304" t="str">
        <f>VLOOKUP(B1304, [1]Course!$A$1:$O$933, 14, FALSE)</f>
        <v>LC</v>
      </c>
      <c r="P1304">
        <v>1</v>
      </c>
    </row>
    <row r="1305" spans="1:17" x14ac:dyDescent="0.25">
      <c r="A1305">
        <v>1308</v>
      </c>
      <c r="B1305">
        <v>146</v>
      </c>
      <c r="C1305">
        <v>106</v>
      </c>
      <c r="D1305" t="s">
        <v>78</v>
      </c>
      <c r="E1305" t="str">
        <f t="shared" si="23"/>
        <v>1106LI03PT</v>
      </c>
      <c r="F1305">
        <f>VLOOKUP(B1305,[1]Course!$A$2:$R$329,2,FALSE)</f>
        <v>0</v>
      </c>
      <c r="G1305">
        <f>VLOOKUP(B1305, [1]Course!$A$2:$L$950, 8, FALSE)</f>
        <v>11</v>
      </c>
      <c r="H1305">
        <v>3</v>
      </c>
      <c r="I1305">
        <v>1</v>
      </c>
      <c r="M1305" t="str">
        <f>VLOOKUP(B1305, [1]Course!$A$1:$O$933, 12, FALSE)</f>
        <v>LI</v>
      </c>
      <c r="N1305" t="s">
        <v>14</v>
      </c>
      <c r="O1305" t="str">
        <f>VLOOKUP(B1305, [1]Course!$A$1:$O$933, 14, FALSE)</f>
        <v>LC</v>
      </c>
      <c r="P1305">
        <v>1</v>
      </c>
      <c r="Q1305" t="s">
        <v>79</v>
      </c>
    </row>
    <row r="1306" spans="1:17" x14ac:dyDescent="0.25">
      <c r="A1306">
        <v>1309</v>
      </c>
      <c r="B1306">
        <v>146</v>
      </c>
      <c r="C1306">
        <v>108</v>
      </c>
      <c r="D1306" t="s">
        <v>78</v>
      </c>
      <c r="E1306" t="str">
        <f t="shared" si="23"/>
        <v>1108LI03PT</v>
      </c>
      <c r="F1306">
        <f>VLOOKUP(B1306,[1]Course!$A$2:$R$329,2,FALSE)</f>
        <v>0</v>
      </c>
      <c r="G1306">
        <f>VLOOKUP(B1306, [1]Course!$A$2:$L$950, 8, FALSE)</f>
        <v>11</v>
      </c>
      <c r="H1306">
        <v>3</v>
      </c>
      <c r="I1306">
        <v>1</v>
      </c>
      <c r="M1306" t="str">
        <f>VLOOKUP(B1306, [1]Course!$A$1:$O$933, 12, FALSE)</f>
        <v>LI</v>
      </c>
      <c r="N1306" t="s">
        <v>14</v>
      </c>
      <c r="O1306" t="str">
        <f>VLOOKUP(B1306, [1]Course!$A$1:$O$933, 14, FALSE)</f>
        <v>LC</v>
      </c>
      <c r="P1306">
        <v>1</v>
      </c>
    </row>
    <row r="1307" spans="1:17" x14ac:dyDescent="0.25">
      <c r="A1307">
        <v>1310</v>
      </c>
      <c r="B1307">
        <v>159</v>
      </c>
      <c r="C1307">
        <v>85</v>
      </c>
      <c r="D1307" t="s">
        <v>54</v>
      </c>
      <c r="E1307" t="str">
        <f t="shared" si="23"/>
        <v>485PS03PT</v>
      </c>
      <c r="F1307" t="s">
        <v>80</v>
      </c>
      <c r="G1307">
        <f>VLOOKUP(B1307, [1]Course!$A$2:$L$950, 8, FALSE)</f>
        <v>4</v>
      </c>
      <c r="H1307">
        <v>3</v>
      </c>
      <c r="I1307">
        <v>1</v>
      </c>
      <c r="M1307" t="str">
        <f>VLOOKUP(B1307, [1]Course!$A$1:$O$933, 12, FALSE)</f>
        <v>SC</v>
      </c>
      <c r="N1307" t="s">
        <v>14</v>
      </c>
      <c r="O1307" t="str">
        <f>VLOOKUP(B1307, [1]Course!$A$1:$O$933, 14, FALSE)</f>
        <v>SC</v>
      </c>
      <c r="P1307">
        <v>1</v>
      </c>
    </row>
    <row r="1308" spans="1:17" x14ac:dyDescent="0.25">
      <c r="A1308">
        <v>1311</v>
      </c>
      <c r="B1308">
        <v>159</v>
      </c>
      <c r="C1308">
        <v>86</v>
      </c>
      <c r="D1308" t="s">
        <v>54</v>
      </c>
      <c r="E1308" t="str">
        <f t="shared" si="23"/>
        <v>486PS03PT</v>
      </c>
      <c r="F1308" t="s">
        <v>80</v>
      </c>
      <c r="G1308">
        <f>VLOOKUP(B1308, [1]Course!$A$2:$L$950, 8, FALSE)</f>
        <v>4</v>
      </c>
      <c r="H1308">
        <v>3</v>
      </c>
      <c r="I1308">
        <v>1</v>
      </c>
      <c r="M1308" t="str">
        <f>VLOOKUP(B1308, [1]Course!$A$1:$O$933, 12, FALSE)</f>
        <v>SC</v>
      </c>
      <c r="N1308" t="s">
        <v>14</v>
      </c>
      <c r="O1308" t="str">
        <f>VLOOKUP(B1308, [1]Course!$A$1:$O$933, 14, FALSE)</f>
        <v>SC</v>
      </c>
      <c r="P1308">
        <v>2</v>
      </c>
    </row>
    <row r="1309" spans="1:17" x14ac:dyDescent="0.25">
      <c r="A1309">
        <v>1312</v>
      </c>
      <c r="B1309">
        <v>159</v>
      </c>
      <c r="C1309">
        <v>87</v>
      </c>
      <c r="D1309" t="s">
        <v>54</v>
      </c>
      <c r="E1309" t="str">
        <f t="shared" si="23"/>
        <v>487PS03PT</v>
      </c>
      <c r="F1309" t="s">
        <v>80</v>
      </c>
      <c r="G1309">
        <f>VLOOKUP(B1309, [1]Course!$A$2:$L$950, 8, FALSE)</f>
        <v>4</v>
      </c>
      <c r="H1309">
        <v>3</v>
      </c>
      <c r="I1309">
        <v>1</v>
      </c>
      <c r="M1309" t="str">
        <f>VLOOKUP(B1309, [1]Course!$A$1:$O$933, 12, FALSE)</f>
        <v>SC</v>
      </c>
      <c r="N1309" t="s">
        <v>14</v>
      </c>
      <c r="O1309" t="str">
        <f>VLOOKUP(B1309, [1]Course!$A$1:$O$933, 14, FALSE)</f>
        <v>SC</v>
      </c>
      <c r="P1309">
        <v>1</v>
      </c>
    </row>
    <row r="1310" spans="1:17" x14ac:dyDescent="0.25">
      <c r="A1310">
        <v>1313</v>
      </c>
      <c r="B1310">
        <v>159</v>
      </c>
      <c r="C1310">
        <v>88</v>
      </c>
      <c r="D1310" t="s">
        <v>54</v>
      </c>
      <c r="E1310" t="str">
        <f t="shared" si="23"/>
        <v>488PS03PT</v>
      </c>
      <c r="F1310" t="s">
        <v>80</v>
      </c>
      <c r="G1310">
        <f>VLOOKUP(B1310, [1]Course!$A$2:$L$950, 8, FALSE)</f>
        <v>4</v>
      </c>
      <c r="H1310">
        <v>3</v>
      </c>
      <c r="I1310">
        <v>1</v>
      </c>
      <c r="M1310" t="str">
        <f>VLOOKUP(B1310, [1]Course!$A$1:$O$933, 12, FALSE)</f>
        <v>SC</v>
      </c>
      <c r="N1310" t="s">
        <v>14</v>
      </c>
      <c r="O1310" t="str">
        <f>VLOOKUP(B1310, [1]Course!$A$1:$O$933, 14, FALSE)</f>
        <v>SC</v>
      </c>
      <c r="P1310">
        <v>2</v>
      </c>
    </row>
    <row r="1311" spans="1:17" x14ac:dyDescent="0.25">
      <c r="A1311">
        <v>1314</v>
      </c>
      <c r="B1311">
        <v>160</v>
      </c>
      <c r="C1311">
        <v>97</v>
      </c>
      <c r="D1311" t="s">
        <v>54</v>
      </c>
      <c r="E1311" t="str">
        <f t="shared" si="23"/>
        <v>497PS03PT</v>
      </c>
      <c r="F1311" t="s">
        <v>80</v>
      </c>
      <c r="G1311">
        <f>VLOOKUP(B1311, [1]Course!$A$2:$L$950, 8, FALSE)</f>
        <v>4</v>
      </c>
      <c r="H1311">
        <v>3</v>
      </c>
      <c r="I1311">
        <v>1</v>
      </c>
      <c r="M1311" t="str">
        <f>VLOOKUP(B1311, [1]Course!$A$1:$O$933, 12, FALSE)</f>
        <v>SC</v>
      </c>
      <c r="N1311" t="s">
        <v>14</v>
      </c>
      <c r="O1311" t="str">
        <f>VLOOKUP(B1311, [1]Course!$A$1:$O$933, 14, FALSE)</f>
        <v>SC</v>
      </c>
      <c r="P1311">
        <v>1</v>
      </c>
    </row>
    <row r="1312" spans="1:17" x14ac:dyDescent="0.25">
      <c r="A1312">
        <v>1315</v>
      </c>
      <c r="B1312">
        <v>160</v>
      </c>
      <c r="C1312">
        <v>98</v>
      </c>
      <c r="D1312" t="s">
        <v>54</v>
      </c>
      <c r="E1312" t="str">
        <f t="shared" si="23"/>
        <v>498PS03PT</v>
      </c>
      <c r="F1312" t="s">
        <v>80</v>
      </c>
      <c r="G1312">
        <f>VLOOKUP(B1312, [1]Course!$A$2:$L$950, 8, FALSE)</f>
        <v>4</v>
      </c>
      <c r="H1312">
        <v>3</v>
      </c>
      <c r="I1312">
        <v>1</v>
      </c>
      <c r="M1312" t="str">
        <f>VLOOKUP(B1312, [1]Course!$A$1:$O$933, 12, FALSE)</f>
        <v>SC</v>
      </c>
      <c r="N1312" t="s">
        <v>14</v>
      </c>
      <c r="O1312" t="str">
        <f>VLOOKUP(B1312, [1]Course!$A$1:$O$933, 14, FALSE)</f>
        <v>SC</v>
      </c>
      <c r="P1312">
        <v>2</v>
      </c>
    </row>
    <row r="1313" spans="1:16" x14ac:dyDescent="0.25">
      <c r="A1313">
        <v>1316</v>
      </c>
      <c r="B1313">
        <v>160</v>
      </c>
      <c r="C1313">
        <v>99</v>
      </c>
      <c r="D1313" t="s">
        <v>54</v>
      </c>
      <c r="E1313" t="str">
        <f t="shared" si="23"/>
        <v>499PS03PT</v>
      </c>
      <c r="F1313" t="s">
        <v>80</v>
      </c>
      <c r="G1313">
        <f>VLOOKUP(B1313, [1]Course!$A$2:$L$950, 8, FALSE)</f>
        <v>4</v>
      </c>
      <c r="H1313">
        <v>3</v>
      </c>
      <c r="I1313">
        <v>1</v>
      </c>
      <c r="M1313" t="str">
        <f>VLOOKUP(B1313, [1]Course!$A$1:$O$933, 12, FALSE)</f>
        <v>SC</v>
      </c>
      <c r="N1313" t="s">
        <v>14</v>
      </c>
      <c r="O1313" t="str">
        <f>VLOOKUP(B1313, [1]Course!$A$1:$O$933, 14, FALSE)</f>
        <v>SC</v>
      </c>
      <c r="P1313">
        <v>1</v>
      </c>
    </row>
    <row r="1314" spans="1:16" x14ac:dyDescent="0.25">
      <c r="A1314">
        <v>1317</v>
      </c>
      <c r="B1314">
        <v>160</v>
      </c>
      <c r="C1314">
        <v>100</v>
      </c>
      <c r="D1314" t="s">
        <v>54</v>
      </c>
      <c r="E1314" t="str">
        <f t="shared" si="23"/>
        <v>400PS03PT</v>
      </c>
      <c r="F1314" t="s">
        <v>80</v>
      </c>
      <c r="G1314">
        <f>VLOOKUP(B1314, [1]Course!$A$2:$L$950, 8, FALSE)</f>
        <v>4</v>
      </c>
      <c r="H1314">
        <v>3</v>
      </c>
      <c r="I1314">
        <v>1</v>
      </c>
      <c r="M1314" t="str">
        <f>VLOOKUP(B1314, [1]Course!$A$1:$O$933, 12, FALSE)</f>
        <v>SC</v>
      </c>
      <c r="N1314" t="s">
        <v>14</v>
      </c>
      <c r="O1314" t="str">
        <f>VLOOKUP(B1314, [1]Course!$A$1:$O$933, 14, FALSE)</f>
        <v>SC</v>
      </c>
      <c r="P1314">
        <v>2</v>
      </c>
    </row>
    <row r="1315" spans="1:16" x14ac:dyDescent="0.25">
      <c r="A1315">
        <v>1318</v>
      </c>
      <c r="B1315">
        <v>97</v>
      </c>
      <c r="C1315">
        <v>1</v>
      </c>
      <c r="D1315" t="s">
        <v>81</v>
      </c>
      <c r="E1315" t="str">
        <f t="shared" si="23"/>
        <v>101ICT03PT</v>
      </c>
      <c r="F1315" t="s">
        <v>82</v>
      </c>
      <c r="G1315">
        <f>VLOOKUP(B1315, [1]Course!$A$2:$L$950, 8, FALSE)</f>
        <v>1</v>
      </c>
      <c r="H1315">
        <v>3</v>
      </c>
      <c r="I1315">
        <v>1</v>
      </c>
      <c r="M1315" t="str">
        <f>VLOOKUP(B1315, [1]Course!$A$1:$O$933, 12, FALSE)</f>
        <v>SU</v>
      </c>
      <c r="N1315" t="s">
        <v>14</v>
      </c>
      <c r="O1315" t="str">
        <f>VLOOKUP(B1315, [1]Course!$A$1:$O$933, 14, FALSE)</f>
        <v>IC</v>
      </c>
      <c r="P1315">
        <v>0</v>
      </c>
    </row>
    <row r="1316" spans="1:16" x14ac:dyDescent="0.25">
      <c r="A1316">
        <v>1319</v>
      </c>
      <c r="B1316">
        <v>97</v>
      </c>
      <c r="C1316">
        <v>2</v>
      </c>
      <c r="D1316" t="s">
        <v>81</v>
      </c>
      <c r="E1316" t="str">
        <f t="shared" si="23"/>
        <v>102ICT03PT</v>
      </c>
      <c r="F1316" t="s">
        <v>82</v>
      </c>
      <c r="G1316">
        <f>VLOOKUP(B1316, [1]Course!$A$2:$L$950, 8, FALSE)</f>
        <v>1</v>
      </c>
      <c r="H1316">
        <v>3</v>
      </c>
      <c r="I1316">
        <v>1</v>
      </c>
      <c r="M1316" t="str">
        <f>VLOOKUP(B1316, [1]Course!$A$1:$O$933, 12, FALSE)</f>
        <v>SU</v>
      </c>
      <c r="N1316" t="s">
        <v>14</v>
      </c>
      <c r="O1316" t="str">
        <f>VLOOKUP(B1316, [1]Course!$A$1:$O$933, 14, FALSE)</f>
        <v>IC</v>
      </c>
      <c r="P1316">
        <v>1</v>
      </c>
    </row>
    <row r="1317" spans="1:16" x14ac:dyDescent="0.25">
      <c r="A1317">
        <v>1320</v>
      </c>
      <c r="B1317">
        <v>97</v>
      </c>
      <c r="C1317">
        <v>3</v>
      </c>
      <c r="D1317" t="s">
        <v>81</v>
      </c>
      <c r="E1317" t="str">
        <f t="shared" si="23"/>
        <v>103ICT03PT</v>
      </c>
      <c r="F1317" t="s">
        <v>82</v>
      </c>
      <c r="G1317">
        <f>VLOOKUP(B1317, [1]Course!$A$2:$L$950, 8, FALSE)</f>
        <v>1</v>
      </c>
      <c r="H1317">
        <v>3</v>
      </c>
      <c r="I1317">
        <v>1</v>
      </c>
      <c r="M1317" t="str">
        <f>VLOOKUP(B1317, [1]Course!$A$1:$O$933, 12, FALSE)</f>
        <v>SU</v>
      </c>
      <c r="N1317" t="s">
        <v>14</v>
      </c>
      <c r="O1317" t="str">
        <f>VLOOKUP(B1317, [1]Course!$A$1:$O$933, 14, FALSE)</f>
        <v>IC</v>
      </c>
      <c r="P1317">
        <v>0</v>
      </c>
    </row>
    <row r="1318" spans="1:16" x14ac:dyDescent="0.25">
      <c r="A1318">
        <v>1321</v>
      </c>
      <c r="B1318">
        <v>97</v>
      </c>
      <c r="C1318">
        <v>4</v>
      </c>
      <c r="D1318" t="s">
        <v>81</v>
      </c>
      <c r="E1318" t="str">
        <f t="shared" si="23"/>
        <v>104ICT03PT</v>
      </c>
      <c r="F1318" t="s">
        <v>82</v>
      </c>
      <c r="G1318">
        <f>VLOOKUP(B1318, [1]Course!$A$2:$L$950, 8, FALSE)</f>
        <v>1</v>
      </c>
      <c r="H1318">
        <v>3</v>
      </c>
      <c r="I1318">
        <v>1</v>
      </c>
      <c r="M1318" t="str">
        <f>VLOOKUP(B1318, [1]Course!$A$1:$O$933, 12, FALSE)</f>
        <v>SU</v>
      </c>
      <c r="N1318" t="s">
        <v>14</v>
      </c>
      <c r="O1318" t="str">
        <f>VLOOKUP(B1318, [1]Course!$A$1:$O$933, 14, FALSE)</f>
        <v>IC</v>
      </c>
      <c r="P1318">
        <v>1</v>
      </c>
    </row>
    <row r="1319" spans="1:16" x14ac:dyDescent="0.25">
      <c r="A1319">
        <v>1322</v>
      </c>
      <c r="B1319">
        <v>97</v>
      </c>
      <c r="C1319">
        <v>5</v>
      </c>
      <c r="D1319" t="s">
        <v>81</v>
      </c>
      <c r="E1319" t="str">
        <f t="shared" si="23"/>
        <v>105ICT03PT</v>
      </c>
      <c r="F1319" t="s">
        <v>82</v>
      </c>
      <c r="G1319">
        <f>VLOOKUP(B1319, [1]Course!$A$2:$L$950, 8, FALSE)</f>
        <v>1</v>
      </c>
      <c r="H1319">
        <v>3</v>
      </c>
      <c r="I1319">
        <v>1</v>
      </c>
      <c r="M1319" t="str">
        <f>VLOOKUP(B1319, [1]Course!$A$1:$O$933, 12, FALSE)</f>
        <v>SU</v>
      </c>
      <c r="N1319" t="s">
        <v>14</v>
      </c>
      <c r="O1319" t="str">
        <f>VLOOKUP(B1319, [1]Course!$A$1:$O$933, 14, FALSE)</f>
        <v>IC</v>
      </c>
      <c r="P1319">
        <v>0</v>
      </c>
    </row>
    <row r="1320" spans="1:16" x14ac:dyDescent="0.25">
      <c r="A1320">
        <v>1323</v>
      </c>
      <c r="B1320">
        <v>97</v>
      </c>
      <c r="C1320">
        <v>6</v>
      </c>
      <c r="D1320" t="s">
        <v>81</v>
      </c>
      <c r="E1320" t="str">
        <f t="shared" si="23"/>
        <v>106ICT03PT</v>
      </c>
      <c r="F1320" t="s">
        <v>82</v>
      </c>
      <c r="G1320">
        <f>VLOOKUP(B1320, [1]Course!$A$2:$L$950, 8, FALSE)</f>
        <v>1</v>
      </c>
      <c r="H1320">
        <v>3</v>
      </c>
      <c r="I1320">
        <v>1</v>
      </c>
      <c r="M1320" t="str">
        <f>VLOOKUP(B1320, [1]Course!$A$1:$O$933, 12, FALSE)</f>
        <v>SU</v>
      </c>
      <c r="N1320" t="s">
        <v>14</v>
      </c>
      <c r="O1320" t="str">
        <f>VLOOKUP(B1320, [1]Course!$A$1:$O$933, 14, FALSE)</f>
        <v>IC</v>
      </c>
      <c r="P1320">
        <v>1</v>
      </c>
    </row>
    <row r="1321" spans="1:16" x14ac:dyDescent="0.25">
      <c r="A1321">
        <v>1324</v>
      </c>
      <c r="B1321">
        <v>97</v>
      </c>
      <c r="C1321">
        <v>7</v>
      </c>
      <c r="D1321" t="s">
        <v>81</v>
      </c>
      <c r="E1321" t="str">
        <f t="shared" si="23"/>
        <v>107ICT03PT</v>
      </c>
      <c r="F1321" t="s">
        <v>82</v>
      </c>
      <c r="G1321">
        <f>VLOOKUP(B1321, [1]Course!$A$2:$L$950, 8, FALSE)</f>
        <v>1</v>
      </c>
      <c r="H1321">
        <v>3</v>
      </c>
      <c r="I1321">
        <v>1</v>
      </c>
      <c r="M1321" t="str">
        <f>VLOOKUP(B1321, [1]Course!$A$1:$O$933, 12, FALSE)</f>
        <v>SU</v>
      </c>
      <c r="N1321" t="s">
        <v>14</v>
      </c>
      <c r="O1321" t="str">
        <f>VLOOKUP(B1321, [1]Course!$A$1:$O$933, 14, FALSE)</f>
        <v>IC</v>
      </c>
      <c r="P1321">
        <v>0</v>
      </c>
    </row>
    <row r="1322" spans="1:16" x14ac:dyDescent="0.25">
      <c r="A1322">
        <v>1325</v>
      </c>
      <c r="B1322">
        <v>97</v>
      </c>
      <c r="C1322">
        <v>8</v>
      </c>
      <c r="D1322" t="s">
        <v>81</v>
      </c>
      <c r="E1322" t="str">
        <f t="shared" si="23"/>
        <v>108ICT03PT</v>
      </c>
      <c r="F1322" t="s">
        <v>82</v>
      </c>
      <c r="G1322">
        <f>VLOOKUP(B1322, [1]Course!$A$2:$L$950, 8, FALSE)</f>
        <v>1</v>
      </c>
      <c r="H1322">
        <v>3</v>
      </c>
      <c r="I1322">
        <v>1</v>
      </c>
      <c r="M1322" t="str">
        <f>VLOOKUP(B1322, [1]Course!$A$1:$O$933, 12, FALSE)</f>
        <v>SU</v>
      </c>
      <c r="N1322" t="s">
        <v>14</v>
      </c>
      <c r="O1322" t="str">
        <f>VLOOKUP(B1322, [1]Course!$A$1:$O$933, 14, FALSE)</f>
        <v>IC</v>
      </c>
      <c r="P1322">
        <v>1</v>
      </c>
    </row>
    <row r="1323" spans="1:16" x14ac:dyDescent="0.25">
      <c r="A1323">
        <v>1326</v>
      </c>
      <c r="B1323">
        <v>97</v>
      </c>
      <c r="C1323">
        <v>9</v>
      </c>
      <c r="D1323" t="s">
        <v>81</v>
      </c>
      <c r="E1323" t="str">
        <f t="shared" si="23"/>
        <v>109ICT03PT</v>
      </c>
      <c r="F1323" t="s">
        <v>82</v>
      </c>
      <c r="G1323">
        <f>VLOOKUP(B1323, [1]Course!$A$2:$L$950, 8, FALSE)</f>
        <v>1</v>
      </c>
      <c r="H1323">
        <v>3</v>
      </c>
      <c r="I1323">
        <v>1</v>
      </c>
      <c r="M1323" t="str">
        <f>VLOOKUP(B1323, [1]Course!$A$1:$O$933, 12, FALSE)</f>
        <v>SU</v>
      </c>
      <c r="N1323" t="s">
        <v>14</v>
      </c>
      <c r="O1323" t="str">
        <f>VLOOKUP(B1323, [1]Course!$A$1:$O$933, 14, FALSE)</f>
        <v>IC</v>
      </c>
      <c r="P1323">
        <v>0</v>
      </c>
    </row>
    <row r="1324" spans="1:16" x14ac:dyDescent="0.25">
      <c r="A1324">
        <v>1327</v>
      </c>
      <c r="B1324">
        <v>97</v>
      </c>
      <c r="C1324">
        <v>10</v>
      </c>
      <c r="D1324" t="s">
        <v>81</v>
      </c>
      <c r="E1324" t="str">
        <f t="shared" si="23"/>
        <v>110ICT03PT</v>
      </c>
      <c r="F1324" t="s">
        <v>82</v>
      </c>
      <c r="G1324">
        <f>VLOOKUP(B1324, [1]Course!$A$2:$L$950, 8, FALSE)</f>
        <v>1</v>
      </c>
      <c r="H1324">
        <v>3</v>
      </c>
      <c r="I1324">
        <v>1</v>
      </c>
      <c r="M1324" t="str">
        <f>VLOOKUP(B1324, [1]Course!$A$1:$O$933, 12, FALSE)</f>
        <v>SU</v>
      </c>
      <c r="N1324" t="s">
        <v>14</v>
      </c>
      <c r="O1324" t="str">
        <f>VLOOKUP(B1324, [1]Course!$A$1:$O$933, 14, FALSE)</f>
        <v>IC</v>
      </c>
      <c r="P1324">
        <v>1</v>
      </c>
    </row>
    <row r="1325" spans="1:16" x14ac:dyDescent="0.25">
      <c r="A1325">
        <v>1328</v>
      </c>
      <c r="B1325">
        <v>97</v>
      </c>
      <c r="C1325">
        <v>11</v>
      </c>
      <c r="D1325" t="s">
        <v>81</v>
      </c>
      <c r="E1325" t="str">
        <f t="shared" si="23"/>
        <v>111ICT03PT</v>
      </c>
      <c r="F1325" t="s">
        <v>82</v>
      </c>
      <c r="G1325">
        <f>VLOOKUP(B1325, [1]Course!$A$2:$L$950, 8, FALSE)</f>
        <v>1</v>
      </c>
      <c r="H1325">
        <v>3</v>
      </c>
      <c r="I1325">
        <v>1</v>
      </c>
      <c r="M1325" t="str">
        <f>VLOOKUP(B1325, [1]Course!$A$1:$O$933, 12, FALSE)</f>
        <v>SU</v>
      </c>
      <c r="N1325" t="s">
        <v>14</v>
      </c>
      <c r="O1325" t="str">
        <f>VLOOKUP(B1325, [1]Course!$A$1:$O$933, 14, FALSE)</f>
        <v>IC</v>
      </c>
      <c r="P1325">
        <v>0</v>
      </c>
    </row>
    <row r="1326" spans="1:16" x14ac:dyDescent="0.25">
      <c r="A1326">
        <v>1329</v>
      </c>
      <c r="B1326">
        <v>97</v>
      </c>
      <c r="C1326">
        <v>12</v>
      </c>
      <c r="D1326" t="s">
        <v>81</v>
      </c>
      <c r="E1326" t="str">
        <f t="shared" si="23"/>
        <v>112ICT03PT</v>
      </c>
      <c r="F1326" t="s">
        <v>82</v>
      </c>
      <c r="G1326">
        <f>VLOOKUP(B1326, [1]Course!$A$2:$L$950, 8, FALSE)</f>
        <v>1</v>
      </c>
      <c r="H1326">
        <v>3</v>
      </c>
      <c r="I1326">
        <v>1</v>
      </c>
      <c r="M1326" t="str">
        <f>VLOOKUP(B1326, [1]Course!$A$1:$O$933, 12, FALSE)</f>
        <v>SU</v>
      </c>
      <c r="N1326" t="s">
        <v>14</v>
      </c>
      <c r="O1326" t="str">
        <f>VLOOKUP(B1326, [1]Course!$A$1:$O$933, 14, FALSE)</f>
        <v>IC</v>
      </c>
      <c r="P1326">
        <v>1</v>
      </c>
    </row>
    <row r="1327" spans="1:16" x14ac:dyDescent="0.25">
      <c r="A1327">
        <v>1330</v>
      </c>
      <c r="B1327">
        <v>97</v>
      </c>
      <c r="C1327">
        <v>13</v>
      </c>
      <c r="D1327" t="s">
        <v>81</v>
      </c>
      <c r="E1327" t="str">
        <f t="shared" si="23"/>
        <v>113ICT03PT</v>
      </c>
      <c r="F1327" t="s">
        <v>82</v>
      </c>
      <c r="G1327">
        <f>VLOOKUP(B1327, [1]Course!$A$2:$L$950, 8, FALSE)</f>
        <v>1</v>
      </c>
      <c r="H1327">
        <v>3</v>
      </c>
      <c r="I1327">
        <v>1</v>
      </c>
      <c r="M1327" t="str">
        <f>VLOOKUP(B1327, [1]Course!$A$1:$O$933, 12, FALSE)</f>
        <v>SU</v>
      </c>
      <c r="N1327" t="s">
        <v>14</v>
      </c>
      <c r="O1327" t="str">
        <f>VLOOKUP(B1327, [1]Course!$A$1:$O$933, 14, FALSE)</f>
        <v>IC</v>
      </c>
      <c r="P1327">
        <v>0</v>
      </c>
    </row>
    <row r="1328" spans="1:16" x14ac:dyDescent="0.25">
      <c r="A1328">
        <v>1331</v>
      </c>
      <c r="B1328">
        <v>97</v>
      </c>
      <c r="C1328">
        <v>14</v>
      </c>
      <c r="D1328" t="s">
        <v>81</v>
      </c>
      <c r="E1328" t="str">
        <f t="shared" si="23"/>
        <v>114ICT03PT</v>
      </c>
      <c r="F1328" t="s">
        <v>82</v>
      </c>
      <c r="G1328">
        <f>VLOOKUP(B1328, [1]Course!$A$2:$L$950, 8, FALSE)</f>
        <v>1</v>
      </c>
      <c r="H1328">
        <v>3</v>
      </c>
      <c r="I1328">
        <v>1</v>
      </c>
      <c r="M1328" t="str">
        <f>VLOOKUP(B1328, [1]Course!$A$1:$O$933, 12, FALSE)</f>
        <v>SU</v>
      </c>
      <c r="N1328" t="s">
        <v>14</v>
      </c>
      <c r="O1328" t="str">
        <f>VLOOKUP(B1328, [1]Course!$A$1:$O$933, 14, FALSE)</f>
        <v>IC</v>
      </c>
      <c r="P1328">
        <v>0</v>
      </c>
    </row>
    <row r="1329" spans="1:17" x14ac:dyDescent="0.25">
      <c r="A1329">
        <v>1332</v>
      </c>
      <c r="B1329">
        <v>97</v>
      </c>
      <c r="C1329">
        <v>15</v>
      </c>
      <c r="D1329" t="s">
        <v>81</v>
      </c>
      <c r="E1329" t="str">
        <f t="shared" si="23"/>
        <v>115ICT03PT</v>
      </c>
      <c r="F1329" t="s">
        <v>82</v>
      </c>
      <c r="G1329">
        <f>VLOOKUP(B1329, [1]Course!$A$2:$L$950, 8, FALSE)</f>
        <v>1</v>
      </c>
      <c r="H1329">
        <v>3</v>
      </c>
      <c r="I1329">
        <v>1</v>
      </c>
      <c r="M1329" t="str">
        <f>VLOOKUP(B1329, [1]Course!$A$1:$O$933, 12, FALSE)</f>
        <v>SU</v>
      </c>
      <c r="N1329" t="s">
        <v>14</v>
      </c>
      <c r="O1329" t="str">
        <f>VLOOKUP(B1329, [1]Course!$A$1:$O$933, 14, FALSE)</f>
        <v>IC</v>
      </c>
      <c r="P1329">
        <v>1</v>
      </c>
    </row>
    <row r="1330" spans="1:17" x14ac:dyDescent="0.25">
      <c r="A1330">
        <v>1333</v>
      </c>
      <c r="B1330">
        <v>97</v>
      </c>
      <c r="C1330">
        <v>16</v>
      </c>
      <c r="D1330" t="s">
        <v>81</v>
      </c>
      <c r="E1330" t="str">
        <f t="shared" si="23"/>
        <v>116ICT03PT</v>
      </c>
      <c r="F1330" t="s">
        <v>82</v>
      </c>
      <c r="G1330">
        <f>VLOOKUP(B1330, [1]Course!$A$2:$L$950, 8, FALSE)</f>
        <v>1</v>
      </c>
      <c r="H1330">
        <v>3</v>
      </c>
      <c r="I1330">
        <v>1</v>
      </c>
      <c r="M1330" t="str">
        <f>VLOOKUP(B1330, [1]Course!$A$1:$O$933, 12, FALSE)</f>
        <v>SU</v>
      </c>
      <c r="N1330" t="s">
        <v>14</v>
      </c>
      <c r="O1330" t="str">
        <f>VLOOKUP(B1330, [1]Course!$A$1:$O$933, 14, FALSE)</f>
        <v>IC</v>
      </c>
      <c r="P1330">
        <v>0</v>
      </c>
    </row>
    <row r="1331" spans="1:17" x14ac:dyDescent="0.25">
      <c r="A1331">
        <v>1334</v>
      </c>
      <c r="B1331">
        <v>97</v>
      </c>
      <c r="C1331">
        <v>17</v>
      </c>
      <c r="D1331" t="s">
        <v>81</v>
      </c>
      <c r="E1331" t="str">
        <f t="shared" si="23"/>
        <v>117ICT03PT</v>
      </c>
      <c r="F1331" t="s">
        <v>82</v>
      </c>
      <c r="G1331">
        <f>VLOOKUP(B1331, [1]Course!$A$2:$L$950, 8, FALSE)</f>
        <v>1</v>
      </c>
      <c r="H1331">
        <v>3</v>
      </c>
      <c r="I1331">
        <v>1</v>
      </c>
      <c r="M1331" t="str">
        <f>VLOOKUP(B1331, [1]Course!$A$1:$O$933, 12, FALSE)</f>
        <v>SU</v>
      </c>
      <c r="N1331" t="s">
        <v>14</v>
      </c>
      <c r="O1331" t="str">
        <f>VLOOKUP(B1331, [1]Course!$A$1:$O$933, 14, FALSE)</f>
        <v>IC</v>
      </c>
      <c r="P1331">
        <v>1</v>
      </c>
    </row>
    <row r="1332" spans="1:17" x14ac:dyDescent="0.25">
      <c r="A1332">
        <v>1335</v>
      </c>
      <c r="B1332">
        <v>97</v>
      </c>
      <c r="C1332">
        <v>18</v>
      </c>
      <c r="D1332" t="s">
        <v>81</v>
      </c>
      <c r="E1332" t="str">
        <f t="shared" si="23"/>
        <v>118ICT03PT</v>
      </c>
      <c r="F1332" t="s">
        <v>82</v>
      </c>
      <c r="G1332">
        <f>VLOOKUP(B1332, [1]Course!$A$2:$L$950, 8, FALSE)</f>
        <v>1</v>
      </c>
      <c r="H1332">
        <v>3</v>
      </c>
      <c r="I1332">
        <v>1</v>
      </c>
      <c r="M1332" t="str">
        <f>VLOOKUP(B1332, [1]Course!$A$1:$O$933, 12, FALSE)</f>
        <v>SU</v>
      </c>
      <c r="N1332" t="s">
        <v>14</v>
      </c>
      <c r="O1332" t="str">
        <f>VLOOKUP(B1332, [1]Course!$A$1:$O$933, 14, FALSE)</f>
        <v>IC</v>
      </c>
      <c r="P1332">
        <v>0</v>
      </c>
    </row>
    <row r="1333" spans="1:17" x14ac:dyDescent="0.25">
      <c r="A1333">
        <v>1336</v>
      </c>
      <c r="B1333">
        <v>97</v>
      </c>
      <c r="C1333">
        <v>19</v>
      </c>
      <c r="D1333" t="s">
        <v>81</v>
      </c>
      <c r="E1333" t="str">
        <f t="shared" si="23"/>
        <v>119ICT03PT</v>
      </c>
      <c r="F1333" t="s">
        <v>82</v>
      </c>
      <c r="G1333">
        <f>VLOOKUP(B1333, [1]Course!$A$2:$L$950, 8, FALSE)</f>
        <v>1</v>
      </c>
      <c r="H1333">
        <v>3</v>
      </c>
      <c r="I1333">
        <v>1</v>
      </c>
      <c r="M1333" t="str">
        <f>VLOOKUP(B1333, [1]Course!$A$1:$O$933, 12, FALSE)</f>
        <v>SU</v>
      </c>
      <c r="N1333" t="s">
        <v>14</v>
      </c>
      <c r="O1333" t="str">
        <f>VLOOKUP(B1333, [1]Course!$A$1:$O$933, 14, FALSE)</f>
        <v>IC</v>
      </c>
      <c r="P1333">
        <v>1</v>
      </c>
    </row>
    <row r="1334" spans="1:17" x14ac:dyDescent="0.25">
      <c r="A1334">
        <v>1337</v>
      </c>
      <c r="B1334">
        <v>97</v>
      </c>
      <c r="C1334">
        <v>20</v>
      </c>
      <c r="D1334" t="s">
        <v>81</v>
      </c>
      <c r="E1334" t="str">
        <f t="shared" si="23"/>
        <v>120ICT03PT</v>
      </c>
      <c r="F1334" t="s">
        <v>82</v>
      </c>
      <c r="G1334">
        <f>VLOOKUP(B1334, [1]Course!$A$2:$L$950, 8, FALSE)</f>
        <v>1</v>
      </c>
      <c r="H1334">
        <v>3</v>
      </c>
      <c r="I1334">
        <v>1</v>
      </c>
      <c r="M1334" t="str">
        <f>VLOOKUP(B1334, [1]Course!$A$1:$O$933, 12, FALSE)</f>
        <v>SU</v>
      </c>
      <c r="N1334" t="s">
        <v>14</v>
      </c>
      <c r="O1334" t="str">
        <f>VLOOKUP(B1334, [1]Course!$A$1:$O$933, 14, FALSE)</f>
        <v>IC</v>
      </c>
      <c r="P1334">
        <v>0</v>
      </c>
    </row>
    <row r="1335" spans="1:17" x14ac:dyDescent="0.25">
      <c r="A1335">
        <v>1338</v>
      </c>
      <c r="B1335">
        <v>97</v>
      </c>
      <c r="C1335">
        <v>21</v>
      </c>
      <c r="D1335" t="s">
        <v>81</v>
      </c>
      <c r="E1335" t="str">
        <f t="shared" si="23"/>
        <v>121ICT03PT</v>
      </c>
      <c r="F1335" t="s">
        <v>82</v>
      </c>
      <c r="G1335">
        <f>VLOOKUP(B1335, [1]Course!$A$2:$L$950, 8, FALSE)</f>
        <v>1</v>
      </c>
      <c r="H1335">
        <v>3</v>
      </c>
      <c r="I1335">
        <v>1</v>
      </c>
      <c r="M1335" t="str">
        <f>VLOOKUP(B1335, [1]Course!$A$1:$O$933, 12, FALSE)</f>
        <v>SU</v>
      </c>
      <c r="N1335" t="s">
        <v>14</v>
      </c>
      <c r="O1335" t="str">
        <f>VLOOKUP(B1335, [1]Course!$A$1:$O$933, 14, FALSE)</f>
        <v>IC</v>
      </c>
      <c r="P1335">
        <v>1</v>
      </c>
    </row>
    <row r="1336" spans="1:17" x14ac:dyDescent="0.25">
      <c r="A1336">
        <v>1339</v>
      </c>
      <c r="B1336">
        <v>97</v>
      </c>
      <c r="C1336">
        <v>22</v>
      </c>
      <c r="D1336" t="s">
        <v>81</v>
      </c>
      <c r="E1336" t="str">
        <f t="shared" si="23"/>
        <v>122ICT03PT</v>
      </c>
      <c r="F1336" t="s">
        <v>82</v>
      </c>
      <c r="G1336">
        <f>VLOOKUP(B1336, [1]Course!$A$2:$L$950, 8, FALSE)</f>
        <v>1</v>
      </c>
      <c r="H1336">
        <v>3</v>
      </c>
      <c r="I1336">
        <v>1</v>
      </c>
      <c r="M1336" t="str">
        <f>VLOOKUP(B1336, [1]Course!$A$1:$O$933, 12, FALSE)</f>
        <v>SU</v>
      </c>
      <c r="N1336" t="s">
        <v>14</v>
      </c>
      <c r="O1336" t="str">
        <f>VLOOKUP(B1336, [1]Course!$A$1:$O$933, 14, FALSE)</f>
        <v>IC</v>
      </c>
      <c r="P1336">
        <v>0</v>
      </c>
    </row>
    <row r="1337" spans="1:17" x14ac:dyDescent="0.25">
      <c r="A1337">
        <v>1340</v>
      </c>
      <c r="B1337">
        <v>97</v>
      </c>
      <c r="C1337">
        <v>23</v>
      </c>
      <c r="D1337" t="s">
        <v>81</v>
      </c>
      <c r="E1337" t="str">
        <f t="shared" si="23"/>
        <v>123ICT03PT</v>
      </c>
      <c r="F1337" t="s">
        <v>82</v>
      </c>
      <c r="G1337">
        <f>VLOOKUP(B1337, [1]Course!$A$2:$L$950, 8, FALSE)</f>
        <v>1</v>
      </c>
      <c r="H1337">
        <v>3</v>
      </c>
      <c r="I1337">
        <v>1</v>
      </c>
      <c r="M1337" t="str">
        <f>VLOOKUP(B1337, [1]Course!$A$1:$O$933, 12, FALSE)</f>
        <v>SU</v>
      </c>
      <c r="N1337" t="s">
        <v>14</v>
      </c>
      <c r="O1337" t="str">
        <f>VLOOKUP(B1337, [1]Course!$A$1:$O$933, 14, FALSE)</f>
        <v>IC</v>
      </c>
      <c r="P1337">
        <v>1</v>
      </c>
    </row>
    <row r="1338" spans="1:17" x14ac:dyDescent="0.25">
      <c r="A1338">
        <v>1341</v>
      </c>
      <c r="B1338">
        <v>97</v>
      </c>
      <c r="C1338">
        <v>24</v>
      </c>
      <c r="D1338" t="s">
        <v>81</v>
      </c>
      <c r="E1338" t="str">
        <f t="shared" si="23"/>
        <v>124ICT03PT</v>
      </c>
      <c r="F1338" t="s">
        <v>82</v>
      </c>
      <c r="G1338">
        <f>VLOOKUP(B1338, [1]Course!$A$2:$L$950, 8, FALSE)</f>
        <v>1</v>
      </c>
      <c r="H1338">
        <v>3</v>
      </c>
      <c r="I1338">
        <v>1</v>
      </c>
      <c r="M1338" t="str">
        <f>VLOOKUP(B1338, [1]Course!$A$1:$O$933, 12, FALSE)</f>
        <v>SU</v>
      </c>
      <c r="N1338" t="s">
        <v>14</v>
      </c>
      <c r="O1338" t="str">
        <f>VLOOKUP(B1338, [1]Course!$A$1:$O$933, 14, FALSE)</f>
        <v>IC</v>
      </c>
      <c r="P1338">
        <v>0</v>
      </c>
    </row>
    <row r="1339" spans="1:17" x14ac:dyDescent="0.25">
      <c r="A1339">
        <v>1342</v>
      </c>
      <c r="B1339">
        <v>97</v>
      </c>
      <c r="C1339">
        <v>25</v>
      </c>
      <c r="D1339" t="s">
        <v>81</v>
      </c>
      <c r="E1339" t="str">
        <f t="shared" si="23"/>
        <v>125ICT03PT</v>
      </c>
      <c r="F1339" t="s">
        <v>82</v>
      </c>
      <c r="G1339">
        <f>VLOOKUP(B1339, [1]Course!$A$2:$L$950, 8, FALSE)</f>
        <v>1</v>
      </c>
      <c r="H1339">
        <v>3</v>
      </c>
      <c r="I1339">
        <v>1</v>
      </c>
      <c r="M1339" t="str">
        <f>VLOOKUP(B1339, [1]Course!$A$1:$O$933, 12, FALSE)</f>
        <v>SU</v>
      </c>
      <c r="N1339" t="s">
        <v>14</v>
      </c>
      <c r="O1339" t="str">
        <f>VLOOKUP(B1339, [1]Course!$A$1:$O$933, 14, FALSE)</f>
        <v>IC</v>
      </c>
      <c r="P1339">
        <v>1</v>
      </c>
    </row>
    <row r="1340" spans="1:17" x14ac:dyDescent="0.25">
      <c r="A1340">
        <v>1343</v>
      </c>
      <c r="B1340">
        <v>92</v>
      </c>
      <c r="C1340">
        <v>9</v>
      </c>
      <c r="D1340" s="5" t="s">
        <v>43</v>
      </c>
      <c r="E1340" s="5" t="str">
        <f t="shared" si="23"/>
        <v>409APv203PT</v>
      </c>
      <c r="F1340">
        <f>VLOOKUP(B1340,[1]Course!$A$2:$R$329,2,FALSE)</f>
        <v>0</v>
      </c>
      <c r="G1340">
        <f>VLOOKUP(B1340, [1]Course!$A$2:$L$950, 8, FALSE)</f>
        <v>4</v>
      </c>
      <c r="H1340">
        <v>3</v>
      </c>
      <c r="I1340">
        <v>1</v>
      </c>
      <c r="J1340">
        <v>2019</v>
      </c>
      <c r="K1340" t="s">
        <v>92</v>
      </c>
      <c r="L1340">
        <v>2</v>
      </c>
      <c r="M1340" t="str">
        <f>VLOOKUP(B1340, [1]Course!$A$1:$O$933, 12, FALSE)</f>
        <v>BS</v>
      </c>
      <c r="N1340" t="s">
        <v>14</v>
      </c>
      <c r="O1340" t="str">
        <f>VLOOKUP(B1340, [1]Course!$A$1:$O$933, 14, FALSE)</f>
        <v>AP</v>
      </c>
      <c r="P1340">
        <v>1</v>
      </c>
    </row>
    <row r="1341" spans="1:17" x14ac:dyDescent="0.25">
      <c r="A1341">
        <v>1344</v>
      </c>
      <c r="B1341">
        <v>92</v>
      </c>
      <c r="C1341">
        <v>10</v>
      </c>
      <c r="D1341" s="5" t="s">
        <v>43</v>
      </c>
      <c r="E1341" s="5" t="str">
        <f t="shared" si="23"/>
        <v>410APv202PT</v>
      </c>
      <c r="F1341">
        <f>VLOOKUP(B1341,[1]Course!$A$2:$R$329,2,FALSE)</f>
        <v>0</v>
      </c>
      <c r="G1341">
        <f>VLOOKUP(B1341, [1]Course!$A$2:$L$950, 8, FALSE)</f>
        <v>4</v>
      </c>
      <c r="H1341">
        <v>2</v>
      </c>
      <c r="I1341">
        <v>1</v>
      </c>
      <c r="J1341">
        <v>2019</v>
      </c>
      <c r="K1341" t="s">
        <v>92</v>
      </c>
      <c r="L1341">
        <v>2</v>
      </c>
      <c r="M1341" t="str">
        <f>VLOOKUP(B1341, [1]Course!$A$1:$O$933, 12, FALSE)</f>
        <v>BS</v>
      </c>
      <c r="N1341" t="s">
        <v>14</v>
      </c>
      <c r="O1341" t="str">
        <f>VLOOKUP(B1341, [1]Course!$A$1:$O$933, 14, FALSE)</f>
        <v>AP</v>
      </c>
      <c r="P1341">
        <v>2</v>
      </c>
      <c r="Q1341" t="s">
        <v>99</v>
      </c>
    </row>
    <row r="1342" spans="1:17" x14ac:dyDescent="0.25">
      <c r="A1342">
        <v>1345</v>
      </c>
      <c r="B1342">
        <v>81</v>
      </c>
      <c r="C1342" s="5" t="s">
        <v>83</v>
      </c>
      <c r="D1342" s="5" t="s">
        <v>43</v>
      </c>
      <c r="E1342" s="5" t="str">
        <f t="shared" si="23"/>
        <v>21EAPv203PT</v>
      </c>
      <c r="F1342">
        <f>VLOOKUP(B1342,[1]Course!$A$2:$R$329,2,FALSE)</f>
        <v>0</v>
      </c>
      <c r="G1342">
        <f>VLOOKUP(B1342, [1]Course!$A$2:$L$950, 8, FALSE)</f>
        <v>2</v>
      </c>
      <c r="H1342">
        <v>3</v>
      </c>
      <c r="I1342">
        <v>1</v>
      </c>
      <c r="M1342" t="str">
        <f>VLOOKUP(B1342, [1]Course!$A$1:$O$933, 12, FALSE)</f>
        <v>BS</v>
      </c>
      <c r="N1342" t="s">
        <v>14</v>
      </c>
      <c r="O1342" t="str">
        <f>VLOOKUP(B1342, [1]Course!$A$1:$O$933, 14, FALSE)</f>
        <v>AP</v>
      </c>
      <c r="P1342">
        <v>2</v>
      </c>
      <c r="Q1342" t="s">
        <v>84</v>
      </c>
    </row>
    <row r="1343" spans="1:17" x14ac:dyDescent="0.25">
      <c r="A1343">
        <v>1346</v>
      </c>
      <c r="B1343">
        <v>151</v>
      </c>
      <c r="C1343" s="5" t="s">
        <v>85</v>
      </c>
      <c r="D1343" s="5" t="s">
        <v>46</v>
      </c>
      <c r="E1343" s="5" t="str">
        <f t="shared" si="23"/>
        <v>77EAP00PT</v>
      </c>
      <c r="F1343" t="s">
        <v>47</v>
      </c>
      <c r="G1343">
        <v>7</v>
      </c>
      <c r="H1343">
        <v>0</v>
      </c>
      <c r="I1343">
        <v>1</v>
      </c>
      <c r="M1343" t="str">
        <f>VLOOKUP(B1343, [1]Course!$A$1:$O$933, 12, FALSE)</f>
        <v>BS</v>
      </c>
      <c r="N1343" t="s">
        <v>14</v>
      </c>
      <c r="O1343" t="str">
        <f>VLOOKUP(B1343, [1]Course!$A$1:$O$933, 14, FALSE)</f>
        <v>AP</v>
      </c>
      <c r="P1343">
        <v>2</v>
      </c>
      <c r="Q1343" t="s">
        <v>84</v>
      </c>
    </row>
    <row r="1344" spans="1:17" x14ac:dyDescent="0.25">
      <c r="A1344">
        <v>1347</v>
      </c>
      <c r="B1344">
        <v>151</v>
      </c>
      <c r="C1344" s="5">
        <v>1</v>
      </c>
      <c r="D1344" s="5" t="s">
        <v>46</v>
      </c>
      <c r="E1344" s="5" t="str">
        <f t="shared" si="23"/>
        <v>701AP00PT</v>
      </c>
      <c r="F1344" t="s">
        <v>47</v>
      </c>
      <c r="G1344">
        <v>7</v>
      </c>
      <c r="H1344">
        <v>0</v>
      </c>
      <c r="I1344">
        <v>1</v>
      </c>
      <c r="M1344" t="str">
        <f>VLOOKUP(B1344, [1]Course!$A$1:$O$933, 12, FALSE)</f>
        <v>BS</v>
      </c>
      <c r="N1344" t="s">
        <v>14</v>
      </c>
      <c r="O1344" t="str">
        <f>VLOOKUP(B1344, [1]Course!$A$1:$O$933, 14, FALSE)</f>
        <v>AP</v>
      </c>
      <c r="P1344">
        <v>2</v>
      </c>
      <c r="Q1344" s="6" t="s">
        <v>86</v>
      </c>
    </row>
    <row r="1345" spans="1:17" x14ac:dyDescent="0.25">
      <c r="A1345">
        <v>1348</v>
      </c>
      <c r="B1345">
        <v>152</v>
      </c>
      <c r="C1345" s="5">
        <v>2</v>
      </c>
      <c r="D1345" s="5" t="s">
        <v>46</v>
      </c>
      <c r="E1345" s="5" t="str">
        <f t="shared" si="23"/>
        <v>702AP00PT</v>
      </c>
      <c r="F1345" t="s">
        <v>48</v>
      </c>
      <c r="G1345">
        <v>7</v>
      </c>
      <c r="H1345">
        <v>0</v>
      </c>
      <c r="I1345">
        <v>1</v>
      </c>
      <c r="J1345">
        <v>2019</v>
      </c>
      <c r="K1345" t="s">
        <v>92</v>
      </c>
      <c r="L1345">
        <v>1</v>
      </c>
      <c r="M1345" t="str">
        <f>VLOOKUP(B1345, [1]Course!$A$1:$O$933, 12, FALSE)</f>
        <v>BS</v>
      </c>
      <c r="N1345" t="s">
        <v>14</v>
      </c>
      <c r="O1345" t="str">
        <f>VLOOKUP(B1345, [1]Course!$A$1:$O$933, 14, FALSE)</f>
        <v>AP</v>
      </c>
      <c r="P1345">
        <v>2</v>
      </c>
      <c r="Q1345" t="s">
        <v>84</v>
      </c>
    </row>
    <row r="1346" spans="1:17" x14ac:dyDescent="0.25">
      <c r="A1346">
        <v>1349</v>
      </c>
      <c r="B1346">
        <v>146</v>
      </c>
      <c r="C1346">
        <v>108</v>
      </c>
      <c r="D1346" t="s">
        <v>78</v>
      </c>
      <c r="E1346" t="str">
        <f t="shared" si="23"/>
        <v>1108LI0PT</v>
      </c>
      <c r="F1346">
        <f>VLOOKUP(B1346,[1]Course!$A$2:$R$329,2,FALSE)</f>
        <v>0</v>
      </c>
      <c r="G1346">
        <f>VLOOKUP(B1346, [1]Course!$A$2:$L$950, 8, FALSE)</f>
        <v>11</v>
      </c>
      <c r="M1346" t="str">
        <f>VLOOKUP(B1346, [1]Course!$A$1:$O$933, 12, FALSE)</f>
        <v>LI</v>
      </c>
      <c r="N1346" t="s">
        <v>14</v>
      </c>
      <c r="O1346" t="str">
        <f>VLOOKUP(B1346, [1]Course!$A$1:$O$933, 14, FALSE)</f>
        <v>LC</v>
      </c>
      <c r="P1346">
        <v>1</v>
      </c>
      <c r="Q1346" t="s">
        <v>87</v>
      </c>
    </row>
    <row r="1347" spans="1:17" x14ac:dyDescent="0.25">
      <c r="A1347">
        <v>1350</v>
      </c>
      <c r="B1347">
        <v>146</v>
      </c>
      <c r="C1347">
        <v>108</v>
      </c>
      <c r="D1347" t="s">
        <v>78</v>
      </c>
      <c r="E1347" t="str">
        <f t="shared" ref="E1347:E1348" si="24">UPPER(LEFT(G1347,2)) &amp; RIGHT("0" &amp; C1347, 2) &amp; D1347 &amp; RIGHT("0" &amp; H1347, 2) &amp; N1347</f>
        <v>1108LI0PT</v>
      </c>
      <c r="F1347">
        <f>VLOOKUP(B1347,[1]Course!$A$2:$R$329,2,FALSE)</f>
        <v>0</v>
      </c>
      <c r="G1347">
        <f>VLOOKUP(B1347, [1]Course!$A$2:$L$950, 8, FALSE)</f>
        <v>11</v>
      </c>
      <c r="M1347" t="str">
        <f>VLOOKUP(B1347, [1]Course!$A$1:$O$933, 12, FALSE)</f>
        <v>LI</v>
      </c>
      <c r="N1347" t="s">
        <v>14</v>
      </c>
      <c r="O1347" t="str">
        <f>VLOOKUP(B1347, [1]Course!$A$1:$O$933, 14, FALSE)</f>
        <v>LC</v>
      </c>
      <c r="P1347">
        <v>1</v>
      </c>
      <c r="Q1347" t="s">
        <v>88</v>
      </c>
    </row>
    <row r="1348" spans="1:17" x14ac:dyDescent="0.25">
      <c r="A1348">
        <v>1351</v>
      </c>
      <c r="B1348">
        <v>146</v>
      </c>
      <c r="C1348">
        <v>108</v>
      </c>
      <c r="D1348" t="s">
        <v>78</v>
      </c>
      <c r="E1348" t="str">
        <f t="shared" si="24"/>
        <v>1108LI0PT</v>
      </c>
      <c r="F1348">
        <f>VLOOKUP(B1348,[1]Course!$A$2:$R$329,2,FALSE)</f>
        <v>0</v>
      </c>
      <c r="G1348">
        <f>VLOOKUP(B1348, [1]Course!$A$2:$L$950, 8, FALSE)</f>
        <v>11</v>
      </c>
      <c r="M1348" t="str">
        <f>VLOOKUP(B1348, [1]Course!$A$1:$O$933, 12, FALSE)</f>
        <v>LI</v>
      </c>
      <c r="N1348" t="s">
        <v>14</v>
      </c>
      <c r="O1348" t="str">
        <f>VLOOKUP(B1348, [1]Course!$A$1:$O$933, 14, FALSE)</f>
        <v>LC</v>
      </c>
      <c r="P1348">
        <v>1</v>
      </c>
      <c r="Q1348" t="s">
        <v>89</v>
      </c>
    </row>
    <row r="1349" spans="1:17" x14ac:dyDescent="0.25">
      <c r="A1349">
        <v>1352</v>
      </c>
      <c r="B1349">
        <v>150</v>
      </c>
      <c r="C1349">
        <v>1</v>
      </c>
      <c r="D1349" t="s">
        <v>93</v>
      </c>
      <c r="E1349" t="str">
        <f t="shared" ref="E1349:E1355" si="25">UPPER(LEFT(G1349,2)) &amp; RIGHT("0" &amp; C1349, 2) &amp; D1349 &amp; RIGHT("0" &amp; H1349, 2) &amp; N1349</f>
        <v>601EG02PT</v>
      </c>
      <c r="F1349" t="str">
        <f>VLOOKUP(B1349,[1]Course!$A$2:$R$329,2,FALSE)</f>
        <v>English Grammar</v>
      </c>
      <c r="G1349">
        <f>VLOOKUP(B1349, [1]Course!$A$2:$L$950, 8, FALSE)</f>
        <v>6</v>
      </c>
      <c r="H1349">
        <v>2</v>
      </c>
      <c r="J1349">
        <v>2006</v>
      </c>
      <c r="K1349" t="s">
        <v>92</v>
      </c>
      <c r="L1349">
        <v>1</v>
      </c>
      <c r="M1349" t="str">
        <f>VLOOKUP(B1349, [1]Course!$A$1:$O$933, 12, FALSE)</f>
        <v>GR</v>
      </c>
      <c r="N1349" t="s">
        <v>14</v>
      </c>
      <c r="O1349" t="str">
        <f>VLOOKUP(B1349, [1]Course!$A$1:$O$933, 14, FALSE)</f>
        <v>EG</v>
      </c>
      <c r="P1349">
        <v>1</v>
      </c>
    </row>
    <row r="1350" spans="1:17" x14ac:dyDescent="0.25">
      <c r="A1350">
        <v>1353</v>
      </c>
      <c r="B1350">
        <v>150</v>
      </c>
      <c r="C1350">
        <v>2</v>
      </c>
      <c r="D1350" t="s">
        <v>93</v>
      </c>
      <c r="E1350" t="str">
        <f t="shared" si="25"/>
        <v>602EG02PT</v>
      </c>
      <c r="F1350" t="str">
        <f>VLOOKUP(B1350,[1]Course!$A$2:$R$329,2,FALSE)</f>
        <v>English Grammar</v>
      </c>
      <c r="G1350">
        <f>VLOOKUP(B1350, [1]Course!$A$2:$L$950, 8, FALSE)</f>
        <v>6</v>
      </c>
      <c r="H1350">
        <v>2</v>
      </c>
      <c r="J1350">
        <v>2006</v>
      </c>
      <c r="K1350" t="s">
        <v>92</v>
      </c>
      <c r="L1350">
        <v>1</v>
      </c>
      <c r="M1350" t="str">
        <f>VLOOKUP(B1350, [1]Course!$A$1:$O$933, 12, FALSE)</f>
        <v>GR</v>
      </c>
      <c r="N1350" t="s">
        <v>14</v>
      </c>
      <c r="O1350" t="str">
        <f>VLOOKUP(B1350, [1]Course!$A$1:$O$933, 14, FALSE)</f>
        <v>EG</v>
      </c>
      <c r="P1350">
        <v>1</v>
      </c>
    </row>
    <row r="1351" spans="1:17" x14ac:dyDescent="0.25">
      <c r="A1351">
        <v>1354</v>
      </c>
      <c r="B1351">
        <v>150</v>
      </c>
      <c r="C1351">
        <v>3</v>
      </c>
      <c r="D1351" t="s">
        <v>93</v>
      </c>
      <c r="E1351" t="str">
        <f t="shared" si="25"/>
        <v>603EG02PT</v>
      </c>
      <c r="F1351" t="str">
        <f>VLOOKUP(B1351,[1]Course!$A$2:$R$329,2,FALSE)</f>
        <v>English Grammar</v>
      </c>
      <c r="G1351">
        <f>VLOOKUP(B1351, [1]Course!$A$2:$L$950, 8, FALSE)</f>
        <v>6</v>
      </c>
      <c r="H1351">
        <v>2</v>
      </c>
      <c r="J1351">
        <v>2006</v>
      </c>
      <c r="K1351" t="s">
        <v>92</v>
      </c>
      <c r="L1351">
        <v>1</v>
      </c>
      <c r="M1351" t="str">
        <f>VLOOKUP(B1351, [1]Course!$A$1:$O$933, 12, FALSE)</f>
        <v>GR</v>
      </c>
      <c r="N1351" t="s">
        <v>14</v>
      </c>
      <c r="O1351" t="str">
        <f>VLOOKUP(B1351, [1]Course!$A$1:$O$933, 14, FALSE)</f>
        <v>EG</v>
      </c>
      <c r="P1351">
        <v>1</v>
      </c>
    </row>
    <row r="1352" spans="1:17" x14ac:dyDescent="0.25">
      <c r="A1352">
        <v>1355</v>
      </c>
      <c r="B1352">
        <v>150</v>
      </c>
      <c r="C1352">
        <v>4</v>
      </c>
      <c r="D1352" t="s">
        <v>93</v>
      </c>
      <c r="E1352" t="str">
        <f t="shared" si="25"/>
        <v>604EG02PT</v>
      </c>
      <c r="F1352" t="str">
        <f>VLOOKUP(B1352,[1]Course!$A$2:$R$329,2,FALSE)</f>
        <v>English Grammar</v>
      </c>
      <c r="G1352">
        <f>VLOOKUP(B1352, [1]Course!$A$2:$L$950, 8, FALSE)</f>
        <v>6</v>
      </c>
      <c r="H1352">
        <v>2</v>
      </c>
      <c r="J1352">
        <v>2006</v>
      </c>
      <c r="K1352" t="s">
        <v>92</v>
      </c>
      <c r="L1352">
        <v>1</v>
      </c>
      <c r="M1352" t="str">
        <f>VLOOKUP(B1352, [1]Course!$A$1:$O$933, 12, FALSE)</f>
        <v>GR</v>
      </c>
      <c r="N1352" t="s">
        <v>14</v>
      </c>
      <c r="O1352" t="str">
        <f>VLOOKUP(B1352, [1]Course!$A$1:$O$933, 14, FALSE)</f>
        <v>EG</v>
      </c>
      <c r="P1352">
        <v>1</v>
      </c>
    </row>
    <row r="1353" spans="1:17" x14ac:dyDescent="0.25">
      <c r="A1353">
        <v>1356</v>
      </c>
      <c r="B1353">
        <v>150</v>
      </c>
      <c r="C1353">
        <v>5</v>
      </c>
      <c r="D1353" t="s">
        <v>93</v>
      </c>
      <c r="E1353" t="str">
        <f t="shared" si="25"/>
        <v>605EG02PT</v>
      </c>
      <c r="F1353" t="str">
        <f>VLOOKUP(B1353,[1]Course!$A$2:$R$329,2,FALSE)</f>
        <v>English Grammar</v>
      </c>
      <c r="G1353">
        <f>VLOOKUP(B1353, [1]Course!$A$2:$L$950, 8, FALSE)</f>
        <v>6</v>
      </c>
      <c r="H1353">
        <v>2</v>
      </c>
      <c r="J1353">
        <v>2006</v>
      </c>
      <c r="K1353" t="s">
        <v>92</v>
      </c>
      <c r="L1353">
        <v>1</v>
      </c>
      <c r="M1353" t="str">
        <f>VLOOKUP(B1353, [1]Course!$A$1:$O$933, 12, FALSE)</f>
        <v>GR</v>
      </c>
      <c r="N1353" t="s">
        <v>14</v>
      </c>
      <c r="O1353" t="str">
        <f>VLOOKUP(B1353, [1]Course!$A$1:$O$933, 14, FALSE)</f>
        <v>EG</v>
      </c>
      <c r="P1353">
        <v>1</v>
      </c>
    </row>
    <row r="1354" spans="1:17" x14ac:dyDescent="0.25">
      <c r="A1354">
        <v>1357</v>
      </c>
      <c r="B1354">
        <v>150</v>
      </c>
      <c r="C1354">
        <v>6</v>
      </c>
      <c r="D1354" t="s">
        <v>93</v>
      </c>
      <c r="E1354" t="str">
        <f t="shared" si="25"/>
        <v>606EG02PT</v>
      </c>
      <c r="F1354" t="str">
        <f>VLOOKUP(B1354,[1]Course!$A$2:$R$329,2,FALSE)</f>
        <v>English Grammar</v>
      </c>
      <c r="G1354">
        <f>VLOOKUP(B1354, [1]Course!$A$2:$L$950, 8, FALSE)</f>
        <v>6</v>
      </c>
      <c r="H1354">
        <v>2</v>
      </c>
      <c r="J1354">
        <v>2006</v>
      </c>
      <c r="K1354" t="s">
        <v>92</v>
      </c>
      <c r="L1354">
        <v>1</v>
      </c>
      <c r="M1354" t="str">
        <f>VLOOKUP(B1354, [1]Course!$A$1:$O$933, 12, FALSE)</f>
        <v>GR</v>
      </c>
      <c r="N1354" t="s">
        <v>14</v>
      </c>
      <c r="O1354" t="str">
        <f>VLOOKUP(B1354, [1]Course!$A$1:$O$933, 14, FALSE)</f>
        <v>EG</v>
      </c>
      <c r="P1354">
        <v>1</v>
      </c>
    </row>
    <row r="1355" spans="1:17" x14ac:dyDescent="0.25">
      <c r="A1355">
        <v>1358</v>
      </c>
      <c r="B1355">
        <v>129</v>
      </c>
      <c r="C1355">
        <v>6</v>
      </c>
      <c r="D1355" t="s">
        <v>76</v>
      </c>
      <c r="E1355" t="str">
        <f t="shared" si="25"/>
        <v>606IB03PT</v>
      </c>
      <c r="F1355">
        <f>VLOOKUP(B1355,[1]Course!$A$2:$R$329,2,FALSE)</f>
        <v>0</v>
      </c>
      <c r="G1355">
        <f>VLOOKUP(B1355, [1]Course!$A$2:$L$950, 8, FALSE)</f>
        <v>6</v>
      </c>
      <c r="H1355">
        <v>3</v>
      </c>
      <c r="I1355">
        <v>1</v>
      </c>
      <c r="M1355" t="str">
        <f>VLOOKUP(B1355, [1]Course!$A$1:$O$933, 12, FALSE)</f>
        <v>SC</v>
      </c>
      <c r="N1355" t="s">
        <v>14</v>
      </c>
      <c r="O1355" t="str">
        <f>VLOOKUP(B1355, [1]Course!$A$1:$O$933, 14, FALSE)</f>
        <v>IB</v>
      </c>
      <c r="P1355">
        <v>1</v>
      </c>
      <c r="Q1355" t="s">
        <v>96</v>
      </c>
    </row>
    <row r="1356" spans="1:17" x14ac:dyDescent="0.25">
      <c r="A1356">
        <v>1359</v>
      </c>
      <c r="B1356">
        <v>129</v>
      </c>
      <c r="C1356">
        <v>6</v>
      </c>
      <c r="D1356" t="s">
        <v>76</v>
      </c>
      <c r="E1356" t="str">
        <f t="shared" ref="E1356:E1360" si="26">UPPER(LEFT(G1356,2)) &amp; RIGHT("0" &amp; C1356, 2) &amp; D1356 &amp; RIGHT("0" &amp; H1356, 2) &amp; N1356</f>
        <v>606IB03PT</v>
      </c>
      <c r="F1356">
        <f>VLOOKUP(B1356,[1]Course!$A$2:$R$329,2,FALSE)</f>
        <v>0</v>
      </c>
      <c r="G1356">
        <f>VLOOKUP(B1356, [1]Course!$A$2:$L$950, 8, FALSE)</f>
        <v>6</v>
      </c>
      <c r="H1356">
        <v>3</v>
      </c>
      <c r="I1356">
        <v>1</v>
      </c>
      <c r="J1356">
        <v>2020</v>
      </c>
      <c r="K1356" t="s">
        <v>92</v>
      </c>
      <c r="L1356">
        <v>1</v>
      </c>
      <c r="M1356" t="str">
        <f>VLOOKUP(B1356, [1]Course!$A$1:$O$933, 12, FALSE)</f>
        <v>SC</v>
      </c>
      <c r="N1356" t="s">
        <v>14</v>
      </c>
      <c r="O1356" t="str">
        <f>VLOOKUP(B1356, [1]Course!$A$1:$O$933, 14, FALSE)</f>
        <v>IB</v>
      </c>
      <c r="P1356">
        <v>1</v>
      </c>
      <c r="Q1356" t="s">
        <v>96</v>
      </c>
    </row>
    <row r="1357" spans="1:17" x14ac:dyDescent="0.25">
      <c r="A1357">
        <v>1360</v>
      </c>
      <c r="B1357">
        <v>129</v>
      </c>
      <c r="C1357">
        <v>6</v>
      </c>
      <c r="D1357" t="s">
        <v>76</v>
      </c>
      <c r="E1357" t="str">
        <f t="shared" si="26"/>
        <v>606IB03PT</v>
      </c>
      <c r="F1357">
        <f>VLOOKUP(B1357,[1]Course!$A$2:$R$329,2,FALSE)</f>
        <v>0</v>
      </c>
      <c r="G1357">
        <f>VLOOKUP(B1357, [1]Course!$A$2:$L$950, 8, FALSE)</f>
        <v>6</v>
      </c>
      <c r="H1357">
        <v>3</v>
      </c>
      <c r="I1357">
        <v>1</v>
      </c>
      <c r="J1357">
        <v>2020</v>
      </c>
      <c r="K1357" t="s">
        <v>92</v>
      </c>
      <c r="L1357">
        <v>1</v>
      </c>
      <c r="M1357" t="str">
        <f>VLOOKUP(B1357, [1]Course!$A$1:$O$933, 12, FALSE)</f>
        <v>SC</v>
      </c>
      <c r="N1357" t="s">
        <v>14</v>
      </c>
      <c r="O1357" t="str">
        <f>VLOOKUP(B1357, [1]Course!$A$1:$O$933, 14, FALSE)</f>
        <v>IB</v>
      </c>
      <c r="P1357">
        <v>1</v>
      </c>
      <c r="Q1357" t="s">
        <v>96</v>
      </c>
    </row>
    <row r="1358" spans="1:17" x14ac:dyDescent="0.25">
      <c r="A1358">
        <v>1361</v>
      </c>
      <c r="B1358">
        <v>129</v>
      </c>
      <c r="C1358">
        <v>6</v>
      </c>
      <c r="D1358" t="s">
        <v>76</v>
      </c>
      <c r="E1358" t="str">
        <f t="shared" si="26"/>
        <v>606IB03PT</v>
      </c>
      <c r="F1358">
        <f>VLOOKUP(B1358,[1]Course!$A$2:$R$329,2,FALSE)</f>
        <v>0</v>
      </c>
      <c r="G1358">
        <f>VLOOKUP(B1358, [1]Course!$A$2:$L$950, 8, FALSE)</f>
        <v>6</v>
      </c>
      <c r="H1358">
        <v>3</v>
      </c>
      <c r="I1358">
        <v>1</v>
      </c>
      <c r="J1358">
        <v>2020</v>
      </c>
      <c r="K1358" t="s">
        <v>92</v>
      </c>
      <c r="L1358">
        <v>1</v>
      </c>
      <c r="M1358" t="str">
        <f>VLOOKUP(B1358, [1]Course!$A$1:$O$933, 12, FALSE)</f>
        <v>SC</v>
      </c>
      <c r="N1358" t="s">
        <v>14</v>
      </c>
      <c r="O1358" t="str">
        <f>VLOOKUP(B1358, [1]Course!$A$1:$O$933, 14, FALSE)</f>
        <v>IB</v>
      </c>
      <c r="P1358">
        <v>1</v>
      </c>
      <c r="Q1358" t="s">
        <v>96</v>
      </c>
    </row>
    <row r="1359" spans="1:17" x14ac:dyDescent="0.25">
      <c r="A1359">
        <v>1362</v>
      </c>
      <c r="B1359">
        <v>129</v>
      </c>
      <c r="C1359">
        <v>6</v>
      </c>
      <c r="D1359" t="s">
        <v>76</v>
      </c>
      <c r="E1359" t="str">
        <f t="shared" si="26"/>
        <v>606IB03PT</v>
      </c>
      <c r="F1359">
        <f>VLOOKUP(B1359,[1]Course!$A$2:$R$329,2,FALSE)</f>
        <v>0</v>
      </c>
      <c r="G1359">
        <f>VLOOKUP(B1359, [1]Course!$A$2:$L$950, 8, FALSE)</f>
        <v>6</v>
      </c>
      <c r="H1359">
        <v>3</v>
      </c>
      <c r="I1359">
        <v>1</v>
      </c>
      <c r="J1359">
        <v>2020</v>
      </c>
      <c r="K1359" t="s">
        <v>92</v>
      </c>
      <c r="L1359">
        <v>1</v>
      </c>
      <c r="M1359" t="str">
        <f>VLOOKUP(B1359, [1]Course!$A$1:$O$933, 12, FALSE)</f>
        <v>SC</v>
      </c>
      <c r="N1359" t="s">
        <v>14</v>
      </c>
      <c r="O1359" t="str">
        <f>VLOOKUP(B1359, [1]Course!$A$1:$O$933, 14, FALSE)</f>
        <v>IB</v>
      </c>
      <c r="P1359">
        <v>1</v>
      </c>
      <c r="Q1359" t="s">
        <v>96</v>
      </c>
    </row>
    <row r="1360" spans="1:17" x14ac:dyDescent="0.25">
      <c r="A1360">
        <v>1363</v>
      </c>
      <c r="B1360">
        <v>129</v>
      </c>
      <c r="C1360">
        <v>6</v>
      </c>
      <c r="D1360" t="s">
        <v>76</v>
      </c>
      <c r="E1360" t="str">
        <f t="shared" si="26"/>
        <v>606IB03PT</v>
      </c>
      <c r="F1360">
        <f>VLOOKUP(B1360,[1]Course!$A$2:$R$329,2,FALSE)</f>
        <v>0</v>
      </c>
      <c r="G1360">
        <f>VLOOKUP(B1360, [1]Course!$A$2:$L$950, 8, FALSE)</f>
        <v>6</v>
      </c>
      <c r="H1360">
        <v>3</v>
      </c>
      <c r="I1360">
        <v>1</v>
      </c>
      <c r="J1360">
        <v>2020</v>
      </c>
      <c r="K1360" t="s">
        <v>92</v>
      </c>
      <c r="L1360">
        <v>1</v>
      </c>
      <c r="M1360" t="str">
        <f>VLOOKUP(B1360, [1]Course!$A$1:$O$933, 12, FALSE)</f>
        <v>SC</v>
      </c>
      <c r="N1360" t="s">
        <v>14</v>
      </c>
      <c r="O1360" t="str">
        <f>VLOOKUP(B1360, [1]Course!$A$1:$O$933, 14, FALSE)</f>
        <v>IB</v>
      </c>
      <c r="P1360">
        <v>1</v>
      </c>
      <c r="Q1360" t="s">
        <v>96</v>
      </c>
    </row>
    <row r="1361" spans="1:17" x14ac:dyDescent="0.25">
      <c r="A1361">
        <v>1364</v>
      </c>
      <c r="B1361">
        <v>163</v>
      </c>
      <c r="C1361">
        <v>1</v>
      </c>
      <c r="D1361" t="s">
        <v>98</v>
      </c>
      <c r="E1361" t="str">
        <f t="shared" ref="E1361:E1371" si="27">UPPER(LEFT(G1361,2)) &amp; RIGHT("0" &amp; C1361, 2) &amp; D1361 &amp; RIGHT("0" &amp; H1361, 2) &amp; N1361</f>
        <v>1001COTS03PT</v>
      </c>
      <c r="F1361" t="str">
        <f>VLOOKUP(B1361,[1]Course!$A$2:$R$329,2,FALSE)</f>
        <v>College Basic Old Testament Survey</v>
      </c>
      <c r="G1361">
        <f>VLOOKUP(B1361, [1]Course!$A$2:$L$950, 8, FALSE)</f>
        <v>10</v>
      </c>
      <c r="H1361">
        <v>3</v>
      </c>
      <c r="I1361">
        <v>1</v>
      </c>
      <c r="J1361">
        <v>1976</v>
      </c>
      <c r="K1361" t="s">
        <v>92</v>
      </c>
      <c r="L1361">
        <v>1</v>
      </c>
      <c r="M1361" t="str">
        <f>VLOOKUP(B1361, [1]Course!$A$1:$O$933, 12, FALSE)</f>
        <v>BS</v>
      </c>
      <c r="N1361" t="s">
        <v>14</v>
      </c>
      <c r="O1361" t="str">
        <f>VLOOKUP(B1361, [1]Course!$A$1:$O$933, 14, FALSE)</f>
        <v>COTS</v>
      </c>
      <c r="P1361">
        <v>1</v>
      </c>
    </row>
    <row r="1362" spans="1:17" x14ac:dyDescent="0.25">
      <c r="A1362">
        <v>1365</v>
      </c>
      <c r="B1362">
        <v>163</v>
      </c>
      <c r="C1362">
        <v>2</v>
      </c>
      <c r="D1362" t="s">
        <v>98</v>
      </c>
      <c r="E1362" t="str">
        <f t="shared" si="27"/>
        <v>1002COTS03PT</v>
      </c>
      <c r="F1362" t="str">
        <f>VLOOKUP(B1362,[1]Course!$A$2:$R$329,2,FALSE)</f>
        <v>College Basic Old Testament Survey</v>
      </c>
      <c r="G1362">
        <f>VLOOKUP(B1362, [1]Course!$A$2:$L$950, 8, FALSE)</f>
        <v>10</v>
      </c>
      <c r="H1362">
        <v>3</v>
      </c>
      <c r="I1362">
        <v>1</v>
      </c>
      <c r="J1362">
        <v>1976</v>
      </c>
      <c r="K1362" t="s">
        <v>92</v>
      </c>
      <c r="L1362">
        <v>1</v>
      </c>
      <c r="M1362" t="str">
        <f>VLOOKUP(B1362, [1]Course!$A$1:$O$933, 12, FALSE)</f>
        <v>BS</v>
      </c>
      <c r="N1362" t="s">
        <v>14</v>
      </c>
      <c r="O1362" t="str">
        <f>VLOOKUP(B1362, [1]Course!$A$1:$O$933, 14, FALSE)</f>
        <v>COTS</v>
      </c>
      <c r="P1362">
        <v>1</v>
      </c>
    </row>
    <row r="1363" spans="1:17" x14ac:dyDescent="0.25">
      <c r="A1363">
        <v>1366</v>
      </c>
      <c r="B1363">
        <v>163</v>
      </c>
      <c r="C1363">
        <v>3</v>
      </c>
      <c r="D1363" t="s">
        <v>98</v>
      </c>
      <c r="E1363" t="str">
        <f t="shared" si="27"/>
        <v>1003COTS03PT</v>
      </c>
      <c r="F1363" t="str">
        <f>VLOOKUP(B1363,[1]Course!$A$2:$R$329,2,FALSE)</f>
        <v>College Basic Old Testament Survey</v>
      </c>
      <c r="G1363">
        <f>VLOOKUP(B1363, [1]Course!$A$2:$L$950, 8, FALSE)</f>
        <v>10</v>
      </c>
      <c r="H1363">
        <v>3</v>
      </c>
      <c r="I1363">
        <v>1</v>
      </c>
      <c r="J1363">
        <v>1976</v>
      </c>
      <c r="K1363" t="s">
        <v>92</v>
      </c>
      <c r="L1363">
        <v>1</v>
      </c>
      <c r="M1363" t="str">
        <f>VLOOKUP(B1363, [1]Course!$A$1:$O$933, 12, FALSE)</f>
        <v>BS</v>
      </c>
      <c r="N1363" t="s">
        <v>14</v>
      </c>
      <c r="O1363" t="str">
        <f>VLOOKUP(B1363, [1]Course!$A$1:$O$933, 14, FALSE)</f>
        <v>COTS</v>
      </c>
      <c r="P1363">
        <v>1</v>
      </c>
    </row>
    <row r="1364" spans="1:17" x14ac:dyDescent="0.25">
      <c r="A1364">
        <v>1367</v>
      </c>
      <c r="B1364">
        <v>163</v>
      </c>
      <c r="C1364">
        <v>4</v>
      </c>
      <c r="D1364" t="s">
        <v>98</v>
      </c>
      <c r="E1364" t="str">
        <f t="shared" si="27"/>
        <v>1004COTS03PT</v>
      </c>
      <c r="F1364" t="str">
        <f>VLOOKUP(B1364,[1]Course!$A$2:$R$329,2,FALSE)</f>
        <v>College Basic Old Testament Survey</v>
      </c>
      <c r="G1364">
        <f>VLOOKUP(B1364, [1]Course!$A$2:$L$950, 8, FALSE)</f>
        <v>10</v>
      </c>
      <c r="H1364">
        <v>3</v>
      </c>
      <c r="I1364">
        <v>1</v>
      </c>
      <c r="J1364">
        <v>1976</v>
      </c>
      <c r="K1364" t="s">
        <v>92</v>
      </c>
      <c r="L1364">
        <v>1</v>
      </c>
      <c r="M1364" t="str">
        <f>VLOOKUP(B1364, [1]Course!$A$1:$O$933, 12, FALSE)</f>
        <v>BS</v>
      </c>
      <c r="N1364" t="s">
        <v>14</v>
      </c>
      <c r="O1364" t="str">
        <f>VLOOKUP(B1364, [1]Course!$A$1:$O$933, 14, FALSE)</f>
        <v>COTS</v>
      </c>
      <c r="P1364">
        <v>1</v>
      </c>
    </row>
    <row r="1365" spans="1:17" x14ac:dyDescent="0.25">
      <c r="A1365">
        <v>1368</v>
      </c>
      <c r="B1365">
        <v>163</v>
      </c>
      <c r="C1365">
        <v>5</v>
      </c>
      <c r="D1365" t="s">
        <v>98</v>
      </c>
      <c r="E1365" t="str">
        <f t="shared" si="27"/>
        <v>1005COTS03PT</v>
      </c>
      <c r="F1365" t="str">
        <f>VLOOKUP(B1365,[1]Course!$A$2:$R$329,2,FALSE)</f>
        <v>College Basic Old Testament Survey</v>
      </c>
      <c r="G1365">
        <f>VLOOKUP(B1365, [1]Course!$A$2:$L$950, 8, FALSE)</f>
        <v>10</v>
      </c>
      <c r="H1365">
        <v>3</v>
      </c>
      <c r="I1365">
        <v>1</v>
      </c>
      <c r="J1365">
        <v>1976</v>
      </c>
      <c r="K1365" t="s">
        <v>92</v>
      </c>
      <c r="L1365">
        <v>1</v>
      </c>
      <c r="M1365" t="str">
        <f>VLOOKUP(B1365, [1]Course!$A$1:$O$933, 12, FALSE)</f>
        <v>BS</v>
      </c>
      <c r="N1365" t="s">
        <v>14</v>
      </c>
      <c r="O1365" t="str">
        <f>VLOOKUP(B1365, [1]Course!$A$1:$O$933, 14, FALSE)</f>
        <v>COTS</v>
      </c>
      <c r="P1365">
        <v>2</v>
      </c>
    </row>
    <row r="1366" spans="1:17" x14ac:dyDescent="0.25">
      <c r="A1366">
        <v>1369</v>
      </c>
      <c r="B1366">
        <v>163</v>
      </c>
      <c r="C1366">
        <v>6</v>
      </c>
      <c r="D1366" t="s">
        <v>98</v>
      </c>
      <c r="E1366" t="str">
        <f t="shared" si="27"/>
        <v>1006COTS03PT</v>
      </c>
      <c r="F1366" t="str">
        <f>VLOOKUP(B1366,[1]Course!$A$2:$R$329,2,FALSE)</f>
        <v>College Basic Old Testament Survey</v>
      </c>
      <c r="G1366">
        <f>VLOOKUP(B1366, [1]Course!$A$2:$L$950, 8, FALSE)</f>
        <v>10</v>
      </c>
      <c r="H1366">
        <v>3</v>
      </c>
      <c r="I1366">
        <v>1</v>
      </c>
      <c r="J1366">
        <v>1976</v>
      </c>
      <c r="K1366">
        <v>1997</v>
      </c>
      <c r="L1366">
        <v>1</v>
      </c>
      <c r="M1366" t="str">
        <f>VLOOKUP(B1366, [1]Course!$A$1:$O$933, 12, FALSE)</f>
        <v>BS</v>
      </c>
      <c r="N1366" t="s">
        <v>14</v>
      </c>
      <c r="O1366" t="str">
        <f>VLOOKUP(B1366, [1]Course!$A$1:$O$933, 14, FALSE)</f>
        <v>COTS</v>
      </c>
      <c r="P1366">
        <v>1</v>
      </c>
    </row>
    <row r="1367" spans="1:17" x14ac:dyDescent="0.25">
      <c r="A1367">
        <v>1370</v>
      </c>
      <c r="B1367">
        <v>163</v>
      </c>
      <c r="C1367">
        <v>7</v>
      </c>
      <c r="D1367" t="s">
        <v>98</v>
      </c>
      <c r="E1367" t="str">
        <f t="shared" si="27"/>
        <v>1007COTS03PT</v>
      </c>
      <c r="F1367" t="str">
        <f>VLOOKUP(B1367,[1]Course!$A$2:$R$329,2,FALSE)</f>
        <v>College Basic Old Testament Survey</v>
      </c>
      <c r="G1367">
        <f>VLOOKUP(B1367, [1]Course!$A$2:$L$950, 8, FALSE)</f>
        <v>10</v>
      </c>
      <c r="H1367">
        <v>3</v>
      </c>
      <c r="I1367">
        <v>1</v>
      </c>
      <c r="J1367">
        <v>1976</v>
      </c>
      <c r="K1367">
        <v>1996</v>
      </c>
      <c r="L1367">
        <v>1</v>
      </c>
      <c r="M1367" t="str">
        <f>VLOOKUP(B1367, [1]Course!$A$1:$O$933, 12, FALSE)</f>
        <v>BS</v>
      </c>
      <c r="N1367" t="s">
        <v>14</v>
      </c>
      <c r="O1367" t="str">
        <f>VLOOKUP(B1367, [1]Course!$A$1:$O$933, 14, FALSE)</f>
        <v>COTS</v>
      </c>
      <c r="P1367">
        <v>1</v>
      </c>
    </row>
    <row r="1368" spans="1:17" x14ac:dyDescent="0.25">
      <c r="A1368">
        <v>1371</v>
      </c>
      <c r="B1368">
        <v>163</v>
      </c>
      <c r="C1368">
        <v>8</v>
      </c>
      <c r="D1368" t="s">
        <v>98</v>
      </c>
      <c r="E1368" t="str">
        <f t="shared" si="27"/>
        <v>1008COTS03PT</v>
      </c>
      <c r="F1368" t="str">
        <f>VLOOKUP(B1368,[1]Course!$A$2:$R$329,2,FALSE)</f>
        <v>College Basic Old Testament Survey</v>
      </c>
      <c r="G1368">
        <f>VLOOKUP(B1368, [1]Course!$A$2:$L$950, 8, FALSE)</f>
        <v>10</v>
      </c>
      <c r="H1368">
        <v>3</v>
      </c>
      <c r="I1368">
        <v>1</v>
      </c>
      <c r="J1368">
        <v>1976</v>
      </c>
      <c r="K1368" t="s">
        <v>92</v>
      </c>
      <c r="L1368">
        <v>1</v>
      </c>
      <c r="M1368" t="str">
        <f>VLOOKUP(B1368, [1]Course!$A$1:$O$933, 12, FALSE)</f>
        <v>BS</v>
      </c>
      <c r="N1368" t="s">
        <v>14</v>
      </c>
      <c r="O1368" t="str">
        <f>VLOOKUP(B1368, [1]Course!$A$1:$O$933, 14, FALSE)</f>
        <v>COTS</v>
      </c>
      <c r="P1368">
        <v>1</v>
      </c>
    </row>
    <row r="1369" spans="1:17" x14ac:dyDescent="0.25">
      <c r="A1369">
        <v>1372</v>
      </c>
      <c r="B1369">
        <v>163</v>
      </c>
      <c r="C1369">
        <v>9</v>
      </c>
      <c r="D1369" t="s">
        <v>98</v>
      </c>
      <c r="E1369" t="str">
        <f t="shared" si="27"/>
        <v>1009COTS03PT</v>
      </c>
      <c r="F1369" t="str">
        <f>VLOOKUP(B1369,[1]Course!$A$2:$R$329,2,FALSE)</f>
        <v>College Basic Old Testament Survey</v>
      </c>
      <c r="G1369">
        <f>VLOOKUP(B1369, [1]Course!$A$2:$L$950, 8, FALSE)</f>
        <v>10</v>
      </c>
      <c r="H1369">
        <v>3</v>
      </c>
      <c r="I1369">
        <v>1</v>
      </c>
      <c r="J1369">
        <v>1977</v>
      </c>
      <c r="K1369">
        <v>2000</v>
      </c>
      <c r="L1369">
        <v>1</v>
      </c>
      <c r="M1369" t="str">
        <f>VLOOKUP(B1369, [1]Course!$A$1:$O$933, 12, FALSE)</f>
        <v>BS</v>
      </c>
      <c r="N1369" t="s">
        <v>14</v>
      </c>
      <c r="O1369" t="str">
        <f>VLOOKUP(B1369, [1]Course!$A$1:$O$933, 14, FALSE)</f>
        <v>COTS</v>
      </c>
      <c r="P1369">
        <v>1</v>
      </c>
    </row>
    <row r="1370" spans="1:17" x14ac:dyDescent="0.25">
      <c r="A1370">
        <v>1373</v>
      </c>
      <c r="B1370">
        <v>163</v>
      </c>
      <c r="C1370">
        <v>10</v>
      </c>
      <c r="D1370" t="s">
        <v>98</v>
      </c>
      <c r="E1370" t="str">
        <f t="shared" si="27"/>
        <v>1010COTS03PT</v>
      </c>
      <c r="F1370" t="str">
        <f>VLOOKUP(B1370,[1]Course!$A$2:$R$329,2,FALSE)</f>
        <v>College Basic Old Testament Survey</v>
      </c>
      <c r="G1370">
        <f>VLOOKUP(B1370, [1]Course!$A$2:$L$950, 8, FALSE)</f>
        <v>10</v>
      </c>
      <c r="H1370">
        <v>3</v>
      </c>
      <c r="I1370">
        <v>1</v>
      </c>
      <c r="J1370">
        <v>1976</v>
      </c>
      <c r="K1370" t="s">
        <v>92</v>
      </c>
      <c r="L1370">
        <v>1</v>
      </c>
      <c r="M1370" t="str">
        <f>VLOOKUP(B1370, [1]Course!$A$1:$O$933, 12, FALSE)</f>
        <v>BS</v>
      </c>
      <c r="N1370" t="s">
        <v>14</v>
      </c>
      <c r="O1370" t="str">
        <f>VLOOKUP(B1370, [1]Course!$A$1:$O$933, 14, FALSE)</f>
        <v>COTS</v>
      </c>
      <c r="P1370">
        <v>2</v>
      </c>
    </row>
    <row r="1371" spans="1:17" x14ac:dyDescent="0.25">
      <c r="A1371">
        <v>1374</v>
      </c>
      <c r="B1371">
        <v>92</v>
      </c>
      <c r="C1371" s="5" t="s">
        <v>100</v>
      </c>
      <c r="D1371" s="5" t="s">
        <v>46</v>
      </c>
      <c r="E1371" s="5" t="str">
        <f t="shared" si="27"/>
        <v>70aAP00PT</v>
      </c>
      <c r="F1371" t="s">
        <v>47</v>
      </c>
      <c r="G1371">
        <v>7</v>
      </c>
      <c r="H1371">
        <v>0</v>
      </c>
      <c r="I1371">
        <v>1</v>
      </c>
      <c r="J1371">
        <v>2019</v>
      </c>
      <c r="K1371">
        <v>2012</v>
      </c>
      <c r="L1371">
        <v>1</v>
      </c>
      <c r="M1371" t="str">
        <f>VLOOKUP(B1371, [1]Course!$A$1:$O$933, 12, FALSE)</f>
        <v>BS</v>
      </c>
      <c r="N1371" t="s">
        <v>14</v>
      </c>
      <c r="O1371" t="str">
        <f>VLOOKUP(B1371, [1]Course!$A$1:$O$933, 14, FALSE)</f>
        <v>AP</v>
      </c>
      <c r="P1371">
        <v>2</v>
      </c>
      <c r="Q1371" s="6" t="s">
        <v>101</v>
      </c>
    </row>
  </sheetData>
  <autoFilter ref="A1:Q1371"/>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PACE</vt:lpstr>
    </vt:vector>
  </TitlesOfParts>
  <Company>ICS De Ceder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Staff</cp:lastModifiedBy>
  <dcterms:created xsi:type="dcterms:W3CDTF">2024-07-12T09:00:30Z</dcterms:created>
  <dcterms:modified xsi:type="dcterms:W3CDTF">2024-07-19T13:19:22Z</dcterms:modified>
</cp:coreProperties>
</file>