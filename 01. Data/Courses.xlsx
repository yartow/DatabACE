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taff\Downloads\"/>
    </mc:Choice>
  </mc:AlternateContent>
  <bookViews>
    <workbookView xWindow="0" yWindow="0" windowWidth="25200" windowHeight="11250"/>
  </bookViews>
  <sheets>
    <sheet name="Course" sheetId="1" r:id="rId1"/>
  </sheets>
  <definedNames>
    <definedName name="_xlnm._FilterDatabase" localSheetId="0" hidden="1">Course!$A$1:$M$164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2" i="1" l="1"/>
  <c r="K161" i="1"/>
  <c r="K160" i="1"/>
  <c r="K147" i="1"/>
  <c r="K146" i="1"/>
  <c r="K145" i="1"/>
  <c r="K144" i="1"/>
  <c r="K143" i="1"/>
  <c r="K142" i="1"/>
  <c r="K141" i="1"/>
  <c r="K140" i="1"/>
  <c r="K139" i="1"/>
  <c r="K138" i="1"/>
  <c r="K137" i="1"/>
  <c r="K136" i="1"/>
  <c r="K135" i="1"/>
  <c r="K134" i="1"/>
  <c r="K133" i="1"/>
  <c r="K132" i="1"/>
  <c r="K131" i="1"/>
  <c r="K130" i="1"/>
  <c r="K128" i="1"/>
  <c r="K127" i="1"/>
  <c r="K126" i="1"/>
  <c r="K125" i="1"/>
  <c r="K124" i="1"/>
  <c r="K117" i="1"/>
  <c r="K116" i="1"/>
  <c r="K115" i="1"/>
  <c r="K114" i="1"/>
  <c r="K113" i="1"/>
  <c r="K112" i="1"/>
  <c r="K111" i="1"/>
  <c r="K110" i="1"/>
  <c r="K109" i="1"/>
  <c r="K108" i="1"/>
  <c r="K107" i="1"/>
  <c r="K105" i="1"/>
  <c r="K104" i="1"/>
  <c r="K103" i="1"/>
  <c r="K102" i="1"/>
  <c r="K101" i="1"/>
  <c r="K100" i="1"/>
  <c r="K99" i="1"/>
  <c r="K98" i="1"/>
  <c r="K97" i="1"/>
  <c r="K96" i="1"/>
  <c r="K95" i="1"/>
  <c r="K94" i="1"/>
  <c r="K93" i="1"/>
  <c r="K90" i="1"/>
  <c r="K89" i="1"/>
  <c r="K88" i="1"/>
  <c r="K87" i="1"/>
  <c r="K86" i="1"/>
  <c r="K85" i="1"/>
  <c r="K84" i="1"/>
  <c r="K83" i="1"/>
  <c r="K82" i="1"/>
  <c r="K80" i="1"/>
  <c r="K79" i="1"/>
  <c r="K78" i="1"/>
  <c r="K77" i="1"/>
  <c r="K75" i="1"/>
  <c r="K74" i="1"/>
  <c r="K73" i="1"/>
  <c r="K72" i="1"/>
  <c r="K71" i="1"/>
  <c r="K70" i="1"/>
  <c r="K68" i="1"/>
  <c r="K67" i="1"/>
  <c r="K66" i="1"/>
  <c r="K65" i="1"/>
  <c r="K64" i="1"/>
  <c r="K63" i="1"/>
  <c r="K62" i="1"/>
  <c r="K61"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M5" i="1"/>
</calcChain>
</file>

<file path=xl/comments1.xml><?xml version="1.0" encoding="utf-8"?>
<comments xmlns="http://schemas.openxmlformats.org/spreadsheetml/2006/main">
  <authors>
    <author>Staff</author>
    <author>tc={0B94A7E3-CDA6-B34A-8FCA-BFD2C152943C}</author>
  </authors>
  <commentList>
    <comment ref="H1" authorId="0" shapeId="0">
      <text>
        <r>
          <rPr>
            <b/>
            <sz val="9"/>
            <color indexed="81"/>
            <rFont val="Tahoma"/>
            <family val="2"/>
          </rPr>
          <t>Staff:</t>
        </r>
        <r>
          <rPr>
            <sz val="9"/>
            <color indexed="81"/>
            <rFont val="Tahoma"/>
            <family val="2"/>
          </rPr>
          <t xml:space="preserve">
Still to make Ids of this
</t>
        </r>
      </text>
    </comment>
    <comment ref="L69" authorId="1" shapeId="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For students with dyslexia the threshold is 0.8.</t>
        </r>
      </text>
    </comment>
    <comment ref="E103" authorId="0" shapeId="0">
      <text>
        <r>
          <rPr>
            <b/>
            <sz val="9"/>
            <color indexed="81"/>
            <rFont val="Tahoma"/>
            <family val="2"/>
          </rPr>
          <t>Staff:</t>
        </r>
        <r>
          <rPr>
            <sz val="9"/>
            <color indexed="81"/>
            <rFont val="Tahoma"/>
            <family val="2"/>
          </rPr>
          <t xml:space="preserve">
level 11?</t>
        </r>
      </text>
    </comment>
  </commentList>
</comments>
</file>

<file path=xl/sharedStrings.xml><?xml version="1.0" encoding="utf-8"?>
<sst xmlns="http://schemas.openxmlformats.org/spreadsheetml/2006/main" count="631" uniqueCount="348">
  <si>
    <t>ID</t>
  </si>
  <si>
    <t>Name</t>
  </si>
  <si>
    <t>Alias</t>
  </si>
  <si>
    <t>ICCE-Alias</t>
  </si>
  <si>
    <t>Level</t>
  </si>
  <si>
    <t>SubjectID</t>
  </si>
  <si>
    <t>Remarks</t>
  </si>
  <si>
    <t>Specification</t>
  </si>
  <si>
    <t>SubjectGroupID</t>
  </si>
  <si>
    <t>CourseType</t>
  </si>
  <si>
    <t>Course</t>
  </si>
  <si>
    <t>PassThreshold</t>
  </si>
  <si>
    <t>Status</t>
  </si>
  <si>
    <t>Maths Reading Readiness</t>
  </si>
  <si>
    <t>RR</t>
  </si>
  <si>
    <t>Core</t>
  </si>
  <si>
    <t>Maths Level 1</t>
  </si>
  <si>
    <t>MA</t>
  </si>
  <si>
    <t>English Level 1</t>
  </si>
  <si>
    <t>EN</t>
  </si>
  <si>
    <t>Word Building Level 1</t>
  </si>
  <si>
    <t>WB</t>
  </si>
  <si>
    <t>Literature and Creative Writing Level 1</t>
  </si>
  <si>
    <t>LC</t>
  </si>
  <si>
    <t>Science 1</t>
  </si>
  <si>
    <t>Science Level 1</t>
  </si>
  <si>
    <t>SC</t>
  </si>
  <si>
    <t>Social Studies Level 1</t>
  </si>
  <si>
    <t>SS</t>
  </si>
  <si>
    <t>Bible Reading Level 1</t>
  </si>
  <si>
    <t>BR</t>
  </si>
  <si>
    <t>Maths Level 2</t>
  </si>
  <si>
    <t>English Level 2</t>
  </si>
  <si>
    <t>Word Building Level 2</t>
  </si>
  <si>
    <t>Literature and Creative Writing Level 2</t>
  </si>
  <si>
    <t>Science 2</t>
  </si>
  <si>
    <t>Science Level 2</t>
  </si>
  <si>
    <t>Social Studies Level 2</t>
  </si>
  <si>
    <t>Bible Reading Level 2</t>
  </si>
  <si>
    <t>Maths Level 3</t>
  </si>
  <si>
    <t>English Level 3</t>
  </si>
  <si>
    <t>Word Building Level 3</t>
  </si>
  <si>
    <t>Literature and Creative Writing Level 3</t>
  </si>
  <si>
    <t>Science 3</t>
  </si>
  <si>
    <t>Science Level 3</t>
  </si>
  <si>
    <t>Social Studies Level 3</t>
  </si>
  <si>
    <t>Bible Reading Level 3</t>
  </si>
  <si>
    <t>Maths Level 4</t>
  </si>
  <si>
    <t>English Level 4</t>
  </si>
  <si>
    <t>Word Building Level 4</t>
  </si>
  <si>
    <t>Literature and Creative Writing Level 4</t>
  </si>
  <si>
    <t>Science 4</t>
  </si>
  <si>
    <t>Science Level 4</t>
  </si>
  <si>
    <t>Social Studies Level 4</t>
  </si>
  <si>
    <t>Bible Reading Level 4</t>
  </si>
  <si>
    <t>Maths Level 5</t>
  </si>
  <si>
    <t>English Level 5</t>
  </si>
  <si>
    <t>Word Building Level 5</t>
  </si>
  <si>
    <t>Literature and Creative Writing Level 5</t>
  </si>
  <si>
    <t>Science 5</t>
  </si>
  <si>
    <t>Science Level 5</t>
  </si>
  <si>
    <t>Social Studies Level 5</t>
  </si>
  <si>
    <t>Bible Reading Level 5</t>
  </si>
  <si>
    <t>Maths Level 6</t>
  </si>
  <si>
    <t>English Level 6</t>
  </si>
  <si>
    <t>Word Building Level 6</t>
  </si>
  <si>
    <t>Literature and Creative Writing Level 6</t>
  </si>
  <si>
    <t>Science 6</t>
  </si>
  <si>
    <t>Science Level 6</t>
  </si>
  <si>
    <t>Social Studies Level 6</t>
  </si>
  <si>
    <t>Bible Reading Level 6</t>
  </si>
  <si>
    <t>Maths Level 7</t>
  </si>
  <si>
    <t>English Level 7</t>
  </si>
  <si>
    <t>Beginning Art</t>
  </si>
  <si>
    <t>BA</t>
  </si>
  <si>
    <t>Word Building Level 7</t>
  </si>
  <si>
    <t>Literature Level 7</t>
  </si>
  <si>
    <t>Alleen even getallen hebben PACE beschikbaar</t>
  </si>
  <si>
    <t>Science 7</t>
  </si>
  <si>
    <t>Science Level 7</t>
  </si>
  <si>
    <t>Social Studies Level 7</t>
  </si>
  <si>
    <t>Deze zes PACEs gaan over "Career" en de volgende zes (79-84) over "American Constitution", maar die worden niet gedaan in Nederland. In plaats daarvan worden drie PACEs "Staatsinrichting" gedaan.</t>
  </si>
  <si>
    <t>Staatsinrichting</t>
  </si>
  <si>
    <t xml:space="preserve">Bij bestellen rekening houden dat dit 1 boek is. </t>
  </si>
  <si>
    <t>SI</t>
  </si>
  <si>
    <t>Bible Reading Level 7</t>
  </si>
  <si>
    <t xml:space="preserve">Dit bestaat nog niet. Misschien komt er later nog materiaal beschikbaar voor dit niveau. </t>
  </si>
  <si>
    <t>General Maths</t>
  </si>
  <si>
    <t>GM</t>
  </si>
  <si>
    <t>General English</t>
  </si>
  <si>
    <t>Word Building Level 8</t>
  </si>
  <si>
    <t>Literature Level 8</t>
  </si>
  <si>
    <t>Science 8</t>
  </si>
  <si>
    <t>Earth Science</t>
  </si>
  <si>
    <t>ES</t>
  </si>
  <si>
    <t>Science Level 8</t>
  </si>
  <si>
    <t>British and European History</t>
  </si>
  <si>
    <t>Social Studies I-B</t>
  </si>
  <si>
    <t>SS Level 8 bestaat uit History en Geography. Binnen History moet gekozen worden voor dit vak (British European) OF voor American History. Daarna volgt World Geography</t>
  </si>
  <si>
    <t>UK</t>
  </si>
  <si>
    <t>Further Credit Option</t>
  </si>
  <si>
    <t>Social Studies Level 8 British and European History</t>
  </si>
  <si>
    <t>World History</t>
  </si>
  <si>
    <t>Social Studies II-B</t>
  </si>
  <si>
    <t>Dit was tot 1/1/2024 een optie voor het Enrollment-Course "British and European History /  World History" binnen General (level 8), waarbij de leerling mag kiezen tussen Eur. of World History (alleen de 3rd Edition mocht dan gebruikt worden). Na deze periode is dit een keuzevak geworden binnen Intermediate (level 10) en alleen met de 4th Editions.</t>
  </si>
  <si>
    <t>WH</t>
  </si>
  <si>
    <t>Social Studies Level 9 World History</t>
  </si>
  <si>
    <t>Inactive</t>
  </si>
  <si>
    <t>Biblical Studies I: New Testament Survey</t>
  </si>
  <si>
    <t>New Testament Survey</t>
  </si>
  <si>
    <t>NT</t>
  </si>
  <si>
    <t>Algebra I</t>
  </si>
  <si>
    <t>Mathematics-IA</t>
  </si>
  <si>
    <t>AL</t>
  </si>
  <si>
    <t>English I</t>
  </si>
  <si>
    <t>French I</t>
  </si>
  <si>
    <t>FR</t>
  </si>
  <si>
    <t>Rosetta Stone Level 9</t>
  </si>
  <si>
    <t>Extended Levels only</t>
  </si>
  <si>
    <t>RS</t>
  </si>
  <si>
    <t>Spanish I</t>
  </si>
  <si>
    <t>Advanced Art</t>
  </si>
  <si>
    <t>AA</t>
  </si>
  <si>
    <t>Complete Art</t>
  </si>
  <si>
    <t>CA</t>
  </si>
  <si>
    <t>Word Building / Etymology</t>
  </si>
  <si>
    <t>ET</t>
  </si>
  <si>
    <t>Word Building Level 9</t>
  </si>
  <si>
    <t>Music</t>
  </si>
  <si>
    <t>MU</t>
  </si>
  <si>
    <t>Music Theory/Performance Grade 5</t>
  </si>
  <si>
    <t>MT</t>
  </si>
  <si>
    <t>Music Theory/Performance</t>
  </si>
  <si>
    <t>Is duplicate of 70? Or perhaps the other one is theory and this one is performance</t>
  </si>
  <si>
    <t>Speech</t>
  </si>
  <si>
    <t>SP</t>
  </si>
  <si>
    <t>ICCE Literature Level 9</t>
  </si>
  <si>
    <t>Voor Essays vanaf een bepaald niveau worden er geen sterren gegeven. Dit vak heeft geen lesmateriaal. Het zijn gewoon vier boeken waar een essay voor moet worden geschreven.</t>
  </si>
  <si>
    <t>I9</t>
  </si>
  <si>
    <t>Astronomy</t>
  </si>
  <si>
    <t>AS</t>
  </si>
  <si>
    <t>Science 9</t>
  </si>
  <si>
    <t>Biology / Science Level 9</t>
  </si>
  <si>
    <t>BI</t>
  </si>
  <si>
    <t>Science Level 9</t>
  </si>
  <si>
    <t>Health</t>
  </si>
  <si>
    <t>HE</t>
  </si>
  <si>
    <t>Nutrition Science</t>
  </si>
  <si>
    <t>NS</t>
  </si>
  <si>
    <t>Sport + Health</t>
  </si>
  <si>
    <t>Is een combinatie vak dat alleen met Health samen gedaan kan worden? ON HOLD Informatie moet nog bevestigd worden</t>
  </si>
  <si>
    <t>A.C.E. Training</t>
  </si>
  <si>
    <t>AC</t>
  </si>
  <si>
    <t>World Geography</t>
  </si>
  <si>
    <t>Social Studies I-C</t>
  </si>
  <si>
    <t>WG</t>
  </si>
  <si>
    <t>Social Studies Level 9 World Geography</t>
  </si>
  <si>
    <t>Apologetics I</t>
  </si>
  <si>
    <t>Apologetics I-A (2022)</t>
  </si>
  <si>
    <t>Dit zijn resp. PACE's 97,102 in de oude editie (2018). 2 sterren voor de twee toetsen, en 1 ster voor het essay</t>
  </si>
  <si>
    <t>AP</t>
  </si>
  <si>
    <t>Missions</t>
  </si>
  <si>
    <t>MI</t>
  </si>
  <si>
    <t>Successful Living</t>
  </si>
  <si>
    <t>Vroeger kwam dit na BS Level 9 (NTS). Dit is vanaf 2024-01 een keuze voor General en Intermediate geworden (verplichting is vervallen). In plaats daarvan is ICCE Phys Science verplicht geworden in Level 9.</t>
  </si>
  <si>
    <t>SL</t>
  </si>
  <si>
    <t>A.C.E. Training + 30 hours of service</t>
  </si>
  <si>
    <t>AT</t>
  </si>
  <si>
    <t>ECDL Course</t>
  </si>
  <si>
    <t xml:space="preserve">Wat is dit? </t>
  </si>
  <si>
    <t>ED</t>
  </si>
  <si>
    <t>Geometry</t>
  </si>
  <si>
    <t>Mathematics-IIA</t>
  </si>
  <si>
    <t>GE</t>
  </si>
  <si>
    <t>English II</t>
  </si>
  <si>
    <t>Rosetta Stone Level 10</t>
  </si>
  <si>
    <t>Each six stars</t>
  </si>
  <si>
    <t>Music Theory/Performance Grade 6</t>
  </si>
  <si>
    <t>Science 10</t>
  </si>
  <si>
    <t>Physical Science</t>
  </si>
  <si>
    <t>Dat klopt</t>
  </si>
  <si>
    <t>PS</t>
  </si>
  <si>
    <t>Science Level 10</t>
  </si>
  <si>
    <t>History of Civilisation I</t>
  </si>
  <si>
    <t>HC</t>
  </si>
  <si>
    <t>Social Studies Level 10</t>
  </si>
  <si>
    <t>Apologetics II</t>
  </si>
  <si>
    <t>Apologetics I-B (2022)</t>
  </si>
  <si>
    <t>De oude nummering hiervan is resp. PACE's 98-101 (nu dus 7-10). Hier mag gekozen worden voor Apologetics II (i.e. boekjes 3 en 4) of uit Groep 1 (i.e. Christian Studies, van Intermediate). Klopt deze laatste opmerking (keuze uit Groep 1)? Er is geen toets bij Apologetics II, maar wel een essay, waar drie sterren voor worden gegeven.</t>
  </si>
  <si>
    <t>Christian Counselling I</t>
  </si>
  <si>
    <t>Correct gespeld? Is Amerikaans materiaal maar Britse spelling?</t>
  </si>
  <si>
    <t>CC</t>
  </si>
  <si>
    <t>Life of Christ I</t>
  </si>
  <si>
    <t>Biblical Studies II</t>
  </si>
  <si>
    <t>Old Testament Survey</t>
  </si>
  <si>
    <t>Biblical Studies II: Old Testament Survey ICCE-C25</t>
  </si>
  <si>
    <t>Ik kan alleen PACEs 1-10 vinden, zijn waarschijnlijk oude edities</t>
  </si>
  <si>
    <t>OT</t>
  </si>
  <si>
    <t>Auto Mechanics</t>
  </si>
  <si>
    <t>AM</t>
  </si>
  <si>
    <t>ICT Course</t>
  </si>
  <si>
    <t>From approved list</t>
  </si>
  <si>
    <t>IC</t>
  </si>
  <si>
    <t>Algebra II</t>
  </si>
  <si>
    <t>British Literature</t>
  </si>
  <si>
    <t>BL</t>
  </si>
  <si>
    <t>Dutch Language Staatsexamen HAVO</t>
  </si>
  <si>
    <t>Staatsexamen Havo, where is VWO?</t>
  </si>
  <si>
    <t>NL</t>
  </si>
  <si>
    <t>English III</t>
  </si>
  <si>
    <t>ICCE Literature 10 Part 1</t>
  </si>
  <si>
    <t xml:space="preserve">Beide vakken hebben dezelfde naam. Specification is niet duidelijk, is moeilijk met twee karakters. Beter is "I10" vs "I09". </t>
  </si>
  <si>
    <t>I1</t>
  </si>
  <si>
    <t>ICCE Literature 10</t>
  </si>
  <si>
    <t>Overlap with the previous one and the same name</t>
  </si>
  <si>
    <t>N.T. Greek I</t>
  </si>
  <si>
    <t>GR</t>
  </si>
  <si>
    <t>Science 11</t>
  </si>
  <si>
    <t>Chemistry</t>
  </si>
  <si>
    <t>CH</t>
  </si>
  <si>
    <t>Science Level 11</t>
  </si>
  <si>
    <t>Basic New Testament Church History</t>
  </si>
  <si>
    <t>New Testament Church History</t>
  </si>
  <si>
    <t>ICCE-C26</t>
  </si>
  <si>
    <t>NC</t>
  </si>
  <si>
    <t>Accounting (US)</t>
  </si>
  <si>
    <t>Basic Mathematics I</t>
  </si>
  <si>
    <t>College Maths I</t>
  </si>
  <si>
    <t>CM</t>
  </si>
  <si>
    <t>Basic Mathematics II Precalculus</t>
  </si>
  <si>
    <t>College Maths II</t>
  </si>
  <si>
    <t>Higher Maths</t>
  </si>
  <si>
    <t>HM</t>
  </si>
  <si>
    <t>Trigonometry</t>
  </si>
  <si>
    <t>TR</t>
  </si>
  <si>
    <t>English Composition II</t>
  </si>
  <si>
    <t>Where is English Composition I?</t>
  </si>
  <si>
    <t>EC</t>
  </si>
  <si>
    <t>English IV</t>
  </si>
  <si>
    <t xml:space="preserve">mogelijk English IV te kiezen als III nog niet gedaan is? </t>
  </si>
  <si>
    <t>N.T. Greek II</t>
  </si>
  <si>
    <t>Nieuwe nummering?</t>
  </si>
  <si>
    <t>Music Theory/Performance Grade 7/8</t>
  </si>
  <si>
    <t>Basic Intro. to Physical Science</t>
  </si>
  <si>
    <t>College Physical Science</t>
  </si>
  <si>
    <t>CP</t>
  </si>
  <si>
    <t>Science 12</t>
  </si>
  <si>
    <t>Physics</t>
  </si>
  <si>
    <t>PH</t>
  </si>
  <si>
    <t>Science Level 12</t>
  </si>
  <si>
    <t>American History</t>
  </si>
  <si>
    <t>Social Studies I-A</t>
  </si>
  <si>
    <t>Credit Option</t>
  </si>
  <si>
    <t>AH</t>
  </si>
  <si>
    <t>Social Studies Level 8 American History</t>
  </si>
  <si>
    <t>Civics and Economics</t>
  </si>
  <si>
    <t>Is een combinatie van twee vakken</t>
  </si>
  <si>
    <t>CE</t>
  </si>
  <si>
    <t>Social Studies Level 12</t>
  </si>
  <si>
    <t>Collectivism</t>
  </si>
  <si>
    <t>Over communisme en zo</t>
  </si>
  <si>
    <t>CO</t>
  </si>
  <si>
    <t>Social Studies Level 12 Collectivism</t>
  </si>
  <si>
    <t>History of Civilisation II</t>
  </si>
  <si>
    <t>Dit staat ook onder FCO, maar is verplicht!?</t>
  </si>
  <si>
    <t>Social Studies Level 11</t>
  </si>
  <si>
    <t>US Constitution</t>
  </si>
  <si>
    <t>UC</t>
  </si>
  <si>
    <t>Social Studies Level 12 US Constitution</t>
  </si>
  <si>
    <t>Christian Counselling II</t>
  </si>
  <si>
    <t>Apologetics option only?</t>
  </si>
  <si>
    <t>Basic Christian Growth</t>
  </si>
  <si>
    <t>Christian Growth</t>
  </si>
  <si>
    <t>ICCE-C48</t>
  </si>
  <si>
    <t>CG</t>
  </si>
  <si>
    <t>Life of Christ II</t>
  </si>
  <si>
    <t>Only possible to choose this as an option for Apologetics III</t>
  </si>
  <si>
    <t>New Testament Church History II</t>
  </si>
  <si>
    <t>Active</t>
  </si>
  <si>
    <t>English Composition I</t>
  </si>
  <si>
    <t>Welk level? Staat niet op het blad</t>
  </si>
  <si>
    <t>ICCE Biology</t>
  </si>
  <si>
    <t>IB</t>
  </si>
  <si>
    <t>Biology Apologia</t>
  </si>
  <si>
    <t>Life of Christ</t>
  </si>
  <si>
    <t>Dutch Language Staatsexamen VMBO</t>
  </si>
  <si>
    <t>Social Studies Essay General</t>
  </si>
  <si>
    <t>CourseWork</t>
  </si>
  <si>
    <t>Science Essay General</t>
  </si>
  <si>
    <t>Biblical Studies Essay Intermediate</t>
  </si>
  <si>
    <t>English Essay Intermediate</t>
  </si>
  <si>
    <t>Social Studies Essay Intermediate</t>
  </si>
  <si>
    <t>Science Essay Intermediate</t>
  </si>
  <si>
    <t>Biblical Studies Essay Advanced</t>
  </si>
  <si>
    <t>Maths Paper Advanced</t>
  </si>
  <si>
    <t>English Essay Advanced</t>
  </si>
  <si>
    <t>Social Studies Essay Advanced</t>
  </si>
  <si>
    <t>Sciences Project Advanced</t>
  </si>
  <si>
    <t>PR</t>
  </si>
  <si>
    <t>Sciences Essay Advanced</t>
  </si>
  <si>
    <t>English III Dissertation</t>
  </si>
  <si>
    <t>DS</t>
  </si>
  <si>
    <t>Literature Level 9</t>
  </si>
  <si>
    <t xml:space="preserve">Alleen even getallen hebben PACE beschikbaar. 106 is niet meer te verkrijgen, dus is vervangen door Poetry of After the Flood. Daarom staat er ipv 106 "106P". Er moeten zes PACEs in totaal worden gedaan met de keuze uit deze vijf beschikbare, of Poetry 1 of 2, of After the Flood. </t>
  </si>
  <si>
    <t>UK Social Studies</t>
  </si>
  <si>
    <t>Social Studies Level 5 UK</t>
  </si>
  <si>
    <t>US History</t>
  </si>
  <si>
    <t>UH</t>
  </si>
  <si>
    <t>Social Studies Level 10 American History</t>
  </si>
  <si>
    <t>Animal Science</t>
  </si>
  <si>
    <t>Science Level 2 Animal</t>
  </si>
  <si>
    <t>English Grammar</t>
  </si>
  <si>
    <t>Grammar</t>
  </si>
  <si>
    <t>Elective</t>
  </si>
  <si>
    <t>EG</t>
  </si>
  <si>
    <t>Apologetics I-A (2019)</t>
  </si>
  <si>
    <t>Dit zijn alleen twee PACE's 97,102. Vroeger waren dit aparte PACEs, maar nu gebundeld in één PACE "Apologetics 01".</t>
  </si>
  <si>
    <t>Apologetics I-B (2019)</t>
  </si>
  <si>
    <t>Dit zijn alleen vier PACE's 98-101. De sterren worden niet gegeven voor de toetsen maar voor de essays voor de boeken die ze moeten lezen. Vroeger waren dit aparte PACEs, maar nu gebundeld in één PACE "Apologetics 02".</t>
  </si>
  <si>
    <t xml:space="preserve">Dit lijkt op ID59 maar zie opmerking daar. Dit valt ook onder een andere SubjectGroupID (klopt dat?). </t>
  </si>
  <si>
    <t>Social Studies Level 12 World History</t>
  </si>
  <si>
    <t>Algebra I &amp; Geometry I</t>
  </si>
  <si>
    <t>Mathematics-IB</t>
  </si>
  <si>
    <t xml:space="preserve">Dit is een nieuwe optie waarbij de leerling de eerste helft van Algebra 1 en Geometry I mag doen, en dan bij Intermediate de tweede helft van Algebra 1 en Geometry. </t>
  </si>
  <si>
    <t>Algebra I &amp; Geometry II</t>
  </si>
  <si>
    <t>Mathematics-IIB</t>
  </si>
  <si>
    <t>De naamgeving is misleidend, er staat "Geometry II" maar hiermee wordt bedoeld de tweede helft van Geometry</t>
  </si>
  <si>
    <t>ICCE Physical Science</t>
  </si>
  <si>
    <t>AEE Physical Science I-B (part 1)</t>
  </si>
  <si>
    <t xml:space="preserve">Dit is verplicht vanaf 2024-01 voor General. De formele naam is "ICCE …" maar de publisher is "AEE", dit is samen met vak ID=160 één vak. </t>
  </si>
  <si>
    <t>AEE Physical Science</t>
  </si>
  <si>
    <t>AEE Physical Science I-B (part 2)</t>
  </si>
  <si>
    <t xml:space="preserve">Dit is verplicht vanaf 2024-01 voor General. De formele naam is "ICCE …" maar de publisher is "AEE", dit is samen met vak ID=159 één vak. </t>
  </si>
  <si>
    <t>Rosetta Stone Language X</t>
  </si>
  <si>
    <t>Moet ik dit toevoegen voor elke unit en taal?</t>
  </si>
  <si>
    <t>New Testament Church History I</t>
  </si>
  <si>
    <t>Only possible to choose this as an option for Apologetics II</t>
  </si>
  <si>
    <t>Basic Biographies of Christians</t>
  </si>
  <si>
    <t>Biographies of Christians</t>
  </si>
  <si>
    <t>BC</t>
  </si>
  <si>
    <t>College Basic Old Testament Survey</t>
  </si>
  <si>
    <t>College Old Testament Survey</t>
  </si>
  <si>
    <t>COTS</t>
  </si>
  <si>
    <t>U.S. Civics</t>
  </si>
  <si>
    <t>Civics</t>
  </si>
  <si>
    <t>USCI</t>
  </si>
  <si>
    <t>Economics</t>
  </si>
  <si>
    <t>ECON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</si>
</sst>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Aptos Narrow"/>
      <family val="2"/>
      <scheme val="minor"/>
    </font>
    <font>
      <b/>
      <sz val="11"/>
      <color theme="1"/>
      <name val="Aptos Narrow"/>
      <family val="2"/>
      <scheme val="minor"/>
    </font>
    <font>
      <b/>
      <sz val="9"/>
      <color indexed="81"/>
      <name val="Tahoma"/>
      <family val="2"/>
    </font>
    <font>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2" borderId="0" xfId="0" applyFont="1" applyFill="1" applyAlignment="1">
      <alignment wrapText="1"/>
    </xf>
    <xf numFmtId="0" fontId="0" fillId="0" borderId="0" xfId="0" applyAlignment="1">
      <alignment wrapText="1"/>
    </xf>
    <xf numFmtId="0" fontId="0" fillId="2" borderId="0" xfId="0" applyFill="1"/>
    <xf numFmtId="0" fontId="0" fillId="3" borderId="0" xfId="0" applyFill="1"/>
    <xf numFmtId="0" fontId="0" fillId="2" borderId="0" xfId="0" applyFill="1" applyAlignment="1">
      <alignment wrapText="1"/>
    </xf>
    <xf numFmtId="0" fontId="0" fillId="4" borderId="0" xfId="0" applyFill="1"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ndrew Yong" id="{BAE2167A-5902-3447-A3C9-7B2FF6BA89E5}" userId="25d555228554b6a1" providerId="Windows Live"/>
  <person displayName="Andrew Yong | Business Interest" id="{51092348-831C-DF48-9FD4-600ADD8EDB63}" userId="S::andrew@businessinterest.nl::28c69046-ff5c-4a30-8b2c-83ee0d0060e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9" dT="2023-04-19T11:56:29.37" personId="{BAE2167A-5902-3447-A3C9-7B2FF6BA89E5}" id="{2F55F8D7-FAA9-8245-9DAA-D13930D240F3}">
    <text xml:space="preserve">Er staat 74 op het blad
</text>
  </threadedComment>
  <threadedComment ref="S69" dT="2024-11-29T17:49:07.99" personId="{51092348-831C-DF48-9FD4-600ADD8EDB63}" id="{0B94A7E3-CDA6-B34A-8FCA-BFD2C152943C}">
    <text>For students with dyslexia the threshold is 0.8.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M164"/>
  <sheetViews>
    <sheetView tabSelected="1" zoomScale="167" workbookViewId="0">
      <pane xSplit="3" ySplit="1" topLeftCell="K2" activePane="bottomRight" state="frozen"/>
      <selection pane="topRight" activeCell="D1" sqref="D1"/>
      <selection pane="bottomLeft" activeCell="A2" sqref="A2"/>
      <selection pane="bottomRight" activeCell="M6" sqref="M6"/>
    </sheetView>
  </sheetViews>
  <sheetFormatPr defaultColWidth="11.5" defaultRowHeight="14.25"/>
  <cols>
    <col min="1" max="1" width="5.375" bestFit="1" customWidth="1"/>
    <col min="2" max="2" width="14" bestFit="1" customWidth="1"/>
    <col min="3" max="3" width="35.625" bestFit="1" customWidth="1"/>
    <col min="4" max="4" width="30.5" customWidth="1"/>
    <col min="5" max="5" width="7.875" bestFit="1" customWidth="1"/>
    <col min="6" max="6" width="7" bestFit="1" customWidth="1"/>
    <col min="7" max="7" width="33.625" style="3" customWidth="1"/>
    <col min="10" max="10" width="17.875" bestFit="1" customWidth="1"/>
    <col min="11" max="11" width="30.625" bestFit="1" customWidth="1"/>
    <col min="12" max="12" width="14.125" customWidth="1"/>
  </cols>
  <sheetData>
    <row r="1" spans="1:13" ht="30">
      <c r="A1" s="1" t="s">
        <v>0</v>
      </c>
      <c r="B1" s="1" t="s">
        <v>1</v>
      </c>
      <c r="C1" s="1" t="s">
        <v>2</v>
      </c>
      <c r="D1" s="1" t="s">
        <v>3</v>
      </c>
      <c r="E1" s="1" t="s">
        <v>4</v>
      </c>
      <c r="F1" s="1" t="s">
        <v>5</v>
      </c>
      <c r="G1" s="1" t="s">
        <v>6</v>
      </c>
      <c r="H1" s="2" t="s">
        <v>7</v>
      </c>
      <c r="I1" s="1" t="s">
        <v>8</v>
      </c>
      <c r="J1" s="1" t="s">
        <v>9</v>
      </c>
      <c r="K1" s="1" t="s">
        <v>10</v>
      </c>
      <c r="L1" s="1" t="s">
        <v>11</v>
      </c>
      <c r="M1" s="1" t="s">
        <v>12</v>
      </c>
    </row>
    <row r="2" spans="1:13">
      <c r="A2">
        <v>1</v>
      </c>
      <c r="C2" t="s">
        <v>13</v>
      </c>
      <c r="E2">
        <v>0</v>
      </c>
      <c r="F2">
        <v>1</v>
      </c>
      <c r="G2"/>
      <c r="H2" t="s">
        <v>14</v>
      </c>
      <c r="I2">
        <v>2</v>
      </c>
      <c r="J2" t="s">
        <v>15</v>
      </c>
      <c r="K2" t="str">
        <f t="shared" ref="K2:K57" si="0">C2</f>
        <v>Maths Reading Readiness</v>
      </c>
      <c r="L2">
        <v>0.8</v>
      </c>
    </row>
    <row r="3" spans="1:13">
      <c r="A3">
        <v>2</v>
      </c>
      <c r="C3" t="s">
        <v>16</v>
      </c>
      <c r="E3">
        <v>1</v>
      </c>
      <c r="F3">
        <v>1</v>
      </c>
      <c r="G3"/>
      <c r="H3" t="s">
        <v>17</v>
      </c>
      <c r="I3">
        <v>2</v>
      </c>
      <c r="J3" t="s">
        <v>15</v>
      </c>
      <c r="K3" t="str">
        <f t="shared" si="0"/>
        <v>Maths Level 1</v>
      </c>
      <c r="L3">
        <v>0.8</v>
      </c>
    </row>
    <row r="4" spans="1:13">
      <c r="A4">
        <v>3</v>
      </c>
      <c r="C4" t="s">
        <v>18</v>
      </c>
      <c r="E4">
        <v>1</v>
      </c>
      <c r="F4">
        <v>2</v>
      </c>
      <c r="G4"/>
      <c r="H4" t="s">
        <v>19</v>
      </c>
      <c r="I4">
        <v>2</v>
      </c>
      <c r="J4" t="s">
        <v>15</v>
      </c>
      <c r="K4" t="str">
        <f t="shared" si="0"/>
        <v>English Level 1</v>
      </c>
      <c r="L4">
        <v>0.8</v>
      </c>
    </row>
    <row r="5" spans="1:13">
      <c r="A5">
        <v>4</v>
      </c>
      <c r="C5" t="s">
        <v>20</v>
      </c>
      <c r="E5">
        <v>1</v>
      </c>
      <c r="F5">
        <v>3</v>
      </c>
      <c r="G5"/>
      <c r="H5" t="s">
        <v>21</v>
      </c>
      <c r="I5">
        <v>2</v>
      </c>
      <c r="J5" t="s">
        <v>15</v>
      </c>
      <c r="K5" t="str">
        <f t="shared" si="0"/>
        <v>Word Building Level 1</v>
      </c>
      <c r="L5">
        <v>0.9</v>
      </c>
      <c r="M5" t="e">
        <f ca="1">_xludf.sum()</f>
        <v>#NAME?</v>
      </c>
    </row>
    <row r="6" spans="1:13">
      <c r="A6">
        <v>5</v>
      </c>
      <c r="C6" t="s">
        <v>22</v>
      </c>
      <c r="E6">
        <v>1</v>
      </c>
      <c r="F6">
        <v>4</v>
      </c>
      <c r="G6"/>
      <c r="H6" t="s">
        <v>23</v>
      </c>
      <c r="I6">
        <v>2</v>
      </c>
      <c r="J6" t="s">
        <v>15</v>
      </c>
      <c r="K6" t="str">
        <f t="shared" si="0"/>
        <v>Literature and Creative Writing Level 1</v>
      </c>
      <c r="L6">
        <v>0.8</v>
      </c>
    </row>
    <row r="7" spans="1:13">
      <c r="A7">
        <v>6</v>
      </c>
      <c r="B7" t="s">
        <v>24</v>
      </c>
      <c r="C7" t="s">
        <v>25</v>
      </c>
      <c r="E7">
        <v>1</v>
      </c>
      <c r="F7">
        <v>5</v>
      </c>
      <c r="G7"/>
      <c r="H7" t="s">
        <v>26</v>
      </c>
      <c r="I7">
        <v>2</v>
      </c>
      <c r="J7" t="s">
        <v>15</v>
      </c>
      <c r="K7" t="str">
        <f t="shared" si="0"/>
        <v>Science Level 1</v>
      </c>
      <c r="L7">
        <v>0.8</v>
      </c>
    </row>
    <row r="8" spans="1:13">
      <c r="A8">
        <v>7</v>
      </c>
      <c r="C8" t="s">
        <v>27</v>
      </c>
      <c r="E8">
        <v>1</v>
      </c>
      <c r="F8">
        <v>6</v>
      </c>
      <c r="H8" t="s">
        <v>28</v>
      </c>
      <c r="I8">
        <v>2</v>
      </c>
      <c r="J8" t="s">
        <v>15</v>
      </c>
      <c r="K8" t="str">
        <f t="shared" si="0"/>
        <v>Social Studies Level 1</v>
      </c>
      <c r="L8">
        <v>0.8</v>
      </c>
    </row>
    <row r="9" spans="1:13">
      <c r="A9">
        <v>8</v>
      </c>
      <c r="C9" t="s">
        <v>29</v>
      </c>
      <c r="E9">
        <v>1</v>
      </c>
      <c r="F9">
        <v>7</v>
      </c>
      <c r="G9"/>
      <c r="H9" t="s">
        <v>30</v>
      </c>
      <c r="I9">
        <v>1</v>
      </c>
      <c r="J9" t="s">
        <v>15</v>
      </c>
      <c r="K9" t="str">
        <f t="shared" si="0"/>
        <v>Bible Reading Level 1</v>
      </c>
      <c r="L9">
        <v>0.8</v>
      </c>
    </row>
    <row r="10" spans="1:13">
      <c r="A10">
        <v>9</v>
      </c>
      <c r="C10" t="s">
        <v>31</v>
      </c>
      <c r="E10">
        <v>2</v>
      </c>
      <c r="F10">
        <v>1</v>
      </c>
      <c r="G10"/>
      <c r="H10" t="s">
        <v>17</v>
      </c>
      <c r="I10">
        <v>2</v>
      </c>
      <c r="J10" t="s">
        <v>15</v>
      </c>
      <c r="K10" t="str">
        <f t="shared" si="0"/>
        <v>Maths Level 2</v>
      </c>
      <c r="L10">
        <v>0.8</v>
      </c>
    </row>
    <row r="11" spans="1:13">
      <c r="A11">
        <v>10</v>
      </c>
      <c r="C11" t="s">
        <v>32</v>
      </c>
      <c r="E11">
        <v>2</v>
      </c>
      <c r="F11">
        <v>2</v>
      </c>
      <c r="G11"/>
      <c r="H11" t="s">
        <v>19</v>
      </c>
      <c r="I11">
        <v>2</v>
      </c>
      <c r="J11" t="s">
        <v>15</v>
      </c>
      <c r="K11" t="str">
        <f t="shared" si="0"/>
        <v>English Level 2</v>
      </c>
      <c r="L11">
        <v>0.8</v>
      </c>
    </row>
    <row r="12" spans="1:13">
      <c r="A12">
        <v>11</v>
      </c>
      <c r="C12" t="s">
        <v>33</v>
      </c>
      <c r="E12">
        <v>2</v>
      </c>
      <c r="F12">
        <v>3</v>
      </c>
      <c r="G12"/>
      <c r="H12" t="s">
        <v>21</v>
      </c>
      <c r="I12">
        <v>2</v>
      </c>
      <c r="J12" t="s">
        <v>15</v>
      </c>
      <c r="K12" t="str">
        <f t="shared" si="0"/>
        <v>Word Building Level 2</v>
      </c>
      <c r="L12">
        <v>0.9</v>
      </c>
    </row>
    <row r="13" spans="1:13">
      <c r="A13">
        <v>12</v>
      </c>
      <c r="C13" t="s">
        <v>34</v>
      </c>
      <c r="E13">
        <v>2</v>
      </c>
      <c r="F13">
        <v>4</v>
      </c>
      <c r="G13"/>
      <c r="H13" t="s">
        <v>23</v>
      </c>
      <c r="I13">
        <v>2</v>
      </c>
      <c r="J13" t="s">
        <v>15</v>
      </c>
      <c r="K13" t="str">
        <f t="shared" si="0"/>
        <v>Literature and Creative Writing Level 2</v>
      </c>
      <c r="L13">
        <v>0.8</v>
      </c>
    </row>
    <row r="14" spans="1:13">
      <c r="A14">
        <v>13</v>
      </c>
      <c r="B14" t="s">
        <v>35</v>
      </c>
      <c r="C14" t="s">
        <v>36</v>
      </c>
      <c r="E14">
        <v>2</v>
      </c>
      <c r="F14">
        <v>5</v>
      </c>
      <c r="G14"/>
      <c r="H14" t="s">
        <v>26</v>
      </c>
      <c r="I14">
        <v>2</v>
      </c>
      <c r="J14" t="s">
        <v>15</v>
      </c>
      <c r="K14" t="str">
        <f t="shared" si="0"/>
        <v>Science Level 2</v>
      </c>
      <c r="L14">
        <v>0.8</v>
      </c>
    </row>
    <row r="15" spans="1:13">
      <c r="A15">
        <v>14</v>
      </c>
      <c r="C15" t="s">
        <v>37</v>
      </c>
      <c r="E15">
        <v>2</v>
      </c>
      <c r="F15">
        <v>6</v>
      </c>
      <c r="H15" t="s">
        <v>28</v>
      </c>
      <c r="I15">
        <v>2</v>
      </c>
      <c r="J15" t="s">
        <v>15</v>
      </c>
      <c r="K15" t="str">
        <f t="shared" si="0"/>
        <v>Social Studies Level 2</v>
      </c>
      <c r="L15">
        <v>0.8</v>
      </c>
    </row>
    <row r="16" spans="1:13">
      <c r="A16">
        <v>15</v>
      </c>
      <c r="C16" t="s">
        <v>38</v>
      </c>
      <c r="E16">
        <v>2</v>
      </c>
      <c r="F16">
        <v>7</v>
      </c>
      <c r="G16"/>
      <c r="H16" t="s">
        <v>30</v>
      </c>
      <c r="I16">
        <v>1</v>
      </c>
      <c r="J16" t="s">
        <v>15</v>
      </c>
      <c r="K16" t="str">
        <f t="shared" si="0"/>
        <v>Bible Reading Level 2</v>
      </c>
      <c r="L16">
        <v>0.8</v>
      </c>
    </row>
    <row r="17" spans="1:12">
      <c r="A17">
        <v>16</v>
      </c>
      <c r="C17" t="s">
        <v>39</v>
      </c>
      <c r="E17">
        <v>3</v>
      </c>
      <c r="F17">
        <v>1</v>
      </c>
      <c r="G17"/>
      <c r="H17" t="s">
        <v>17</v>
      </c>
      <c r="I17">
        <v>2</v>
      </c>
      <c r="J17" t="s">
        <v>15</v>
      </c>
      <c r="K17" t="str">
        <f t="shared" si="0"/>
        <v>Maths Level 3</v>
      </c>
      <c r="L17">
        <v>0.8</v>
      </c>
    </row>
    <row r="18" spans="1:12">
      <c r="A18">
        <v>17</v>
      </c>
      <c r="C18" t="s">
        <v>40</v>
      </c>
      <c r="E18">
        <v>3</v>
      </c>
      <c r="F18">
        <v>2</v>
      </c>
      <c r="G18"/>
      <c r="H18" t="s">
        <v>19</v>
      </c>
      <c r="I18">
        <v>2</v>
      </c>
      <c r="J18" t="s">
        <v>15</v>
      </c>
      <c r="K18" t="str">
        <f t="shared" si="0"/>
        <v>English Level 3</v>
      </c>
      <c r="L18">
        <v>0.8</v>
      </c>
    </row>
    <row r="19" spans="1:12">
      <c r="A19">
        <v>18</v>
      </c>
      <c r="C19" t="s">
        <v>41</v>
      </c>
      <c r="E19">
        <v>3</v>
      </c>
      <c r="F19">
        <v>3</v>
      </c>
      <c r="G19"/>
      <c r="H19" t="s">
        <v>21</v>
      </c>
      <c r="I19">
        <v>2</v>
      </c>
      <c r="J19" t="s">
        <v>15</v>
      </c>
      <c r="K19" t="str">
        <f t="shared" si="0"/>
        <v>Word Building Level 3</v>
      </c>
      <c r="L19">
        <v>0.9</v>
      </c>
    </row>
    <row r="20" spans="1:12">
      <c r="A20">
        <v>19</v>
      </c>
      <c r="C20" t="s">
        <v>42</v>
      </c>
      <c r="E20">
        <v>3</v>
      </c>
      <c r="F20">
        <v>4</v>
      </c>
      <c r="G20"/>
      <c r="H20" t="s">
        <v>23</v>
      </c>
      <c r="I20">
        <v>2</v>
      </c>
      <c r="J20" t="s">
        <v>15</v>
      </c>
      <c r="K20" t="str">
        <f t="shared" si="0"/>
        <v>Literature and Creative Writing Level 3</v>
      </c>
      <c r="L20">
        <v>0.8</v>
      </c>
    </row>
    <row r="21" spans="1:12">
      <c r="A21">
        <v>20</v>
      </c>
      <c r="B21" t="s">
        <v>43</v>
      </c>
      <c r="C21" t="s">
        <v>44</v>
      </c>
      <c r="E21">
        <v>3</v>
      </c>
      <c r="F21">
        <v>5</v>
      </c>
      <c r="G21"/>
      <c r="H21" t="s">
        <v>26</v>
      </c>
      <c r="I21">
        <v>2</v>
      </c>
      <c r="J21" t="s">
        <v>15</v>
      </c>
      <c r="K21" t="str">
        <f t="shared" si="0"/>
        <v>Science Level 3</v>
      </c>
      <c r="L21">
        <v>0.8</v>
      </c>
    </row>
    <row r="22" spans="1:12">
      <c r="A22">
        <v>21</v>
      </c>
      <c r="C22" t="s">
        <v>45</v>
      </c>
      <c r="E22">
        <v>3</v>
      </c>
      <c r="F22">
        <v>6</v>
      </c>
      <c r="H22" t="s">
        <v>28</v>
      </c>
      <c r="I22">
        <v>2</v>
      </c>
      <c r="J22" t="s">
        <v>15</v>
      </c>
      <c r="K22" t="str">
        <f t="shared" si="0"/>
        <v>Social Studies Level 3</v>
      </c>
      <c r="L22">
        <v>0.8</v>
      </c>
    </row>
    <row r="23" spans="1:12">
      <c r="A23">
        <v>22</v>
      </c>
      <c r="C23" t="s">
        <v>46</v>
      </c>
      <c r="E23">
        <v>3</v>
      </c>
      <c r="F23">
        <v>7</v>
      </c>
      <c r="G23"/>
      <c r="H23" t="s">
        <v>30</v>
      </c>
      <c r="I23">
        <v>1</v>
      </c>
      <c r="J23" t="s">
        <v>15</v>
      </c>
      <c r="K23" t="str">
        <f t="shared" si="0"/>
        <v>Bible Reading Level 3</v>
      </c>
      <c r="L23">
        <v>0.8</v>
      </c>
    </row>
    <row r="24" spans="1:12">
      <c r="A24">
        <v>23</v>
      </c>
      <c r="C24" t="s">
        <v>47</v>
      </c>
      <c r="E24">
        <v>4</v>
      </c>
      <c r="F24">
        <v>1</v>
      </c>
      <c r="G24"/>
      <c r="H24" t="s">
        <v>17</v>
      </c>
      <c r="I24">
        <v>2</v>
      </c>
      <c r="J24" t="s">
        <v>15</v>
      </c>
      <c r="K24" t="str">
        <f t="shared" si="0"/>
        <v>Maths Level 4</v>
      </c>
      <c r="L24">
        <v>0.8</v>
      </c>
    </row>
    <row r="25" spans="1:12">
      <c r="A25">
        <v>24</v>
      </c>
      <c r="C25" t="s">
        <v>48</v>
      </c>
      <c r="E25">
        <v>4</v>
      </c>
      <c r="F25">
        <v>2</v>
      </c>
      <c r="G25"/>
      <c r="H25" t="s">
        <v>19</v>
      </c>
      <c r="I25">
        <v>2</v>
      </c>
      <c r="J25" t="s">
        <v>15</v>
      </c>
      <c r="K25" t="str">
        <f t="shared" si="0"/>
        <v>English Level 4</v>
      </c>
      <c r="L25">
        <v>0.8</v>
      </c>
    </row>
    <row r="26" spans="1:12">
      <c r="A26">
        <v>25</v>
      </c>
      <c r="C26" t="s">
        <v>49</v>
      </c>
      <c r="E26">
        <v>4</v>
      </c>
      <c r="F26">
        <v>3</v>
      </c>
      <c r="G26"/>
      <c r="H26" t="s">
        <v>21</v>
      </c>
      <c r="I26">
        <v>2</v>
      </c>
      <c r="J26" t="s">
        <v>15</v>
      </c>
      <c r="K26" t="str">
        <f t="shared" si="0"/>
        <v>Word Building Level 4</v>
      </c>
      <c r="L26">
        <v>0.9</v>
      </c>
    </row>
    <row r="27" spans="1:12">
      <c r="A27">
        <v>26</v>
      </c>
      <c r="C27" t="s">
        <v>50</v>
      </c>
      <c r="E27">
        <v>4</v>
      </c>
      <c r="F27">
        <v>4</v>
      </c>
      <c r="G27"/>
      <c r="H27" t="s">
        <v>23</v>
      </c>
      <c r="I27">
        <v>2</v>
      </c>
      <c r="J27" t="s">
        <v>15</v>
      </c>
      <c r="K27" t="str">
        <f t="shared" si="0"/>
        <v>Literature and Creative Writing Level 4</v>
      </c>
      <c r="L27">
        <v>0.8</v>
      </c>
    </row>
    <row r="28" spans="1:12">
      <c r="A28">
        <v>27</v>
      </c>
      <c r="B28" t="s">
        <v>51</v>
      </c>
      <c r="C28" t="s">
        <v>52</v>
      </c>
      <c r="E28">
        <v>4</v>
      </c>
      <c r="F28">
        <v>5</v>
      </c>
      <c r="G28"/>
      <c r="H28" t="s">
        <v>26</v>
      </c>
      <c r="I28">
        <v>2</v>
      </c>
      <c r="J28" t="s">
        <v>15</v>
      </c>
      <c r="K28" t="str">
        <f t="shared" si="0"/>
        <v>Science Level 4</v>
      </c>
      <c r="L28">
        <v>0.8</v>
      </c>
    </row>
    <row r="29" spans="1:12">
      <c r="A29">
        <v>28</v>
      </c>
      <c r="C29" t="s">
        <v>53</v>
      </c>
      <c r="E29">
        <v>4</v>
      </c>
      <c r="F29">
        <v>6</v>
      </c>
      <c r="H29" t="s">
        <v>28</v>
      </c>
      <c r="I29">
        <v>2</v>
      </c>
      <c r="J29" t="s">
        <v>15</v>
      </c>
      <c r="K29" t="str">
        <f t="shared" si="0"/>
        <v>Social Studies Level 4</v>
      </c>
      <c r="L29">
        <v>0.8</v>
      </c>
    </row>
    <row r="30" spans="1:12">
      <c r="A30">
        <v>29</v>
      </c>
      <c r="C30" t="s">
        <v>54</v>
      </c>
      <c r="E30">
        <v>4</v>
      </c>
      <c r="F30">
        <v>7</v>
      </c>
      <c r="G30"/>
      <c r="H30" t="s">
        <v>30</v>
      </c>
      <c r="I30">
        <v>1</v>
      </c>
      <c r="J30" t="s">
        <v>15</v>
      </c>
      <c r="K30" t="str">
        <f t="shared" si="0"/>
        <v>Bible Reading Level 4</v>
      </c>
      <c r="L30">
        <v>0.8</v>
      </c>
    </row>
    <row r="31" spans="1:12">
      <c r="A31">
        <v>30</v>
      </c>
      <c r="C31" t="s">
        <v>55</v>
      </c>
      <c r="E31">
        <v>5</v>
      </c>
      <c r="F31">
        <v>1</v>
      </c>
      <c r="G31"/>
      <c r="H31" t="s">
        <v>17</v>
      </c>
      <c r="I31">
        <v>2</v>
      </c>
      <c r="J31" t="s">
        <v>15</v>
      </c>
      <c r="K31" t="str">
        <f t="shared" si="0"/>
        <v>Maths Level 5</v>
      </c>
      <c r="L31">
        <v>0.8</v>
      </c>
    </row>
    <row r="32" spans="1:12">
      <c r="A32">
        <v>31</v>
      </c>
      <c r="C32" t="s">
        <v>56</v>
      </c>
      <c r="E32">
        <v>5</v>
      </c>
      <c r="F32">
        <v>2</v>
      </c>
      <c r="G32"/>
      <c r="H32" t="s">
        <v>19</v>
      </c>
      <c r="I32">
        <v>2</v>
      </c>
      <c r="J32" t="s">
        <v>15</v>
      </c>
      <c r="K32" t="str">
        <f t="shared" si="0"/>
        <v>English Level 5</v>
      </c>
      <c r="L32">
        <v>0.8</v>
      </c>
    </row>
    <row r="33" spans="1:12">
      <c r="A33">
        <v>32</v>
      </c>
      <c r="C33" t="s">
        <v>57</v>
      </c>
      <c r="E33">
        <v>5</v>
      </c>
      <c r="F33">
        <v>3</v>
      </c>
      <c r="G33"/>
      <c r="H33" t="s">
        <v>21</v>
      </c>
      <c r="I33">
        <v>2</v>
      </c>
      <c r="J33" t="s">
        <v>15</v>
      </c>
      <c r="K33" t="str">
        <f t="shared" si="0"/>
        <v>Word Building Level 5</v>
      </c>
      <c r="L33">
        <v>0.9</v>
      </c>
    </row>
    <row r="34" spans="1:12">
      <c r="A34">
        <v>33</v>
      </c>
      <c r="C34" t="s">
        <v>58</v>
      </c>
      <c r="E34">
        <v>5</v>
      </c>
      <c r="F34">
        <v>4</v>
      </c>
      <c r="G34"/>
      <c r="H34" t="s">
        <v>23</v>
      </c>
      <c r="I34">
        <v>2</v>
      </c>
      <c r="J34" t="s">
        <v>15</v>
      </c>
      <c r="K34" t="str">
        <f t="shared" si="0"/>
        <v>Literature and Creative Writing Level 5</v>
      </c>
      <c r="L34">
        <v>0.8</v>
      </c>
    </row>
    <row r="35" spans="1:12">
      <c r="A35">
        <v>34</v>
      </c>
      <c r="B35" t="s">
        <v>59</v>
      </c>
      <c r="C35" t="s">
        <v>60</v>
      </c>
      <c r="E35">
        <v>5</v>
      </c>
      <c r="F35">
        <v>5</v>
      </c>
      <c r="G35"/>
      <c r="H35" t="s">
        <v>26</v>
      </c>
      <c r="I35">
        <v>2</v>
      </c>
      <c r="J35" t="s">
        <v>15</v>
      </c>
      <c r="K35" t="str">
        <f t="shared" si="0"/>
        <v>Science Level 5</v>
      </c>
      <c r="L35">
        <v>0.8</v>
      </c>
    </row>
    <row r="36" spans="1:12">
      <c r="A36">
        <v>35</v>
      </c>
      <c r="C36" t="s">
        <v>61</v>
      </c>
      <c r="E36">
        <v>5</v>
      </c>
      <c r="F36">
        <v>6</v>
      </c>
      <c r="H36" t="s">
        <v>28</v>
      </c>
      <c r="I36">
        <v>2</v>
      </c>
      <c r="J36" t="s">
        <v>15</v>
      </c>
      <c r="K36" t="str">
        <f t="shared" si="0"/>
        <v>Social Studies Level 5</v>
      </c>
      <c r="L36">
        <v>0.8</v>
      </c>
    </row>
    <row r="37" spans="1:12">
      <c r="A37">
        <v>36</v>
      </c>
      <c r="C37" t="s">
        <v>62</v>
      </c>
      <c r="E37">
        <v>5</v>
      </c>
      <c r="F37">
        <v>7</v>
      </c>
      <c r="G37"/>
      <c r="H37" t="s">
        <v>30</v>
      </c>
      <c r="I37">
        <v>1</v>
      </c>
      <c r="J37" t="s">
        <v>15</v>
      </c>
      <c r="K37" t="str">
        <f t="shared" si="0"/>
        <v>Bible Reading Level 5</v>
      </c>
      <c r="L37">
        <v>0.8</v>
      </c>
    </row>
    <row r="38" spans="1:12">
      <c r="A38">
        <v>37</v>
      </c>
      <c r="C38" t="s">
        <v>63</v>
      </c>
      <c r="E38">
        <v>6</v>
      </c>
      <c r="F38">
        <v>1</v>
      </c>
      <c r="G38"/>
      <c r="H38" t="s">
        <v>17</v>
      </c>
      <c r="I38">
        <v>2</v>
      </c>
      <c r="J38" t="s">
        <v>15</v>
      </c>
      <c r="K38" t="str">
        <f t="shared" si="0"/>
        <v>Maths Level 6</v>
      </c>
      <c r="L38">
        <v>0.8</v>
      </c>
    </row>
    <row r="39" spans="1:12">
      <c r="A39">
        <v>38</v>
      </c>
      <c r="C39" t="s">
        <v>64</v>
      </c>
      <c r="E39">
        <v>6</v>
      </c>
      <c r="F39">
        <v>2</v>
      </c>
      <c r="G39"/>
      <c r="H39" t="s">
        <v>19</v>
      </c>
      <c r="I39">
        <v>2</v>
      </c>
      <c r="J39" t="s">
        <v>15</v>
      </c>
      <c r="K39" t="str">
        <f t="shared" si="0"/>
        <v>English Level 6</v>
      </c>
      <c r="L39">
        <v>0.8</v>
      </c>
    </row>
    <row r="40" spans="1:12">
      <c r="A40">
        <v>39</v>
      </c>
      <c r="C40" t="s">
        <v>65</v>
      </c>
      <c r="E40">
        <v>6</v>
      </c>
      <c r="F40">
        <v>3</v>
      </c>
      <c r="G40"/>
      <c r="H40" t="s">
        <v>21</v>
      </c>
      <c r="I40">
        <v>2</v>
      </c>
      <c r="J40" t="s">
        <v>15</v>
      </c>
      <c r="K40" t="str">
        <f t="shared" si="0"/>
        <v>Word Building Level 6</v>
      </c>
      <c r="L40">
        <v>0.9</v>
      </c>
    </row>
    <row r="41" spans="1:12">
      <c r="A41">
        <v>40</v>
      </c>
      <c r="C41" t="s">
        <v>66</v>
      </c>
      <c r="E41">
        <v>6</v>
      </c>
      <c r="F41">
        <v>4</v>
      </c>
      <c r="G41"/>
      <c r="H41" t="s">
        <v>23</v>
      </c>
      <c r="I41">
        <v>2</v>
      </c>
      <c r="J41" t="s">
        <v>15</v>
      </c>
      <c r="K41" t="str">
        <f t="shared" si="0"/>
        <v>Literature and Creative Writing Level 6</v>
      </c>
      <c r="L41">
        <v>0.8</v>
      </c>
    </row>
    <row r="42" spans="1:12">
      <c r="A42">
        <v>41</v>
      </c>
      <c r="B42" t="s">
        <v>67</v>
      </c>
      <c r="C42" t="s">
        <v>68</v>
      </c>
      <c r="E42">
        <v>6</v>
      </c>
      <c r="F42">
        <v>5</v>
      </c>
      <c r="G42"/>
      <c r="H42" t="s">
        <v>26</v>
      </c>
      <c r="I42">
        <v>2</v>
      </c>
      <c r="J42" t="s">
        <v>15</v>
      </c>
      <c r="K42" t="str">
        <f t="shared" si="0"/>
        <v>Science Level 6</v>
      </c>
      <c r="L42">
        <v>0.8</v>
      </c>
    </row>
    <row r="43" spans="1:12">
      <c r="A43">
        <v>42</v>
      </c>
      <c r="C43" t="s">
        <v>69</v>
      </c>
      <c r="E43">
        <v>6</v>
      </c>
      <c r="F43">
        <v>6</v>
      </c>
      <c r="H43" t="s">
        <v>28</v>
      </c>
      <c r="I43">
        <v>2</v>
      </c>
      <c r="J43" t="s">
        <v>15</v>
      </c>
      <c r="K43" t="str">
        <f t="shared" si="0"/>
        <v>Social Studies Level 6</v>
      </c>
      <c r="L43">
        <v>0.8</v>
      </c>
    </row>
    <row r="44" spans="1:12">
      <c r="A44">
        <v>43</v>
      </c>
      <c r="C44" t="s">
        <v>70</v>
      </c>
      <c r="E44">
        <v>6</v>
      </c>
      <c r="F44">
        <v>7</v>
      </c>
      <c r="G44"/>
      <c r="H44" t="s">
        <v>30</v>
      </c>
      <c r="I44">
        <v>1</v>
      </c>
      <c r="J44" t="s">
        <v>15</v>
      </c>
      <c r="K44" t="str">
        <f t="shared" si="0"/>
        <v>Bible Reading Level 6</v>
      </c>
      <c r="L44">
        <v>0.8</v>
      </c>
    </row>
    <row r="45" spans="1:12">
      <c r="A45">
        <v>44</v>
      </c>
      <c r="C45" t="s">
        <v>71</v>
      </c>
      <c r="E45">
        <v>7</v>
      </c>
      <c r="F45">
        <v>1</v>
      </c>
      <c r="G45"/>
      <c r="H45" t="s">
        <v>17</v>
      </c>
      <c r="I45">
        <v>2</v>
      </c>
      <c r="J45" t="s">
        <v>15</v>
      </c>
      <c r="K45" t="str">
        <f t="shared" si="0"/>
        <v>Maths Level 7</v>
      </c>
      <c r="L45">
        <v>0.8</v>
      </c>
    </row>
    <row r="46" spans="1:12">
      <c r="A46">
        <v>45</v>
      </c>
      <c r="C46" t="s">
        <v>72</v>
      </c>
      <c r="E46">
        <v>7</v>
      </c>
      <c r="F46">
        <v>2</v>
      </c>
      <c r="G46"/>
      <c r="H46" t="s">
        <v>19</v>
      </c>
      <c r="I46">
        <v>2</v>
      </c>
      <c r="J46" t="s">
        <v>15</v>
      </c>
      <c r="K46" t="str">
        <f t="shared" si="0"/>
        <v>English Level 7</v>
      </c>
      <c r="L46">
        <v>0.8</v>
      </c>
    </row>
    <row r="47" spans="1:12">
      <c r="A47">
        <v>46</v>
      </c>
      <c r="C47" t="s">
        <v>73</v>
      </c>
      <c r="E47">
        <v>7</v>
      </c>
      <c r="F47">
        <v>3</v>
      </c>
      <c r="G47"/>
      <c r="H47" t="s">
        <v>74</v>
      </c>
      <c r="I47">
        <v>2</v>
      </c>
      <c r="J47" t="s">
        <v>15</v>
      </c>
      <c r="K47" t="str">
        <f t="shared" si="0"/>
        <v>Beginning Art</v>
      </c>
      <c r="L47">
        <v>0.8</v>
      </c>
    </row>
    <row r="48" spans="1:12">
      <c r="A48">
        <v>47</v>
      </c>
      <c r="C48" t="s">
        <v>75</v>
      </c>
      <c r="E48">
        <v>7</v>
      </c>
      <c r="F48">
        <v>3</v>
      </c>
      <c r="G48"/>
      <c r="H48" t="s">
        <v>21</v>
      </c>
      <c r="I48">
        <v>2</v>
      </c>
      <c r="J48" t="s">
        <v>15</v>
      </c>
      <c r="K48" t="str">
        <f t="shared" si="0"/>
        <v>Word Building Level 7</v>
      </c>
      <c r="L48">
        <v>0.9</v>
      </c>
    </row>
    <row r="49" spans="1:13">
      <c r="A49">
        <v>48</v>
      </c>
      <c r="C49" t="s">
        <v>76</v>
      </c>
      <c r="E49">
        <v>7</v>
      </c>
      <c r="F49">
        <v>4</v>
      </c>
      <c r="G49" t="s">
        <v>77</v>
      </c>
      <c r="H49" t="s">
        <v>23</v>
      </c>
      <c r="I49">
        <v>2</v>
      </c>
      <c r="J49" t="s">
        <v>15</v>
      </c>
      <c r="K49" t="str">
        <f t="shared" si="0"/>
        <v>Literature Level 7</v>
      </c>
      <c r="L49">
        <v>0.8</v>
      </c>
    </row>
    <row r="50" spans="1:13">
      <c r="A50">
        <v>49</v>
      </c>
      <c r="B50" t="s">
        <v>78</v>
      </c>
      <c r="C50" t="s">
        <v>79</v>
      </c>
      <c r="E50">
        <v>7</v>
      </c>
      <c r="F50">
        <v>5</v>
      </c>
      <c r="G50"/>
      <c r="H50" t="s">
        <v>26</v>
      </c>
      <c r="I50">
        <v>2</v>
      </c>
      <c r="J50" t="s">
        <v>15</v>
      </c>
      <c r="K50" t="str">
        <f t="shared" si="0"/>
        <v>Science Level 7</v>
      </c>
      <c r="L50">
        <v>0.8</v>
      </c>
    </row>
    <row r="51" spans="1:13" ht="85.5">
      <c r="A51">
        <v>50</v>
      </c>
      <c r="C51" t="s">
        <v>80</v>
      </c>
      <c r="E51">
        <v>7</v>
      </c>
      <c r="F51">
        <v>6</v>
      </c>
      <c r="G51" s="3" t="s">
        <v>81</v>
      </c>
      <c r="H51" t="s">
        <v>28</v>
      </c>
      <c r="I51">
        <v>2</v>
      </c>
      <c r="J51" t="s">
        <v>15</v>
      </c>
      <c r="K51" t="str">
        <f t="shared" si="0"/>
        <v>Social Studies Level 7</v>
      </c>
      <c r="L51">
        <v>0.8</v>
      </c>
    </row>
    <row r="52" spans="1:13" ht="28.5">
      <c r="A52">
        <v>51</v>
      </c>
      <c r="C52" t="s">
        <v>82</v>
      </c>
      <c r="E52">
        <v>7</v>
      </c>
      <c r="F52">
        <v>6</v>
      </c>
      <c r="G52" s="3" t="s">
        <v>83</v>
      </c>
      <c r="H52" t="s">
        <v>84</v>
      </c>
      <c r="I52">
        <v>2</v>
      </c>
      <c r="J52" t="s">
        <v>15</v>
      </c>
      <c r="K52" t="str">
        <f t="shared" si="0"/>
        <v>Staatsinrichting</v>
      </c>
      <c r="L52">
        <v>0.8</v>
      </c>
    </row>
    <row r="53" spans="1:13">
      <c r="A53">
        <v>52</v>
      </c>
      <c r="C53" t="s">
        <v>85</v>
      </c>
      <c r="E53">
        <v>7</v>
      </c>
      <c r="F53">
        <v>7</v>
      </c>
      <c r="G53" s="4" t="s">
        <v>86</v>
      </c>
      <c r="H53" t="s">
        <v>30</v>
      </c>
      <c r="I53">
        <v>2</v>
      </c>
      <c r="J53" t="s">
        <v>15</v>
      </c>
      <c r="K53" t="str">
        <f t="shared" si="0"/>
        <v>Bible Reading Level 7</v>
      </c>
      <c r="L53">
        <v>0.8</v>
      </c>
    </row>
    <row r="54" spans="1:13">
      <c r="A54">
        <v>53</v>
      </c>
      <c r="C54" t="s">
        <v>87</v>
      </c>
      <c r="E54">
        <v>8</v>
      </c>
      <c r="F54">
        <v>1</v>
      </c>
      <c r="G54"/>
      <c r="H54" t="s">
        <v>88</v>
      </c>
      <c r="I54">
        <v>2</v>
      </c>
      <c r="J54" t="s">
        <v>15</v>
      </c>
      <c r="K54" t="str">
        <f t="shared" si="0"/>
        <v>General Maths</v>
      </c>
      <c r="L54">
        <v>0.8</v>
      </c>
    </row>
    <row r="55" spans="1:13">
      <c r="A55">
        <v>54</v>
      </c>
      <c r="C55" t="s">
        <v>89</v>
      </c>
      <c r="E55">
        <v>8</v>
      </c>
      <c r="F55">
        <v>2</v>
      </c>
      <c r="G55"/>
      <c r="H55" t="s">
        <v>19</v>
      </c>
      <c r="I55">
        <v>1</v>
      </c>
      <c r="J55" t="s">
        <v>15</v>
      </c>
      <c r="K55" t="str">
        <f t="shared" si="0"/>
        <v>General English</v>
      </c>
      <c r="L55">
        <v>0.8</v>
      </c>
    </row>
    <row r="56" spans="1:13">
      <c r="A56">
        <v>55</v>
      </c>
      <c r="C56" t="s">
        <v>90</v>
      </c>
      <c r="E56">
        <v>8</v>
      </c>
      <c r="F56">
        <v>3</v>
      </c>
      <c r="G56"/>
      <c r="H56" t="s">
        <v>21</v>
      </c>
      <c r="I56">
        <v>1</v>
      </c>
      <c r="J56" t="s">
        <v>15</v>
      </c>
      <c r="K56" t="str">
        <f t="shared" si="0"/>
        <v>Word Building Level 8</v>
      </c>
      <c r="L56">
        <v>0.9</v>
      </c>
    </row>
    <row r="57" spans="1:13">
      <c r="A57">
        <v>56</v>
      </c>
      <c r="C57" t="s">
        <v>91</v>
      </c>
      <c r="E57">
        <v>8</v>
      </c>
      <c r="F57">
        <v>4</v>
      </c>
      <c r="G57" t="s">
        <v>77</v>
      </c>
      <c r="H57" t="s">
        <v>23</v>
      </c>
      <c r="I57">
        <v>1</v>
      </c>
      <c r="J57" t="s">
        <v>15</v>
      </c>
      <c r="K57" t="str">
        <f t="shared" si="0"/>
        <v>Literature Level 8</v>
      </c>
      <c r="L57">
        <v>0.8</v>
      </c>
    </row>
    <row r="58" spans="1:13">
      <c r="A58">
        <v>57</v>
      </c>
      <c r="B58" t="s">
        <v>92</v>
      </c>
      <c r="C58" t="s">
        <v>93</v>
      </c>
      <c r="E58">
        <v>8</v>
      </c>
      <c r="F58">
        <v>5</v>
      </c>
      <c r="G58"/>
      <c r="H58" t="s">
        <v>94</v>
      </c>
      <c r="I58">
        <v>2</v>
      </c>
      <c r="J58" t="s">
        <v>15</v>
      </c>
      <c r="K58" t="s">
        <v>95</v>
      </c>
      <c r="L58">
        <v>0.8</v>
      </c>
    </row>
    <row r="59" spans="1:13" ht="71.25">
      <c r="A59">
        <v>58</v>
      </c>
      <c r="C59" t="s">
        <v>96</v>
      </c>
      <c r="D59" t="s">
        <v>97</v>
      </c>
      <c r="E59">
        <v>8</v>
      </c>
      <c r="F59">
        <v>6</v>
      </c>
      <c r="G59" s="3" t="s">
        <v>98</v>
      </c>
      <c r="H59" t="s">
        <v>99</v>
      </c>
      <c r="I59">
        <v>1</v>
      </c>
      <c r="J59" t="s">
        <v>100</v>
      </c>
      <c r="K59" t="s">
        <v>101</v>
      </c>
      <c r="L59">
        <v>0.8</v>
      </c>
    </row>
    <row r="60" spans="1:13" ht="142.5">
      <c r="A60">
        <v>59</v>
      </c>
      <c r="B60" t="s">
        <v>102</v>
      </c>
      <c r="C60" t="s">
        <v>102</v>
      </c>
      <c r="D60" t="s">
        <v>103</v>
      </c>
      <c r="E60">
        <v>10</v>
      </c>
      <c r="F60">
        <v>6</v>
      </c>
      <c r="G60" s="3" t="s">
        <v>104</v>
      </c>
      <c r="H60" t="s">
        <v>105</v>
      </c>
      <c r="I60">
        <v>1</v>
      </c>
      <c r="J60" t="s">
        <v>100</v>
      </c>
      <c r="K60" t="s">
        <v>106</v>
      </c>
      <c r="L60">
        <v>0.8</v>
      </c>
      <c r="M60" t="s">
        <v>107</v>
      </c>
    </row>
    <row r="61" spans="1:13">
      <c r="A61">
        <v>60</v>
      </c>
      <c r="B61" t="s">
        <v>108</v>
      </c>
      <c r="C61" t="s">
        <v>109</v>
      </c>
      <c r="E61">
        <v>8</v>
      </c>
      <c r="F61">
        <v>7</v>
      </c>
      <c r="G61"/>
      <c r="H61" t="s">
        <v>110</v>
      </c>
      <c r="I61">
        <v>1</v>
      </c>
      <c r="J61" t="s">
        <v>15</v>
      </c>
      <c r="K61" t="str">
        <f t="shared" ref="K61:K68" si="1">C61</f>
        <v>New Testament Survey</v>
      </c>
      <c r="L61">
        <v>0.8</v>
      </c>
    </row>
    <row r="62" spans="1:13">
      <c r="A62">
        <v>61</v>
      </c>
      <c r="C62" t="s">
        <v>111</v>
      </c>
      <c r="D62" t="s">
        <v>112</v>
      </c>
      <c r="E62">
        <v>9</v>
      </c>
      <c r="F62">
        <v>1</v>
      </c>
      <c r="G62"/>
      <c r="H62" t="s">
        <v>113</v>
      </c>
      <c r="I62">
        <v>1</v>
      </c>
      <c r="J62" t="s">
        <v>15</v>
      </c>
      <c r="K62" t="str">
        <f t="shared" si="1"/>
        <v>Algebra I</v>
      </c>
      <c r="L62">
        <v>0.8</v>
      </c>
    </row>
    <row r="63" spans="1:13">
      <c r="A63">
        <v>62</v>
      </c>
      <c r="C63" t="s">
        <v>114</v>
      </c>
      <c r="E63">
        <v>9</v>
      </c>
      <c r="F63">
        <v>2</v>
      </c>
      <c r="G63"/>
      <c r="H63" t="s">
        <v>19</v>
      </c>
      <c r="I63">
        <v>1</v>
      </c>
      <c r="J63" t="s">
        <v>15</v>
      </c>
      <c r="K63" t="str">
        <f t="shared" si="1"/>
        <v>English I</v>
      </c>
      <c r="L63">
        <v>0.8</v>
      </c>
    </row>
    <row r="64" spans="1:13">
      <c r="A64">
        <v>63</v>
      </c>
      <c r="C64" t="s">
        <v>115</v>
      </c>
      <c r="E64">
        <v>9</v>
      </c>
      <c r="F64">
        <v>2</v>
      </c>
      <c r="G64"/>
      <c r="H64" t="s">
        <v>116</v>
      </c>
      <c r="I64">
        <v>1</v>
      </c>
      <c r="J64" t="s">
        <v>100</v>
      </c>
      <c r="K64" t="str">
        <f t="shared" si="1"/>
        <v>French I</v>
      </c>
      <c r="L64">
        <v>0.8</v>
      </c>
    </row>
    <row r="65" spans="1:12">
      <c r="A65">
        <v>64</v>
      </c>
      <c r="C65" t="s">
        <v>117</v>
      </c>
      <c r="E65">
        <v>9</v>
      </c>
      <c r="F65">
        <v>2</v>
      </c>
      <c r="G65" t="s">
        <v>118</v>
      </c>
      <c r="H65" t="s">
        <v>119</v>
      </c>
      <c r="I65">
        <v>1</v>
      </c>
      <c r="J65" t="s">
        <v>100</v>
      </c>
      <c r="K65" t="str">
        <f t="shared" si="1"/>
        <v>Rosetta Stone Level 9</v>
      </c>
      <c r="L65">
        <v>0.8</v>
      </c>
    </row>
    <row r="66" spans="1:12">
      <c r="A66">
        <v>65</v>
      </c>
      <c r="C66" t="s">
        <v>120</v>
      </c>
      <c r="E66">
        <v>9</v>
      </c>
      <c r="F66">
        <v>2</v>
      </c>
      <c r="G66"/>
      <c r="H66" t="s">
        <v>94</v>
      </c>
      <c r="I66">
        <v>1</v>
      </c>
      <c r="J66" t="s">
        <v>100</v>
      </c>
      <c r="K66" t="str">
        <f t="shared" si="1"/>
        <v>Spanish I</v>
      </c>
      <c r="L66">
        <v>0.8</v>
      </c>
    </row>
    <row r="67" spans="1:12">
      <c r="A67">
        <v>66</v>
      </c>
      <c r="C67" t="s">
        <v>121</v>
      </c>
      <c r="E67">
        <v>9</v>
      </c>
      <c r="F67">
        <v>10</v>
      </c>
      <c r="G67"/>
      <c r="H67" t="s">
        <v>122</v>
      </c>
      <c r="I67">
        <v>2</v>
      </c>
      <c r="J67" t="s">
        <v>100</v>
      </c>
      <c r="K67" t="str">
        <f t="shared" si="1"/>
        <v>Advanced Art</v>
      </c>
      <c r="L67">
        <v>0.8</v>
      </c>
    </row>
    <row r="68" spans="1:12">
      <c r="A68">
        <v>67</v>
      </c>
      <c r="C68" t="s">
        <v>123</v>
      </c>
      <c r="E68">
        <v>9</v>
      </c>
      <c r="F68">
        <v>10</v>
      </c>
      <c r="G68"/>
      <c r="H68" t="s">
        <v>124</v>
      </c>
      <c r="I68">
        <v>2</v>
      </c>
      <c r="J68" t="s">
        <v>100</v>
      </c>
      <c r="K68" t="str">
        <f t="shared" si="1"/>
        <v>Complete Art</v>
      </c>
      <c r="L68">
        <v>0.8</v>
      </c>
    </row>
    <row r="69" spans="1:12">
      <c r="A69">
        <v>68</v>
      </c>
      <c r="C69" t="s">
        <v>125</v>
      </c>
      <c r="E69">
        <v>9</v>
      </c>
      <c r="F69">
        <v>3</v>
      </c>
      <c r="G69"/>
      <c r="H69" t="s">
        <v>126</v>
      </c>
      <c r="I69">
        <v>1</v>
      </c>
      <c r="J69" t="s">
        <v>15</v>
      </c>
      <c r="K69" t="s">
        <v>127</v>
      </c>
      <c r="L69">
        <v>0.9</v>
      </c>
    </row>
    <row r="70" spans="1:12">
      <c r="A70">
        <v>69</v>
      </c>
      <c r="C70" t="s">
        <v>128</v>
      </c>
      <c r="E70">
        <v>9</v>
      </c>
      <c r="F70">
        <v>10</v>
      </c>
      <c r="G70"/>
      <c r="H70" t="s">
        <v>129</v>
      </c>
      <c r="I70">
        <v>3</v>
      </c>
      <c r="J70" t="s">
        <v>100</v>
      </c>
      <c r="K70" t="str">
        <f t="shared" ref="K70:K75" si="2">C70</f>
        <v>Music</v>
      </c>
      <c r="L70">
        <v>0.8</v>
      </c>
    </row>
    <row r="71" spans="1:12">
      <c r="A71">
        <v>70</v>
      </c>
      <c r="C71" t="s">
        <v>130</v>
      </c>
      <c r="E71">
        <v>9</v>
      </c>
      <c r="F71">
        <v>10</v>
      </c>
      <c r="G71"/>
      <c r="H71" t="s">
        <v>131</v>
      </c>
      <c r="I71">
        <v>3</v>
      </c>
      <c r="J71" t="s">
        <v>100</v>
      </c>
      <c r="K71" t="str">
        <f t="shared" si="2"/>
        <v>Music Theory/Performance Grade 5</v>
      </c>
      <c r="L71">
        <v>0.8</v>
      </c>
    </row>
    <row r="72" spans="1:12">
      <c r="A72">
        <v>71</v>
      </c>
      <c r="C72" t="s">
        <v>132</v>
      </c>
      <c r="E72">
        <v>9</v>
      </c>
      <c r="F72">
        <v>10</v>
      </c>
      <c r="G72" t="s">
        <v>133</v>
      </c>
      <c r="H72" t="s">
        <v>131</v>
      </c>
      <c r="I72">
        <v>3</v>
      </c>
      <c r="J72" t="s">
        <v>100</v>
      </c>
      <c r="K72" t="str">
        <f t="shared" si="2"/>
        <v>Music Theory/Performance</v>
      </c>
      <c r="L72">
        <v>0.8</v>
      </c>
    </row>
    <row r="73" spans="1:12">
      <c r="A73">
        <v>72</v>
      </c>
      <c r="C73" t="s">
        <v>134</v>
      </c>
      <c r="E73">
        <v>9</v>
      </c>
      <c r="F73">
        <v>3</v>
      </c>
      <c r="G73"/>
      <c r="H73" t="s">
        <v>135</v>
      </c>
      <c r="I73">
        <v>3</v>
      </c>
      <c r="J73" t="s">
        <v>15</v>
      </c>
      <c r="K73" t="str">
        <f t="shared" si="2"/>
        <v>Speech</v>
      </c>
      <c r="L73">
        <v>0.8</v>
      </c>
    </row>
    <row r="74" spans="1:12">
      <c r="A74">
        <v>73</v>
      </c>
      <c r="C74" s="5" t="s">
        <v>136</v>
      </c>
      <c r="D74" s="5"/>
      <c r="E74">
        <v>9</v>
      </c>
      <c r="F74">
        <v>4</v>
      </c>
      <c r="G74" t="s">
        <v>137</v>
      </c>
      <c r="H74" t="s">
        <v>138</v>
      </c>
      <c r="I74">
        <v>2</v>
      </c>
      <c r="J74" t="s">
        <v>15</v>
      </c>
      <c r="K74" t="str">
        <f t="shared" si="2"/>
        <v>ICCE Literature Level 9</v>
      </c>
      <c r="L74">
        <v>0.8</v>
      </c>
    </row>
    <row r="75" spans="1:12">
      <c r="A75">
        <v>74</v>
      </c>
      <c r="C75" t="s">
        <v>139</v>
      </c>
      <c r="E75">
        <v>9</v>
      </c>
      <c r="F75">
        <v>5</v>
      </c>
      <c r="G75"/>
      <c r="H75" t="s">
        <v>140</v>
      </c>
      <c r="I75">
        <v>2</v>
      </c>
      <c r="J75" t="s">
        <v>100</v>
      </c>
      <c r="K75" t="str">
        <f t="shared" si="2"/>
        <v>Astronomy</v>
      </c>
      <c r="L75">
        <v>0.8</v>
      </c>
    </row>
    <row r="76" spans="1:12">
      <c r="A76">
        <v>75</v>
      </c>
      <c r="B76" t="s">
        <v>141</v>
      </c>
      <c r="C76" t="s">
        <v>142</v>
      </c>
      <c r="E76">
        <v>9</v>
      </c>
      <c r="F76">
        <v>5</v>
      </c>
      <c r="G76"/>
      <c r="H76" t="s">
        <v>143</v>
      </c>
      <c r="I76">
        <v>2</v>
      </c>
      <c r="J76" t="s">
        <v>15</v>
      </c>
      <c r="K76" t="s">
        <v>144</v>
      </c>
      <c r="L76">
        <v>0.8</v>
      </c>
    </row>
    <row r="77" spans="1:12">
      <c r="A77">
        <v>76</v>
      </c>
      <c r="C77" t="s">
        <v>145</v>
      </c>
      <c r="E77">
        <v>9</v>
      </c>
      <c r="F77">
        <v>5</v>
      </c>
      <c r="G77"/>
      <c r="H77" t="s">
        <v>146</v>
      </c>
      <c r="I77">
        <v>2</v>
      </c>
      <c r="J77" t="s">
        <v>100</v>
      </c>
      <c r="K77" t="str">
        <f>C77</f>
        <v>Health</v>
      </c>
      <c r="L77">
        <v>0.8</v>
      </c>
    </row>
    <row r="78" spans="1:12">
      <c r="A78">
        <v>77</v>
      </c>
      <c r="C78" t="s">
        <v>147</v>
      </c>
      <c r="E78">
        <v>9</v>
      </c>
      <c r="F78">
        <v>5</v>
      </c>
      <c r="G78"/>
      <c r="H78" t="s">
        <v>148</v>
      </c>
      <c r="I78">
        <v>2</v>
      </c>
      <c r="J78" t="s">
        <v>100</v>
      </c>
      <c r="K78" t="str">
        <f>C78</f>
        <v>Nutrition Science</v>
      </c>
      <c r="L78">
        <v>0.8</v>
      </c>
    </row>
    <row r="79" spans="1:12">
      <c r="A79">
        <v>78</v>
      </c>
      <c r="C79" s="5" t="s">
        <v>149</v>
      </c>
      <c r="D79" s="5"/>
      <c r="E79">
        <v>9</v>
      </c>
      <c r="F79">
        <v>5</v>
      </c>
      <c r="G79" t="s">
        <v>150</v>
      </c>
      <c r="H79" t="s">
        <v>135</v>
      </c>
      <c r="I79">
        <v>3</v>
      </c>
      <c r="J79" t="s">
        <v>100</v>
      </c>
      <c r="K79" t="str">
        <f>C79</f>
        <v>Sport + Health</v>
      </c>
      <c r="L79">
        <v>0.8</v>
      </c>
    </row>
    <row r="80" spans="1:12">
      <c r="A80">
        <v>79</v>
      </c>
      <c r="C80" s="4" t="s">
        <v>151</v>
      </c>
      <c r="D80" s="4"/>
      <c r="E80">
        <v>9</v>
      </c>
      <c r="F80">
        <v>10</v>
      </c>
      <c r="G80"/>
      <c r="H80" t="s">
        <v>152</v>
      </c>
      <c r="I80">
        <v>4</v>
      </c>
      <c r="J80" t="s">
        <v>100</v>
      </c>
      <c r="K80" t="str">
        <f>C80</f>
        <v>A.C.E. Training</v>
      </c>
      <c r="L80">
        <v>0.8</v>
      </c>
    </row>
    <row r="81" spans="1:12">
      <c r="A81">
        <v>80</v>
      </c>
      <c r="C81" t="s">
        <v>153</v>
      </c>
      <c r="D81" t="s">
        <v>154</v>
      </c>
      <c r="E81">
        <v>9</v>
      </c>
      <c r="F81">
        <v>6</v>
      </c>
      <c r="H81" t="s">
        <v>155</v>
      </c>
      <c r="I81">
        <v>2</v>
      </c>
      <c r="J81" t="s">
        <v>15</v>
      </c>
      <c r="K81" t="s">
        <v>156</v>
      </c>
      <c r="L81">
        <v>0.8</v>
      </c>
    </row>
    <row r="82" spans="1:12">
      <c r="A82">
        <v>81</v>
      </c>
      <c r="C82" t="s">
        <v>157</v>
      </c>
      <c r="D82" t="s">
        <v>158</v>
      </c>
      <c r="E82">
        <v>9</v>
      </c>
      <c r="F82">
        <v>7</v>
      </c>
      <c r="G82" t="s">
        <v>159</v>
      </c>
      <c r="H82" t="s">
        <v>160</v>
      </c>
      <c r="I82">
        <v>1</v>
      </c>
      <c r="J82" t="s">
        <v>15</v>
      </c>
      <c r="K82" t="str">
        <f t="shared" ref="K82:K90" si="3">C82</f>
        <v>Apologetics I</v>
      </c>
      <c r="L82">
        <v>0.8</v>
      </c>
    </row>
    <row r="83" spans="1:12">
      <c r="A83">
        <v>82</v>
      </c>
      <c r="C83" t="s">
        <v>161</v>
      </c>
      <c r="E83">
        <v>9</v>
      </c>
      <c r="F83">
        <v>7</v>
      </c>
      <c r="G83"/>
      <c r="H83" t="s">
        <v>162</v>
      </c>
      <c r="I83">
        <v>1</v>
      </c>
      <c r="J83" t="s">
        <v>100</v>
      </c>
      <c r="K83" t="str">
        <f t="shared" si="3"/>
        <v>Missions</v>
      </c>
      <c r="L83">
        <v>0.8</v>
      </c>
    </row>
    <row r="84" spans="1:12">
      <c r="A84">
        <v>83</v>
      </c>
      <c r="B84" t="s">
        <v>163</v>
      </c>
      <c r="C84" t="s">
        <v>163</v>
      </c>
      <c r="E84">
        <v>9</v>
      </c>
      <c r="F84">
        <v>7</v>
      </c>
      <c r="G84" t="s">
        <v>164</v>
      </c>
      <c r="H84" t="s">
        <v>165</v>
      </c>
      <c r="I84">
        <v>1</v>
      </c>
      <c r="J84" t="s">
        <v>15</v>
      </c>
      <c r="K84" t="str">
        <f t="shared" si="3"/>
        <v>Successful Living</v>
      </c>
      <c r="L84">
        <v>0.8</v>
      </c>
    </row>
    <row r="85" spans="1:12">
      <c r="A85">
        <v>84</v>
      </c>
      <c r="C85" s="4" t="s">
        <v>166</v>
      </c>
      <c r="D85" s="4"/>
      <c r="E85">
        <v>9</v>
      </c>
      <c r="F85">
        <v>10</v>
      </c>
      <c r="G85"/>
      <c r="H85" t="s">
        <v>167</v>
      </c>
      <c r="I85">
        <v>4</v>
      </c>
      <c r="J85" t="s">
        <v>100</v>
      </c>
      <c r="K85" t="str">
        <f t="shared" si="3"/>
        <v>A.C.E. Training + 30 hours of service</v>
      </c>
      <c r="L85">
        <v>0.8</v>
      </c>
    </row>
    <row r="86" spans="1:12">
      <c r="A86">
        <v>85</v>
      </c>
      <c r="C86" t="s">
        <v>168</v>
      </c>
      <c r="E86">
        <v>9</v>
      </c>
      <c r="F86">
        <v>10</v>
      </c>
      <c r="G86" s="4" t="s">
        <v>169</v>
      </c>
      <c r="H86" t="s">
        <v>170</v>
      </c>
      <c r="I86">
        <v>3</v>
      </c>
      <c r="J86" t="s">
        <v>15</v>
      </c>
      <c r="K86" t="str">
        <f t="shared" si="3"/>
        <v>ECDL Course</v>
      </c>
      <c r="L86">
        <v>0.8</v>
      </c>
    </row>
    <row r="87" spans="1:12">
      <c r="A87">
        <v>86</v>
      </c>
      <c r="C87" t="s">
        <v>171</v>
      </c>
      <c r="D87" t="s">
        <v>172</v>
      </c>
      <c r="E87">
        <v>10</v>
      </c>
      <c r="F87">
        <v>1</v>
      </c>
      <c r="G87"/>
      <c r="H87" t="s">
        <v>173</v>
      </c>
      <c r="I87">
        <v>2</v>
      </c>
      <c r="J87" t="s">
        <v>15</v>
      </c>
      <c r="K87" t="str">
        <f t="shared" si="3"/>
        <v>Geometry</v>
      </c>
      <c r="L87">
        <v>0.8</v>
      </c>
    </row>
    <row r="88" spans="1:12">
      <c r="A88">
        <v>87</v>
      </c>
      <c r="C88" t="s">
        <v>174</v>
      </c>
      <c r="E88">
        <v>10</v>
      </c>
      <c r="F88">
        <v>2</v>
      </c>
      <c r="G88"/>
      <c r="H88" t="s">
        <v>19</v>
      </c>
      <c r="I88">
        <v>2</v>
      </c>
      <c r="J88" t="s">
        <v>15</v>
      </c>
      <c r="K88" t="str">
        <f t="shared" si="3"/>
        <v>English II</v>
      </c>
      <c r="L88">
        <v>0.8</v>
      </c>
    </row>
    <row r="89" spans="1:12">
      <c r="A89">
        <v>88</v>
      </c>
      <c r="C89" t="s">
        <v>175</v>
      </c>
      <c r="E89">
        <v>10</v>
      </c>
      <c r="F89">
        <v>2</v>
      </c>
      <c r="G89" t="s">
        <v>176</v>
      </c>
      <c r="H89" t="s">
        <v>119</v>
      </c>
      <c r="I89">
        <v>2</v>
      </c>
      <c r="J89" t="s">
        <v>100</v>
      </c>
      <c r="K89" t="str">
        <f t="shared" si="3"/>
        <v>Rosetta Stone Level 10</v>
      </c>
      <c r="L89">
        <v>0.8</v>
      </c>
    </row>
    <row r="90" spans="1:12">
      <c r="A90">
        <v>89</v>
      </c>
      <c r="C90" t="s">
        <v>177</v>
      </c>
      <c r="E90">
        <v>10</v>
      </c>
      <c r="F90">
        <v>10</v>
      </c>
      <c r="G90"/>
      <c r="H90" t="s">
        <v>131</v>
      </c>
      <c r="I90">
        <v>3</v>
      </c>
      <c r="J90" t="s">
        <v>100</v>
      </c>
      <c r="K90" t="str">
        <f t="shared" si="3"/>
        <v>Music Theory/Performance Grade 6</v>
      </c>
      <c r="L90">
        <v>0.8</v>
      </c>
    </row>
    <row r="91" spans="1:12">
      <c r="A91">
        <v>90</v>
      </c>
      <c r="B91" t="s">
        <v>178</v>
      </c>
      <c r="C91" t="s">
        <v>179</v>
      </c>
      <c r="E91">
        <v>10</v>
      </c>
      <c r="F91">
        <v>5</v>
      </c>
      <c r="G91" t="s">
        <v>180</v>
      </c>
      <c r="H91" t="s">
        <v>181</v>
      </c>
      <c r="I91">
        <v>2</v>
      </c>
      <c r="J91" t="s">
        <v>15</v>
      </c>
      <c r="K91" t="s">
        <v>182</v>
      </c>
      <c r="L91">
        <v>0.8</v>
      </c>
    </row>
    <row r="92" spans="1:12">
      <c r="A92">
        <v>91</v>
      </c>
      <c r="B92" t="s">
        <v>183</v>
      </c>
      <c r="C92" t="s">
        <v>183</v>
      </c>
      <c r="D92" t="s">
        <v>103</v>
      </c>
      <c r="E92">
        <v>10</v>
      </c>
      <c r="F92">
        <v>6</v>
      </c>
      <c r="H92" t="s">
        <v>184</v>
      </c>
      <c r="I92">
        <v>2</v>
      </c>
      <c r="J92" t="s">
        <v>15</v>
      </c>
      <c r="K92" s="4" t="s">
        <v>185</v>
      </c>
      <c r="L92">
        <v>0.8</v>
      </c>
    </row>
    <row r="93" spans="1:12">
      <c r="A93">
        <v>92</v>
      </c>
      <c r="C93" t="s">
        <v>186</v>
      </c>
      <c r="D93" t="s">
        <v>187</v>
      </c>
      <c r="E93">
        <v>10</v>
      </c>
      <c r="F93">
        <v>7</v>
      </c>
      <c r="G93" t="s">
        <v>188</v>
      </c>
      <c r="H93" t="s">
        <v>160</v>
      </c>
      <c r="I93">
        <v>1</v>
      </c>
      <c r="J93" t="s">
        <v>100</v>
      </c>
      <c r="K93" t="str">
        <f t="shared" ref="K93:K105" si="4">C93</f>
        <v>Apologetics II</v>
      </c>
      <c r="L93">
        <v>0.8</v>
      </c>
    </row>
    <row r="94" spans="1:12">
      <c r="A94">
        <v>93</v>
      </c>
      <c r="C94" t="s">
        <v>189</v>
      </c>
      <c r="E94">
        <v>10</v>
      </c>
      <c r="F94">
        <v>7</v>
      </c>
      <c r="G94" t="s">
        <v>190</v>
      </c>
      <c r="H94" t="s">
        <v>191</v>
      </c>
      <c r="I94">
        <v>1</v>
      </c>
      <c r="J94" t="s">
        <v>100</v>
      </c>
      <c r="K94" t="str">
        <f t="shared" si="4"/>
        <v>Christian Counselling I</v>
      </c>
      <c r="L94">
        <v>0.8</v>
      </c>
    </row>
    <row r="95" spans="1:12">
      <c r="A95">
        <v>94</v>
      </c>
      <c r="C95" t="s">
        <v>192</v>
      </c>
      <c r="E95">
        <v>10</v>
      </c>
      <c r="F95">
        <v>7</v>
      </c>
      <c r="G95"/>
      <c r="H95" t="s">
        <v>23</v>
      </c>
      <c r="I95">
        <v>1</v>
      </c>
      <c r="J95" t="s">
        <v>100</v>
      </c>
      <c r="K95" t="str">
        <f t="shared" si="4"/>
        <v>Life of Christ I</v>
      </c>
      <c r="L95">
        <v>0.8</v>
      </c>
    </row>
    <row r="96" spans="1:12">
      <c r="A96">
        <v>95</v>
      </c>
      <c r="B96" t="s">
        <v>193</v>
      </c>
      <c r="C96" t="s">
        <v>194</v>
      </c>
      <c r="D96" t="s">
        <v>195</v>
      </c>
      <c r="E96">
        <v>10</v>
      </c>
      <c r="F96">
        <v>7</v>
      </c>
      <c r="G96" s="4" t="s">
        <v>196</v>
      </c>
      <c r="H96" t="s">
        <v>197</v>
      </c>
      <c r="I96">
        <v>1</v>
      </c>
      <c r="J96" t="s">
        <v>15</v>
      </c>
      <c r="K96" t="str">
        <f t="shared" si="4"/>
        <v>Old Testament Survey</v>
      </c>
      <c r="L96">
        <v>0.8</v>
      </c>
    </row>
    <row r="97" spans="1:12">
      <c r="A97">
        <v>96</v>
      </c>
      <c r="C97" t="s">
        <v>198</v>
      </c>
      <c r="E97">
        <v>10</v>
      </c>
      <c r="F97">
        <v>10</v>
      </c>
      <c r="G97"/>
      <c r="H97" t="s">
        <v>199</v>
      </c>
      <c r="I97">
        <v>3</v>
      </c>
      <c r="J97" t="s">
        <v>100</v>
      </c>
      <c r="K97" t="str">
        <f t="shared" si="4"/>
        <v>Auto Mechanics</v>
      </c>
      <c r="L97">
        <v>0.8</v>
      </c>
    </row>
    <row r="98" spans="1:12">
      <c r="A98">
        <v>97</v>
      </c>
      <c r="C98" t="s">
        <v>200</v>
      </c>
      <c r="E98">
        <v>10</v>
      </c>
      <c r="F98">
        <v>10</v>
      </c>
      <c r="G98" t="s">
        <v>201</v>
      </c>
      <c r="H98" t="s">
        <v>202</v>
      </c>
      <c r="I98">
        <v>3</v>
      </c>
      <c r="J98" t="s">
        <v>100</v>
      </c>
      <c r="K98" t="str">
        <f t="shared" si="4"/>
        <v>ICT Course</v>
      </c>
      <c r="L98">
        <v>0.8</v>
      </c>
    </row>
    <row r="99" spans="1:12">
      <c r="A99">
        <v>98</v>
      </c>
      <c r="C99" t="s">
        <v>203</v>
      </c>
      <c r="E99">
        <v>11</v>
      </c>
      <c r="F99">
        <v>1</v>
      </c>
      <c r="G99"/>
      <c r="H99" t="s">
        <v>113</v>
      </c>
      <c r="I99">
        <v>2</v>
      </c>
      <c r="J99" t="s">
        <v>15</v>
      </c>
      <c r="K99" t="str">
        <f t="shared" si="4"/>
        <v>Algebra II</v>
      </c>
      <c r="L99">
        <v>0.8</v>
      </c>
    </row>
    <row r="100" spans="1:12">
      <c r="A100">
        <v>99</v>
      </c>
      <c r="C100" t="s">
        <v>204</v>
      </c>
      <c r="E100">
        <v>11</v>
      </c>
      <c r="F100">
        <v>4</v>
      </c>
      <c r="G100"/>
      <c r="H100" t="s">
        <v>205</v>
      </c>
      <c r="I100">
        <v>2</v>
      </c>
      <c r="J100" t="s">
        <v>15</v>
      </c>
      <c r="K100" t="str">
        <f t="shared" si="4"/>
        <v>British Literature</v>
      </c>
      <c r="L100">
        <v>0.8</v>
      </c>
    </row>
    <row r="101" spans="1:12">
      <c r="A101">
        <v>100</v>
      </c>
      <c r="C101" t="s">
        <v>206</v>
      </c>
      <c r="E101">
        <v>11</v>
      </c>
      <c r="F101">
        <v>2</v>
      </c>
      <c r="G101" s="4" t="s">
        <v>207</v>
      </c>
      <c r="H101" t="s">
        <v>208</v>
      </c>
      <c r="I101">
        <v>2</v>
      </c>
      <c r="J101" t="s">
        <v>15</v>
      </c>
      <c r="K101" t="str">
        <f t="shared" si="4"/>
        <v>Dutch Language Staatsexamen HAVO</v>
      </c>
      <c r="L101">
        <v>0.8</v>
      </c>
    </row>
    <row r="102" spans="1:12">
      <c r="A102">
        <v>101</v>
      </c>
      <c r="C102" t="s">
        <v>209</v>
      </c>
      <c r="E102">
        <v>11</v>
      </c>
      <c r="F102">
        <v>2</v>
      </c>
      <c r="G102"/>
      <c r="H102" t="s">
        <v>19</v>
      </c>
      <c r="I102">
        <v>2</v>
      </c>
      <c r="J102" t="s">
        <v>15</v>
      </c>
      <c r="K102" t="str">
        <f t="shared" si="4"/>
        <v>English III</v>
      </c>
      <c r="L102">
        <v>0.8</v>
      </c>
    </row>
    <row r="103" spans="1:12">
      <c r="A103">
        <v>102</v>
      </c>
      <c r="C103" s="4" t="s">
        <v>210</v>
      </c>
      <c r="D103" s="4"/>
      <c r="E103" s="4">
        <v>10</v>
      </c>
      <c r="F103">
        <v>4</v>
      </c>
      <c r="G103" t="s">
        <v>211</v>
      </c>
      <c r="H103" t="s">
        <v>212</v>
      </c>
      <c r="I103">
        <v>2</v>
      </c>
      <c r="J103" t="s">
        <v>100</v>
      </c>
      <c r="K103" t="str">
        <f t="shared" si="4"/>
        <v>ICCE Literature 10 Part 1</v>
      </c>
      <c r="L103">
        <v>0.8</v>
      </c>
    </row>
    <row r="104" spans="1:12">
      <c r="A104">
        <v>103</v>
      </c>
      <c r="C104" s="4" t="s">
        <v>213</v>
      </c>
      <c r="D104" s="4"/>
      <c r="E104" s="4">
        <v>10</v>
      </c>
      <c r="F104">
        <v>4</v>
      </c>
      <c r="G104" t="s">
        <v>214</v>
      </c>
      <c r="H104" t="s">
        <v>212</v>
      </c>
      <c r="I104">
        <v>2</v>
      </c>
      <c r="J104" t="s">
        <v>100</v>
      </c>
      <c r="K104" t="str">
        <f t="shared" si="4"/>
        <v>ICCE Literature 10</v>
      </c>
      <c r="L104">
        <v>0.8</v>
      </c>
    </row>
    <row r="105" spans="1:12">
      <c r="A105">
        <v>104</v>
      </c>
      <c r="C105" t="s">
        <v>215</v>
      </c>
      <c r="E105">
        <v>11</v>
      </c>
      <c r="F105">
        <v>2</v>
      </c>
      <c r="G105"/>
      <c r="H105" t="s">
        <v>216</v>
      </c>
      <c r="I105">
        <v>2</v>
      </c>
      <c r="J105" t="s">
        <v>100</v>
      </c>
      <c r="K105" t="str">
        <f t="shared" si="4"/>
        <v>N.T. Greek I</v>
      </c>
      <c r="L105">
        <v>0.8</v>
      </c>
    </row>
    <row r="106" spans="1:12">
      <c r="A106">
        <v>105</v>
      </c>
      <c r="B106" t="s">
        <v>217</v>
      </c>
      <c r="C106" t="s">
        <v>218</v>
      </c>
      <c r="E106">
        <v>11</v>
      </c>
      <c r="F106">
        <v>5</v>
      </c>
      <c r="G106"/>
      <c r="H106" t="s">
        <v>219</v>
      </c>
      <c r="I106">
        <v>2</v>
      </c>
      <c r="J106" t="s">
        <v>15</v>
      </c>
      <c r="K106" t="s">
        <v>220</v>
      </c>
      <c r="L106">
        <v>0.8</v>
      </c>
    </row>
    <row r="107" spans="1:12">
      <c r="A107">
        <v>106</v>
      </c>
      <c r="B107" t="s">
        <v>221</v>
      </c>
      <c r="C107" t="s">
        <v>222</v>
      </c>
      <c r="D107" t="s">
        <v>223</v>
      </c>
      <c r="E107">
        <v>12</v>
      </c>
      <c r="F107">
        <v>7</v>
      </c>
      <c r="G107"/>
      <c r="H107" t="s">
        <v>224</v>
      </c>
      <c r="I107">
        <v>1</v>
      </c>
      <c r="J107" t="s">
        <v>15</v>
      </c>
      <c r="K107" t="str">
        <f t="shared" ref="K107:K117" si="5">C107</f>
        <v>New Testament Church History</v>
      </c>
      <c r="L107">
        <v>0.8</v>
      </c>
    </row>
    <row r="108" spans="1:12">
      <c r="A108">
        <v>107</v>
      </c>
      <c r="C108" t="s">
        <v>225</v>
      </c>
      <c r="E108">
        <v>12</v>
      </c>
      <c r="F108">
        <v>1</v>
      </c>
      <c r="G108"/>
      <c r="H108" t="s">
        <v>152</v>
      </c>
      <c r="I108">
        <v>3</v>
      </c>
      <c r="J108" t="s">
        <v>100</v>
      </c>
      <c r="K108" t="str">
        <f t="shared" si="5"/>
        <v>Accounting (US)</v>
      </c>
      <c r="L108">
        <v>0.8</v>
      </c>
    </row>
    <row r="109" spans="1:12">
      <c r="A109">
        <v>108</v>
      </c>
      <c r="B109" t="s">
        <v>226</v>
      </c>
      <c r="C109" t="s">
        <v>227</v>
      </c>
      <c r="E109">
        <v>12</v>
      </c>
      <c r="F109">
        <v>1</v>
      </c>
      <c r="G109"/>
      <c r="H109" t="s">
        <v>228</v>
      </c>
      <c r="I109">
        <v>2</v>
      </c>
      <c r="J109" t="s">
        <v>100</v>
      </c>
      <c r="K109" t="str">
        <f t="shared" si="5"/>
        <v>College Maths I</v>
      </c>
      <c r="L109">
        <v>0.8</v>
      </c>
    </row>
    <row r="110" spans="1:12">
      <c r="A110">
        <v>109</v>
      </c>
      <c r="B110" t="s">
        <v>229</v>
      </c>
      <c r="C110" t="s">
        <v>230</v>
      </c>
      <c r="E110">
        <v>12</v>
      </c>
      <c r="F110">
        <v>1</v>
      </c>
      <c r="G110"/>
      <c r="H110" t="s">
        <v>228</v>
      </c>
      <c r="I110">
        <v>2</v>
      </c>
      <c r="J110" t="s">
        <v>100</v>
      </c>
      <c r="K110" t="str">
        <f t="shared" si="5"/>
        <v>College Maths II</v>
      </c>
      <c r="L110">
        <v>0.8</v>
      </c>
    </row>
    <row r="111" spans="1:12">
      <c r="A111">
        <v>110</v>
      </c>
      <c r="C111" t="s">
        <v>231</v>
      </c>
      <c r="E111">
        <v>12</v>
      </c>
      <c r="F111">
        <v>1</v>
      </c>
      <c r="G111"/>
      <c r="H111" t="s">
        <v>232</v>
      </c>
      <c r="I111">
        <v>2</v>
      </c>
      <c r="J111" t="s">
        <v>100</v>
      </c>
      <c r="K111" t="str">
        <f t="shared" si="5"/>
        <v>Higher Maths</v>
      </c>
      <c r="L111">
        <v>0.8</v>
      </c>
    </row>
    <row r="112" spans="1:12">
      <c r="A112">
        <v>111</v>
      </c>
      <c r="C112" t="s">
        <v>233</v>
      </c>
      <c r="E112">
        <v>12</v>
      </c>
      <c r="F112">
        <v>1</v>
      </c>
      <c r="G112"/>
      <c r="H112" t="s">
        <v>234</v>
      </c>
      <c r="I112">
        <v>2</v>
      </c>
      <c r="J112" t="s">
        <v>100</v>
      </c>
      <c r="K112" t="str">
        <f t="shared" si="5"/>
        <v>Trigonometry</v>
      </c>
      <c r="L112">
        <v>0.8</v>
      </c>
    </row>
    <row r="113" spans="1:13">
      <c r="A113">
        <v>112</v>
      </c>
      <c r="C113" t="s">
        <v>235</v>
      </c>
      <c r="E113">
        <v>12</v>
      </c>
      <c r="F113">
        <v>2</v>
      </c>
      <c r="G113" t="s">
        <v>236</v>
      </c>
      <c r="H113" t="s">
        <v>237</v>
      </c>
      <c r="I113">
        <v>2</v>
      </c>
      <c r="J113" t="s">
        <v>100</v>
      </c>
      <c r="K113" t="str">
        <f t="shared" si="5"/>
        <v>English Composition II</v>
      </c>
      <c r="L113">
        <v>0.8</v>
      </c>
    </row>
    <row r="114" spans="1:13">
      <c r="A114">
        <v>113</v>
      </c>
      <c r="C114" t="s">
        <v>238</v>
      </c>
      <c r="E114">
        <v>12</v>
      </c>
      <c r="F114">
        <v>2</v>
      </c>
      <c r="G114" s="4" t="s">
        <v>239</v>
      </c>
      <c r="H114" t="s">
        <v>19</v>
      </c>
      <c r="I114">
        <v>2</v>
      </c>
      <c r="J114" t="s">
        <v>15</v>
      </c>
      <c r="K114" t="str">
        <f t="shared" si="5"/>
        <v>English IV</v>
      </c>
      <c r="L114">
        <v>0.8</v>
      </c>
    </row>
    <row r="115" spans="1:13">
      <c r="A115">
        <v>114</v>
      </c>
      <c r="C115" t="s">
        <v>240</v>
      </c>
      <c r="E115">
        <v>12</v>
      </c>
      <c r="F115">
        <v>2</v>
      </c>
      <c r="G115" s="4" t="s">
        <v>241</v>
      </c>
      <c r="H115" t="s">
        <v>216</v>
      </c>
      <c r="I115">
        <v>2</v>
      </c>
      <c r="J115" t="s">
        <v>100</v>
      </c>
      <c r="K115" t="str">
        <f t="shared" si="5"/>
        <v>N.T. Greek II</v>
      </c>
      <c r="L115">
        <v>0.8</v>
      </c>
    </row>
    <row r="116" spans="1:13">
      <c r="A116">
        <v>115</v>
      </c>
      <c r="C116" t="s">
        <v>242</v>
      </c>
      <c r="E116">
        <v>12</v>
      </c>
      <c r="F116">
        <v>10</v>
      </c>
      <c r="G116"/>
      <c r="H116" t="s">
        <v>131</v>
      </c>
      <c r="I116">
        <v>3</v>
      </c>
      <c r="J116" t="s">
        <v>100</v>
      </c>
      <c r="K116" t="str">
        <f t="shared" si="5"/>
        <v>Music Theory/Performance Grade 7/8</v>
      </c>
      <c r="L116">
        <v>0.8</v>
      </c>
    </row>
    <row r="117" spans="1:13">
      <c r="A117">
        <v>116</v>
      </c>
      <c r="B117" t="s">
        <v>243</v>
      </c>
      <c r="C117" t="s">
        <v>244</v>
      </c>
      <c r="E117">
        <v>12</v>
      </c>
      <c r="F117">
        <v>5</v>
      </c>
      <c r="G117"/>
      <c r="H117" t="s">
        <v>245</v>
      </c>
      <c r="I117">
        <v>2</v>
      </c>
      <c r="J117" t="s">
        <v>100</v>
      </c>
      <c r="K117" t="str">
        <f t="shared" si="5"/>
        <v>College Physical Science</v>
      </c>
      <c r="L117">
        <v>0.8</v>
      </c>
    </row>
    <row r="118" spans="1:13">
      <c r="A118">
        <v>117</v>
      </c>
      <c r="B118" t="s">
        <v>246</v>
      </c>
      <c r="C118" t="s">
        <v>247</v>
      </c>
      <c r="E118" s="4">
        <v>12</v>
      </c>
      <c r="F118">
        <v>5</v>
      </c>
      <c r="G118"/>
      <c r="H118" t="s">
        <v>248</v>
      </c>
      <c r="I118">
        <v>2</v>
      </c>
      <c r="J118" t="s">
        <v>100</v>
      </c>
      <c r="K118" t="s">
        <v>249</v>
      </c>
      <c r="L118">
        <v>0.8</v>
      </c>
    </row>
    <row r="119" spans="1:13">
      <c r="A119">
        <v>118</v>
      </c>
      <c r="C119" t="s">
        <v>250</v>
      </c>
      <c r="D119" t="s">
        <v>251</v>
      </c>
      <c r="E119">
        <v>8</v>
      </c>
      <c r="F119">
        <v>6</v>
      </c>
      <c r="G119" s="3" t="s">
        <v>252</v>
      </c>
      <c r="H119" t="s">
        <v>253</v>
      </c>
      <c r="I119">
        <v>2</v>
      </c>
      <c r="J119" t="s">
        <v>100</v>
      </c>
      <c r="K119" t="s">
        <v>254</v>
      </c>
      <c r="L119">
        <v>0.8</v>
      </c>
    </row>
    <row r="120" spans="1:13">
      <c r="A120">
        <v>119</v>
      </c>
      <c r="B120" t="s">
        <v>255</v>
      </c>
      <c r="C120" t="s">
        <v>255</v>
      </c>
      <c r="E120">
        <v>12</v>
      </c>
      <c r="F120">
        <v>6</v>
      </c>
      <c r="G120" s="3" t="s">
        <v>256</v>
      </c>
      <c r="H120" t="s">
        <v>257</v>
      </c>
      <c r="I120">
        <v>2</v>
      </c>
      <c r="J120" t="s">
        <v>100</v>
      </c>
      <c r="K120" s="4" t="s">
        <v>258</v>
      </c>
      <c r="L120">
        <v>0.8</v>
      </c>
    </row>
    <row r="121" spans="1:13">
      <c r="A121">
        <v>120</v>
      </c>
      <c r="C121" t="s">
        <v>259</v>
      </c>
      <c r="E121">
        <v>12</v>
      </c>
      <c r="F121">
        <v>6</v>
      </c>
      <c r="G121" s="3" t="s">
        <v>260</v>
      </c>
      <c r="H121" t="s">
        <v>261</v>
      </c>
      <c r="I121">
        <v>1</v>
      </c>
      <c r="J121" t="s">
        <v>100</v>
      </c>
      <c r="K121" s="4" t="s">
        <v>262</v>
      </c>
      <c r="L121">
        <v>0.8</v>
      </c>
    </row>
    <row r="122" spans="1:13" ht="28.5">
      <c r="A122">
        <v>121</v>
      </c>
      <c r="B122" t="s">
        <v>263</v>
      </c>
      <c r="C122" t="s">
        <v>263</v>
      </c>
      <c r="E122">
        <v>11</v>
      </c>
      <c r="F122">
        <v>6</v>
      </c>
      <c r="G122" s="6" t="s">
        <v>264</v>
      </c>
      <c r="H122" t="s">
        <v>184</v>
      </c>
      <c r="I122">
        <v>2</v>
      </c>
      <c r="J122" t="s">
        <v>15</v>
      </c>
      <c r="K122" s="4" t="s">
        <v>265</v>
      </c>
      <c r="L122">
        <v>0.8</v>
      </c>
    </row>
    <row r="123" spans="1:13">
      <c r="A123">
        <v>122</v>
      </c>
      <c r="C123" t="s">
        <v>266</v>
      </c>
      <c r="E123">
        <v>12</v>
      </c>
      <c r="F123">
        <v>6</v>
      </c>
      <c r="H123" t="s">
        <v>267</v>
      </c>
      <c r="I123">
        <v>2</v>
      </c>
      <c r="J123" t="s">
        <v>100</v>
      </c>
      <c r="K123" s="4" t="s">
        <v>268</v>
      </c>
      <c r="L123">
        <v>0.8</v>
      </c>
    </row>
    <row r="124" spans="1:13">
      <c r="A124">
        <v>123</v>
      </c>
      <c r="C124" t="s">
        <v>269</v>
      </c>
      <c r="E124">
        <v>12</v>
      </c>
      <c r="F124">
        <v>7</v>
      </c>
      <c r="G124" s="4" t="s">
        <v>270</v>
      </c>
      <c r="H124" t="s">
        <v>191</v>
      </c>
      <c r="I124">
        <v>1</v>
      </c>
      <c r="J124" t="s">
        <v>100</v>
      </c>
      <c r="K124" t="str">
        <f t="shared" ref="K124:K147" si="6">C124</f>
        <v>Christian Counselling II</v>
      </c>
      <c r="L124">
        <v>0.8</v>
      </c>
    </row>
    <row r="125" spans="1:13">
      <c r="A125">
        <v>124</v>
      </c>
      <c r="B125" t="s">
        <v>271</v>
      </c>
      <c r="C125" t="s">
        <v>272</v>
      </c>
      <c r="D125" t="s">
        <v>273</v>
      </c>
      <c r="E125">
        <v>12</v>
      </c>
      <c r="F125">
        <v>7</v>
      </c>
      <c r="G125"/>
      <c r="H125" t="s">
        <v>274</v>
      </c>
      <c r="I125">
        <v>1</v>
      </c>
      <c r="J125" t="s">
        <v>100</v>
      </c>
      <c r="K125" t="str">
        <f t="shared" si="6"/>
        <v>Christian Growth</v>
      </c>
      <c r="L125">
        <v>0.8</v>
      </c>
    </row>
    <row r="126" spans="1:13">
      <c r="A126">
        <v>125</v>
      </c>
      <c r="C126" t="s">
        <v>275</v>
      </c>
      <c r="E126">
        <v>12</v>
      </c>
      <c r="F126">
        <v>7</v>
      </c>
      <c r="G126" t="s">
        <v>276</v>
      </c>
      <c r="H126" t="s">
        <v>23</v>
      </c>
      <c r="I126">
        <v>1</v>
      </c>
      <c r="J126" t="s">
        <v>100</v>
      </c>
      <c r="K126" t="str">
        <f t="shared" si="6"/>
        <v>Life of Christ II</v>
      </c>
      <c r="L126">
        <v>0.8</v>
      </c>
    </row>
    <row r="127" spans="1:13">
      <c r="A127">
        <v>126</v>
      </c>
      <c r="B127" t="s">
        <v>221</v>
      </c>
      <c r="C127" t="s">
        <v>277</v>
      </c>
      <c r="E127">
        <v>12</v>
      </c>
      <c r="F127">
        <v>7</v>
      </c>
      <c r="G127" t="s">
        <v>276</v>
      </c>
      <c r="H127" t="s">
        <v>224</v>
      </c>
      <c r="I127">
        <v>1</v>
      </c>
      <c r="J127" t="s">
        <v>100</v>
      </c>
      <c r="K127" t="str">
        <f t="shared" si="6"/>
        <v>New Testament Church History II</v>
      </c>
      <c r="L127">
        <v>0.8</v>
      </c>
      <c r="M127" t="s">
        <v>278</v>
      </c>
    </row>
    <row r="128" spans="1:13">
      <c r="A128">
        <v>127</v>
      </c>
      <c r="C128" t="s">
        <v>279</v>
      </c>
      <c r="E128" s="4">
        <v>10</v>
      </c>
      <c r="F128">
        <v>2</v>
      </c>
      <c r="G128" s="4" t="s">
        <v>280</v>
      </c>
      <c r="H128" t="s">
        <v>237</v>
      </c>
      <c r="I128">
        <v>2</v>
      </c>
      <c r="J128" t="s">
        <v>15</v>
      </c>
      <c r="K128" t="str">
        <f t="shared" si="6"/>
        <v>English Composition I</v>
      </c>
      <c r="L128">
        <v>0.8</v>
      </c>
    </row>
    <row r="129" spans="1:13">
      <c r="A129">
        <v>128</v>
      </c>
      <c r="G129"/>
    </row>
    <row r="130" spans="1:13">
      <c r="A130">
        <v>129</v>
      </c>
      <c r="C130" t="s">
        <v>281</v>
      </c>
      <c r="E130">
        <v>9</v>
      </c>
      <c r="F130">
        <v>5</v>
      </c>
      <c r="G130"/>
      <c r="H130" t="s">
        <v>282</v>
      </c>
      <c r="I130">
        <v>2</v>
      </c>
      <c r="J130" t="s">
        <v>100</v>
      </c>
      <c r="K130" t="str">
        <f t="shared" si="6"/>
        <v>ICCE Biology</v>
      </c>
      <c r="L130">
        <v>0.8</v>
      </c>
    </row>
    <row r="131" spans="1:13">
      <c r="A131">
        <v>130</v>
      </c>
      <c r="C131" t="s">
        <v>283</v>
      </c>
      <c r="E131">
        <v>10</v>
      </c>
      <c r="F131">
        <v>5</v>
      </c>
      <c r="G131"/>
      <c r="H131" t="s">
        <v>74</v>
      </c>
      <c r="I131">
        <v>2</v>
      </c>
      <c r="J131" t="s">
        <v>100</v>
      </c>
      <c r="K131" t="str">
        <f t="shared" si="6"/>
        <v>Biology Apologia</v>
      </c>
      <c r="L131">
        <v>0.8</v>
      </c>
    </row>
    <row r="132" spans="1:13">
      <c r="A132">
        <v>131</v>
      </c>
      <c r="C132" t="s">
        <v>284</v>
      </c>
      <c r="E132">
        <v>12</v>
      </c>
      <c r="F132">
        <v>7</v>
      </c>
      <c r="G132"/>
      <c r="H132" t="s">
        <v>23</v>
      </c>
      <c r="I132">
        <v>1</v>
      </c>
      <c r="J132" t="s">
        <v>100</v>
      </c>
      <c r="K132" t="str">
        <f t="shared" si="6"/>
        <v>Life of Christ</v>
      </c>
      <c r="L132">
        <v>0.8</v>
      </c>
      <c r="M132" t="s">
        <v>278</v>
      </c>
    </row>
    <row r="133" spans="1:13">
      <c r="A133">
        <v>132</v>
      </c>
      <c r="C133" t="s">
        <v>285</v>
      </c>
      <c r="E133">
        <v>9</v>
      </c>
      <c r="F133">
        <v>2</v>
      </c>
      <c r="G133"/>
      <c r="H133" t="s">
        <v>208</v>
      </c>
      <c r="I133">
        <v>2</v>
      </c>
      <c r="J133" t="s">
        <v>100</v>
      </c>
      <c r="K133" t="str">
        <f t="shared" si="6"/>
        <v>Dutch Language Staatsexamen VMBO</v>
      </c>
      <c r="L133">
        <v>0.8</v>
      </c>
    </row>
    <row r="134" spans="1:13">
      <c r="A134">
        <v>133</v>
      </c>
      <c r="C134" t="s">
        <v>286</v>
      </c>
      <c r="E134">
        <v>9</v>
      </c>
      <c r="F134">
        <v>6</v>
      </c>
      <c r="H134" t="s">
        <v>94</v>
      </c>
      <c r="I134">
        <v>7</v>
      </c>
      <c r="J134" t="s">
        <v>287</v>
      </c>
      <c r="K134" t="str">
        <f t="shared" si="6"/>
        <v>Social Studies Essay General</v>
      </c>
      <c r="L134">
        <v>0.8</v>
      </c>
    </row>
    <row r="135" spans="1:13">
      <c r="A135">
        <v>134</v>
      </c>
      <c r="C135" t="s">
        <v>288</v>
      </c>
      <c r="E135">
        <v>9</v>
      </c>
      <c r="F135">
        <v>5</v>
      </c>
      <c r="G135"/>
      <c r="H135" t="s">
        <v>94</v>
      </c>
      <c r="I135">
        <v>7</v>
      </c>
      <c r="J135" t="s">
        <v>287</v>
      </c>
      <c r="K135" t="str">
        <f t="shared" si="6"/>
        <v>Science Essay General</v>
      </c>
      <c r="L135">
        <v>0.8</v>
      </c>
    </row>
    <row r="136" spans="1:13">
      <c r="A136">
        <v>135</v>
      </c>
      <c r="C136" t="s">
        <v>289</v>
      </c>
      <c r="E136">
        <v>10</v>
      </c>
      <c r="F136">
        <v>7</v>
      </c>
      <c r="G136"/>
      <c r="H136" t="s">
        <v>94</v>
      </c>
      <c r="I136">
        <v>7</v>
      </c>
      <c r="J136" t="s">
        <v>287</v>
      </c>
      <c r="K136" t="str">
        <f t="shared" si="6"/>
        <v>Biblical Studies Essay Intermediate</v>
      </c>
      <c r="L136">
        <v>0.8</v>
      </c>
      <c r="M136" t="s">
        <v>278</v>
      </c>
    </row>
    <row r="137" spans="1:13">
      <c r="A137">
        <v>136</v>
      </c>
      <c r="C137" t="s">
        <v>290</v>
      </c>
      <c r="E137">
        <v>10</v>
      </c>
      <c r="F137">
        <v>2</v>
      </c>
      <c r="G137"/>
      <c r="H137" t="s">
        <v>94</v>
      </c>
      <c r="I137">
        <v>7</v>
      </c>
      <c r="J137" t="s">
        <v>287</v>
      </c>
      <c r="K137" t="str">
        <f t="shared" si="6"/>
        <v>English Essay Intermediate</v>
      </c>
      <c r="L137">
        <v>0.8</v>
      </c>
    </row>
    <row r="138" spans="1:13">
      <c r="A138">
        <v>137</v>
      </c>
      <c r="C138" t="s">
        <v>291</v>
      </c>
      <c r="E138">
        <v>10</v>
      </c>
      <c r="F138">
        <v>6</v>
      </c>
      <c r="H138" t="s">
        <v>94</v>
      </c>
      <c r="I138">
        <v>7</v>
      </c>
      <c r="J138" t="s">
        <v>287</v>
      </c>
      <c r="K138" t="str">
        <f t="shared" si="6"/>
        <v>Social Studies Essay Intermediate</v>
      </c>
      <c r="L138">
        <v>0.8</v>
      </c>
    </row>
    <row r="139" spans="1:13">
      <c r="A139">
        <v>138</v>
      </c>
      <c r="C139" t="s">
        <v>292</v>
      </c>
      <c r="E139">
        <v>10</v>
      </c>
      <c r="F139">
        <v>5</v>
      </c>
      <c r="G139"/>
      <c r="H139" t="s">
        <v>94</v>
      </c>
      <c r="I139">
        <v>7</v>
      </c>
      <c r="J139" t="s">
        <v>287</v>
      </c>
      <c r="K139" t="str">
        <f t="shared" si="6"/>
        <v>Science Essay Intermediate</v>
      </c>
      <c r="L139">
        <v>0.8</v>
      </c>
    </row>
    <row r="140" spans="1:13">
      <c r="A140">
        <v>139</v>
      </c>
      <c r="C140" t="s">
        <v>293</v>
      </c>
      <c r="E140">
        <v>12</v>
      </c>
      <c r="F140">
        <v>7</v>
      </c>
      <c r="G140"/>
      <c r="H140" t="s">
        <v>94</v>
      </c>
      <c r="I140">
        <v>7</v>
      </c>
      <c r="J140" t="s">
        <v>287</v>
      </c>
      <c r="K140" t="str">
        <f t="shared" si="6"/>
        <v>Biblical Studies Essay Advanced</v>
      </c>
      <c r="L140">
        <v>0.8</v>
      </c>
      <c r="M140" t="s">
        <v>278</v>
      </c>
    </row>
    <row r="141" spans="1:13">
      <c r="A141">
        <v>140</v>
      </c>
      <c r="C141" t="s">
        <v>294</v>
      </c>
      <c r="E141">
        <v>12</v>
      </c>
      <c r="F141">
        <v>1</v>
      </c>
      <c r="G141"/>
      <c r="H141" t="s">
        <v>94</v>
      </c>
      <c r="I141">
        <v>7</v>
      </c>
      <c r="J141" t="s">
        <v>287</v>
      </c>
      <c r="K141" t="str">
        <f t="shared" si="6"/>
        <v>Maths Paper Advanced</v>
      </c>
      <c r="L141">
        <v>0.8</v>
      </c>
    </row>
    <row r="142" spans="1:13">
      <c r="A142">
        <v>141</v>
      </c>
      <c r="C142" t="s">
        <v>295</v>
      </c>
      <c r="E142">
        <v>12</v>
      </c>
      <c r="F142">
        <v>2</v>
      </c>
      <c r="G142"/>
      <c r="H142" t="s">
        <v>94</v>
      </c>
      <c r="I142">
        <v>7</v>
      </c>
      <c r="J142" t="s">
        <v>287</v>
      </c>
      <c r="K142" t="str">
        <f t="shared" si="6"/>
        <v>English Essay Advanced</v>
      </c>
      <c r="L142">
        <v>0.8</v>
      </c>
    </row>
    <row r="143" spans="1:13">
      <c r="A143">
        <v>142</v>
      </c>
      <c r="C143" t="s">
        <v>296</v>
      </c>
      <c r="E143">
        <v>12</v>
      </c>
      <c r="F143">
        <v>6</v>
      </c>
      <c r="H143" t="s">
        <v>94</v>
      </c>
      <c r="I143">
        <v>7</v>
      </c>
      <c r="J143" t="s">
        <v>287</v>
      </c>
      <c r="K143" t="str">
        <f t="shared" si="6"/>
        <v>Social Studies Essay Advanced</v>
      </c>
      <c r="L143">
        <v>0.8</v>
      </c>
    </row>
    <row r="144" spans="1:13">
      <c r="A144">
        <v>143</v>
      </c>
      <c r="C144" t="s">
        <v>297</v>
      </c>
      <c r="E144">
        <v>12</v>
      </c>
      <c r="F144">
        <v>5</v>
      </c>
      <c r="G144"/>
      <c r="H144" t="s">
        <v>298</v>
      </c>
      <c r="I144">
        <v>7</v>
      </c>
      <c r="J144" t="s">
        <v>287</v>
      </c>
      <c r="K144" t="str">
        <f t="shared" si="6"/>
        <v>Sciences Project Advanced</v>
      </c>
      <c r="L144">
        <v>0.8</v>
      </c>
    </row>
    <row r="145" spans="1:13">
      <c r="A145">
        <v>144</v>
      </c>
      <c r="C145" t="s">
        <v>299</v>
      </c>
      <c r="E145">
        <v>12</v>
      </c>
      <c r="F145">
        <v>5</v>
      </c>
      <c r="G145"/>
      <c r="H145" t="s">
        <v>94</v>
      </c>
      <c r="I145">
        <v>7</v>
      </c>
      <c r="J145" t="s">
        <v>287</v>
      </c>
      <c r="K145" t="str">
        <f t="shared" si="6"/>
        <v>Sciences Essay Advanced</v>
      </c>
      <c r="L145">
        <v>0.8</v>
      </c>
    </row>
    <row r="146" spans="1:13">
      <c r="A146">
        <v>145</v>
      </c>
      <c r="C146" t="s">
        <v>300</v>
      </c>
      <c r="E146">
        <v>12</v>
      </c>
      <c r="F146">
        <v>2</v>
      </c>
      <c r="G146"/>
      <c r="H146" t="s">
        <v>301</v>
      </c>
      <c r="I146">
        <v>7</v>
      </c>
      <c r="J146" t="s">
        <v>287</v>
      </c>
      <c r="K146" t="str">
        <f t="shared" si="6"/>
        <v>English III Dissertation</v>
      </c>
      <c r="L146">
        <v>0.8</v>
      </c>
    </row>
    <row r="147" spans="1:13">
      <c r="A147">
        <v>146</v>
      </c>
      <c r="C147" s="5" t="s">
        <v>302</v>
      </c>
      <c r="D147" s="5"/>
      <c r="E147">
        <v>9</v>
      </c>
      <c r="F147">
        <v>4</v>
      </c>
      <c r="G147" s="4" t="s">
        <v>303</v>
      </c>
      <c r="H147" t="s">
        <v>23</v>
      </c>
      <c r="I147">
        <v>2</v>
      </c>
      <c r="J147" t="s">
        <v>15</v>
      </c>
      <c r="K147" t="str">
        <f t="shared" si="6"/>
        <v>Literature Level 9</v>
      </c>
      <c r="L147">
        <v>0.8</v>
      </c>
    </row>
    <row r="148" spans="1:13">
      <c r="A148">
        <v>147</v>
      </c>
      <c r="C148" t="s">
        <v>304</v>
      </c>
      <c r="E148">
        <v>5</v>
      </c>
      <c r="F148">
        <v>6</v>
      </c>
      <c r="H148" t="s">
        <v>99</v>
      </c>
      <c r="I148">
        <v>2</v>
      </c>
      <c r="J148" t="s">
        <v>15</v>
      </c>
      <c r="K148" t="s">
        <v>305</v>
      </c>
      <c r="L148">
        <v>0.8</v>
      </c>
    </row>
    <row r="149" spans="1:13">
      <c r="A149">
        <v>148</v>
      </c>
      <c r="C149" t="s">
        <v>306</v>
      </c>
      <c r="E149">
        <v>10</v>
      </c>
      <c r="F149">
        <v>6</v>
      </c>
      <c r="H149" t="s">
        <v>307</v>
      </c>
      <c r="I149">
        <v>2</v>
      </c>
      <c r="J149" t="s">
        <v>100</v>
      </c>
      <c r="K149" s="4" t="s">
        <v>308</v>
      </c>
      <c r="L149">
        <v>0.8</v>
      </c>
    </row>
    <row r="150" spans="1:13">
      <c r="A150">
        <v>149</v>
      </c>
      <c r="C150" t="s">
        <v>309</v>
      </c>
      <c r="E150">
        <v>2</v>
      </c>
      <c r="F150">
        <v>5</v>
      </c>
      <c r="G150"/>
      <c r="H150" t="s">
        <v>140</v>
      </c>
      <c r="I150">
        <v>2</v>
      </c>
      <c r="J150" t="s">
        <v>15</v>
      </c>
      <c r="K150" t="s">
        <v>310</v>
      </c>
      <c r="L150">
        <v>0.8</v>
      </c>
    </row>
    <row r="151" spans="1:13">
      <c r="A151">
        <v>150</v>
      </c>
      <c r="B151" t="s">
        <v>311</v>
      </c>
      <c r="C151" t="s">
        <v>312</v>
      </c>
      <c r="E151">
        <v>6</v>
      </c>
      <c r="F151">
        <v>2</v>
      </c>
      <c r="G151" t="s">
        <v>313</v>
      </c>
      <c r="H151" t="s">
        <v>314</v>
      </c>
      <c r="I151">
        <v>2</v>
      </c>
      <c r="J151" t="s">
        <v>100</v>
      </c>
      <c r="K151" t="s">
        <v>311</v>
      </c>
      <c r="L151">
        <v>0.8</v>
      </c>
    </row>
    <row r="152" spans="1:13">
      <c r="A152">
        <v>151</v>
      </c>
      <c r="C152" t="s">
        <v>157</v>
      </c>
      <c r="D152" t="s">
        <v>315</v>
      </c>
      <c r="E152">
        <v>9</v>
      </c>
      <c r="F152">
        <v>7</v>
      </c>
      <c r="G152" t="s">
        <v>316</v>
      </c>
      <c r="H152" t="s">
        <v>160</v>
      </c>
      <c r="I152">
        <v>1</v>
      </c>
      <c r="J152" t="s">
        <v>15</v>
      </c>
      <c r="L152">
        <v>0.8</v>
      </c>
      <c r="M152" t="s">
        <v>278</v>
      </c>
    </row>
    <row r="153" spans="1:13">
      <c r="A153">
        <v>152</v>
      </c>
      <c r="C153" t="s">
        <v>186</v>
      </c>
      <c r="D153" t="s">
        <v>317</v>
      </c>
      <c r="E153">
        <v>10</v>
      </c>
      <c r="F153">
        <v>7</v>
      </c>
      <c r="G153" t="s">
        <v>318</v>
      </c>
      <c r="H153" t="s">
        <v>160</v>
      </c>
      <c r="I153">
        <v>1</v>
      </c>
      <c r="J153" t="s">
        <v>15</v>
      </c>
      <c r="L153">
        <v>0.8</v>
      </c>
      <c r="M153" t="s">
        <v>278</v>
      </c>
    </row>
    <row r="154" spans="1:13" ht="42.75">
      <c r="A154">
        <v>153</v>
      </c>
      <c r="B154" t="s">
        <v>102</v>
      </c>
      <c r="C154" t="s">
        <v>102</v>
      </c>
      <c r="E154">
        <v>10</v>
      </c>
      <c r="F154">
        <v>6</v>
      </c>
      <c r="G154" s="3" t="s">
        <v>319</v>
      </c>
      <c r="H154" t="s">
        <v>105</v>
      </c>
      <c r="I154">
        <v>2</v>
      </c>
      <c r="J154" t="s">
        <v>15</v>
      </c>
      <c r="K154" t="s">
        <v>320</v>
      </c>
      <c r="L154">
        <v>0.8</v>
      </c>
      <c r="M154" t="s">
        <v>278</v>
      </c>
    </row>
    <row r="155" spans="1:13" ht="71.25">
      <c r="A155">
        <v>154</v>
      </c>
      <c r="C155" t="s">
        <v>321</v>
      </c>
      <c r="D155" t="s">
        <v>322</v>
      </c>
      <c r="E155">
        <v>12</v>
      </c>
      <c r="F155">
        <v>1</v>
      </c>
      <c r="G155" s="3" t="s">
        <v>323</v>
      </c>
      <c r="H155" t="s">
        <v>17</v>
      </c>
      <c r="I155">
        <v>2</v>
      </c>
      <c r="J155" t="s">
        <v>15</v>
      </c>
      <c r="K155" t="s">
        <v>321</v>
      </c>
      <c r="L155">
        <v>0.8</v>
      </c>
    </row>
    <row r="156" spans="1:13" ht="42.75">
      <c r="A156">
        <v>155</v>
      </c>
      <c r="C156" t="s">
        <v>324</v>
      </c>
      <c r="D156" t="s">
        <v>325</v>
      </c>
      <c r="E156">
        <v>12</v>
      </c>
      <c r="F156">
        <v>1</v>
      </c>
      <c r="G156" s="3" t="s">
        <v>326</v>
      </c>
      <c r="H156" t="s">
        <v>17</v>
      </c>
      <c r="I156">
        <v>2</v>
      </c>
      <c r="J156" t="s">
        <v>15</v>
      </c>
      <c r="K156" t="s">
        <v>324</v>
      </c>
      <c r="L156">
        <v>0.8</v>
      </c>
    </row>
    <row r="157" spans="1:13" ht="57">
      <c r="A157">
        <v>159</v>
      </c>
      <c r="C157" t="s">
        <v>327</v>
      </c>
      <c r="D157" t="s">
        <v>328</v>
      </c>
      <c r="E157">
        <v>9</v>
      </c>
      <c r="F157">
        <v>5</v>
      </c>
      <c r="G157" s="7" t="s">
        <v>329</v>
      </c>
      <c r="H157" t="s">
        <v>26</v>
      </c>
      <c r="I157">
        <v>2</v>
      </c>
      <c r="J157" t="s">
        <v>15</v>
      </c>
      <c r="K157" t="s">
        <v>330</v>
      </c>
      <c r="L157">
        <v>0.8</v>
      </c>
    </row>
    <row r="158" spans="1:13" ht="57">
      <c r="A158">
        <v>160</v>
      </c>
      <c r="C158" t="s">
        <v>327</v>
      </c>
      <c r="D158" t="s">
        <v>331</v>
      </c>
      <c r="E158">
        <v>9</v>
      </c>
      <c r="F158">
        <v>5</v>
      </c>
      <c r="G158" s="7" t="s">
        <v>332</v>
      </c>
      <c r="H158" t="s">
        <v>26</v>
      </c>
      <c r="I158">
        <v>2</v>
      </c>
      <c r="J158" t="s">
        <v>15</v>
      </c>
      <c r="K158" t="s">
        <v>330</v>
      </c>
      <c r="L158">
        <v>0.8</v>
      </c>
    </row>
    <row r="159" spans="1:13" ht="28.5">
      <c r="A159">
        <v>999</v>
      </c>
      <c r="C159" s="4" t="s">
        <v>333</v>
      </c>
      <c r="G159" s="6" t="s">
        <v>334</v>
      </c>
      <c r="H159" t="s">
        <v>119</v>
      </c>
      <c r="I159">
        <v>2</v>
      </c>
      <c r="J159" t="s">
        <v>15</v>
      </c>
      <c r="L159">
        <v>0.8</v>
      </c>
    </row>
    <row r="160" spans="1:13">
      <c r="A160">
        <v>161</v>
      </c>
      <c r="B160" t="s">
        <v>221</v>
      </c>
      <c r="C160" t="s">
        <v>335</v>
      </c>
      <c r="E160">
        <v>12</v>
      </c>
      <c r="F160">
        <v>7</v>
      </c>
      <c r="G160" t="s">
        <v>336</v>
      </c>
      <c r="H160" t="s">
        <v>224</v>
      </c>
      <c r="I160">
        <v>1</v>
      </c>
      <c r="J160" t="s">
        <v>100</v>
      </c>
      <c r="K160" t="str">
        <f t="shared" ref="K160:K162" si="7">C160</f>
        <v>New Testament Church History I</v>
      </c>
      <c r="L160">
        <v>0.8</v>
      </c>
      <c r="M160" t="s">
        <v>278</v>
      </c>
    </row>
    <row r="161" spans="1:13">
      <c r="A161">
        <v>162</v>
      </c>
      <c r="B161" t="s">
        <v>337</v>
      </c>
      <c r="C161" t="s">
        <v>338</v>
      </c>
      <c r="E161" s="4">
        <v>12</v>
      </c>
      <c r="F161">
        <v>7</v>
      </c>
      <c r="H161" t="s">
        <v>339</v>
      </c>
      <c r="I161">
        <v>1</v>
      </c>
      <c r="J161" t="s">
        <v>100</v>
      </c>
      <c r="K161" t="str">
        <f t="shared" si="7"/>
        <v>Biographies of Christians</v>
      </c>
      <c r="L161">
        <v>0.8</v>
      </c>
      <c r="M161" t="s">
        <v>278</v>
      </c>
    </row>
    <row r="162" spans="1:13">
      <c r="A162">
        <v>163</v>
      </c>
      <c r="B162" t="s">
        <v>340</v>
      </c>
      <c r="C162" t="s">
        <v>341</v>
      </c>
      <c r="E162">
        <v>12</v>
      </c>
      <c r="F162">
        <v>7</v>
      </c>
      <c r="H162" t="s">
        <v>342</v>
      </c>
      <c r="I162">
        <v>1</v>
      </c>
      <c r="J162" t="s">
        <v>100</v>
      </c>
      <c r="K162" t="str">
        <f t="shared" si="7"/>
        <v>College Old Testament Survey</v>
      </c>
      <c r="L162">
        <v>0.8</v>
      </c>
      <c r="M162" t="s">
        <v>107</v>
      </c>
    </row>
    <row r="163" spans="1:13">
      <c r="A163">
        <v>164</v>
      </c>
      <c r="B163" t="s">
        <v>343</v>
      </c>
      <c r="C163" t="s">
        <v>344</v>
      </c>
      <c r="E163">
        <v>12</v>
      </c>
      <c r="F163">
        <v>6</v>
      </c>
      <c r="H163" t="s">
        <v>345</v>
      </c>
      <c r="I163">
        <v>2</v>
      </c>
      <c r="J163" t="s">
        <v>100</v>
      </c>
      <c r="K163" t="s">
        <v>258</v>
      </c>
      <c r="L163">
        <v>0.8</v>
      </c>
    </row>
    <row r="164" spans="1:13">
      <c r="A164">
        <v>165</v>
      </c>
      <c r="B164" t="s">
        <v>346</v>
      </c>
      <c r="C164" t="s">
        <v>346</v>
      </c>
      <c r="E164">
        <v>12</v>
      </c>
      <c r="F164">
        <v>6</v>
      </c>
      <c r="H164" t="s">
        <v>347</v>
      </c>
      <c r="I164">
        <v>2</v>
      </c>
      <c r="J164" t="s">
        <v>100</v>
      </c>
      <c r="K164" t="s">
        <v>258</v>
      </c>
      <c r="L164">
        <v>0.8</v>
      </c>
    </row>
  </sheetData>
  <autoFilter ref="A1:M164"/>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Course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Yong | Business Interest</dc:creator>
  <cp:lastModifiedBy>Staff</cp:lastModifiedBy>
  <dcterms:created xsi:type="dcterms:W3CDTF">2024-11-29T17:53:03Z</dcterms:created>
  <dcterms:modified xsi:type="dcterms:W3CDTF">2024-12-06T14:05:31Z</dcterms:modified>
</cp:coreProperties>
</file>